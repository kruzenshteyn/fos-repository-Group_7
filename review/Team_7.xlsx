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/>
  <mc:AlternateContent xmlns:mc="http://schemas.openxmlformats.org/markup-compatibility/2006">
    <mc:Choice Requires="x15">
      <x15ac:absPath xmlns:x15ac="http://schemas.microsoft.com/office/spreadsheetml/2010/11/ac" url="/Users/dmitriair/Downloads/"/>
    </mc:Choice>
  </mc:AlternateContent>
  <xr:revisionPtr revIDLastSave="0" documentId="13_ncr:1_{EB35B014-AD49-C049-8AAA-661342F0C27C}" xr6:coauthVersionLast="47" xr6:coauthVersionMax="47" xr10:uidLastSave="{00000000-0000-0000-0000-000000000000}"/>
  <bookViews>
    <workbookView xWindow="0" yWindow="660" windowWidth="30240" windowHeight="18980" activeTab="11" xr2:uid="{00000000-000D-0000-FFFF-FFFF00000000}"/>
  </bookViews>
  <sheets>
    <sheet name="Лист27" sheetId="3" state="hidden" r:id="rId1"/>
    <sheet name="Отказы и замены" sheetId="4" state="hidden" r:id="rId2"/>
    <sheet name="Журнал_conflict1319477655" sheetId="8" state="hidden" r:id="rId3"/>
    <sheet name="Moodle_данные" sheetId="9" state="hidden" r:id="rId4"/>
    <sheet name="Входной тест" sheetId="10" state="hidden" r:id="rId5"/>
    <sheet name="_Moodle_лог" sheetId="11" state="hidden" r:id="rId6"/>
    <sheet name="Связь со спикерами" sheetId="12" state="hidden" r:id="rId7"/>
    <sheet name="Кураторы" sheetId="13" state="hidden" r:id="rId8"/>
    <sheet name="Аудитории очная часть" sheetId="14" r:id="rId9"/>
    <sheet name="Преподаватели" sheetId="15" state="hidden" r:id="rId10"/>
    <sheet name="ОС4" sheetId="21" state="hidden" r:id="rId11"/>
    <sheet name="Кроссвалидация" sheetId="24" r:id="rId12"/>
    <sheet name="Посещаемость" sheetId="26" state="hidden" r:id="rId13"/>
    <sheet name="Импорт посещаемость" sheetId="27" state="hidden" r:id="rId14"/>
    <sheet name="Посещаемость_1" sheetId="28" state="hidden" r:id="rId15"/>
  </sheets>
  <definedNames>
    <definedName name="_xlnm._FilterDatabase" localSheetId="4" hidden="1">'Входной тест'!$C$1:$AI$1000</definedName>
    <definedName name="_xlnm._FilterDatabase" localSheetId="11" hidden="1">Кроссвалидация!$A$1:$AZ$2</definedName>
    <definedName name="_xlnm._FilterDatabase" localSheetId="0" hidden="1">Лист27!$A$1:$D$5332</definedName>
    <definedName name="_xlnm._FilterDatabase" localSheetId="6" hidden="1">'Связь со спикерами'!$A$2:$F$57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33" i="28" l="1"/>
  <c r="X333" i="28"/>
  <c r="W333" i="28"/>
  <c r="Y332" i="28"/>
  <c r="X332" i="28"/>
  <c r="W332" i="28"/>
  <c r="Y331" i="28"/>
  <c r="X331" i="28"/>
  <c r="W331" i="28"/>
  <c r="Y330" i="28"/>
  <c r="X330" i="28"/>
  <c r="W330" i="28"/>
  <c r="Y329" i="28"/>
  <c r="X329" i="28"/>
  <c r="W329" i="28"/>
  <c r="Y328" i="28"/>
  <c r="X328" i="28"/>
  <c r="W328" i="28"/>
  <c r="Y327" i="28"/>
  <c r="X327" i="28"/>
  <c r="W327" i="28"/>
  <c r="Y326" i="28"/>
  <c r="X326" i="28"/>
  <c r="W326" i="28"/>
  <c r="Y325" i="28"/>
  <c r="X325" i="28"/>
  <c r="W325" i="28"/>
  <c r="Y324" i="28"/>
  <c r="X324" i="28"/>
  <c r="W324" i="28"/>
  <c r="Y323" i="28"/>
  <c r="X323" i="28"/>
  <c r="W323" i="28"/>
  <c r="Y322" i="28"/>
  <c r="X322" i="28"/>
  <c r="W322" i="28"/>
  <c r="Y321" i="28"/>
  <c r="X321" i="28"/>
  <c r="W321" i="28"/>
  <c r="Y320" i="28"/>
  <c r="X320" i="28"/>
  <c r="W320" i="28"/>
  <c r="Y319" i="28"/>
  <c r="X319" i="28"/>
  <c r="W319" i="28"/>
  <c r="Y318" i="28"/>
  <c r="X318" i="28"/>
  <c r="W318" i="28"/>
  <c r="Y317" i="28"/>
  <c r="X317" i="28"/>
  <c r="W317" i="28"/>
  <c r="Y316" i="28"/>
  <c r="X316" i="28"/>
  <c r="W316" i="28"/>
  <c r="Y315" i="28"/>
  <c r="X315" i="28"/>
  <c r="W315" i="28"/>
  <c r="Y314" i="28"/>
  <c r="X314" i="28"/>
  <c r="W314" i="28"/>
  <c r="Y313" i="28"/>
  <c r="X313" i="28"/>
  <c r="W313" i="28"/>
  <c r="Y312" i="28"/>
  <c r="X312" i="28"/>
  <c r="W312" i="28"/>
  <c r="Y311" i="28"/>
  <c r="X311" i="28"/>
  <c r="W311" i="28"/>
  <c r="Y310" i="28"/>
  <c r="X310" i="28"/>
  <c r="W310" i="28"/>
  <c r="Y309" i="28"/>
  <c r="X309" i="28"/>
  <c r="W309" i="28"/>
  <c r="Y308" i="28"/>
  <c r="X308" i="28"/>
  <c r="W308" i="28"/>
  <c r="Y307" i="28"/>
  <c r="X307" i="28"/>
  <c r="W307" i="28"/>
  <c r="Y306" i="28"/>
  <c r="X306" i="28"/>
  <c r="W306" i="28"/>
  <c r="Y305" i="28"/>
  <c r="X305" i="28"/>
  <c r="W305" i="28"/>
  <c r="Y304" i="28"/>
  <c r="X304" i="28"/>
  <c r="W304" i="28"/>
  <c r="Y303" i="28"/>
  <c r="X303" i="28"/>
  <c r="W303" i="28"/>
  <c r="Y302" i="28"/>
  <c r="X302" i="28"/>
  <c r="W302" i="28"/>
  <c r="Y301" i="28"/>
  <c r="X301" i="28"/>
  <c r="W301" i="28"/>
  <c r="Y300" i="28"/>
  <c r="X300" i="28"/>
  <c r="W300" i="28"/>
  <c r="Y299" i="28"/>
  <c r="X299" i="28"/>
  <c r="W299" i="28"/>
  <c r="Y298" i="28"/>
  <c r="X298" i="28"/>
  <c r="W298" i="28"/>
  <c r="Y297" i="28"/>
  <c r="X297" i="28"/>
  <c r="W297" i="28"/>
  <c r="Y296" i="28"/>
  <c r="X296" i="28"/>
  <c r="W296" i="28"/>
  <c r="Y295" i="28"/>
  <c r="X295" i="28"/>
  <c r="W295" i="28"/>
  <c r="Y294" i="28"/>
  <c r="X294" i="28"/>
  <c r="W294" i="28"/>
  <c r="Y293" i="28"/>
  <c r="X293" i="28"/>
  <c r="W293" i="28"/>
  <c r="Y292" i="28"/>
  <c r="X292" i="28"/>
  <c r="W292" i="28"/>
  <c r="Y291" i="28"/>
  <c r="X291" i="28"/>
  <c r="W291" i="28"/>
  <c r="Y290" i="28"/>
  <c r="X290" i="28"/>
  <c r="W290" i="28"/>
  <c r="Y289" i="28"/>
  <c r="X289" i="28"/>
  <c r="W289" i="28"/>
  <c r="Y288" i="28"/>
  <c r="X288" i="28"/>
  <c r="W288" i="28"/>
  <c r="Y287" i="28"/>
  <c r="X287" i="28"/>
  <c r="W287" i="28"/>
  <c r="Y286" i="28"/>
  <c r="X286" i="28"/>
  <c r="W286" i="28"/>
  <c r="Y285" i="28"/>
  <c r="X285" i="28"/>
  <c r="W285" i="28"/>
  <c r="Y284" i="28"/>
  <c r="X284" i="28"/>
  <c r="W284" i="28"/>
  <c r="Y283" i="28"/>
  <c r="X283" i="28"/>
  <c r="W283" i="28"/>
  <c r="Y282" i="28"/>
  <c r="X282" i="28"/>
  <c r="W282" i="28"/>
  <c r="Y281" i="28"/>
  <c r="X281" i="28"/>
  <c r="W281" i="28"/>
  <c r="Y280" i="28"/>
  <c r="X280" i="28"/>
  <c r="W280" i="28"/>
  <c r="Y279" i="28"/>
  <c r="X279" i="28"/>
  <c r="W279" i="28"/>
  <c r="Y278" i="28"/>
  <c r="X278" i="28"/>
  <c r="W278" i="28"/>
  <c r="Y277" i="28"/>
  <c r="X277" i="28"/>
  <c r="W277" i="28"/>
  <c r="Y276" i="28"/>
  <c r="X276" i="28"/>
  <c r="W276" i="28"/>
  <c r="Y275" i="28"/>
  <c r="X275" i="28"/>
  <c r="W275" i="28"/>
  <c r="Y274" i="28"/>
  <c r="X274" i="28"/>
  <c r="W274" i="28"/>
  <c r="Y273" i="28"/>
  <c r="X273" i="28"/>
  <c r="W273" i="28"/>
  <c r="Y272" i="28"/>
  <c r="X272" i="28"/>
  <c r="W272" i="28"/>
  <c r="Y271" i="28"/>
  <c r="X271" i="28"/>
  <c r="W271" i="28"/>
  <c r="Y270" i="28"/>
  <c r="X270" i="28"/>
  <c r="W270" i="28"/>
  <c r="Y269" i="28"/>
  <c r="X269" i="28"/>
  <c r="W269" i="28"/>
  <c r="Y268" i="28"/>
  <c r="X268" i="28"/>
  <c r="W268" i="28"/>
  <c r="Y267" i="28"/>
  <c r="X267" i="28"/>
  <c r="W267" i="28"/>
  <c r="Y266" i="28"/>
  <c r="X266" i="28"/>
  <c r="W266" i="28"/>
  <c r="Y265" i="28"/>
  <c r="X265" i="28"/>
  <c r="W265" i="28"/>
  <c r="Y264" i="28"/>
  <c r="X264" i="28"/>
  <c r="W264" i="28"/>
  <c r="Y263" i="28"/>
  <c r="X263" i="28"/>
  <c r="W263" i="28"/>
  <c r="Y262" i="28"/>
  <c r="X262" i="28"/>
  <c r="W262" i="28"/>
  <c r="Y261" i="28"/>
  <c r="X261" i="28"/>
  <c r="W261" i="28"/>
  <c r="Y260" i="28"/>
  <c r="X260" i="28"/>
  <c r="W260" i="28"/>
  <c r="Y259" i="28"/>
  <c r="X259" i="28"/>
  <c r="W259" i="28"/>
  <c r="Y258" i="28"/>
  <c r="X258" i="28"/>
  <c r="W258" i="28"/>
  <c r="Y257" i="28"/>
  <c r="X257" i="28"/>
  <c r="W257" i="28"/>
  <c r="Y256" i="28"/>
  <c r="X256" i="28"/>
  <c r="W256" i="28"/>
  <c r="Y255" i="28"/>
  <c r="X255" i="28"/>
  <c r="W255" i="28"/>
  <c r="Y254" i="28"/>
  <c r="X254" i="28"/>
  <c r="W254" i="28"/>
  <c r="Y253" i="28"/>
  <c r="X253" i="28"/>
  <c r="W253" i="28"/>
  <c r="Y252" i="28"/>
  <c r="X252" i="28"/>
  <c r="W252" i="28"/>
  <c r="Y251" i="28"/>
  <c r="X251" i="28"/>
  <c r="W251" i="28"/>
  <c r="Y250" i="28"/>
  <c r="X250" i="28"/>
  <c r="W250" i="28"/>
  <c r="Y249" i="28"/>
  <c r="X249" i="28"/>
  <c r="W249" i="28"/>
  <c r="Y248" i="28"/>
  <c r="X248" i="28"/>
  <c r="W248" i="28"/>
  <c r="Y247" i="28"/>
  <c r="X247" i="28"/>
  <c r="W247" i="28"/>
  <c r="Y246" i="28"/>
  <c r="X246" i="28"/>
  <c r="W246" i="28"/>
  <c r="Y245" i="28"/>
  <c r="X245" i="28"/>
  <c r="W245" i="28"/>
  <c r="Y244" i="28"/>
  <c r="X244" i="28"/>
  <c r="W244" i="28"/>
  <c r="Y243" i="28"/>
  <c r="X243" i="28"/>
  <c r="W243" i="28"/>
  <c r="Y242" i="28"/>
  <c r="X242" i="28"/>
  <c r="W242" i="28"/>
  <c r="Y241" i="28"/>
  <c r="X241" i="28"/>
  <c r="W241" i="28"/>
  <c r="Y240" i="28"/>
  <c r="X240" i="28"/>
  <c r="W240" i="28"/>
  <c r="Y239" i="28"/>
  <c r="X239" i="28"/>
  <c r="W239" i="28"/>
  <c r="Y238" i="28"/>
  <c r="X238" i="28"/>
  <c r="W238" i="28"/>
  <c r="Y237" i="28"/>
  <c r="X237" i="28"/>
  <c r="W237" i="28"/>
  <c r="Y236" i="28"/>
  <c r="X236" i="28"/>
  <c r="W236" i="28"/>
  <c r="Y235" i="28"/>
  <c r="X235" i="28"/>
  <c r="W235" i="28"/>
  <c r="Y234" i="28"/>
  <c r="X234" i="28"/>
  <c r="W234" i="28"/>
  <c r="Y233" i="28"/>
  <c r="X233" i="28"/>
  <c r="W233" i="28"/>
  <c r="Y232" i="28"/>
  <c r="X232" i="28"/>
  <c r="W232" i="28"/>
  <c r="Y231" i="28"/>
  <c r="X231" i="28"/>
  <c r="W231" i="28"/>
  <c r="Y230" i="28"/>
  <c r="X230" i="28"/>
  <c r="W230" i="28"/>
  <c r="Y229" i="28"/>
  <c r="X229" i="28"/>
  <c r="W229" i="28"/>
  <c r="Y228" i="28"/>
  <c r="X228" i="28"/>
  <c r="W228" i="28"/>
  <c r="Y227" i="28"/>
  <c r="X227" i="28"/>
  <c r="W227" i="28"/>
  <c r="Y226" i="28"/>
  <c r="X226" i="28"/>
  <c r="W226" i="28"/>
  <c r="Y225" i="28"/>
  <c r="X225" i="28"/>
  <c r="W225" i="28"/>
  <c r="Y224" i="28"/>
  <c r="X224" i="28"/>
  <c r="W224" i="28"/>
  <c r="Y223" i="28"/>
  <c r="X223" i="28"/>
  <c r="W223" i="28"/>
  <c r="Y222" i="28"/>
  <c r="X222" i="28"/>
  <c r="W222" i="28"/>
  <c r="Y221" i="28"/>
  <c r="X221" i="28"/>
  <c r="W221" i="28"/>
  <c r="Y220" i="28"/>
  <c r="X220" i="28"/>
  <c r="W220" i="28"/>
  <c r="Y219" i="28"/>
  <c r="X219" i="28"/>
  <c r="W219" i="28"/>
  <c r="Y218" i="28"/>
  <c r="X218" i="28"/>
  <c r="W218" i="28"/>
  <c r="Y217" i="28"/>
  <c r="X217" i="28"/>
  <c r="W217" i="28"/>
  <c r="Y216" i="28"/>
  <c r="X216" i="28"/>
  <c r="W216" i="28"/>
  <c r="Y215" i="28"/>
  <c r="X215" i="28"/>
  <c r="W215" i="28"/>
  <c r="Y214" i="28"/>
  <c r="X214" i="28"/>
  <c r="W214" i="28"/>
  <c r="Y213" i="28"/>
  <c r="X213" i="28"/>
  <c r="W213" i="28"/>
  <c r="Y212" i="28"/>
  <c r="X212" i="28"/>
  <c r="W212" i="28"/>
  <c r="Y211" i="28"/>
  <c r="X211" i="28"/>
  <c r="W211" i="28"/>
  <c r="Y210" i="28"/>
  <c r="X210" i="28"/>
  <c r="W210" i="28"/>
  <c r="Y209" i="28"/>
  <c r="X209" i="28"/>
  <c r="W209" i="28"/>
  <c r="Y208" i="28"/>
  <c r="X208" i="28"/>
  <c r="W208" i="28"/>
  <c r="Y207" i="28"/>
  <c r="X207" i="28"/>
  <c r="W207" i="28"/>
  <c r="Y206" i="28"/>
  <c r="X206" i="28"/>
  <c r="W206" i="28"/>
  <c r="Y205" i="28"/>
  <c r="X205" i="28"/>
  <c r="W205" i="28"/>
  <c r="Y204" i="28"/>
  <c r="X204" i="28"/>
  <c r="W204" i="28"/>
  <c r="Y203" i="28"/>
  <c r="X203" i="28"/>
  <c r="W203" i="28"/>
  <c r="Y202" i="28"/>
  <c r="X202" i="28"/>
  <c r="W202" i="28"/>
  <c r="Y201" i="28"/>
  <c r="X201" i="28"/>
  <c r="W201" i="28"/>
  <c r="Y200" i="28"/>
  <c r="X200" i="28"/>
  <c r="W200" i="28"/>
  <c r="Y199" i="28"/>
  <c r="X199" i="28"/>
  <c r="W199" i="28"/>
  <c r="Y198" i="28"/>
  <c r="X198" i="28"/>
  <c r="W198" i="28"/>
  <c r="Y197" i="28"/>
  <c r="X197" i="28"/>
  <c r="W197" i="28"/>
  <c r="Y196" i="28"/>
  <c r="X196" i="28"/>
  <c r="W196" i="28"/>
  <c r="Y195" i="28"/>
  <c r="X195" i="28"/>
  <c r="W195" i="28"/>
  <c r="Y194" i="28"/>
  <c r="X194" i="28"/>
  <c r="W194" i="28"/>
  <c r="Y193" i="28"/>
  <c r="X193" i="28"/>
  <c r="W193" i="28"/>
  <c r="Y192" i="28"/>
  <c r="X192" i="28"/>
  <c r="W192" i="28"/>
  <c r="Y191" i="28"/>
  <c r="X191" i="28"/>
  <c r="W191" i="28"/>
  <c r="Y190" i="28"/>
  <c r="X190" i="28"/>
  <c r="W190" i="28"/>
  <c r="Y189" i="28"/>
  <c r="X189" i="28"/>
  <c r="W189" i="28"/>
  <c r="Y188" i="28"/>
  <c r="X188" i="28"/>
  <c r="W188" i="28"/>
  <c r="Y187" i="28"/>
  <c r="X187" i="28"/>
  <c r="W187" i="28"/>
  <c r="Y186" i="28"/>
  <c r="X186" i="28"/>
  <c r="W186" i="28"/>
  <c r="Y185" i="28"/>
  <c r="X185" i="28"/>
  <c r="W185" i="28"/>
  <c r="Y184" i="28"/>
  <c r="X184" i="28"/>
  <c r="W184" i="28"/>
  <c r="Y183" i="28"/>
  <c r="X183" i="28"/>
  <c r="W183" i="28"/>
  <c r="Y182" i="28"/>
  <c r="X182" i="28"/>
  <c r="W182" i="28"/>
  <c r="Y181" i="28"/>
  <c r="X181" i="28"/>
  <c r="W181" i="28"/>
  <c r="Y180" i="28"/>
  <c r="X180" i="28"/>
  <c r="W180" i="28"/>
  <c r="Y179" i="28"/>
  <c r="X179" i="28"/>
  <c r="W179" i="28"/>
  <c r="Y178" i="28"/>
  <c r="X178" i="28"/>
  <c r="W178" i="28"/>
  <c r="Y177" i="28"/>
  <c r="X177" i="28"/>
  <c r="W177" i="28"/>
  <c r="Y176" i="28"/>
  <c r="X176" i="28"/>
  <c r="W176" i="28"/>
  <c r="Y175" i="28"/>
  <c r="X175" i="28"/>
  <c r="W175" i="28"/>
  <c r="Y174" i="28"/>
  <c r="X174" i="28"/>
  <c r="W174" i="28"/>
  <c r="Y173" i="28"/>
  <c r="X173" i="28"/>
  <c r="W173" i="28"/>
  <c r="Y172" i="28"/>
  <c r="X172" i="28"/>
  <c r="W172" i="28"/>
  <c r="Y171" i="28"/>
  <c r="X171" i="28"/>
  <c r="W171" i="28"/>
  <c r="Y170" i="28"/>
  <c r="X170" i="28"/>
  <c r="W170" i="28"/>
  <c r="Y169" i="28"/>
  <c r="X169" i="28"/>
  <c r="W169" i="28"/>
  <c r="Y168" i="28"/>
  <c r="X168" i="28"/>
  <c r="W168" i="28"/>
  <c r="Y167" i="28"/>
  <c r="X167" i="28"/>
  <c r="W167" i="28"/>
  <c r="Y166" i="28"/>
  <c r="X166" i="28"/>
  <c r="W166" i="28"/>
  <c r="Y165" i="28"/>
  <c r="X165" i="28"/>
  <c r="W165" i="28"/>
  <c r="Y164" i="28"/>
  <c r="X164" i="28"/>
  <c r="W164" i="28"/>
  <c r="Y163" i="28"/>
  <c r="X163" i="28"/>
  <c r="W163" i="28"/>
  <c r="Y162" i="28"/>
  <c r="X162" i="28"/>
  <c r="W162" i="28"/>
  <c r="Y161" i="28"/>
  <c r="X161" i="28"/>
  <c r="W161" i="28"/>
  <c r="Y160" i="28"/>
  <c r="X160" i="28"/>
  <c r="W160" i="28"/>
  <c r="Y159" i="28"/>
  <c r="X159" i="28"/>
  <c r="W159" i="28"/>
  <c r="Y158" i="28"/>
  <c r="X158" i="28"/>
  <c r="W158" i="28"/>
  <c r="Y157" i="28"/>
  <c r="X157" i="28"/>
  <c r="W157" i="28"/>
  <c r="Y156" i="28"/>
  <c r="X156" i="28"/>
  <c r="W156" i="28"/>
  <c r="Y155" i="28"/>
  <c r="X155" i="28"/>
  <c r="W155" i="28"/>
  <c r="Y154" i="28"/>
  <c r="X154" i="28"/>
  <c r="W154" i="28"/>
  <c r="Y153" i="28"/>
  <c r="X153" i="28"/>
  <c r="W153" i="28"/>
  <c r="Y152" i="28"/>
  <c r="X152" i="28"/>
  <c r="W152" i="28"/>
  <c r="Y151" i="28"/>
  <c r="X151" i="28"/>
  <c r="W151" i="28"/>
  <c r="Y150" i="28"/>
  <c r="X150" i="28"/>
  <c r="W150" i="28"/>
  <c r="Y149" i="28"/>
  <c r="X149" i="28"/>
  <c r="W149" i="28"/>
  <c r="Y148" i="28"/>
  <c r="X148" i="28"/>
  <c r="W148" i="28"/>
  <c r="Y147" i="28"/>
  <c r="X147" i="28"/>
  <c r="W147" i="28"/>
  <c r="Y146" i="28"/>
  <c r="X146" i="28"/>
  <c r="W146" i="28"/>
  <c r="Y145" i="28"/>
  <c r="X145" i="28"/>
  <c r="W145" i="28"/>
  <c r="Y144" i="28"/>
  <c r="X144" i="28"/>
  <c r="W144" i="28"/>
  <c r="Y143" i="28"/>
  <c r="X143" i="28"/>
  <c r="W143" i="28"/>
  <c r="Y142" i="28"/>
  <c r="X142" i="28"/>
  <c r="W142" i="28"/>
  <c r="Y141" i="28"/>
  <c r="X141" i="28"/>
  <c r="W141" i="28"/>
  <c r="Y140" i="28"/>
  <c r="X140" i="28"/>
  <c r="W140" i="28"/>
  <c r="Y139" i="28"/>
  <c r="X139" i="28"/>
  <c r="W139" i="28"/>
  <c r="Y138" i="28"/>
  <c r="X138" i="28"/>
  <c r="W138" i="28"/>
  <c r="Y137" i="28"/>
  <c r="X137" i="28"/>
  <c r="W137" i="28"/>
  <c r="Y136" i="28"/>
  <c r="X136" i="28"/>
  <c r="W136" i="28"/>
  <c r="Y135" i="28"/>
  <c r="X135" i="28"/>
  <c r="W135" i="28"/>
  <c r="Y134" i="28"/>
  <c r="X134" i="28"/>
  <c r="W134" i="28"/>
  <c r="Y133" i="28"/>
  <c r="X133" i="28"/>
  <c r="W133" i="28"/>
  <c r="Y132" i="28"/>
  <c r="X132" i="28"/>
  <c r="W132" i="28"/>
  <c r="Y131" i="28"/>
  <c r="X131" i="28"/>
  <c r="W131" i="28"/>
  <c r="Y130" i="28"/>
  <c r="X130" i="28"/>
  <c r="W130" i="28"/>
  <c r="Y129" i="28"/>
  <c r="X129" i="28"/>
  <c r="W129" i="28"/>
  <c r="Y128" i="28"/>
  <c r="X128" i="28"/>
  <c r="W128" i="28"/>
  <c r="Y127" i="28"/>
  <c r="X127" i="28"/>
  <c r="W127" i="28"/>
  <c r="Y126" i="28"/>
  <c r="X126" i="28"/>
  <c r="W126" i="28"/>
  <c r="Y125" i="28"/>
  <c r="X125" i="28"/>
  <c r="W125" i="28"/>
  <c r="Y124" i="28"/>
  <c r="X124" i="28"/>
  <c r="W124" i="28"/>
  <c r="Y123" i="28"/>
  <c r="X123" i="28"/>
  <c r="W123" i="28"/>
  <c r="Y122" i="28"/>
  <c r="X122" i="28"/>
  <c r="W122" i="28"/>
  <c r="Y121" i="28"/>
  <c r="X121" i="28"/>
  <c r="W121" i="28"/>
  <c r="Y120" i="28"/>
  <c r="X120" i="28"/>
  <c r="W120" i="28"/>
  <c r="Y119" i="28"/>
  <c r="X119" i="28"/>
  <c r="W119" i="28"/>
  <c r="Y118" i="28"/>
  <c r="X118" i="28"/>
  <c r="W118" i="28"/>
  <c r="Y117" i="28"/>
  <c r="X117" i="28"/>
  <c r="W117" i="28"/>
  <c r="Y116" i="28"/>
  <c r="X116" i="28"/>
  <c r="W116" i="28"/>
  <c r="Y115" i="28"/>
  <c r="X115" i="28"/>
  <c r="W115" i="28"/>
  <c r="Y114" i="28"/>
  <c r="X114" i="28"/>
  <c r="W114" i="28"/>
  <c r="Y113" i="28"/>
  <c r="X113" i="28"/>
  <c r="W113" i="28"/>
  <c r="Y112" i="28"/>
  <c r="X112" i="28"/>
  <c r="W112" i="28"/>
  <c r="Y111" i="28"/>
  <c r="X111" i="28"/>
  <c r="W111" i="28"/>
  <c r="Y110" i="28"/>
  <c r="X110" i="28"/>
  <c r="W110" i="28"/>
  <c r="Y109" i="28"/>
  <c r="X109" i="28"/>
  <c r="W109" i="28"/>
  <c r="Y108" i="28"/>
  <c r="X108" i="28"/>
  <c r="W108" i="28"/>
  <c r="Y107" i="28"/>
  <c r="X107" i="28"/>
  <c r="W107" i="28"/>
  <c r="Y106" i="28"/>
  <c r="X106" i="28"/>
  <c r="W106" i="28"/>
  <c r="Y105" i="28"/>
  <c r="X105" i="28"/>
  <c r="W105" i="28"/>
  <c r="Y104" i="28"/>
  <c r="X104" i="28"/>
  <c r="W104" i="28"/>
  <c r="Y103" i="28"/>
  <c r="X103" i="28"/>
  <c r="W103" i="28"/>
  <c r="Y102" i="28"/>
  <c r="X102" i="28"/>
  <c r="W102" i="28"/>
  <c r="Y101" i="28"/>
  <c r="X101" i="28"/>
  <c r="W101" i="28"/>
  <c r="Y100" i="28"/>
  <c r="X100" i="28"/>
  <c r="W100" i="28"/>
  <c r="Y99" i="28"/>
  <c r="X99" i="28"/>
  <c r="W99" i="28"/>
  <c r="Y98" i="28"/>
  <c r="X98" i="28"/>
  <c r="W98" i="28"/>
  <c r="Y97" i="28"/>
  <c r="X97" i="28"/>
  <c r="W97" i="28"/>
  <c r="Y96" i="28"/>
  <c r="X96" i="28"/>
  <c r="W96" i="28"/>
  <c r="Y95" i="28"/>
  <c r="X95" i="28"/>
  <c r="W95" i="28"/>
  <c r="Y94" i="28"/>
  <c r="X94" i="28"/>
  <c r="W94" i="28"/>
  <c r="Y93" i="28"/>
  <c r="X93" i="28"/>
  <c r="W93" i="28"/>
  <c r="Y92" i="28"/>
  <c r="X92" i="28"/>
  <c r="W92" i="28"/>
  <c r="Y91" i="28"/>
  <c r="X91" i="28"/>
  <c r="W91" i="28"/>
  <c r="Y90" i="28"/>
  <c r="X90" i="28"/>
  <c r="W90" i="28"/>
  <c r="Y89" i="28"/>
  <c r="X89" i="28"/>
  <c r="W89" i="28"/>
  <c r="Y88" i="28"/>
  <c r="X88" i="28"/>
  <c r="W88" i="28"/>
  <c r="Y87" i="28"/>
  <c r="X87" i="28"/>
  <c r="W87" i="28"/>
  <c r="Y86" i="28"/>
  <c r="X86" i="28"/>
  <c r="W86" i="28"/>
  <c r="Y85" i="28"/>
  <c r="X85" i="28"/>
  <c r="W85" i="28"/>
  <c r="Y84" i="28"/>
  <c r="X84" i="28"/>
  <c r="W84" i="28"/>
  <c r="Y83" i="28"/>
  <c r="X83" i="28"/>
  <c r="W83" i="28"/>
  <c r="Y82" i="28"/>
  <c r="X82" i="28"/>
  <c r="W82" i="28"/>
  <c r="Y81" i="28"/>
  <c r="X81" i="28"/>
  <c r="W81" i="28"/>
  <c r="Y80" i="28"/>
  <c r="X80" i="28"/>
  <c r="W80" i="28"/>
  <c r="Y79" i="28"/>
  <c r="X79" i="28"/>
  <c r="W79" i="28"/>
  <c r="Y78" i="28"/>
  <c r="X78" i="28"/>
  <c r="W78" i="28"/>
  <c r="Y77" i="28"/>
  <c r="X77" i="28"/>
  <c r="W77" i="28"/>
  <c r="Y76" i="28"/>
  <c r="X76" i="28"/>
  <c r="W76" i="28"/>
  <c r="Y75" i="28"/>
  <c r="X75" i="28"/>
  <c r="W75" i="28"/>
  <c r="Y74" i="28"/>
  <c r="X74" i="28"/>
  <c r="W74" i="28"/>
  <c r="Y73" i="28"/>
  <c r="X73" i="28"/>
  <c r="W73" i="28"/>
  <c r="Y72" i="28"/>
  <c r="X72" i="28"/>
  <c r="W72" i="28"/>
  <c r="Y71" i="28"/>
  <c r="X71" i="28"/>
  <c r="W71" i="28"/>
  <c r="Y70" i="28"/>
  <c r="X70" i="28"/>
  <c r="W70" i="28"/>
  <c r="Y69" i="28"/>
  <c r="X69" i="28"/>
  <c r="W69" i="28"/>
  <c r="Y68" i="28"/>
  <c r="X68" i="28"/>
  <c r="W68" i="28"/>
  <c r="Y67" i="28"/>
  <c r="X67" i="28"/>
  <c r="W67" i="28"/>
  <c r="Y66" i="28"/>
  <c r="X66" i="28"/>
  <c r="W66" i="28"/>
  <c r="Y65" i="28"/>
  <c r="X65" i="28"/>
  <c r="W65" i="28"/>
  <c r="Y64" i="28"/>
  <c r="X64" i="28"/>
  <c r="W64" i="28"/>
  <c r="Y63" i="28"/>
  <c r="X63" i="28"/>
  <c r="W63" i="28"/>
  <c r="Y62" i="28"/>
  <c r="X62" i="28"/>
  <c r="W62" i="28"/>
  <c r="Y61" i="28"/>
  <c r="X61" i="28"/>
  <c r="W61" i="28"/>
  <c r="Y60" i="28"/>
  <c r="X60" i="28"/>
  <c r="W60" i="28"/>
  <c r="Y59" i="28"/>
  <c r="X59" i="28"/>
  <c r="W59" i="28"/>
  <c r="Y58" i="28"/>
  <c r="X58" i="28"/>
  <c r="W58" i="28"/>
  <c r="Y57" i="28"/>
  <c r="X57" i="28"/>
  <c r="W57" i="28"/>
  <c r="Y56" i="28"/>
  <c r="X56" i="28"/>
  <c r="W56" i="28"/>
  <c r="Y55" i="28"/>
  <c r="X55" i="28"/>
  <c r="W55" i="28"/>
  <c r="Y54" i="28"/>
  <c r="X54" i="28"/>
  <c r="W54" i="28"/>
  <c r="Y53" i="28"/>
  <c r="X53" i="28"/>
  <c r="W53" i="28"/>
  <c r="Y52" i="28"/>
  <c r="X52" i="28"/>
  <c r="W52" i="28"/>
  <c r="Y51" i="28"/>
  <c r="X51" i="28"/>
  <c r="W51" i="28"/>
  <c r="Y50" i="28"/>
  <c r="X50" i="28"/>
  <c r="W50" i="28"/>
  <c r="Y49" i="28"/>
  <c r="X49" i="28"/>
  <c r="W49" i="28"/>
  <c r="Y48" i="28"/>
  <c r="X48" i="28"/>
  <c r="W48" i="28"/>
  <c r="Y47" i="28"/>
  <c r="X47" i="28"/>
  <c r="W47" i="28"/>
  <c r="Y46" i="28"/>
  <c r="X46" i="28"/>
  <c r="W46" i="28"/>
  <c r="Y45" i="28"/>
  <c r="X45" i="28"/>
  <c r="W45" i="28"/>
  <c r="Y44" i="28"/>
  <c r="X44" i="28"/>
  <c r="W44" i="28"/>
  <c r="Y43" i="28"/>
  <c r="X43" i="28"/>
  <c r="W43" i="28"/>
  <c r="Y42" i="28"/>
  <c r="X42" i="28"/>
  <c r="W42" i="28"/>
  <c r="Y41" i="28"/>
  <c r="X41" i="28"/>
  <c r="W41" i="28"/>
  <c r="Y40" i="28"/>
  <c r="X40" i="28"/>
  <c r="W40" i="28"/>
  <c r="Y39" i="28"/>
  <c r="X39" i="28"/>
  <c r="W39" i="28"/>
  <c r="Y38" i="28"/>
  <c r="X38" i="28"/>
  <c r="W38" i="28"/>
  <c r="Y37" i="28"/>
  <c r="X37" i="28"/>
  <c r="W37" i="28"/>
  <c r="Y36" i="28"/>
  <c r="X36" i="28"/>
  <c r="W36" i="28"/>
  <c r="Y35" i="28"/>
  <c r="X35" i="28"/>
  <c r="W35" i="28"/>
  <c r="Y34" i="28"/>
  <c r="X34" i="28"/>
  <c r="W34" i="28"/>
  <c r="Y33" i="28"/>
  <c r="X33" i="28"/>
  <c r="W33" i="28"/>
  <c r="Y32" i="28"/>
  <c r="X32" i="28"/>
  <c r="W32" i="28"/>
  <c r="Y31" i="28"/>
  <c r="X31" i="28"/>
  <c r="W31" i="28"/>
  <c r="Y30" i="28"/>
  <c r="X30" i="28"/>
  <c r="W30" i="28"/>
  <c r="Y29" i="28"/>
  <c r="X29" i="28"/>
  <c r="W29" i="28"/>
  <c r="Y28" i="28"/>
  <c r="X28" i="28"/>
  <c r="W28" i="28"/>
  <c r="Y27" i="28"/>
  <c r="X27" i="28"/>
  <c r="W27" i="28"/>
  <c r="Y26" i="28"/>
  <c r="X26" i="28"/>
  <c r="W26" i="28"/>
  <c r="Y25" i="28"/>
  <c r="X25" i="28"/>
  <c r="W25" i="28"/>
  <c r="Y24" i="28"/>
  <c r="X24" i="28"/>
  <c r="W24" i="28"/>
  <c r="Y23" i="28"/>
  <c r="X23" i="28"/>
  <c r="W23" i="28"/>
  <c r="Y22" i="28"/>
  <c r="X22" i="28"/>
  <c r="W22" i="28"/>
  <c r="Y21" i="28"/>
  <c r="X21" i="28"/>
  <c r="W21" i="28"/>
  <c r="Y20" i="28"/>
  <c r="X20" i="28"/>
  <c r="W20" i="28"/>
  <c r="Y19" i="28"/>
  <c r="X19" i="28"/>
  <c r="W19" i="28"/>
  <c r="Y18" i="28"/>
  <c r="X18" i="28"/>
  <c r="W18" i="28"/>
  <c r="Y17" i="28"/>
  <c r="X17" i="28"/>
  <c r="W17" i="28"/>
  <c r="Y16" i="28"/>
  <c r="X16" i="28"/>
  <c r="W16" i="28"/>
  <c r="Y15" i="28"/>
  <c r="X15" i="28"/>
  <c r="W15" i="28"/>
  <c r="Y14" i="28"/>
  <c r="X14" i="28"/>
  <c r="W14" i="28"/>
  <c r="Y13" i="28"/>
  <c r="X13" i="28"/>
  <c r="W13" i="28"/>
  <c r="Y12" i="28"/>
  <c r="X12" i="28"/>
  <c r="W12" i="28"/>
  <c r="Y11" i="28"/>
  <c r="X11" i="28"/>
  <c r="W11" i="28"/>
  <c r="Y10" i="28"/>
  <c r="X10" i="28"/>
  <c r="W10" i="28"/>
  <c r="Y9" i="28"/>
  <c r="X9" i="28"/>
  <c r="W9" i="28"/>
  <c r="Y8" i="28"/>
  <c r="X8" i="28"/>
  <c r="W8" i="28"/>
  <c r="Y7" i="28"/>
  <c r="X7" i="28"/>
  <c r="W7" i="28"/>
  <c r="Y6" i="28"/>
  <c r="X6" i="28"/>
  <c r="W6" i="28"/>
  <c r="Y5" i="28"/>
  <c r="X5" i="28"/>
  <c r="W5" i="28"/>
  <c r="Y4" i="28"/>
  <c r="X4" i="28"/>
  <c r="W4" i="28"/>
  <c r="Y3" i="28"/>
  <c r="X3" i="28"/>
  <c r="W3" i="28"/>
  <c r="Y2" i="28"/>
  <c r="X2" i="28"/>
  <c r="W2" i="28"/>
  <c r="AE335" i="27"/>
  <c r="AD335" i="27"/>
  <c r="AC335" i="27"/>
  <c r="AB335" i="27"/>
  <c r="AA335" i="27"/>
  <c r="Z335" i="27"/>
  <c r="Y335" i="27"/>
  <c r="X335" i="27"/>
  <c r="W335" i="27"/>
  <c r="V335" i="27"/>
  <c r="U335" i="27"/>
  <c r="T335" i="27"/>
  <c r="S335" i="27"/>
  <c r="R335" i="27"/>
  <c r="Q335" i="27"/>
  <c r="P335" i="27"/>
  <c r="O335" i="27"/>
  <c r="N335" i="27"/>
  <c r="M335" i="27"/>
  <c r="L335" i="27"/>
  <c r="K335" i="27"/>
  <c r="J335" i="27"/>
  <c r="I335" i="27"/>
  <c r="AE334" i="27"/>
  <c r="AD334" i="27"/>
  <c r="AC334" i="27"/>
  <c r="AB334" i="27"/>
  <c r="AA334" i="27"/>
  <c r="Z334" i="27"/>
  <c r="Y334" i="27"/>
  <c r="X334" i="27"/>
  <c r="W334" i="27"/>
  <c r="V334" i="27"/>
  <c r="U334" i="27"/>
  <c r="T334" i="27"/>
  <c r="S334" i="27"/>
  <c r="R334" i="27"/>
  <c r="Q334" i="27"/>
  <c r="P334" i="27"/>
  <c r="O334" i="27"/>
  <c r="N334" i="27"/>
  <c r="M334" i="27"/>
  <c r="L334" i="27"/>
  <c r="K334" i="27"/>
  <c r="J334" i="27"/>
  <c r="I334" i="27"/>
  <c r="AE333" i="27"/>
  <c r="AD333" i="27"/>
  <c r="AC333" i="27"/>
  <c r="AB333" i="27"/>
  <c r="AA333" i="27"/>
  <c r="Z333" i="27"/>
  <c r="Y333" i="27"/>
  <c r="X333" i="27"/>
  <c r="W333" i="27"/>
  <c r="V333" i="27"/>
  <c r="U333" i="27"/>
  <c r="T333" i="27"/>
  <c r="S333" i="27"/>
  <c r="R333" i="27"/>
  <c r="Q333" i="27"/>
  <c r="P333" i="27"/>
  <c r="O333" i="27"/>
  <c r="N333" i="27"/>
  <c r="M333" i="27"/>
  <c r="L333" i="27"/>
  <c r="K333" i="27"/>
  <c r="J333" i="27"/>
  <c r="I333" i="27"/>
  <c r="H331" i="27"/>
  <c r="G331" i="27"/>
  <c r="F331" i="27"/>
  <c r="E331" i="27"/>
  <c r="H330" i="27"/>
  <c r="G330" i="27"/>
  <c r="F330" i="27"/>
  <c r="E330" i="27"/>
  <c r="H329" i="27"/>
  <c r="G329" i="27"/>
  <c r="F329" i="27"/>
  <c r="E329" i="27"/>
  <c r="H328" i="27"/>
  <c r="G328" i="27"/>
  <c r="F328" i="27"/>
  <c r="E328" i="27"/>
  <c r="H327" i="27"/>
  <c r="G327" i="27"/>
  <c r="F327" i="27"/>
  <c r="E327" i="27"/>
  <c r="H326" i="27"/>
  <c r="G326" i="27"/>
  <c r="F326" i="27"/>
  <c r="E326" i="27"/>
  <c r="H325" i="27"/>
  <c r="G325" i="27"/>
  <c r="F325" i="27"/>
  <c r="E325" i="27"/>
  <c r="H324" i="27"/>
  <c r="G324" i="27"/>
  <c r="F324" i="27"/>
  <c r="E324" i="27"/>
  <c r="H323" i="27"/>
  <c r="G323" i="27"/>
  <c r="F323" i="27"/>
  <c r="E323" i="27"/>
  <c r="H322" i="27"/>
  <c r="G322" i="27"/>
  <c r="F322" i="27"/>
  <c r="E322" i="27"/>
  <c r="H321" i="27"/>
  <c r="G321" i="27"/>
  <c r="F321" i="27"/>
  <c r="E321" i="27"/>
  <c r="H320" i="27"/>
  <c r="G320" i="27"/>
  <c r="F320" i="27"/>
  <c r="E320" i="27"/>
  <c r="H319" i="27"/>
  <c r="G319" i="27"/>
  <c r="F319" i="27"/>
  <c r="E319" i="27"/>
  <c r="H318" i="27"/>
  <c r="G318" i="27"/>
  <c r="F318" i="27"/>
  <c r="E318" i="27"/>
  <c r="H317" i="27"/>
  <c r="G317" i="27"/>
  <c r="F317" i="27"/>
  <c r="E317" i="27"/>
  <c r="H316" i="27"/>
  <c r="G316" i="27"/>
  <c r="F316" i="27"/>
  <c r="E316" i="27"/>
  <c r="H315" i="27"/>
  <c r="G315" i="27"/>
  <c r="F315" i="27"/>
  <c r="E315" i="27"/>
  <c r="H314" i="27"/>
  <c r="G314" i="27"/>
  <c r="F314" i="27"/>
  <c r="E314" i="27"/>
  <c r="H313" i="27"/>
  <c r="G313" i="27"/>
  <c r="F313" i="27"/>
  <c r="E313" i="27"/>
  <c r="H312" i="27"/>
  <c r="G312" i="27"/>
  <c r="F312" i="27"/>
  <c r="E312" i="27"/>
  <c r="H311" i="27"/>
  <c r="G311" i="27"/>
  <c r="F311" i="27"/>
  <c r="E311" i="27"/>
  <c r="H310" i="27"/>
  <c r="G310" i="27"/>
  <c r="F310" i="27"/>
  <c r="E310" i="27"/>
  <c r="H309" i="27"/>
  <c r="G309" i="27"/>
  <c r="F309" i="27"/>
  <c r="E309" i="27"/>
  <c r="H308" i="27"/>
  <c r="G308" i="27"/>
  <c r="F308" i="27"/>
  <c r="E308" i="27"/>
  <c r="H307" i="27"/>
  <c r="G307" i="27"/>
  <c r="F307" i="27"/>
  <c r="E307" i="27"/>
  <c r="H306" i="27"/>
  <c r="G306" i="27"/>
  <c r="F306" i="27"/>
  <c r="E306" i="27"/>
  <c r="H305" i="27"/>
  <c r="G305" i="27"/>
  <c r="F305" i="27"/>
  <c r="E305" i="27"/>
  <c r="H304" i="27"/>
  <c r="G304" i="27"/>
  <c r="F304" i="27"/>
  <c r="E304" i="27"/>
  <c r="H303" i="27"/>
  <c r="G303" i="27"/>
  <c r="F303" i="27"/>
  <c r="E303" i="27"/>
  <c r="H302" i="27"/>
  <c r="G302" i="27"/>
  <c r="F302" i="27"/>
  <c r="E302" i="27"/>
  <c r="H301" i="27"/>
  <c r="G301" i="27"/>
  <c r="F301" i="27"/>
  <c r="E301" i="27"/>
  <c r="H300" i="27"/>
  <c r="G300" i="27"/>
  <c r="F300" i="27"/>
  <c r="E300" i="27"/>
  <c r="H299" i="27"/>
  <c r="G299" i="27"/>
  <c r="F299" i="27"/>
  <c r="E299" i="27"/>
  <c r="H298" i="27"/>
  <c r="G298" i="27"/>
  <c r="F298" i="27"/>
  <c r="E298" i="27"/>
  <c r="H297" i="27"/>
  <c r="G297" i="27"/>
  <c r="F297" i="27"/>
  <c r="E297" i="27"/>
  <c r="H296" i="27"/>
  <c r="G296" i="27"/>
  <c r="F296" i="27"/>
  <c r="E296" i="27"/>
  <c r="H295" i="27"/>
  <c r="G295" i="27"/>
  <c r="F295" i="27"/>
  <c r="E295" i="27"/>
  <c r="H294" i="27"/>
  <c r="G294" i="27"/>
  <c r="F294" i="27"/>
  <c r="E294" i="27"/>
  <c r="H293" i="27"/>
  <c r="G293" i="27"/>
  <c r="F293" i="27"/>
  <c r="E293" i="27"/>
  <c r="H292" i="27"/>
  <c r="G292" i="27"/>
  <c r="F292" i="27"/>
  <c r="E292" i="27"/>
  <c r="H291" i="27"/>
  <c r="G291" i="27"/>
  <c r="F291" i="27"/>
  <c r="E291" i="27"/>
  <c r="H290" i="27"/>
  <c r="G290" i="27"/>
  <c r="F290" i="27"/>
  <c r="E290" i="27"/>
  <c r="H289" i="27"/>
  <c r="G289" i="27"/>
  <c r="F289" i="27"/>
  <c r="E289" i="27"/>
  <c r="H288" i="27"/>
  <c r="G288" i="27"/>
  <c r="F288" i="27"/>
  <c r="E288" i="27"/>
  <c r="H287" i="27"/>
  <c r="G287" i="27"/>
  <c r="F287" i="27"/>
  <c r="E287" i="27"/>
  <c r="H286" i="27"/>
  <c r="G286" i="27"/>
  <c r="F286" i="27"/>
  <c r="E286" i="27"/>
  <c r="H285" i="27"/>
  <c r="G285" i="27"/>
  <c r="F285" i="27"/>
  <c r="E285" i="27"/>
  <c r="H284" i="27"/>
  <c r="G284" i="27"/>
  <c r="F284" i="27"/>
  <c r="E284" i="27"/>
  <c r="H283" i="27"/>
  <c r="G283" i="27"/>
  <c r="F283" i="27"/>
  <c r="E283" i="27"/>
  <c r="H282" i="27"/>
  <c r="G282" i="27"/>
  <c r="F282" i="27"/>
  <c r="E282" i="27"/>
  <c r="H281" i="27"/>
  <c r="G281" i="27"/>
  <c r="F281" i="27"/>
  <c r="E281" i="27"/>
  <c r="H280" i="27"/>
  <c r="G280" i="27"/>
  <c r="F280" i="27"/>
  <c r="E280" i="27"/>
  <c r="H279" i="27"/>
  <c r="G279" i="27"/>
  <c r="F279" i="27"/>
  <c r="E279" i="27"/>
  <c r="H278" i="27"/>
  <c r="G278" i="27"/>
  <c r="F278" i="27"/>
  <c r="E278" i="27"/>
  <c r="H277" i="27"/>
  <c r="G277" i="27"/>
  <c r="F277" i="27"/>
  <c r="E277" i="27"/>
  <c r="H276" i="27"/>
  <c r="G276" i="27"/>
  <c r="F276" i="27"/>
  <c r="E276" i="27"/>
  <c r="H275" i="27"/>
  <c r="G275" i="27"/>
  <c r="F275" i="27"/>
  <c r="E275" i="27"/>
  <c r="H274" i="27"/>
  <c r="G274" i="27"/>
  <c r="F274" i="27"/>
  <c r="E274" i="27"/>
  <c r="H273" i="27"/>
  <c r="G273" i="27"/>
  <c r="F273" i="27"/>
  <c r="E273" i="27"/>
  <c r="H272" i="27"/>
  <c r="G272" i="27"/>
  <c r="F272" i="27"/>
  <c r="E272" i="27"/>
  <c r="H271" i="27"/>
  <c r="G271" i="27"/>
  <c r="F271" i="27"/>
  <c r="E271" i="27"/>
  <c r="H270" i="27"/>
  <c r="G270" i="27"/>
  <c r="F270" i="27"/>
  <c r="E270" i="27"/>
  <c r="H269" i="27"/>
  <c r="G269" i="27"/>
  <c r="F269" i="27"/>
  <c r="E269" i="27"/>
  <c r="H268" i="27"/>
  <c r="G268" i="27"/>
  <c r="F268" i="27"/>
  <c r="E268" i="27"/>
  <c r="H267" i="27"/>
  <c r="G267" i="27"/>
  <c r="F267" i="27"/>
  <c r="E267" i="27"/>
  <c r="H266" i="27"/>
  <c r="G266" i="27"/>
  <c r="F266" i="27"/>
  <c r="E266" i="27"/>
  <c r="H265" i="27"/>
  <c r="G265" i="27"/>
  <c r="F265" i="27"/>
  <c r="E265" i="27"/>
  <c r="H264" i="27"/>
  <c r="G264" i="27"/>
  <c r="F264" i="27"/>
  <c r="E264" i="27"/>
  <c r="H263" i="27"/>
  <c r="G263" i="27"/>
  <c r="F263" i="27"/>
  <c r="E263" i="27"/>
  <c r="H262" i="27"/>
  <c r="G262" i="27"/>
  <c r="F262" i="27"/>
  <c r="E262" i="27"/>
  <c r="H261" i="27"/>
  <c r="G261" i="27"/>
  <c r="F261" i="27"/>
  <c r="E261" i="27"/>
  <c r="H260" i="27"/>
  <c r="G260" i="27"/>
  <c r="F260" i="27"/>
  <c r="E260" i="27"/>
  <c r="H259" i="27"/>
  <c r="G259" i="27"/>
  <c r="F259" i="27"/>
  <c r="E259" i="27"/>
  <c r="H258" i="27"/>
  <c r="G258" i="27"/>
  <c r="F258" i="27"/>
  <c r="E258" i="27"/>
  <c r="H257" i="27"/>
  <c r="G257" i="27"/>
  <c r="F257" i="27"/>
  <c r="E257" i="27"/>
  <c r="H256" i="27"/>
  <c r="G256" i="27"/>
  <c r="F256" i="27"/>
  <c r="E256" i="27"/>
  <c r="H255" i="27"/>
  <c r="G255" i="27"/>
  <c r="F255" i="27"/>
  <c r="E255" i="27"/>
  <c r="H254" i="27"/>
  <c r="G254" i="27"/>
  <c r="F254" i="27"/>
  <c r="E254" i="27"/>
  <c r="H253" i="27"/>
  <c r="G253" i="27"/>
  <c r="F253" i="27"/>
  <c r="E253" i="27"/>
  <c r="H252" i="27"/>
  <c r="G252" i="27"/>
  <c r="F252" i="27"/>
  <c r="E252" i="27"/>
  <c r="H251" i="27"/>
  <c r="G251" i="27"/>
  <c r="F251" i="27"/>
  <c r="E251" i="27"/>
  <c r="H250" i="27"/>
  <c r="G250" i="27"/>
  <c r="F250" i="27"/>
  <c r="E250" i="27"/>
  <c r="H249" i="27"/>
  <c r="G249" i="27"/>
  <c r="F249" i="27"/>
  <c r="E249" i="27"/>
  <c r="H248" i="27"/>
  <c r="G248" i="27"/>
  <c r="F248" i="27"/>
  <c r="E248" i="27"/>
  <c r="H247" i="27"/>
  <c r="G247" i="27"/>
  <c r="F247" i="27"/>
  <c r="E247" i="27"/>
  <c r="H246" i="27"/>
  <c r="G246" i="27"/>
  <c r="F246" i="27"/>
  <c r="E246" i="27"/>
  <c r="H245" i="27"/>
  <c r="G245" i="27"/>
  <c r="F245" i="27"/>
  <c r="E245" i="27"/>
  <c r="H244" i="27"/>
  <c r="G244" i="27"/>
  <c r="F244" i="27"/>
  <c r="E244" i="27"/>
  <c r="H243" i="27"/>
  <c r="G243" i="27"/>
  <c r="F243" i="27"/>
  <c r="E243" i="27"/>
  <c r="H242" i="27"/>
  <c r="G242" i="27"/>
  <c r="F242" i="27"/>
  <c r="E242" i="27"/>
  <c r="H241" i="27"/>
  <c r="G241" i="27"/>
  <c r="F241" i="27"/>
  <c r="E241" i="27"/>
  <c r="H240" i="27"/>
  <c r="G240" i="27"/>
  <c r="F240" i="27"/>
  <c r="E240" i="27"/>
  <c r="H239" i="27"/>
  <c r="G239" i="27"/>
  <c r="F239" i="27"/>
  <c r="E239" i="27"/>
  <c r="H238" i="27"/>
  <c r="G238" i="27"/>
  <c r="F238" i="27"/>
  <c r="E238" i="27"/>
  <c r="H237" i="27"/>
  <c r="G237" i="27"/>
  <c r="F237" i="27"/>
  <c r="E237" i="27"/>
  <c r="H236" i="27"/>
  <c r="G236" i="27"/>
  <c r="F236" i="27"/>
  <c r="E236" i="27"/>
  <c r="H235" i="27"/>
  <c r="G235" i="27"/>
  <c r="F235" i="27"/>
  <c r="E235" i="27"/>
  <c r="H234" i="27"/>
  <c r="G234" i="27"/>
  <c r="F234" i="27"/>
  <c r="E234" i="27"/>
  <c r="H233" i="27"/>
  <c r="G233" i="27"/>
  <c r="F233" i="27"/>
  <c r="E233" i="27"/>
  <c r="H232" i="27"/>
  <c r="G232" i="27"/>
  <c r="F232" i="27"/>
  <c r="E232" i="27"/>
  <c r="H231" i="27"/>
  <c r="G231" i="27"/>
  <c r="F231" i="27"/>
  <c r="E231" i="27"/>
  <c r="H230" i="27"/>
  <c r="G230" i="27"/>
  <c r="F230" i="27"/>
  <c r="E230" i="27"/>
  <c r="H229" i="27"/>
  <c r="G229" i="27"/>
  <c r="F229" i="27"/>
  <c r="E229" i="27"/>
  <c r="H228" i="27"/>
  <c r="G228" i="27"/>
  <c r="F228" i="27"/>
  <c r="E228" i="27"/>
  <c r="H227" i="27"/>
  <c r="G227" i="27"/>
  <c r="F227" i="27"/>
  <c r="E227" i="27"/>
  <c r="H226" i="27"/>
  <c r="G226" i="27"/>
  <c r="F226" i="27"/>
  <c r="E226" i="27"/>
  <c r="H225" i="27"/>
  <c r="G225" i="27"/>
  <c r="F225" i="27"/>
  <c r="E225" i="27"/>
  <c r="H224" i="27"/>
  <c r="G224" i="27"/>
  <c r="F224" i="27"/>
  <c r="E224" i="27"/>
  <c r="H223" i="27"/>
  <c r="G223" i="27"/>
  <c r="F223" i="27"/>
  <c r="E223" i="27"/>
  <c r="H222" i="27"/>
  <c r="G222" i="27"/>
  <c r="F222" i="27"/>
  <c r="E222" i="27"/>
  <c r="H221" i="27"/>
  <c r="G221" i="27"/>
  <c r="F221" i="27"/>
  <c r="E221" i="27"/>
  <c r="H220" i="27"/>
  <c r="G220" i="27"/>
  <c r="F220" i="27"/>
  <c r="E220" i="27"/>
  <c r="H219" i="27"/>
  <c r="G219" i="27"/>
  <c r="F219" i="27"/>
  <c r="E219" i="27"/>
  <c r="H218" i="27"/>
  <c r="G218" i="27"/>
  <c r="F218" i="27"/>
  <c r="E218" i="27"/>
  <c r="H217" i="27"/>
  <c r="G217" i="27"/>
  <c r="F217" i="27"/>
  <c r="E217" i="27"/>
  <c r="H216" i="27"/>
  <c r="G216" i="27"/>
  <c r="F216" i="27"/>
  <c r="E216" i="27"/>
  <c r="H215" i="27"/>
  <c r="G215" i="27"/>
  <c r="F215" i="27"/>
  <c r="E215" i="27"/>
  <c r="H214" i="27"/>
  <c r="G214" i="27"/>
  <c r="F214" i="27"/>
  <c r="E214" i="27"/>
  <c r="H213" i="27"/>
  <c r="G213" i="27"/>
  <c r="F213" i="27"/>
  <c r="E213" i="27"/>
  <c r="H212" i="27"/>
  <c r="G212" i="27"/>
  <c r="F212" i="27"/>
  <c r="E212" i="27"/>
  <c r="H211" i="27"/>
  <c r="G211" i="27"/>
  <c r="F211" i="27"/>
  <c r="E211" i="27"/>
  <c r="H210" i="27"/>
  <c r="G210" i="27"/>
  <c r="F210" i="27"/>
  <c r="E210" i="27"/>
  <c r="H209" i="27"/>
  <c r="G209" i="27"/>
  <c r="F209" i="27"/>
  <c r="E209" i="27"/>
  <c r="H208" i="27"/>
  <c r="G208" i="27"/>
  <c r="F208" i="27"/>
  <c r="E208" i="27"/>
  <c r="H207" i="27"/>
  <c r="G207" i="27"/>
  <c r="F207" i="27"/>
  <c r="E207" i="27"/>
  <c r="H206" i="27"/>
  <c r="G206" i="27"/>
  <c r="F206" i="27"/>
  <c r="E206" i="27"/>
  <c r="H205" i="27"/>
  <c r="G205" i="27"/>
  <c r="F205" i="27"/>
  <c r="E205" i="27"/>
  <c r="H204" i="27"/>
  <c r="G204" i="27"/>
  <c r="F204" i="27"/>
  <c r="E204" i="27"/>
  <c r="H203" i="27"/>
  <c r="G203" i="27"/>
  <c r="F203" i="27"/>
  <c r="E203" i="27"/>
  <c r="H202" i="27"/>
  <c r="G202" i="27"/>
  <c r="F202" i="27"/>
  <c r="E202" i="27"/>
  <c r="H201" i="27"/>
  <c r="G201" i="27"/>
  <c r="F201" i="27"/>
  <c r="E201" i="27"/>
  <c r="H200" i="27"/>
  <c r="G200" i="27"/>
  <c r="F200" i="27"/>
  <c r="E200" i="27"/>
  <c r="H199" i="27"/>
  <c r="G199" i="27"/>
  <c r="F199" i="27"/>
  <c r="E199" i="27"/>
  <c r="H198" i="27"/>
  <c r="G198" i="27"/>
  <c r="F198" i="27"/>
  <c r="E198" i="27"/>
  <c r="H197" i="27"/>
  <c r="G197" i="27"/>
  <c r="F197" i="27"/>
  <c r="E197" i="27"/>
  <c r="H196" i="27"/>
  <c r="G196" i="27"/>
  <c r="F196" i="27"/>
  <c r="E196" i="27"/>
  <c r="H195" i="27"/>
  <c r="G195" i="27"/>
  <c r="F195" i="27"/>
  <c r="E195" i="27"/>
  <c r="H194" i="27"/>
  <c r="G194" i="27"/>
  <c r="F194" i="27"/>
  <c r="E194" i="27"/>
  <c r="H193" i="27"/>
  <c r="G193" i="27"/>
  <c r="F193" i="27"/>
  <c r="E193" i="27"/>
  <c r="H192" i="27"/>
  <c r="G192" i="27"/>
  <c r="F192" i="27"/>
  <c r="E192" i="27"/>
  <c r="H191" i="27"/>
  <c r="G191" i="27"/>
  <c r="F191" i="27"/>
  <c r="E191" i="27"/>
  <c r="H190" i="27"/>
  <c r="G190" i="27"/>
  <c r="F190" i="27"/>
  <c r="E190" i="27"/>
  <c r="H189" i="27"/>
  <c r="G189" i="27"/>
  <c r="F189" i="27"/>
  <c r="E189" i="27"/>
  <c r="H188" i="27"/>
  <c r="G188" i="27"/>
  <c r="F188" i="27"/>
  <c r="E188" i="27"/>
  <c r="H187" i="27"/>
  <c r="G187" i="27"/>
  <c r="F187" i="27"/>
  <c r="E187" i="27"/>
  <c r="H186" i="27"/>
  <c r="G186" i="27"/>
  <c r="F186" i="27"/>
  <c r="E186" i="27"/>
  <c r="H185" i="27"/>
  <c r="G185" i="27"/>
  <c r="F185" i="27"/>
  <c r="E185" i="27"/>
  <c r="H184" i="27"/>
  <c r="G184" i="27"/>
  <c r="F184" i="27"/>
  <c r="E184" i="27"/>
  <c r="H183" i="27"/>
  <c r="G183" i="27"/>
  <c r="F183" i="27"/>
  <c r="E183" i="27"/>
  <c r="H182" i="27"/>
  <c r="G182" i="27"/>
  <c r="F182" i="27"/>
  <c r="E182" i="27"/>
  <c r="H181" i="27"/>
  <c r="G181" i="27"/>
  <c r="F181" i="27"/>
  <c r="E181" i="27"/>
  <c r="H180" i="27"/>
  <c r="G180" i="27"/>
  <c r="F180" i="27"/>
  <c r="E180" i="27"/>
  <c r="H179" i="27"/>
  <c r="G179" i="27"/>
  <c r="F179" i="27"/>
  <c r="E179" i="27"/>
  <c r="H178" i="27"/>
  <c r="G178" i="27"/>
  <c r="F178" i="27"/>
  <c r="E178" i="27"/>
  <c r="H177" i="27"/>
  <c r="G177" i="27"/>
  <c r="F177" i="27"/>
  <c r="E177" i="27"/>
  <c r="H176" i="27"/>
  <c r="G176" i="27"/>
  <c r="F176" i="27"/>
  <c r="E176" i="27"/>
  <c r="H175" i="27"/>
  <c r="G175" i="27"/>
  <c r="F175" i="27"/>
  <c r="E175" i="27"/>
  <c r="H174" i="27"/>
  <c r="G174" i="27"/>
  <c r="F174" i="27"/>
  <c r="E174" i="27"/>
  <c r="H173" i="27"/>
  <c r="G173" i="27"/>
  <c r="F173" i="27"/>
  <c r="E173" i="27"/>
  <c r="H172" i="27"/>
  <c r="G172" i="27"/>
  <c r="F172" i="27"/>
  <c r="E172" i="27"/>
  <c r="H171" i="27"/>
  <c r="G171" i="27"/>
  <c r="F171" i="27"/>
  <c r="E171" i="27"/>
  <c r="H170" i="27"/>
  <c r="G170" i="27"/>
  <c r="F170" i="27"/>
  <c r="E170" i="27"/>
  <c r="H169" i="27"/>
  <c r="G169" i="27"/>
  <c r="F169" i="27"/>
  <c r="E169" i="27"/>
  <c r="H168" i="27"/>
  <c r="G168" i="27"/>
  <c r="F168" i="27"/>
  <c r="E168" i="27"/>
  <c r="H167" i="27"/>
  <c r="G167" i="27"/>
  <c r="F167" i="27"/>
  <c r="E167" i="27"/>
  <c r="H166" i="27"/>
  <c r="G166" i="27"/>
  <c r="F166" i="27"/>
  <c r="E166" i="27"/>
  <c r="H165" i="27"/>
  <c r="G165" i="27"/>
  <c r="F165" i="27"/>
  <c r="E165" i="27"/>
  <c r="H164" i="27"/>
  <c r="G164" i="27"/>
  <c r="F164" i="27"/>
  <c r="E164" i="27"/>
  <c r="H163" i="27"/>
  <c r="G163" i="27"/>
  <c r="F163" i="27"/>
  <c r="E163" i="27"/>
  <c r="H162" i="27"/>
  <c r="G162" i="27"/>
  <c r="F162" i="27"/>
  <c r="E162" i="27"/>
  <c r="H161" i="27"/>
  <c r="G161" i="27"/>
  <c r="F161" i="27"/>
  <c r="E161" i="27"/>
  <c r="H160" i="27"/>
  <c r="G160" i="27"/>
  <c r="F160" i="27"/>
  <c r="E160" i="27"/>
  <c r="H159" i="27"/>
  <c r="G159" i="27"/>
  <c r="F159" i="27"/>
  <c r="E159" i="27"/>
  <c r="H158" i="27"/>
  <c r="G158" i="27"/>
  <c r="F158" i="27"/>
  <c r="E158" i="27"/>
  <c r="H157" i="27"/>
  <c r="G157" i="27"/>
  <c r="F157" i="27"/>
  <c r="E157" i="27"/>
  <c r="H156" i="27"/>
  <c r="G156" i="27"/>
  <c r="F156" i="27"/>
  <c r="E156" i="27"/>
  <c r="H155" i="27"/>
  <c r="G155" i="27"/>
  <c r="F155" i="27"/>
  <c r="E155" i="27"/>
  <c r="H154" i="27"/>
  <c r="G154" i="27"/>
  <c r="F154" i="27"/>
  <c r="E154" i="27"/>
  <c r="H153" i="27"/>
  <c r="G153" i="27"/>
  <c r="F153" i="27"/>
  <c r="E153" i="27"/>
  <c r="H152" i="27"/>
  <c r="G152" i="27"/>
  <c r="F152" i="27"/>
  <c r="E152" i="27"/>
  <c r="H151" i="27"/>
  <c r="G151" i="27"/>
  <c r="F151" i="27"/>
  <c r="E151" i="27"/>
  <c r="H150" i="27"/>
  <c r="G150" i="27"/>
  <c r="F150" i="27"/>
  <c r="E150" i="27"/>
  <c r="H149" i="27"/>
  <c r="G149" i="27"/>
  <c r="F149" i="27"/>
  <c r="E149" i="27"/>
  <c r="H148" i="27"/>
  <c r="G148" i="27"/>
  <c r="F148" i="27"/>
  <c r="E148" i="27"/>
  <c r="H147" i="27"/>
  <c r="G147" i="27"/>
  <c r="F147" i="27"/>
  <c r="E147" i="27"/>
  <c r="H146" i="27"/>
  <c r="G146" i="27"/>
  <c r="F146" i="27"/>
  <c r="E146" i="27"/>
  <c r="H145" i="27"/>
  <c r="G145" i="27"/>
  <c r="F145" i="27"/>
  <c r="E145" i="27"/>
  <c r="H144" i="27"/>
  <c r="G144" i="27"/>
  <c r="F144" i="27"/>
  <c r="E144" i="27"/>
  <c r="H143" i="27"/>
  <c r="G143" i="27"/>
  <c r="F143" i="27"/>
  <c r="E143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H129" i="27"/>
  <c r="G129" i="27"/>
  <c r="F129" i="27"/>
  <c r="E129" i="27"/>
  <c r="H128" i="27"/>
  <c r="G128" i="27"/>
  <c r="F128" i="27"/>
  <c r="E128" i="27"/>
  <c r="H127" i="27"/>
  <c r="G127" i="27"/>
  <c r="F127" i="27"/>
  <c r="E127" i="27"/>
  <c r="H126" i="27"/>
  <c r="G126" i="27"/>
  <c r="F126" i="27"/>
  <c r="E126" i="27"/>
  <c r="H125" i="27"/>
  <c r="G125" i="27"/>
  <c r="F125" i="27"/>
  <c r="E125" i="27"/>
  <c r="H124" i="27"/>
  <c r="G124" i="27"/>
  <c r="F124" i="27"/>
  <c r="E124" i="27"/>
  <c r="H123" i="27"/>
  <c r="G123" i="27"/>
  <c r="F123" i="27"/>
  <c r="E123" i="27"/>
  <c r="H122" i="27"/>
  <c r="G122" i="27"/>
  <c r="F122" i="27"/>
  <c r="E122" i="27"/>
  <c r="H121" i="27"/>
  <c r="G121" i="27"/>
  <c r="F121" i="27"/>
  <c r="E121" i="27"/>
  <c r="H120" i="27"/>
  <c r="G120" i="27"/>
  <c r="F120" i="27"/>
  <c r="E120" i="27"/>
  <c r="H119" i="27"/>
  <c r="G119" i="27"/>
  <c r="F119" i="27"/>
  <c r="E119" i="27"/>
  <c r="H118" i="27"/>
  <c r="G118" i="27"/>
  <c r="F118" i="27"/>
  <c r="E118" i="27"/>
  <c r="H117" i="27"/>
  <c r="G117" i="27"/>
  <c r="F117" i="27"/>
  <c r="E117" i="27"/>
  <c r="H116" i="27"/>
  <c r="G116" i="27"/>
  <c r="F116" i="27"/>
  <c r="E116" i="27"/>
  <c r="H115" i="27"/>
  <c r="G115" i="27"/>
  <c r="F115" i="27"/>
  <c r="E115" i="27"/>
  <c r="H114" i="27"/>
  <c r="G114" i="27"/>
  <c r="F114" i="27"/>
  <c r="E114" i="27"/>
  <c r="H113" i="27"/>
  <c r="G113" i="27"/>
  <c r="F113" i="27"/>
  <c r="E113" i="27"/>
  <c r="H112" i="27"/>
  <c r="G112" i="27"/>
  <c r="F112" i="27"/>
  <c r="E112" i="27"/>
  <c r="H111" i="27"/>
  <c r="G111" i="27"/>
  <c r="F111" i="27"/>
  <c r="E111" i="27"/>
  <c r="H110" i="27"/>
  <c r="G110" i="27"/>
  <c r="F110" i="27"/>
  <c r="E110" i="27"/>
  <c r="H109" i="27"/>
  <c r="G109" i="27"/>
  <c r="F109" i="27"/>
  <c r="E109" i="27"/>
  <c r="H108" i="27"/>
  <c r="G108" i="27"/>
  <c r="F108" i="27"/>
  <c r="E108" i="27"/>
  <c r="H107" i="27"/>
  <c r="G107" i="27"/>
  <c r="F107" i="27"/>
  <c r="E107" i="27"/>
  <c r="H106" i="27"/>
  <c r="G106" i="27"/>
  <c r="F106" i="27"/>
  <c r="E106" i="27"/>
  <c r="H105" i="27"/>
  <c r="G105" i="27"/>
  <c r="F105" i="27"/>
  <c r="E105" i="27"/>
  <c r="H104" i="27"/>
  <c r="G104" i="27"/>
  <c r="F104" i="27"/>
  <c r="E104" i="27"/>
  <c r="H103" i="27"/>
  <c r="G103" i="27"/>
  <c r="F103" i="27"/>
  <c r="E103" i="27"/>
  <c r="H102" i="27"/>
  <c r="G102" i="27"/>
  <c r="F102" i="27"/>
  <c r="E102" i="27"/>
  <c r="H101" i="27"/>
  <c r="G101" i="27"/>
  <c r="F101" i="27"/>
  <c r="E101" i="27"/>
  <c r="H100" i="27"/>
  <c r="G100" i="27"/>
  <c r="F100" i="27"/>
  <c r="E100" i="27"/>
  <c r="H99" i="27"/>
  <c r="G99" i="27"/>
  <c r="F99" i="27"/>
  <c r="E99" i="27"/>
  <c r="H98" i="27"/>
  <c r="G98" i="27"/>
  <c r="F98" i="27"/>
  <c r="E98" i="27"/>
  <c r="H97" i="27"/>
  <c r="G97" i="27"/>
  <c r="F97" i="27"/>
  <c r="E97" i="27"/>
  <c r="H96" i="27"/>
  <c r="G96" i="27"/>
  <c r="F96" i="27"/>
  <c r="E96" i="27"/>
  <c r="H95" i="27"/>
  <c r="G95" i="27"/>
  <c r="F95" i="27"/>
  <c r="E95" i="27"/>
  <c r="H94" i="27"/>
  <c r="G94" i="27"/>
  <c r="F94" i="27"/>
  <c r="E94" i="27"/>
  <c r="H93" i="27"/>
  <c r="G93" i="27"/>
  <c r="F93" i="27"/>
  <c r="E93" i="27"/>
  <c r="H92" i="27"/>
  <c r="G92" i="27"/>
  <c r="F92" i="27"/>
  <c r="E92" i="27"/>
  <c r="H91" i="27"/>
  <c r="G91" i="27"/>
  <c r="F91" i="27"/>
  <c r="E91" i="27"/>
  <c r="H90" i="27"/>
  <c r="G90" i="27"/>
  <c r="F90" i="27"/>
  <c r="E90" i="27"/>
  <c r="H89" i="27"/>
  <c r="G89" i="27"/>
  <c r="F89" i="27"/>
  <c r="E89" i="27"/>
  <c r="H88" i="27"/>
  <c r="G88" i="27"/>
  <c r="F88" i="27"/>
  <c r="E88" i="27"/>
  <c r="H87" i="27"/>
  <c r="G87" i="27"/>
  <c r="F87" i="27"/>
  <c r="E87" i="27"/>
  <c r="H86" i="27"/>
  <c r="G86" i="27"/>
  <c r="F86" i="27"/>
  <c r="E86" i="27"/>
  <c r="H85" i="27"/>
  <c r="G85" i="27"/>
  <c r="F85" i="27"/>
  <c r="E85" i="27"/>
  <c r="H84" i="27"/>
  <c r="G84" i="27"/>
  <c r="F84" i="27"/>
  <c r="E84" i="27"/>
  <c r="H83" i="27"/>
  <c r="G83" i="27"/>
  <c r="F83" i="27"/>
  <c r="E83" i="27"/>
  <c r="H82" i="27"/>
  <c r="G82" i="27"/>
  <c r="F82" i="27"/>
  <c r="E8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H75" i="27"/>
  <c r="G75" i="27"/>
  <c r="F75" i="27"/>
  <c r="E75" i="27"/>
  <c r="H74" i="27"/>
  <c r="G74" i="27"/>
  <c r="F74" i="27"/>
  <c r="E74" i="27"/>
  <c r="H73" i="27"/>
  <c r="G73" i="27"/>
  <c r="F73" i="27"/>
  <c r="E73" i="27"/>
  <c r="H72" i="27"/>
  <c r="G72" i="27"/>
  <c r="F72" i="27"/>
  <c r="E72" i="27"/>
  <c r="H71" i="27"/>
  <c r="G71" i="27"/>
  <c r="F71" i="27"/>
  <c r="E71" i="27"/>
  <c r="H70" i="27"/>
  <c r="G70" i="27"/>
  <c r="F70" i="27"/>
  <c r="E70" i="27"/>
  <c r="H69" i="27"/>
  <c r="G69" i="27"/>
  <c r="F69" i="27"/>
  <c r="E69" i="27"/>
  <c r="H68" i="27"/>
  <c r="G68" i="27"/>
  <c r="F68" i="27"/>
  <c r="E68" i="27"/>
  <c r="H67" i="27"/>
  <c r="G67" i="27"/>
  <c r="F67" i="27"/>
  <c r="E67" i="27"/>
  <c r="H66" i="27"/>
  <c r="G66" i="27"/>
  <c r="F66" i="27"/>
  <c r="E66" i="27"/>
  <c r="H65" i="27"/>
  <c r="G65" i="27"/>
  <c r="F65" i="27"/>
  <c r="E65" i="27"/>
  <c r="H64" i="27"/>
  <c r="G64" i="27"/>
  <c r="F64" i="27"/>
  <c r="E64" i="27"/>
  <c r="H63" i="27"/>
  <c r="G63" i="27"/>
  <c r="F63" i="27"/>
  <c r="E63" i="27"/>
  <c r="H62" i="27"/>
  <c r="G62" i="27"/>
  <c r="F62" i="27"/>
  <c r="E62" i="27"/>
  <c r="H61" i="27"/>
  <c r="G61" i="27"/>
  <c r="F61" i="27"/>
  <c r="E61" i="27"/>
  <c r="H60" i="27"/>
  <c r="G60" i="27"/>
  <c r="F60" i="27"/>
  <c r="E60" i="27"/>
  <c r="H59" i="27"/>
  <c r="G59" i="27"/>
  <c r="F59" i="27"/>
  <c r="E59" i="27"/>
  <c r="H58" i="27"/>
  <c r="G58" i="27"/>
  <c r="F58" i="27"/>
  <c r="E58" i="27"/>
  <c r="H57" i="27"/>
  <c r="G57" i="27"/>
  <c r="F57" i="27"/>
  <c r="E57" i="27"/>
  <c r="H56" i="27"/>
  <c r="G56" i="27"/>
  <c r="F56" i="27"/>
  <c r="E56" i="27"/>
  <c r="H55" i="27"/>
  <c r="G55" i="27"/>
  <c r="F55" i="27"/>
  <c r="E55" i="27"/>
  <c r="H54" i="27"/>
  <c r="G54" i="27"/>
  <c r="F54" i="27"/>
  <c r="E54" i="27"/>
  <c r="H53" i="27"/>
  <c r="G53" i="27"/>
  <c r="F53" i="27"/>
  <c r="E53" i="27"/>
  <c r="H52" i="27"/>
  <c r="G52" i="27"/>
  <c r="F52" i="27"/>
  <c r="E52" i="27"/>
  <c r="H51" i="27"/>
  <c r="G51" i="27"/>
  <c r="F51" i="27"/>
  <c r="E51" i="27"/>
  <c r="H50" i="27"/>
  <c r="G50" i="27"/>
  <c r="F50" i="27"/>
  <c r="E50" i="27"/>
  <c r="H49" i="27"/>
  <c r="G49" i="27"/>
  <c r="F49" i="27"/>
  <c r="E49" i="27"/>
  <c r="H48" i="27"/>
  <c r="G48" i="27"/>
  <c r="F48" i="27"/>
  <c r="E48" i="27"/>
  <c r="H47" i="27"/>
  <c r="G47" i="27"/>
  <c r="F47" i="27"/>
  <c r="E47" i="27"/>
  <c r="H46" i="27"/>
  <c r="G46" i="27"/>
  <c r="F46" i="27"/>
  <c r="E46" i="27"/>
  <c r="H45" i="27"/>
  <c r="G45" i="27"/>
  <c r="F45" i="27"/>
  <c r="E45" i="27"/>
  <c r="H44" i="27"/>
  <c r="G44" i="27"/>
  <c r="F44" i="27"/>
  <c r="E44" i="27"/>
  <c r="H43" i="27"/>
  <c r="G43" i="27"/>
  <c r="F43" i="27"/>
  <c r="E43" i="27"/>
  <c r="H42" i="27"/>
  <c r="G42" i="27"/>
  <c r="F42" i="27"/>
  <c r="E42" i="27"/>
  <c r="H41" i="27"/>
  <c r="G41" i="27"/>
  <c r="F41" i="27"/>
  <c r="E41" i="27"/>
  <c r="H40" i="27"/>
  <c r="G40" i="27"/>
  <c r="F40" i="27"/>
  <c r="E40" i="27"/>
  <c r="H39" i="27"/>
  <c r="G39" i="27"/>
  <c r="F39" i="27"/>
  <c r="E39" i="27"/>
  <c r="H38" i="27"/>
  <c r="G38" i="27"/>
  <c r="F38" i="27"/>
  <c r="E38" i="27"/>
  <c r="H37" i="27"/>
  <c r="G37" i="27"/>
  <c r="F37" i="27"/>
  <c r="E37" i="27"/>
  <c r="H36" i="27"/>
  <c r="G36" i="27"/>
  <c r="F36" i="27"/>
  <c r="E36" i="27"/>
  <c r="H35" i="27"/>
  <c r="G35" i="27"/>
  <c r="F35" i="27"/>
  <c r="E35" i="27"/>
  <c r="H34" i="27"/>
  <c r="G34" i="27"/>
  <c r="F34" i="27"/>
  <c r="E34" i="27"/>
  <c r="H33" i="27"/>
  <c r="G33" i="27"/>
  <c r="F33" i="27"/>
  <c r="E33" i="27"/>
  <c r="H32" i="27"/>
  <c r="G32" i="27"/>
  <c r="F32" i="27"/>
  <c r="E32" i="27"/>
  <c r="H31" i="27"/>
  <c r="G31" i="27"/>
  <c r="F31" i="27"/>
  <c r="E31" i="27"/>
  <c r="H30" i="27"/>
  <c r="G30" i="27"/>
  <c r="F30" i="27"/>
  <c r="E30" i="27"/>
  <c r="H29" i="27"/>
  <c r="G29" i="27"/>
  <c r="F29" i="27"/>
  <c r="E29" i="27"/>
  <c r="H28" i="27"/>
  <c r="G28" i="27"/>
  <c r="F28" i="27"/>
  <c r="E28" i="27"/>
  <c r="H27" i="27"/>
  <c r="G27" i="27"/>
  <c r="F27" i="27"/>
  <c r="E27" i="27"/>
  <c r="H26" i="27"/>
  <c r="G26" i="27"/>
  <c r="F26" i="27"/>
  <c r="E26" i="27"/>
  <c r="H25" i="27"/>
  <c r="G25" i="27"/>
  <c r="F25" i="27"/>
  <c r="E25" i="27"/>
  <c r="H24" i="27"/>
  <c r="G24" i="27"/>
  <c r="F24" i="27"/>
  <c r="E24" i="27"/>
  <c r="H23" i="27"/>
  <c r="G23" i="27"/>
  <c r="F23" i="27"/>
  <c r="E23" i="27"/>
  <c r="H22" i="27"/>
  <c r="G22" i="27"/>
  <c r="F22" i="27"/>
  <c r="E22" i="27"/>
  <c r="H21" i="27"/>
  <c r="G21" i="27"/>
  <c r="F21" i="27"/>
  <c r="E21" i="27"/>
  <c r="H20" i="27"/>
  <c r="G20" i="27"/>
  <c r="F20" i="27"/>
  <c r="E20" i="27"/>
  <c r="H19" i="27"/>
  <c r="G19" i="27"/>
  <c r="F19" i="27"/>
  <c r="E19" i="27"/>
  <c r="H18" i="27"/>
  <c r="G18" i="27"/>
  <c r="F18" i="27"/>
  <c r="E18" i="27"/>
  <c r="H17" i="27"/>
  <c r="G17" i="27"/>
  <c r="F17" i="27"/>
  <c r="E17" i="27"/>
  <c r="H16" i="27"/>
  <c r="G16" i="27"/>
  <c r="F16" i="27"/>
  <c r="E16" i="27"/>
  <c r="H15" i="27"/>
  <c r="G15" i="27"/>
  <c r="F15" i="27"/>
  <c r="E15" i="27"/>
  <c r="H14" i="27"/>
  <c r="G14" i="27"/>
  <c r="F14" i="27"/>
  <c r="E14" i="27"/>
  <c r="H13" i="27"/>
  <c r="G13" i="27"/>
  <c r="F13" i="27"/>
  <c r="E13" i="27"/>
  <c r="H12" i="27"/>
  <c r="G12" i="27"/>
  <c r="F12" i="27"/>
  <c r="E12" i="27"/>
  <c r="H11" i="27"/>
  <c r="G11" i="27"/>
  <c r="F11" i="27"/>
  <c r="E11" i="27"/>
  <c r="H10" i="27"/>
  <c r="G10" i="27"/>
  <c r="F10" i="27"/>
  <c r="E10" i="27"/>
  <c r="H9" i="27"/>
  <c r="G9" i="27"/>
  <c r="F9" i="27"/>
  <c r="E9" i="27"/>
  <c r="H8" i="27"/>
  <c r="G8" i="27"/>
  <c r="F8" i="27"/>
  <c r="E8" i="27"/>
  <c r="H7" i="27"/>
  <c r="G7" i="27"/>
  <c r="F7" i="27"/>
  <c r="E7" i="27"/>
  <c r="H6" i="27"/>
  <c r="G6" i="27"/>
  <c r="F6" i="27"/>
  <c r="E6" i="27"/>
  <c r="H5" i="27"/>
  <c r="G5" i="27"/>
  <c r="F5" i="27"/>
  <c r="E5" i="27"/>
  <c r="H4" i="27"/>
  <c r="G4" i="27"/>
  <c r="F4" i="27"/>
  <c r="E4" i="27"/>
  <c r="H3" i="27"/>
  <c r="G3" i="27"/>
  <c r="F3" i="27"/>
  <c r="E3" i="27"/>
  <c r="H2" i="27"/>
  <c r="G2" i="27"/>
  <c r="F2" i="27"/>
  <c r="E2" i="27"/>
  <c r="J334" i="26"/>
  <c r="I334" i="26"/>
  <c r="H334" i="26"/>
  <c r="G334" i="26"/>
  <c r="F334" i="26"/>
  <c r="E334" i="26"/>
  <c r="J333" i="26"/>
  <c r="I333" i="26"/>
  <c r="H333" i="26"/>
  <c r="G333" i="26"/>
  <c r="F333" i="26"/>
  <c r="E333" i="26"/>
  <c r="J332" i="26"/>
  <c r="I332" i="26"/>
  <c r="H332" i="26"/>
  <c r="G332" i="26"/>
  <c r="F332" i="26"/>
  <c r="E332" i="26"/>
  <c r="J331" i="26"/>
  <c r="I331" i="26"/>
  <c r="H331" i="26"/>
  <c r="G331" i="26"/>
  <c r="F331" i="26"/>
  <c r="E331" i="26"/>
  <c r="J330" i="26"/>
  <c r="I330" i="26"/>
  <c r="H330" i="26"/>
  <c r="G330" i="26"/>
  <c r="F330" i="26"/>
  <c r="E330" i="26"/>
  <c r="J329" i="26"/>
  <c r="I329" i="26"/>
  <c r="H329" i="26"/>
  <c r="G329" i="26"/>
  <c r="F329" i="26"/>
  <c r="E329" i="26"/>
  <c r="J328" i="26"/>
  <c r="I328" i="26"/>
  <c r="H328" i="26"/>
  <c r="G328" i="26"/>
  <c r="F328" i="26"/>
  <c r="E328" i="26"/>
  <c r="J327" i="26"/>
  <c r="I327" i="26"/>
  <c r="H327" i="26"/>
  <c r="G327" i="26"/>
  <c r="F327" i="26"/>
  <c r="E327" i="26"/>
  <c r="J326" i="26"/>
  <c r="I326" i="26"/>
  <c r="H326" i="26"/>
  <c r="G326" i="26"/>
  <c r="F326" i="26"/>
  <c r="E326" i="26"/>
  <c r="J325" i="26"/>
  <c r="I325" i="26"/>
  <c r="H325" i="26"/>
  <c r="G325" i="26"/>
  <c r="F325" i="26"/>
  <c r="E325" i="26"/>
  <c r="J324" i="26"/>
  <c r="I324" i="26"/>
  <c r="H324" i="26"/>
  <c r="G324" i="26"/>
  <c r="F324" i="26"/>
  <c r="E324" i="26"/>
  <c r="J323" i="26"/>
  <c r="I323" i="26"/>
  <c r="H323" i="26"/>
  <c r="G323" i="26"/>
  <c r="F323" i="26"/>
  <c r="E323" i="26"/>
  <c r="J322" i="26"/>
  <c r="I322" i="26"/>
  <c r="H322" i="26"/>
  <c r="G322" i="26"/>
  <c r="F322" i="26"/>
  <c r="E322" i="26"/>
  <c r="J321" i="26"/>
  <c r="I321" i="26"/>
  <c r="H321" i="26"/>
  <c r="G321" i="26"/>
  <c r="F321" i="26"/>
  <c r="E321" i="26"/>
  <c r="J320" i="26"/>
  <c r="I320" i="26"/>
  <c r="H320" i="26"/>
  <c r="G320" i="26"/>
  <c r="F320" i="26"/>
  <c r="E320" i="26"/>
  <c r="J319" i="26"/>
  <c r="I319" i="26"/>
  <c r="H319" i="26"/>
  <c r="G319" i="26"/>
  <c r="F319" i="26"/>
  <c r="E319" i="26"/>
  <c r="J318" i="26"/>
  <c r="I318" i="26"/>
  <c r="H318" i="26"/>
  <c r="G318" i="26"/>
  <c r="F318" i="26"/>
  <c r="E318" i="26"/>
  <c r="J317" i="26"/>
  <c r="I317" i="26"/>
  <c r="H317" i="26"/>
  <c r="G317" i="26"/>
  <c r="F317" i="26"/>
  <c r="E317" i="26"/>
  <c r="J316" i="26"/>
  <c r="I316" i="26"/>
  <c r="H316" i="26"/>
  <c r="G316" i="26"/>
  <c r="F316" i="26"/>
  <c r="E316" i="26"/>
  <c r="J315" i="26"/>
  <c r="I315" i="26"/>
  <c r="H315" i="26"/>
  <c r="G315" i="26"/>
  <c r="F315" i="26"/>
  <c r="E315" i="26"/>
  <c r="J314" i="26"/>
  <c r="I314" i="26"/>
  <c r="H314" i="26"/>
  <c r="G314" i="26"/>
  <c r="F314" i="26"/>
  <c r="E314" i="26"/>
  <c r="J313" i="26"/>
  <c r="I313" i="26"/>
  <c r="H313" i="26"/>
  <c r="G313" i="26"/>
  <c r="F313" i="26"/>
  <c r="E313" i="26"/>
  <c r="J312" i="26"/>
  <c r="I312" i="26"/>
  <c r="H312" i="26"/>
  <c r="G312" i="26"/>
  <c r="F312" i="26"/>
  <c r="E312" i="26"/>
  <c r="J311" i="26"/>
  <c r="I311" i="26"/>
  <c r="H311" i="26"/>
  <c r="G311" i="26"/>
  <c r="F311" i="26"/>
  <c r="E311" i="26"/>
  <c r="J310" i="26"/>
  <c r="I310" i="26"/>
  <c r="H310" i="26"/>
  <c r="G310" i="26"/>
  <c r="F310" i="26"/>
  <c r="E310" i="26"/>
  <c r="J309" i="26"/>
  <c r="I309" i="26"/>
  <c r="H309" i="26"/>
  <c r="G309" i="26"/>
  <c r="F309" i="26"/>
  <c r="E309" i="26"/>
  <c r="J308" i="26"/>
  <c r="I308" i="26"/>
  <c r="H308" i="26"/>
  <c r="G308" i="26"/>
  <c r="F308" i="26"/>
  <c r="E308" i="26"/>
  <c r="J307" i="26"/>
  <c r="I307" i="26"/>
  <c r="H307" i="26"/>
  <c r="G307" i="26"/>
  <c r="F307" i="26"/>
  <c r="E307" i="26"/>
  <c r="J306" i="26"/>
  <c r="I306" i="26"/>
  <c r="H306" i="26"/>
  <c r="G306" i="26"/>
  <c r="F306" i="26"/>
  <c r="E306" i="26"/>
  <c r="J305" i="26"/>
  <c r="I305" i="26"/>
  <c r="H305" i="26"/>
  <c r="G305" i="26"/>
  <c r="F305" i="26"/>
  <c r="E305" i="26"/>
  <c r="J304" i="26"/>
  <c r="I304" i="26"/>
  <c r="H304" i="26"/>
  <c r="G304" i="26"/>
  <c r="F304" i="26"/>
  <c r="E304" i="26"/>
  <c r="J303" i="26"/>
  <c r="I303" i="26"/>
  <c r="H303" i="26"/>
  <c r="G303" i="26"/>
  <c r="F303" i="26"/>
  <c r="E303" i="26"/>
  <c r="J302" i="26"/>
  <c r="I302" i="26"/>
  <c r="H302" i="26"/>
  <c r="G302" i="26"/>
  <c r="F302" i="26"/>
  <c r="E302" i="26"/>
  <c r="J301" i="26"/>
  <c r="I301" i="26"/>
  <c r="H301" i="26"/>
  <c r="G301" i="26"/>
  <c r="F301" i="26"/>
  <c r="E301" i="26"/>
  <c r="J300" i="26"/>
  <c r="I300" i="26"/>
  <c r="H300" i="26"/>
  <c r="G300" i="26"/>
  <c r="F300" i="26"/>
  <c r="E300" i="26"/>
  <c r="J299" i="26"/>
  <c r="I299" i="26"/>
  <c r="H299" i="26"/>
  <c r="G299" i="26"/>
  <c r="F299" i="26"/>
  <c r="E299" i="26"/>
  <c r="J298" i="26"/>
  <c r="I298" i="26"/>
  <c r="H298" i="26"/>
  <c r="G298" i="26"/>
  <c r="F298" i="26"/>
  <c r="E298" i="26"/>
  <c r="J297" i="26"/>
  <c r="I297" i="26"/>
  <c r="H297" i="26"/>
  <c r="G297" i="26"/>
  <c r="F297" i="26"/>
  <c r="E297" i="26"/>
  <c r="J296" i="26"/>
  <c r="I296" i="26"/>
  <c r="H296" i="26"/>
  <c r="G296" i="26"/>
  <c r="F296" i="26"/>
  <c r="E296" i="26"/>
  <c r="J295" i="26"/>
  <c r="I295" i="26"/>
  <c r="H295" i="26"/>
  <c r="G295" i="26"/>
  <c r="F295" i="26"/>
  <c r="E295" i="26"/>
  <c r="J294" i="26"/>
  <c r="I294" i="26"/>
  <c r="H294" i="26"/>
  <c r="G294" i="26"/>
  <c r="F294" i="26"/>
  <c r="E294" i="26"/>
  <c r="J293" i="26"/>
  <c r="I293" i="26"/>
  <c r="H293" i="26"/>
  <c r="G293" i="26"/>
  <c r="F293" i="26"/>
  <c r="E293" i="26"/>
  <c r="J292" i="26"/>
  <c r="I292" i="26"/>
  <c r="H292" i="26"/>
  <c r="G292" i="26"/>
  <c r="F292" i="26"/>
  <c r="E292" i="26"/>
  <c r="J291" i="26"/>
  <c r="I291" i="26"/>
  <c r="H291" i="26"/>
  <c r="G291" i="26"/>
  <c r="F291" i="26"/>
  <c r="E291" i="26"/>
  <c r="J290" i="26"/>
  <c r="I290" i="26"/>
  <c r="H290" i="26"/>
  <c r="G290" i="26"/>
  <c r="F290" i="26"/>
  <c r="E290" i="26"/>
  <c r="J289" i="26"/>
  <c r="I289" i="26"/>
  <c r="H289" i="26"/>
  <c r="G289" i="26"/>
  <c r="F289" i="26"/>
  <c r="E289" i="26"/>
  <c r="J288" i="26"/>
  <c r="I288" i="26"/>
  <c r="H288" i="26"/>
  <c r="G288" i="26"/>
  <c r="F288" i="26"/>
  <c r="E288" i="26"/>
  <c r="J287" i="26"/>
  <c r="I287" i="26"/>
  <c r="H287" i="26"/>
  <c r="G287" i="26"/>
  <c r="F287" i="26"/>
  <c r="E287" i="26"/>
  <c r="J286" i="26"/>
  <c r="I286" i="26"/>
  <c r="H286" i="26"/>
  <c r="G286" i="26"/>
  <c r="F286" i="26"/>
  <c r="E286" i="26"/>
  <c r="J285" i="26"/>
  <c r="I285" i="26"/>
  <c r="H285" i="26"/>
  <c r="G285" i="26"/>
  <c r="F285" i="26"/>
  <c r="E285" i="26"/>
  <c r="J284" i="26"/>
  <c r="I284" i="26"/>
  <c r="H284" i="26"/>
  <c r="G284" i="26"/>
  <c r="F284" i="26"/>
  <c r="E284" i="26"/>
  <c r="J283" i="26"/>
  <c r="I283" i="26"/>
  <c r="H283" i="26"/>
  <c r="G283" i="26"/>
  <c r="F283" i="26"/>
  <c r="E283" i="26"/>
  <c r="J282" i="26"/>
  <c r="I282" i="26"/>
  <c r="H282" i="26"/>
  <c r="G282" i="26"/>
  <c r="F282" i="26"/>
  <c r="E282" i="26"/>
  <c r="J281" i="26"/>
  <c r="I281" i="26"/>
  <c r="H281" i="26"/>
  <c r="G281" i="26"/>
  <c r="F281" i="26"/>
  <c r="E281" i="26"/>
  <c r="J280" i="26"/>
  <c r="I280" i="26"/>
  <c r="H280" i="26"/>
  <c r="G280" i="26"/>
  <c r="F280" i="26"/>
  <c r="E280" i="26"/>
  <c r="J279" i="26"/>
  <c r="I279" i="26"/>
  <c r="H279" i="26"/>
  <c r="G279" i="26"/>
  <c r="F279" i="26"/>
  <c r="E279" i="26"/>
  <c r="J278" i="26"/>
  <c r="I278" i="26"/>
  <c r="H278" i="26"/>
  <c r="G278" i="26"/>
  <c r="F278" i="26"/>
  <c r="E278" i="26"/>
  <c r="J277" i="26"/>
  <c r="I277" i="26"/>
  <c r="H277" i="26"/>
  <c r="G277" i="26"/>
  <c r="F277" i="26"/>
  <c r="E277" i="26"/>
  <c r="J276" i="26"/>
  <c r="I276" i="26"/>
  <c r="H276" i="26"/>
  <c r="G276" i="26"/>
  <c r="F276" i="26"/>
  <c r="E276" i="26"/>
  <c r="J275" i="26"/>
  <c r="I275" i="26"/>
  <c r="H275" i="26"/>
  <c r="G275" i="26"/>
  <c r="F275" i="26"/>
  <c r="E275" i="26"/>
  <c r="J274" i="26"/>
  <c r="I274" i="26"/>
  <c r="H274" i="26"/>
  <c r="G274" i="26"/>
  <c r="F274" i="26"/>
  <c r="E274" i="26"/>
  <c r="J273" i="26"/>
  <c r="I273" i="26"/>
  <c r="H273" i="26"/>
  <c r="G273" i="26"/>
  <c r="F273" i="26"/>
  <c r="E273" i="26"/>
  <c r="J272" i="26"/>
  <c r="I272" i="26"/>
  <c r="H272" i="26"/>
  <c r="G272" i="26"/>
  <c r="F272" i="26"/>
  <c r="E272" i="26"/>
  <c r="J271" i="26"/>
  <c r="I271" i="26"/>
  <c r="H271" i="26"/>
  <c r="G271" i="26"/>
  <c r="F271" i="26"/>
  <c r="E271" i="26"/>
  <c r="J270" i="26"/>
  <c r="I270" i="26"/>
  <c r="H270" i="26"/>
  <c r="G270" i="26"/>
  <c r="F270" i="26"/>
  <c r="E270" i="26"/>
  <c r="J269" i="26"/>
  <c r="I269" i="26"/>
  <c r="H269" i="26"/>
  <c r="G269" i="26"/>
  <c r="F269" i="26"/>
  <c r="E269" i="26"/>
  <c r="J268" i="26"/>
  <c r="I268" i="26"/>
  <c r="H268" i="26"/>
  <c r="G268" i="26"/>
  <c r="F268" i="26"/>
  <c r="E268" i="26"/>
  <c r="J267" i="26"/>
  <c r="I267" i="26"/>
  <c r="H267" i="26"/>
  <c r="G267" i="26"/>
  <c r="F267" i="26"/>
  <c r="E267" i="26"/>
  <c r="J266" i="26"/>
  <c r="I266" i="26"/>
  <c r="H266" i="26"/>
  <c r="G266" i="26"/>
  <c r="F266" i="26"/>
  <c r="E266" i="26"/>
  <c r="J265" i="26"/>
  <c r="I265" i="26"/>
  <c r="H265" i="26"/>
  <c r="G265" i="26"/>
  <c r="F265" i="26"/>
  <c r="E265" i="26"/>
  <c r="J264" i="26"/>
  <c r="I264" i="26"/>
  <c r="H264" i="26"/>
  <c r="G264" i="26"/>
  <c r="F264" i="26"/>
  <c r="E264" i="26"/>
  <c r="J263" i="26"/>
  <c r="I263" i="26"/>
  <c r="H263" i="26"/>
  <c r="G263" i="26"/>
  <c r="F263" i="26"/>
  <c r="E263" i="26"/>
  <c r="J262" i="26"/>
  <c r="I262" i="26"/>
  <c r="H262" i="26"/>
  <c r="G262" i="26"/>
  <c r="F262" i="26"/>
  <c r="E262" i="26"/>
  <c r="J261" i="26"/>
  <c r="I261" i="26"/>
  <c r="H261" i="26"/>
  <c r="G261" i="26"/>
  <c r="F261" i="26"/>
  <c r="E261" i="26"/>
  <c r="J260" i="26"/>
  <c r="I260" i="26"/>
  <c r="H260" i="26"/>
  <c r="G260" i="26"/>
  <c r="F260" i="26"/>
  <c r="E260" i="26"/>
  <c r="J259" i="26"/>
  <c r="I259" i="26"/>
  <c r="H259" i="26"/>
  <c r="G259" i="26"/>
  <c r="F259" i="26"/>
  <c r="E259" i="26"/>
  <c r="J258" i="26"/>
  <c r="I258" i="26"/>
  <c r="H258" i="26"/>
  <c r="G258" i="26"/>
  <c r="F258" i="26"/>
  <c r="E258" i="26"/>
  <c r="J257" i="26"/>
  <c r="I257" i="26"/>
  <c r="H257" i="26"/>
  <c r="G257" i="26"/>
  <c r="F257" i="26"/>
  <c r="E257" i="26"/>
  <c r="J256" i="26"/>
  <c r="I256" i="26"/>
  <c r="H256" i="26"/>
  <c r="G256" i="26"/>
  <c r="F256" i="26"/>
  <c r="E256" i="26"/>
  <c r="J255" i="26"/>
  <c r="I255" i="26"/>
  <c r="H255" i="26"/>
  <c r="G255" i="26"/>
  <c r="F255" i="26"/>
  <c r="E255" i="26"/>
  <c r="J254" i="26"/>
  <c r="I254" i="26"/>
  <c r="H254" i="26"/>
  <c r="G254" i="26"/>
  <c r="F254" i="26"/>
  <c r="E254" i="26"/>
  <c r="J253" i="26"/>
  <c r="I253" i="26"/>
  <c r="H253" i="26"/>
  <c r="G253" i="26"/>
  <c r="F253" i="26"/>
  <c r="E253" i="26"/>
  <c r="J252" i="26"/>
  <c r="I252" i="26"/>
  <c r="H252" i="26"/>
  <c r="G252" i="26"/>
  <c r="F252" i="26"/>
  <c r="E252" i="26"/>
  <c r="J251" i="26"/>
  <c r="I251" i="26"/>
  <c r="H251" i="26"/>
  <c r="G251" i="26"/>
  <c r="F251" i="26"/>
  <c r="E251" i="26"/>
  <c r="J250" i="26"/>
  <c r="I250" i="26"/>
  <c r="H250" i="26"/>
  <c r="G250" i="26"/>
  <c r="F250" i="26"/>
  <c r="E250" i="26"/>
  <c r="J249" i="26"/>
  <c r="I249" i="26"/>
  <c r="H249" i="26"/>
  <c r="G249" i="26"/>
  <c r="F249" i="26"/>
  <c r="E249" i="26"/>
  <c r="J248" i="26"/>
  <c r="I248" i="26"/>
  <c r="H248" i="26"/>
  <c r="G248" i="26"/>
  <c r="F248" i="26"/>
  <c r="E248" i="26"/>
  <c r="J247" i="26"/>
  <c r="I247" i="26"/>
  <c r="H247" i="26"/>
  <c r="G247" i="26"/>
  <c r="F247" i="26"/>
  <c r="E247" i="26"/>
  <c r="J246" i="26"/>
  <c r="I246" i="26"/>
  <c r="H246" i="26"/>
  <c r="G246" i="26"/>
  <c r="F246" i="26"/>
  <c r="E246" i="26"/>
  <c r="J245" i="26"/>
  <c r="I245" i="26"/>
  <c r="H245" i="26"/>
  <c r="G245" i="26"/>
  <c r="F245" i="26"/>
  <c r="E245" i="26"/>
  <c r="J244" i="26"/>
  <c r="I244" i="26"/>
  <c r="H244" i="26"/>
  <c r="G244" i="26"/>
  <c r="F244" i="26"/>
  <c r="E244" i="26"/>
  <c r="J243" i="26"/>
  <c r="I243" i="26"/>
  <c r="H243" i="26"/>
  <c r="G243" i="26"/>
  <c r="F243" i="26"/>
  <c r="E243" i="26"/>
  <c r="J242" i="26"/>
  <c r="I242" i="26"/>
  <c r="H242" i="26"/>
  <c r="G242" i="26"/>
  <c r="F242" i="26"/>
  <c r="E242" i="26"/>
  <c r="J241" i="26"/>
  <c r="I241" i="26"/>
  <c r="H241" i="26"/>
  <c r="G241" i="26"/>
  <c r="F241" i="26"/>
  <c r="E241" i="26"/>
  <c r="J240" i="26"/>
  <c r="I240" i="26"/>
  <c r="H240" i="26"/>
  <c r="G240" i="26"/>
  <c r="F240" i="26"/>
  <c r="E240" i="26"/>
  <c r="J239" i="26"/>
  <c r="I239" i="26"/>
  <c r="H239" i="26"/>
  <c r="G239" i="26"/>
  <c r="F239" i="26"/>
  <c r="E239" i="26"/>
  <c r="J238" i="26"/>
  <c r="I238" i="26"/>
  <c r="H238" i="26"/>
  <c r="G238" i="26"/>
  <c r="F238" i="26"/>
  <c r="E238" i="26"/>
  <c r="J237" i="26"/>
  <c r="I237" i="26"/>
  <c r="H237" i="26"/>
  <c r="G237" i="26"/>
  <c r="F237" i="26"/>
  <c r="E237" i="26"/>
  <c r="J236" i="26"/>
  <c r="I236" i="26"/>
  <c r="H236" i="26"/>
  <c r="G236" i="26"/>
  <c r="F236" i="26"/>
  <c r="E236" i="26"/>
  <c r="J235" i="26"/>
  <c r="I235" i="26"/>
  <c r="H235" i="26"/>
  <c r="G235" i="26"/>
  <c r="F235" i="26"/>
  <c r="E235" i="26"/>
  <c r="J234" i="26"/>
  <c r="I234" i="26"/>
  <c r="H234" i="26"/>
  <c r="G234" i="26"/>
  <c r="F234" i="26"/>
  <c r="E234" i="26"/>
  <c r="J233" i="26"/>
  <c r="I233" i="26"/>
  <c r="H233" i="26"/>
  <c r="G233" i="26"/>
  <c r="F233" i="26"/>
  <c r="E233" i="26"/>
  <c r="J232" i="26"/>
  <c r="I232" i="26"/>
  <c r="H232" i="26"/>
  <c r="G232" i="26"/>
  <c r="F232" i="26"/>
  <c r="E232" i="26"/>
  <c r="J231" i="26"/>
  <c r="I231" i="26"/>
  <c r="H231" i="26"/>
  <c r="G231" i="26"/>
  <c r="F231" i="26"/>
  <c r="E231" i="26"/>
  <c r="J230" i="26"/>
  <c r="I230" i="26"/>
  <c r="H230" i="26"/>
  <c r="G230" i="26"/>
  <c r="F230" i="26"/>
  <c r="E230" i="26"/>
  <c r="J229" i="26"/>
  <c r="I229" i="26"/>
  <c r="H229" i="26"/>
  <c r="G229" i="26"/>
  <c r="F229" i="26"/>
  <c r="E229" i="26"/>
  <c r="J228" i="26"/>
  <c r="I228" i="26"/>
  <c r="H228" i="26"/>
  <c r="G228" i="26"/>
  <c r="F228" i="26"/>
  <c r="E228" i="26"/>
  <c r="J227" i="26"/>
  <c r="I227" i="26"/>
  <c r="H227" i="26"/>
  <c r="G227" i="26"/>
  <c r="F227" i="26"/>
  <c r="E227" i="26"/>
  <c r="J226" i="26"/>
  <c r="I226" i="26"/>
  <c r="H226" i="26"/>
  <c r="G226" i="26"/>
  <c r="F226" i="26"/>
  <c r="E226" i="26"/>
  <c r="J225" i="26"/>
  <c r="I225" i="26"/>
  <c r="H225" i="26"/>
  <c r="G225" i="26"/>
  <c r="F225" i="26"/>
  <c r="E225" i="26"/>
  <c r="J224" i="26"/>
  <c r="I224" i="26"/>
  <c r="H224" i="26"/>
  <c r="G224" i="26"/>
  <c r="F224" i="26"/>
  <c r="E224" i="26"/>
  <c r="J223" i="26"/>
  <c r="I223" i="26"/>
  <c r="H223" i="26"/>
  <c r="G223" i="26"/>
  <c r="F223" i="26"/>
  <c r="E223" i="26"/>
  <c r="J222" i="26"/>
  <c r="I222" i="26"/>
  <c r="H222" i="26"/>
  <c r="G222" i="26"/>
  <c r="F222" i="26"/>
  <c r="E222" i="26"/>
  <c r="J221" i="26"/>
  <c r="I221" i="26"/>
  <c r="H221" i="26"/>
  <c r="G221" i="26"/>
  <c r="F221" i="26"/>
  <c r="E221" i="26"/>
  <c r="J220" i="26"/>
  <c r="I220" i="26"/>
  <c r="H220" i="26"/>
  <c r="G220" i="26"/>
  <c r="F220" i="26"/>
  <c r="E220" i="26"/>
  <c r="J219" i="26"/>
  <c r="I219" i="26"/>
  <c r="H219" i="26"/>
  <c r="G219" i="26"/>
  <c r="F219" i="26"/>
  <c r="E219" i="26"/>
  <c r="J218" i="26"/>
  <c r="I218" i="26"/>
  <c r="H218" i="26"/>
  <c r="G218" i="26"/>
  <c r="F218" i="26"/>
  <c r="E218" i="26"/>
  <c r="J217" i="26"/>
  <c r="I217" i="26"/>
  <c r="H217" i="26"/>
  <c r="G217" i="26"/>
  <c r="F217" i="26"/>
  <c r="E217" i="26"/>
  <c r="J216" i="26"/>
  <c r="I216" i="26"/>
  <c r="H216" i="26"/>
  <c r="G216" i="26"/>
  <c r="F216" i="26"/>
  <c r="E216" i="26"/>
  <c r="J215" i="26"/>
  <c r="I215" i="26"/>
  <c r="H215" i="26"/>
  <c r="G215" i="26"/>
  <c r="F215" i="26"/>
  <c r="E215" i="26"/>
  <c r="J214" i="26"/>
  <c r="I214" i="26"/>
  <c r="H214" i="26"/>
  <c r="G214" i="26"/>
  <c r="F214" i="26"/>
  <c r="E214" i="26"/>
  <c r="J213" i="26"/>
  <c r="I213" i="26"/>
  <c r="H213" i="26"/>
  <c r="G213" i="26"/>
  <c r="F213" i="26"/>
  <c r="E213" i="26"/>
  <c r="J212" i="26"/>
  <c r="I212" i="26"/>
  <c r="H212" i="26"/>
  <c r="G212" i="26"/>
  <c r="F212" i="26"/>
  <c r="E212" i="26"/>
  <c r="J211" i="26"/>
  <c r="I211" i="26"/>
  <c r="H211" i="26"/>
  <c r="G211" i="26"/>
  <c r="F211" i="26"/>
  <c r="E211" i="26"/>
  <c r="J210" i="26"/>
  <c r="I210" i="26"/>
  <c r="H210" i="26"/>
  <c r="G210" i="26"/>
  <c r="F210" i="26"/>
  <c r="E210" i="26"/>
  <c r="J209" i="26"/>
  <c r="I209" i="26"/>
  <c r="H209" i="26"/>
  <c r="G209" i="26"/>
  <c r="F209" i="26"/>
  <c r="E209" i="26"/>
  <c r="J208" i="26"/>
  <c r="I208" i="26"/>
  <c r="H208" i="26"/>
  <c r="G208" i="26"/>
  <c r="F208" i="26"/>
  <c r="E208" i="26"/>
  <c r="J207" i="26"/>
  <c r="I207" i="26"/>
  <c r="H207" i="26"/>
  <c r="G207" i="26"/>
  <c r="F207" i="26"/>
  <c r="E207" i="26"/>
  <c r="J206" i="26"/>
  <c r="I206" i="26"/>
  <c r="H206" i="26"/>
  <c r="G206" i="26"/>
  <c r="F206" i="26"/>
  <c r="E206" i="26"/>
  <c r="J205" i="26"/>
  <c r="I205" i="26"/>
  <c r="H205" i="26"/>
  <c r="G205" i="26"/>
  <c r="F205" i="26"/>
  <c r="E205" i="26"/>
  <c r="J204" i="26"/>
  <c r="I204" i="26"/>
  <c r="H204" i="26"/>
  <c r="G204" i="26"/>
  <c r="F204" i="26"/>
  <c r="E204" i="26"/>
  <c r="J203" i="26"/>
  <c r="I203" i="26"/>
  <c r="H203" i="26"/>
  <c r="G203" i="26"/>
  <c r="F203" i="26"/>
  <c r="E203" i="26"/>
  <c r="J202" i="26"/>
  <c r="I202" i="26"/>
  <c r="H202" i="26"/>
  <c r="G202" i="26"/>
  <c r="F202" i="26"/>
  <c r="E202" i="26"/>
  <c r="J201" i="26"/>
  <c r="I201" i="26"/>
  <c r="H201" i="26"/>
  <c r="G201" i="26"/>
  <c r="F201" i="26"/>
  <c r="E201" i="26"/>
  <c r="J200" i="26"/>
  <c r="I200" i="26"/>
  <c r="H200" i="26"/>
  <c r="G200" i="26"/>
  <c r="F200" i="26"/>
  <c r="E200" i="26"/>
  <c r="J199" i="26"/>
  <c r="I199" i="26"/>
  <c r="H199" i="26"/>
  <c r="G199" i="26"/>
  <c r="F199" i="26"/>
  <c r="E199" i="26"/>
  <c r="J198" i="26"/>
  <c r="I198" i="26"/>
  <c r="H198" i="26"/>
  <c r="G198" i="26"/>
  <c r="F198" i="26"/>
  <c r="E198" i="26"/>
  <c r="J197" i="26"/>
  <c r="I197" i="26"/>
  <c r="H197" i="26"/>
  <c r="G197" i="26"/>
  <c r="F197" i="26"/>
  <c r="E197" i="26"/>
  <c r="J196" i="26"/>
  <c r="I196" i="26"/>
  <c r="H196" i="26"/>
  <c r="G196" i="26"/>
  <c r="F196" i="26"/>
  <c r="E196" i="26"/>
  <c r="J195" i="26"/>
  <c r="I195" i="26"/>
  <c r="H195" i="26"/>
  <c r="G195" i="26"/>
  <c r="F195" i="26"/>
  <c r="E195" i="26"/>
  <c r="J194" i="26"/>
  <c r="I194" i="26"/>
  <c r="H194" i="26"/>
  <c r="G194" i="26"/>
  <c r="F194" i="26"/>
  <c r="E194" i="26"/>
  <c r="J193" i="26"/>
  <c r="I193" i="26"/>
  <c r="H193" i="26"/>
  <c r="G193" i="26"/>
  <c r="F193" i="26"/>
  <c r="E193" i="26"/>
  <c r="J192" i="26"/>
  <c r="I192" i="26"/>
  <c r="H192" i="26"/>
  <c r="G192" i="26"/>
  <c r="F192" i="26"/>
  <c r="E192" i="26"/>
  <c r="J191" i="26"/>
  <c r="I191" i="26"/>
  <c r="H191" i="26"/>
  <c r="G191" i="26"/>
  <c r="F191" i="26"/>
  <c r="E191" i="26"/>
  <c r="J190" i="26"/>
  <c r="I190" i="26"/>
  <c r="H190" i="26"/>
  <c r="G190" i="26"/>
  <c r="F190" i="26"/>
  <c r="E190" i="26"/>
  <c r="J189" i="26"/>
  <c r="I189" i="26"/>
  <c r="H189" i="26"/>
  <c r="G189" i="26"/>
  <c r="F189" i="26"/>
  <c r="E189" i="26"/>
  <c r="J188" i="26"/>
  <c r="I188" i="26"/>
  <c r="H188" i="26"/>
  <c r="G188" i="26"/>
  <c r="F188" i="26"/>
  <c r="E188" i="26"/>
  <c r="J187" i="26"/>
  <c r="I187" i="26"/>
  <c r="H187" i="26"/>
  <c r="G187" i="26"/>
  <c r="F187" i="26"/>
  <c r="E187" i="26"/>
  <c r="J186" i="26"/>
  <c r="I186" i="26"/>
  <c r="H186" i="26"/>
  <c r="G186" i="26"/>
  <c r="F186" i="26"/>
  <c r="E186" i="26"/>
  <c r="J185" i="26"/>
  <c r="I185" i="26"/>
  <c r="H185" i="26"/>
  <c r="G185" i="26"/>
  <c r="F185" i="26"/>
  <c r="E185" i="26"/>
  <c r="J184" i="26"/>
  <c r="I184" i="26"/>
  <c r="H184" i="26"/>
  <c r="G184" i="26"/>
  <c r="F184" i="26"/>
  <c r="E184" i="26"/>
  <c r="J183" i="26"/>
  <c r="I183" i="26"/>
  <c r="H183" i="26"/>
  <c r="G183" i="26"/>
  <c r="F183" i="26"/>
  <c r="E183" i="26"/>
  <c r="J182" i="26"/>
  <c r="I182" i="26"/>
  <c r="H182" i="26"/>
  <c r="G182" i="26"/>
  <c r="F182" i="26"/>
  <c r="E182" i="26"/>
  <c r="J181" i="26"/>
  <c r="I181" i="26"/>
  <c r="H181" i="26"/>
  <c r="G181" i="26"/>
  <c r="F181" i="26"/>
  <c r="E181" i="26"/>
  <c r="J180" i="26"/>
  <c r="I180" i="26"/>
  <c r="H180" i="26"/>
  <c r="G180" i="26"/>
  <c r="F180" i="26"/>
  <c r="E180" i="26"/>
  <c r="J179" i="26"/>
  <c r="I179" i="26"/>
  <c r="H179" i="26"/>
  <c r="G179" i="26"/>
  <c r="F179" i="26"/>
  <c r="E179" i="26"/>
  <c r="J178" i="26"/>
  <c r="I178" i="26"/>
  <c r="H178" i="26"/>
  <c r="G178" i="26"/>
  <c r="F178" i="26"/>
  <c r="E178" i="26"/>
  <c r="J177" i="26"/>
  <c r="I177" i="26"/>
  <c r="H177" i="26"/>
  <c r="G177" i="26"/>
  <c r="F177" i="26"/>
  <c r="E177" i="26"/>
  <c r="J176" i="26"/>
  <c r="I176" i="26"/>
  <c r="H176" i="26"/>
  <c r="G176" i="26"/>
  <c r="F176" i="26"/>
  <c r="E176" i="26"/>
  <c r="J175" i="26"/>
  <c r="I175" i="26"/>
  <c r="H175" i="26"/>
  <c r="G175" i="26"/>
  <c r="F175" i="26"/>
  <c r="E175" i="26"/>
  <c r="J174" i="26"/>
  <c r="I174" i="26"/>
  <c r="H174" i="26"/>
  <c r="G174" i="26"/>
  <c r="F174" i="26"/>
  <c r="E174" i="26"/>
  <c r="J173" i="26"/>
  <c r="I173" i="26"/>
  <c r="H173" i="26"/>
  <c r="G173" i="26"/>
  <c r="F173" i="26"/>
  <c r="E173" i="26"/>
  <c r="J172" i="26"/>
  <c r="I172" i="26"/>
  <c r="H172" i="26"/>
  <c r="G172" i="26"/>
  <c r="F172" i="26"/>
  <c r="E172" i="26"/>
  <c r="J171" i="26"/>
  <c r="I171" i="26"/>
  <c r="H171" i="26"/>
  <c r="G171" i="26"/>
  <c r="F171" i="26"/>
  <c r="E171" i="26"/>
  <c r="J170" i="26"/>
  <c r="I170" i="26"/>
  <c r="H170" i="26"/>
  <c r="G170" i="26"/>
  <c r="F170" i="26"/>
  <c r="E170" i="26"/>
  <c r="J169" i="26"/>
  <c r="I169" i="26"/>
  <c r="H169" i="26"/>
  <c r="G169" i="26"/>
  <c r="F169" i="26"/>
  <c r="E169" i="26"/>
  <c r="J168" i="26"/>
  <c r="I168" i="26"/>
  <c r="H168" i="26"/>
  <c r="G168" i="26"/>
  <c r="F168" i="26"/>
  <c r="E168" i="26"/>
  <c r="J167" i="26"/>
  <c r="I167" i="26"/>
  <c r="H167" i="26"/>
  <c r="G167" i="26"/>
  <c r="F167" i="26"/>
  <c r="E167" i="26"/>
  <c r="J166" i="26"/>
  <c r="I166" i="26"/>
  <c r="H166" i="26"/>
  <c r="G166" i="26"/>
  <c r="F166" i="26"/>
  <c r="E166" i="26"/>
  <c r="J165" i="26"/>
  <c r="I165" i="26"/>
  <c r="H165" i="26"/>
  <c r="G165" i="26"/>
  <c r="F165" i="26"/>
  <c r="E165" i="26"/>
  <c r="J164" i="26"/>
  <c r="I164" i="26"/>
  <c r="H164" i="26"/>
  <c r="G164" i="26"/>
  <c r="F164" i="26"/>
  <c r="E164" i="26"/>
  <c r="J163" i="26"/>
  <c r="I163" i="26"/>
  <c r="H163" i="26"/>
  <c r="G163" i="26"/>
  <c r="F163" i="26"/>
  <c r="E163" i="26"/>
  <c r="J162" i="26"/>
  <c r="I162" i="26"/>
  <c r="H162" i="26"/>
  <c r="G162" i="26"/>
  <c r="F162" i="26"/>
  <c r="E162" i="26"/>
  <c r="J161" i="26"/>
  <c r="I161" i="26"/>
  <c r="H161" i="26"/>
  <c r="G161" i="26"/>
  <c r="F161" i="26"/>
  <c r="E161" i="26"/>
  <c r="J160" i="26"/>
  <c r="I160" i="26"/>
  <c r="H160" i="26"/>
  <c r="G160" i="26"/>
  <c r="F160" i="26"/>
  <c r="E160" i="26"/>
  <c r="J159" i="26"/>
  <c r="I159" i="26"/>
  <c r="H159" i="26"/>
  <c r="G159" i="26"/>
  <c r="F159" i="26"/>
  <c r="E159" i="26"/>
  <c r="J158" i="26"/>
  <c r="I158" i="26"/>
  <c r="H158" i="26"/>
  <c r="G158" i="26"/>
  <c r="F158" i="26"/>
  <c r="E158" i="26"/>
  <c r="J157" i="26"/>
  <c r="I157" i="26"/>
  <c r="H157" i="26"/>
  <c r="G157" i="26"/>
  <c r="F157" i="26"/>
  <c r="E157" i="26"/>
  <c r="J156" i="26"/>
  <c r="I156" i="26"/>
  <c r="H156" i="26"/>
  <c r="G156" i="26"/>
  <c r="F156" i="26"/>
  <c r="E156" i="26"/>
  <c r="J155" i="26"/>
  <c r="I155" i="26"/>
  <c r="H155" i="26"/>
  <c r="G155" i="26"/>
  <c r="F155" i="26"/>
  <c r="E155" i="26"/>
  <c r="J154" i="26"/>
  <c r="I154" i="26"/>
  <c r="H154" i="26"/>
  <c r="G154" i="26"/>
  <c r="F154" i="26"/>
  <c r="E154" i="26"/>
  <c r="J153" i="26"/>
  <c r="I153" i="26"/>
  <c r="H153" i="26"/>
  <c r="G153" i="26"/>
  <c r="F153" i="26"/>
  <c r="E153" i="26"/>
  <c r="J152" i="26"/>
  <c r="I152" i="26"/>
  <c r="H152" i="26"/>
  <c r="G152" i="26"/>
  <c r="F152" i="26"/>
  <c r="E152" i="26"/>
  <c r="J151" i="26"/>
  <c r="I151" i="26"/>
  <c r="H151" i="26"/>
  <c r="G151" i="26"/>
  <c r="F151" i="26"/>
  <c r="E151" i="26"/>
  <c r="J150" i="26"/>
  <c r="I150" i="26"/>
  <c r="H150" i="26"/>
  <c r="G150" i="26"/>
  <c r="F150" i="26"/>
  <c r="E150" i="26"/>
  <c r="J149" i="26"/>
  <c r="I149" i="26"/>
  <c r="H149" i="26"/>
  <c r="G149" i="26"/>
  <c r="F149" i="26"/>
  <c r="E149" i="26"/>
  <c r="J148" i="26"/>
  <c r="I148" i="26"/>
  <c r="H148" i="26"/>
  <c r="G148" i="26"/>
  <c r="F148" i="26"/>
  <c r="E148" i="26"/>
  <c r="J147" i="26"/>
  <c r="I147" i="26"/>
  <c r="H147" i="26"/>
  <c r="G147" i="26"/>
  <c r="F147" i="26"/>
  <c r="E147" i="26"/>
  <c r="J146" i="26"/>
  <c r="I146" i="26"/>
  <c r="H146" i="26"/>
  <c r="G146" i="26"/>
  <c r="F146" i="26"/>
  <c r="E146" i="26"/>
  <c r="J145" i="26"/>
  <c r="I145" i="26"/>
  <c r="H145" i="26"/>
  <c r="G145" i="26"/>
  <c r="F145" i="26"/>
  <c r="E145" i="26"/>
  <c r="J144" i="26"/>
  <c r="I144" i="26"/>
  <c r="H144" i="26"/>
  <c r="G144" i="26"/>
  <c r="F144" i="26"/>
  <c r="E144" i="26"/>
  <c r="J143" i="26"/>
  <c r="I143" i="26"/>
  <c r="H143" i="26"/>
  <c r="G143" i="26"/>
  <c r="F143" i="26"/>
  <c r="E143" i="26"/>
  <c r="J142" i="26"/>
  <c r="I142" i="26"/>
  <c r="H142" i="26"/>
  <c r="G142" i="26"/>
  <c r="F142" i="26"/>
  <c r="E142" i="26"/>
  <c r="J141" i="26"/>
  <c r="I141" i="26"/>
  <c r="H141" i="26"/>
  <c r="G141" i="26"/>
  <c r="F141" i="26"/>
  <c r="E141" i="26"/>
  <c r="J140" i="26"/>
  <c r="I140" i="26"/>
  <c r="H140" i="26"/>
  <c r="G140" i="26"/>
  <c r="F140" i="26"/>
  <c r="E140" i="26"/>
  <c r="J139" i="26"/>
  <c r="I139" i="26"/>
  <c r="H139" i="26"/>
  <c r="G139" i="26"/>
  <c r="F139" i="26"/>
  <c r="E139" i="26"/>
  <c r="J138" i="26"/>
  <c r="I138" i="26"/>
  <c r="H138" i="26"/>
  <c r="G138" i="26"/>
  <c r="F138" i="26"/>
  <c r="E138" i="26"/>
  <c r="J137" i="26"/>
  <c r="I137" i="26"/>
  <c r="H137" i="26"/>
  <c r="G137" i="26"/>
  <c r="F137" i="26"/>
  <c r="E137" i="26"/>
  <c r="J136" i="26"/>
  <c r="I136" i="26"/>
  <c r="H136" i="26"/>
  <c r="G136" i="26"/>
  <c r="F136" i="26"/>
  <c r="E136" i="26"/>
  <c r="J135" i="26"/>
  <c r="I135" i="26"/>
  <c r="H135" i="26"/>
  <c r="G135" i="26"/>
  <c r="F135" i="26"/>
  <c r="E135" i="26"/>
  <c r="J134" i="26"/>
  <c r="I134" i="26"/>
  <c r="H134" i="26"/>
  <c r="G134" i="26"/>
  <c r="F134" i="26"/>
  <c r="E134" i="26"/>
  <c r="J133" i="26"/>
  <c r="I133" i="26"/>
  <c r="H133" i="26"/>
  <c r="G133" i="26"/>
  <c r="F133" i="26"/>
  <c r="E133" i="26"/>
  <c r="J132" i="26"/>
  <c r="I132" i="26"/>
  <c r="H132" i="26"/>
  <c r="G132" i="26"/>
  <c r="F132" i="26"/>
  <c r="E132" i="26"/>
  <c r="J131" i="26"/>
  <c r="I131" i="26"/>
  <c r="H131" i="26"/>
  <c r="G131" i="26"/>
  <c r="F131" i="26"/>
  <c r="E131" i="26"/>
  <c r="J130" i="26"/>
  <c r="I130" i="26"/>
  <c r="H130" i="26"/>
  <c r="G130" i="26"/>
  <c r="F130" i="26"/>
  <c r="E130" i="26"/>
  <c r="J129" i="26"/>
  <c r="I129" i="26"/>
  <c r="H129" i="26"/>
  <c r="G129" i="26"/>
  <c r="F129" i="26"/>
  <c r="E129" i="26"/>
  <c r="J128" i="26"/>
  <c r="I128" i="26"/>
  <c r="H128" i="26"/>
  <c r="G128" i="26"/>
  <c r="F128" i="26"/>
  <c r="E128" i="26"/>
  <c r="J127" i="26"/>
  <c r="I127" i="26"/>
  <c r="H127" i="26"/>
  <c r="G127" i="26"/>
  <c r="F127" i="26"/>
  <c r="E127" i="26"/>
  <c r="J126" i="26"/>
  <c r="I126" i="26"/>
  <c r="H126" i="26"/>
  <c r="G126" i="26"/>
  <c r="F126" i="26"/>
  <c r="E126" i="26"/>
  <c r="J125" i="26"/>
  <c r="I125" i="26"/>
  <c r="H125" i="26"/>
  <c r="G125" i="26"/>
  <c r="F125" i="26"/>
  <c r="E125" i="26"/>
  <c r="J124" i="26"/>
  <c r="I124" i="26"/>
  <c r="H124" i="26"/>
  <c r="G124" i="26"/>
  <c r="F124" i="26"/>
  <c r="E124" i="26"/>
  <c r="J123" i="26"/>
  <c r="I123" i="26"/>
  <c r="H123" i="26"/>
  <c r="G123" i="26"/>
  <c r="F123" i="26"/>
  <c r="E123" i="26"/>
  <c r="J122" i="26"/>
  <c r="I122" i="26"/>
  <c r="H122" i="26"/>
  <c r="G122" i="26"/>
  <c r="F122" i="26"/>
  <c r="E122" i="26"/>
  <c r="J121" i="26"/>
  <c r="I121" i="26"/>
  <c r="H121" i="26"/>
  <c r="G121" i="26"/>
  <c r="F121" i="26"/>
  <c r="E121" i="26"/>
  <c r="J120" i="26"/>
  <c r="I120" i="26"/>
  <c r="H120" i="26"/>
  <c r="G120" i="26"/>
  <c r="F120" i="26"/>
  <c r="E120" i="26"/>
  <c r="J119" i="26"/>
  <c r="I119" i="26"/>
  <c r="H119" i="26"/>
  <c r="G119" i="26"/>
  <c r="F119" i="26"/>
  <c r="E119" i="26"/>
  <c r="J118" i="26"/>
  <c r="I118" i="26"/>
  <c r="H118" i="26"/>
  <c r="G118" i="26"/>
  <c r="F118" i="26"/>
  <c r="E118" i="26"/>
  <c r="J117" i="26"/>
  <c r="I117" i="26"/>
  <c r="H117" i="26"/>
  <c r="G117" i="26"/>
  <c r="F117" i="26"/>
  <c r="E117" i="26"/>
  <c r="J116" i="26"/>
  <c r="I116" i="26"/>
  <c r="H116" i="26"/>
  <c r="G116" i="26"/>
  <c r="F116" i="26"/>
  <c r="E116" i="26"/>
  <c r="J115" i="26"/>
  <c r="I115" i="26"/>
  <c r="H115" i="26"/>
  <c r="G115" i="26"/>
  <c r="F115" i="26"/>
  <c r="E115" i="26"/>
  <c r="J114" i="26"/>
  <c r="I114" i="26"/>
  <c r="H114" i="26"/>
  <c r="G114" i="26"/>
  <c r="F114" i="26"/>
  <c r="E114" i="26"/>
  <c r="J113" i="26"/>
  <c r="I113" i="26"/>
  <c r="H113" i="26"/>
  <c r="G113" i="26"/>
  <c r="F113" i="26"/>
  <c r="E113" i="26"/>
  <c r="J112" i="26"/>
  <c r="I112" i="26"/>
  <c r="H112" i="26"/>
  <c r="G112" i="26"/>
  <c r="F112" i="26"/>
  <c r="E112" i="26"/>
  <c r="J111" i="26"/>
  <c r="I111" i="26"/>
  <c r="H111" i="26"/>
  <c r="G111" i="26"/>
  <c r="F111" i="26"/>
  <c r="E111" i="26"/>
  <c r="J110" i="26"/>
  <c r="I110" i="26"/>
  <c r="H110" i="26"/>
  <c r="G110" i="26"/>
  <c r="F110" i="26"/>
  <c r="E110" i="26"/>
  <c r="J109" i="26"/>
  <c r="I109" i="26"/>
  <c r="H109" i="26"/>
  <c r="G109" i="26"/>
  <c r="F109" i="26"/>
  <c r="E109" i="26"/>
  <c r="J108" i="26"/>
  <c r="I108" i="26"/>
  <c r="H108" i="26"/>
  <c r="G108" i="26"/>
  <c r="F108" i="26"/>
  <c r="E108" i="26"/>
  <c r="J107" i="26"/>
  <c r="I107" i="26"/>
  <c r="H107" i="26"/>
  <c r="G107" i="26"/>
  <c r="F107" i="26"/>
  <c r="E107" i="26"/>
  <c r="J106" i="26"/>
  <c r="I106" i="26"/>
  <c r="H106" i="26"/>
  <c r="G106" i="26"/>
  <c r="F106" i="26"/>
  <c r="E106" i="26"/>
  <c r="J105" i="26"/>
  <c r="I105" i="26"/>
  <c r="H105" i="26"/>
  <c r="G105" i="26"/>
  <c r="F105" i="26"/>
  <c r="E105" i="26"/>
  <c r="J104" i="26"/>
  <c r="I104" i="26"/>
  <c r="H104" i="26"/>
  <c r="G104" i="26"/>
  <c r="F104" i="26"/>
  <c r="E104" i="26"/>
  <c r="J103" i="26"/>
  <c r="I103" i="26"/>
  <c r="H103" i="26"/>
  <c r="G103" i="26"/>
  <c r="F103" i="26"/>
  <c r="E103" i="26"/>
  <c r="J102" i="26"/>
  <c r="I102" i="26"/>
  <c r="H102" i="26"/>
  <c r="G102" i="26"/>
  <c r="F102" i="26"/>
  <c r="E102" i="26"/>
  <c r="J101" i="26"/>
  <c r="I101" i="26"/>
  <c r="H101" i="26"/>
  <c r="G101" i="26"/>
  <c r="F101" i="26"/>
  <c r="E101" i="26"/>
  <c r="J100" i="26"/>
  <c r="I100" i="26"/>
  <c r="H100" i="26"/>
  <c r="G100" i="26"/>
  <c r="F100" i="26"/>
  <c r="E100" i="26"/>
  <c r="J99" i="26"/>
  <c r="I99" i="26"/>
  <c r="H99" i="26"/>
  <c r="G99" i="26"/>
  <c r="F99" i="26"/>
  <c r="E99" i="26"/>
  <c r="J98" i="26"/>
  <c r="I98" i="26"/>
  <c r="H98" i="26"/>
  <c r="G98" i="26"/>
  <c r="F98" i="26"/>
  <c r="E98" i="26"/>
  <c r="J97" i="26"/>
  <c r="I97" i="26"/>
  <c r="H97" i="26"/>
  <c r="G97" i="26"/>
  <c r="F97" i="26"/>
  <c r="E97" i="26"/>
  <c r="J96" i="26"/>
  <c r="I96" i="26"/>
  <c r="H96" i="26"/>
  <c r="G96" i="26"/>
  <c r="F96" i="26"/>
  <c r="E96" i="26"/>
  <c r="J95" i="26"/>
  <c r="I95" i="26"/>
  <c r="H95" i="26"/>
  <c r="G95" i="26"/>
  <c r="F95" i="26"/>
  <c r="E95" i="26"/>
  <c r="J94" i="26"/>
  <c r="I94" i="26"/>
  <c r="H94" i="26"/>
  <c r="G94" i="26"/>
  <c r="F94" i="26"/>
  <c r="E94" i="26"/>
  <c r="J93" i="26"/>
  <c r="I93" i="26"/>
  <c r="H93" i="26"/>
  <c r="G93" i="26"/>
  <c r="F93" i="26"/>
  <c r="E93" i="26"/>
  <c r="J92" i="26"/>
  <c r="I92" i="26"/>
  <c r="H92" i="26"/>
  <c r="G92" i="26"/>
  <c r="F92" i="26"/>
  <c r="E92" i="26"/>
  <c r="J91" i="26"/>
  <c r="I91" i="26"/>
  <c r="H91" i="26"/>
  <c r="G91" i="26"/>
  <c r="F91" i="26"/>
  <c r="E91" i="26"/>
  <c r="J90" i="26"/>
  <c r="I90" i="26"/>
  <c r="H90" i="26"/>
  <c r="G90" i="26"/>
  <c r="F90" i="26"/>
  <c r="E90" i="26"/>
  <c r="J89" i="26"/>
  <c r="I89" i="26"/>
  <c r="H89" i="26"/>
  <c r="G89" i="26"/>
  <c r="F89" i="26"/>
  <c r="E89" i="26"/>
  <c r="J88" i="26"/>
  <c r="I88" i="26"/>
  <c r="H88" i="26"/>
  <c r="G88" i="26"/>
  <c r="F88" i="26"/>
  <c r="E88" i="26"/>
  <c r="J87" i="26"/>
  <c r="I87" i="26"/>
  <c r="H87" i="26"/>
  <c r="G87" i="26"/>
  <c r="F87" i="26"/>
  <c r="E87" i="26"/>
  <c r="J86" i="26"/>
  <c r="I86" i="26"/>
  <c r="H86" i="26"/>
  <c r="G86" i="26"/>
  <c r="F86" i="26"/>
  <c r="E86" i="26"/>
  <c r="J85" i="26"/>
  <c r="I85" i="26"/>
  <c r="H85" i="26"/>
  <c r="G85" i="26"/>
  <c r="F85" i="26"/>
  <c r="E85" i="26"/>
  <c r="J84" i="26"/>
  <c r="I84" i="26"/>
  <c r="H84" i="26"/>
  <c r="G84" i="26"/>
  <c r="F84" i="26"/>
  <c r="E84" i="26"/>
  <c r="J83" i="26"/>
  <c r="I83" i="26"/>
  <c r="H83" i="26"/>
  <c r="G83" i="26"/>
  <c r="F83" i="26"/>
  <c r="E83" i="26"/>
  <c r="J82" i="26"/>
  <c r="I82" i="26"/>
  <c r="H82" i="26"/>
  <c r="G82" i="26"/>
  <c r="F82" i="26"/>
  <c r="E82" i="26"/>
  <c r="J81" i="26"/>
  <c r="I81" i="26"/>
  <c r="H81" i="26"/>
  <c r="G81" i="26"/>
  <c r="F81" i="26"/>
  <c r="E81" i="26"/>
  <c r="J80" i="26"/>
  <c r="I80" i="26"/>
  <c r="H80" i="26"/>
  <c r="G80" i="26"/>
  <c r="F80" i="26"/>
  <c r="E80" i="26"/>
  <c r="J79" i="26"/>
  <c r="I79" i="26"/>
  <c r="H79" i="26"/>
  <c r="G79" i="26"/>
  <c r="F79" i="26"/>
  <c r="E79" i="26"/>
  <c r="J78" i="26"/>
  <c r="I78" i="26"/>
  <c r="H78" i="26"/>
  <c r="G78" i="26"/>
  <c r="F78" i="26"/>
  <c r="E78" i="26"/>
  <c r="J77" i="26"/>
  <c r="I77" i="26"/>
  <c r="H77" i="26"/>
  <c r="G77" i="26"/>
  <c r="F77" i="26"/>
  <c r="E77" i="26"/>
  <c r="J76" i="26"/>
  <c r="I76" i="26"/>
  <c r="H76" i="26"/>
  <c r="G76" i="26"/>
  <c r="F76" i="26"/>
  <c r="E76" i="26"/>
  <c r="J75" i="26"/>
  <c r="I75" i="26"/>
  <c r="H75" i="26"/>
  <c r="G75" i="26"/>
  <c r="F75" i="26"/>
  <c r="E75" i="26"/>
  <c r="J74" i="26"/>
  <c r="I74" i="26"/>
  <c r="H74" i="26"/>
  <c r="G74" i="26"/>
  <c r="F74" i="26"/>
  <c r="E74" i="26"/>
  <c r="J73" i="26"/>
  <c r="I73" i="26"/>
  <c r="H73" i="26"/>
  <c r="G73" i="26"/>
  <c r="F73" i="26"/>
  <c r="E73" i="26"/>
  <c r="J72" i="26"/>
  <c r="I72" i="26"/>
  <c r="H72" i="26"/>
  <c r="G72" i="26"/>
  <c r="F72" i="26"/>
  <c r="E72" i="26"/>
  <c r="J71" i="26"/>
  <c r="I71" i="26"/>
  <c r="H71" i="26"/>
  <c r="G71" i="26"/>
  <c r="F71" i="26"/>
  <c r="E71" i="26"/>
  <c r="J70" i="26"/>
  <c r="I70" i="26"/>
  <c r="H70" i="26"/>
  <c r="G70" i="26"/>
  <c r="F70" i="26"/>
  <c r="E70" i="26"/>
  <c r="J69" i="26"/>
  <c r="I69" i="26"/>
  <c r="H69" i="26"/>
  <c r="G69" i="26"/>
  <c r="F69" i="26"/>
  <c r="E69" i="26"/>
  <c r="J68" i="26"/>
  <c r="I68" i="26"/>
  <c r="H68" i="26"/>
  <c r="G68" i="26"/>
  <c r="F68" i="26"/>
  <c r="E68" i="26"/>
  <c r="J67" i="26"/>
  <c r="I67" i="26"/>
  <c r="H67" i="26"/>
  <c r="G67" i="26"/>
  <c r="F67" i="26"/>
  <c r="E67" i="26"/>
  <c r="J66" i="26"/>
  <c r="I66" i="26"/>
  <c r="H66" i="26"/>
  <c r="G66" i="26"/>
  <c r="F66" i="26"/>
  <c r="E66" i="26"/>
  <c r="J65" i="26"/>
  <c r="I65" i="26"/>
  <c r="H65" i="26"/>
  <c r="G65" i="26"/>
  <c r="F65" i="26"/>
  <c r="E65" i="26"/>
  <c r="J64" i="26"/>
  <c r="I64" i="26"/>
  <c r="H64" i="26"/>
  <c r="G64" i="26"/>
  <c r="F64" i="26"/>
  <c r="E64" i="26"/>
  <c r="J63" i="26"/>
  <c r="I63" i="26"/>
  <c r="H63" i="26"/>
  <c r="G63" i="26"/>
  <c r="F63" i="26"/>
  <c r="E63" i="26"/>
  <c r="J62" i="26"/>
  <c r="I62" i="26"/>
  <c r="H62" i="26"/>
  <c r="G62" i="26"/>
  <c r="F62" i="26"/>
  <c r="E62" i="26"/>
  <c r="J61" i="26"/>
  <c r="I61" i="26"/>
  <c r="H61" i="26"/>
  <c r="G61" i="26"/>
  <c r="F61" i="26"/>
  <c r="E61" i="26"/>
  <c r="J60" i="26"/>
  <c r="I60" i="26"/>
  <c r="H60" i="26"/>
  <c r="G60" i="26"/>
  <c r="F60" i="26"/>
  <c r="E60" i="26"/>
  <c r="J59" i="26"/>
  <c r="I59" i="26"/>
  <c r="H59" i="26"/>
  <c r="G59" i="26"/>
  <c r="F59" i="26"/>
  <c r="E59" i="26"/>
  <c r="J58" i="26"/>
  <c r="I58" i="26"/>
  <c r="H58" i="26"/>
  <c r="G58" i="26"/>
  <c r="F58" i="26"/>
  <c r="E58" i="26"/>
  <c r="J57" i="26"/>
  <c r="I57" i="26"/>
  <c r="H57" i="26"/>
  <c r="G57" i="26"/>
  <c r="F57" i="26"/>
  <c r="E57" i="26"/>
  <c r="J56" i="26"/>
  <c r="I56" i="26"/>
  <c r="H56" i="26"/>
  <c r="G56" i="26"/>
  <c r="F56" i="26"/>
  <c r="E56" i="26"/>
  <c r="J55" i="26"/>
  <c r="I55" i="26"/>
  <c r="H55" i="26"/>
  <c r="G55" i="26"/>
  <c r="F55" i="26"/>
  <c r="E55" i="26"/>
  <c r="J54" i="26"/>
  <c r="I54" i="26"/>
  <c r="H54" i="26"/>
  <c r="G54" i="26"/>
  <c r="F54" i="26"/>
  <c r="E54" i="26"/>
  <c r="J53" i="26"/>
  <c r="I53" i="26"/>
  <c r="H53" i="26"/>
  <c r="G53" i="26"/>
  <c r="F53" i="26"/>
  <c r="E53" i="26"/>
  <c r="J52" i="26"/>
  <c r="I52" i="26"/>
  <c r="H52" i="26"/>
  <c r="G52" i="26"/>
  <c r="F52" i="26"/>
  <c r="E52" i="26"/>
  <c r="J51" i="26"/>
  <c r="I51" i="26"/>
  <c r="H51" i="26"/>
  <c r="G51" i="26"/>
  <c r="F51" i="26"/>
  <c r="E51" i="26"/>
  <c r="J50" i="26"/>
  <c r="I50" i="26"/>
  <c r="H50" i="26"/>
  <c r="G50" i="26"/>
  <c r="F50" i="26"/>
  <c r="E50" i="26"/>
  <c r="J49" i="26"/>
  <c r="I49" i="26"/>
  <c r="H49" i="26"/>
  <c r="G49" i="26"/>
  <c r="F49" i="26"/>
  <c r="E49" i="26"/>
  <c r="J48" i="26"/>
  <c r="I48" i="26"/>
  <c r="H48" i="26"/>
  <c r="G48" i="26"/>
  <c r="F48" i="26"/>
  <c r="E48" i="26"/>
  <c r="J47" i="26"/>
  <c r="I47" i="26"/>
  <c r="H47" i="26"/>
  <c r="G47" i="26"/>
  <c r="F47" i="26"/>
  <c r="E47" i="26"/>
  <c r="J46" i="26"/>
  <c r="I46" i="26"/>
  <c r="H46" i="26"/>
  <c r="G46" i="26"/>
  <c r="F46" i="26"/>
  <c r="E46" i="26"/>
  <c r="J45" i="26"/>
  <c r="I45" i="26"/>
  <c r="H45" i="26"/>
  <c r="G45" i="26"/>
  <c r="F45" i="26"/>
  <c r="E45" i="26"/>
  <c r="J44" i="26"/>
  <c r="I44" i="26"/>
  <c r="H44" i="26"/>
  <c r="G44" i="26"/>
  <c r="F44" i="26"/>
  <c r="E44" i="26"/>
  <c r="J43" i="26"/>
  <c r="I43" i="26"/>
  <c r="H43" i="26"/>
  <c r="G43" i="26"/>
  <c r="F43" i="26"/>
  <c r="E43" i="26"/>
  <c r="J42" i="26"/>
  <c r="I42" i="26"/>
  <c r="H42" i="26"/>
  <c r="G42" i="26"/>
  <c r="F42" i="26"/>
  <c r="E42" i="26"/>
  <c r="J41" i="26"/>
  <c r="I41" i="26"/>
  <c r="H41" i="26"/>
  <c r="G41" i="26"/>
  <c r="F41" i="26"/>
  <c r="E41" i="26"/>
  <c r="J40" i="26"/>
  <c r="I40" i="26"/>
  <c r="H40" i="26"/>
  <c r="G40" i="26"/>
  <c r="F40" i="26"/>
  <c r="E40" i="26"/>
  <c r="J39" i="26"/>
  <c r="I39" i="26"/>
  <c r="H39" i="26"/>
  <c r="G39" i="26"/>
  <c r="F39" i="26"/>
  <c r="E39" i="26"/>
  <c r="J38" i="26"/>
  <c r="I38" i="26"/>
  <c r="H38" i="26"/>
  <c r="G38" i="26"/>
  <c r="F38" i="26"/>
  <c r="E38" i="26"/>
  <c r="J37" i="26"/>
  <c r="I37" i="26"/>
  <c r="H37" i="26"/>
  <c r="G37" i="26"/>
  <c r="F37" i="26"/>
  <c r="E37" i="26"/>
  <c r="J36" i="26"/>
  <c r="I36" i="26"/>
  <c r="H36" i="26"/>
  <c r="G36" i="26"/>
  <c r="F36" i="26"/>
  <c r="E36" i="26"/>
  <c r="J35" i="26"/>
  <c r="I35" i="26"/>
  <c r="H35" i="26"/>
  <c r="G35" i="26"/>
  <c r="F35" i="26"/>
  <c r="E35" i="26"/>
  <c r="J34" i="26"/>
  <c r="I34" i="26"/>
  <c r="H34" i="26"/>
  <c r="G34" i="26"/>
  <c r="F34" i="26"/>
  <c r="E34" i="26"/>
  <c r="J33" i="26"/>
  <c r="I33" i="26"/>
  <c r="H33" i="26"/>
  <c r="G33" i="26"/>
  <c r="F33" i="26"/>
  <c r="E33" i="26"/>
  <c r="J32" i="26"/>
  <c r="I32" i="26"/>
  <c r="H32" i="26"/>
  <c r="G32" i="26"/>
  <c r="F32" i="26"/>
  <c r="E32" i="26"/>
  <c r="J31" i="26"/>
  <c r="I31" i="26"/>
  <c r="H31" i="26"/>
  <c r="G31" i="26"/>
  <c r="F31" i="26"/>
  <c r="E31" i="26"/>
  <c r="J30" i="26"/>
  <c r="I30" i="26"/>
  <c r="H30" i="26"/>
  <c r="G30" i="26"/>
  <c r="F30" i="26"/>
  <c r="E30" i="26"/>
  <c r="J29" i="26"/>
  <c r="I29" i="26"/>
  <c r="H29" i="26"/>
  <c r="G29" i="26"/>
  <c r="F29" i="26"/>
  <c r="E29" i="26"/>
  <c r="J28" i="26"/>
  <c r="I28" i="26"/>
  <c r="H28" i="26"/>
  <c r="G28" i="26"/>
  <c r="F28" i="26"/>
  <c r="E28" i="26"/>
  <c r="J27" i="26"/>
  <c r="I27" i="26"/>
  <c r="H27" i="26"/>
  <c r="G27" i="26"/>
  <c r="F27" i="26"/>
  <c r="E27" i="26"/>
  <c r="J26" i="26"/>
  <c r="I26" i="26"/>
  <c r="H26" i="26"/>
  <c r="G26" i="26"/>
  <c r="F26" i="26"/>
  <c r="E26" i="26"/>
  <c r="J25" i="26"/>
  <c r="I25" i="26"/>
  <c r="H25" i="26"/>
  <c r="G25" i="26"/>
  <c r="F25" i="26"/>
  <c r="E25" i="26"/>
  <c r="J24" i="26"/>
  <c r="I24" i="26"/>
  <c r="H24" i="26"/>
  <c r="G24" i="26"/>
  <c r="F24" i="26"/>
  <c r="E24" i="26"/>
  <c r="J23" i="26"/>
  <c r="I23" i="26"/>
  <c r="H23" i="26"/>
  <c r="G23" i="26"/>
  <c r="F23" i="26"/>
  <c r="E23" i="26"/>
  <c r="J22" i="26"/>
  <c r="I22" i="26"/>
  <c r="H22" i="26"/>
  <c r="G22" i="26"/>
  <c r="F22" i="26"/>
  <c r="E22" i="26"/>
  <c r="J21" i="26"/>
  <c r="I21" i="26"/>
  <c r="H21" i="26"/>
  <c r="G21" i="26"/>
  <c r="F21" i="26"/>
  <c r="E21" i="26"/>
  <c r="J20" i="26"/>
  <c r="I20" i="26"/>
  <c r="H20" i="26"/>
  <c r="G20" i="26"/>
  <c r="F20" i="26"/>
  <c r="E20" i="26"/>
  <c r="J19" i="26"/>
  <c r="I19" i="26"/>
  <c r="H19" i="26"/>
  <c r="G19" i="26"/>
  <c r="F19" i="26"/>
  <c r="E19" i="26"/>
  <c r="J18" i="26"/>
  <c r="I18" i="26"/>
  <c r="H18" i="26"/>
  <c r="G18" i="26"/>
  <c r="F18" i="26"/>
  <c r="E18" i="26"/>
  <c r="J17" i="26"/>
  <c r="I17" i="26"/>
  <c r="H17" i="26"/>
  <c r="G17" i="26"/>
  <c r="F17" i="26"/>
  <c r="E17" i="26"/>
  <c r="J16" i="26"/>
  <c r="I16" i="26"/>
  <c r="H16" i="26"/>
  <c r="G16" i="26"/>
  <c r="F16" i="26"/>
  <c r="E16" i="26"/>
  <c r="J15" i="26"/>
  <c r="I15" i="26"/>
  <c r="H15" i="26"/>
  <c r="G15" i="26"/>
  <c r="F15" i="26"/>
  <c r="E15" i="26"/>
  <c r="J14" i="26"/>
  <c r="I14" i="26"/>
  <c r="H14" i="26"/>
  <c r="G14" i="26"/>
  <c r="F14" i="26"/>
  <c r="E14" i="26"/>
  <c r="J13" i="26"/>
  <c r="I13" i="26"/>
  <c r="H13" i="26"/>
  <c r="G13" i="26"/>
  <c r="F13" i="26"/>
  <c r="E13" i="26"/>
  <c r="J12" i="26"/>
  <c r="I12" i="26"/>
  <c r="H12" i="26"/>
  <c r="G12" i="26"/>
  <c r="F12" i="26"/>
  <c r="E12" i="26"/>
  <c r="J11" i="26"/>
  <c r="I11" i="26"/>
  <c r="H11" i="26"/>
  <c r="G11" i="26"/>
  <c r="F11" i="26"/>
  <c r="E11" i="26"/>
  <c r="J10" i="26"/>
  <c r="I10" i="26"/>
  <c r="H10" i="26"/>
  <c r="G10" i="26"/>
  <c r="F10" i="26"/>
  <c r="E10" i="26"/>
  <c r="J9" i="26"/>
  <c r="I9" i="26"/>
  <c r="H9" i="26"/>
  <c r="G9" i="26"/>
  <c r="F9" i="26"/>
  <c r="E9" i="26"/>
  <c r="J8" i="26"/>
  <c r="I8" i="26"/>
  <c r="H8" i="26"/>
  <c r="G8" i="26"/>
  <c r="F8" i="26"/>
  <c r="E8" i="26"/>
  <c r="J7" i="26"/>
  <c r="I7" i="26"/>
  <c r="H7" i="26"/>
  <c r="G7" i="26"/>
  <c r="F7" i="26"/>
  <c r="E7" i="26"/>
  <c r="J6" i="26"/>
  <c r="I6" i="26"/>
  <c r="H6" i="26"/>
  <c r="G6" i="26"/>
  <c r="F6" i="26"/>
  <c r="E6" i="26"/>
  <c r="J5" i="26"/>
  <c r="I5" i="26"/>
  <c r="H5" i="26"/>
  <c r="G5" i="26"/>
  <c r="F5" i="26"/>
  <c r="E5" i="26"/>
  <c r="J4" i="26"/>
  <c r="I4" i="26"/>
  <c r="H4" i="26"/>
  <c r="G4" i="26"/>
  <c r="F4" i="26"/>
  <c r="E4" i="26"/>
  <c r="J3" i="26"/>
  <c r="I3" i="26"/>
  <c r="H3" i="26"/>
  <c r="G3" i="26"/>
  <c r="F3" i="26"/>
  <c r="E3" i="26"/>
  <c r="J2" i="26"/>
  <c r="I2" i="26"/>
  <c r="H2" i="26"/>
  <c r="G2" i="26"/>
  <c r="F2" i="26"/>
  <c r="E2" i="26"/>
  <c r="J18" i="14"/>
  <c r="J17" i="14"/>
  <c r="I17" i="14"/>
  <c r="J16" i="14"/>
  <c r="H16" i="14"/>
  <c r="J15" i="14"/>
  <c r="I15" i="14"/>
  <c r="H15" i="14"/>
  <c r="J14" i="14"/>
  <c r="I14" i="14"/>
  <c r="H14" i="14"/>
  <c r="J13" i="14"/>
  <c r="I13" i="14"/>
  <c r="H13" i="14"/>
  <c r="J12" i="14"/>
  <c r="I12" i="14"/>
  <c r="H12" i="14"/>
  <c r="J11" i="14"/>
  <c r="J10" i="14"/>
  <c r="I10" i="14"/>
  <c r="H10" i="14"/>
  <c r="J9" i="14"/>
  <c r="I9" i="14"/>
  <c r="H9" i="14"/>
  <c r="J8" i="14"/>
  <c r="I8" i="14"/>
  <c r="J7" i="14"/>
  <c r="I7" i="14"/>
  <c r="H7" i="14"/>
  <c r="J6" i="14"/>
  <c r="I6" i="14"/>
  <c r="H6" i="14"/>
  <c r="J5" i="14"/>
  <c r="I5" i="14"/>
  <c r="H5" i="14"/>
  <c r="J4" i="14"/>
  <c r="I4" i="14"/>
  <c r="H4" i="14"/>
  <c r="J3" i="14"/>
  <c r="I3" i="14"/>
  <c r="H3" i="14"/>
  <c r="J2" i="14"/>
  <c r="I2" i="14"/>
  <c r="H2" i="14"/>
  <c r="B2" i="14"/>
  <c r="D24" i="13"/>
  <c r="H22" i="13"/>
  <c r="E22" i="13"/>
  <c r="B294" i="10" a="1"/>
  <c r="B294" i="10"/>
  <c r="B293" i="10" a="1"/>
  <c r="B293" i="10"/>
  <c r="B292" i="10" a="1"/>
  <c r="B292" i="10"/>
  <c r="B291" i="10" a="1"/>
  <c r="B291" i="10"/>
  <c r="B290" i="10" a="1"/>
  <c r="B290" i="10"/>
  <c r="B289" i="10" a="1"/>
  <c r="B289" i="10"/>
  <c r="B288" i="10" a="1"/>
  <c r="B288" i="10"/>
  <c r="B287" i="10" a="1"/>
  <c r="B287" i="10"/>
  <c r="B286" i="10" a="1"/>
  <c r="B286" i="10"/>
  <c r="B285" i="10" a="1"/>
  <c r="B285" i="10"/>
  <c r="B284" i="10" a="1"/>
  <c r="B284" i="10"/>
  <c r="B283" i="10" a="1"/>
  <c r="B283" i="10"/>
  <c r="B282" i="10" a="1"/>
  <c r="B282" i="10"/>
  <c r="B281" i="10" a="1"/>
  <c r="B281" i="10"/>
  <c r="B280" i="10" a="1"/>
  <c r="B280" i="10"/>
  <c r="B279" i="10" a="1"/>
  <c r="B279" i="10"/>
  <c r="B278" i="10" a="1"/>
  <c r="B278" i="10"/>
  <c r="B277" i="10" a="1"/>
  <c r="B277" i="10"/>
  <c r="B276" i="10" a="1"/>
  <c r="B276" i="10"/>
  <c r="B275" i="10" a="1"/>
  <c r="B275" i="10"/>
  <c r="B274" i="10" a="1"/>
  <c r="B274" i="10"/>
  <c r="B273" i="10" a="1"/>
  <c r="B273" i="10"/>
  <c r="B272" i="10" a="1"/>
  <c r="B272" i="10"/>
  <c r="B271" i="10" a="1"/>
  <c r="B271" i="10"/>
  <c r="B270" i="10" a="1"/>
  <c r="B270" i="10"/>
  <c r="B269" i="10" a="1"/>
  <c r="B269" i="10"/>
  <c r="B268" i="10" a="1"/>
  <c r="B268" i="10"/>
  <c r="B267" i="10" a="1"/>
  <c r="B267" i="10"/>
  <c r="B266" i="10" a="1"/>
  <c r="B266" i="10"/>
  <c r="B265" i="10" a="1"/>
  <c r="B265" i="10"/>
  <c r="B264" i="10" a="1"/>
  <c r="B264" i="10"/>
  <c r="B263" i="10" a="1"/>
  <c r="B263" i="10"/>
  <c r="B262" i="10" a="1"/>
  <c r="B262" i="10"/>
  <c r="B261" i="10" a="1"/>
  <c r="B261" i="10"/>
  <c r="B260" i="10" a="1"/>
  <c r="B260" i="10"/>
  <c r="B259" i="10" a="1"/>
  <c r="B259" i="10"/>
  <c r="B258" i="10" a="1"/>
  <c r="B258" i="10"/>
  <c r="B257" i="10" a="1"/>
  <c r="B257" i="10"/>
  <c r="B256" i="10" a="1"/>
  <c r="B256" i="10"/>
  <c r="B255" i="10" a="1"/>
  <c r="B255" i="10"/>
  <c r="B254" i="10" a="1"/>
  <c r="B254" i="10"/>
  <c r="B253" i="10" a="1"/>
  <c r="B253" i="10"/>
  <c r="B252" i="10" a="1"/>
  <c r="B252" i="10"/>
  <c r="B251" i="10" a="1"/>
  <c r="B251" i="10"/>
  <c r="B250" i="10" a="1"/>
  <c r="B250" i="10"/>
  <c r="B249" i="10" a="1"/>
  <c r="B249" i="10"/>
  <c r="B248" i="10" a="1"/>
  <c r="B248" i="10"/>
  <c r="B247" i="10" a="1"/>
  <c r="B247" i="10"/>
  <c r="B246" i="10" a="1"/>
  <c r="B246" i="10"/>
  <c r="B245" i="10" a="1"/>
  <c r="B245" i="10"/>
  <c r="B244" i="10" a="1"/>
  <c r="B244" i="10"/>
  <c r="B243" i="10" a="1"/>
  <c r="B243" i="10"/>
  <c r="B242" i="10" a="1"/>
  <c r="B242" i="10"/>
  <c r="B241" i="10" a="1"/>
  <c r="B241" i="10"/>
  <c r="B240" i="10" a="1"/>
  <c r="B240" i="10"/>
  <c r="B239" i="10" a="1"/>
  <c r="B239" i="10"/>
  <c r="B238" i="10" a="1"/>
  <c r="B238" i="10"/>
  <c r="B237" i="10" a="1"/>
  <c r="B237" i="10"/>
  <c r="B236" i="10" a="1"/>
  <c r="B236" i="10"/>
  <c r="B235" i="10" a="1"/>
  <c r="B235" i="10"/>
  <c r="B234" i="10" a="1"/>
  <c r="B234" i="10"/>
  <c r="B233" i="10" a="1"/>
  <c r="B233" i="10"/>
  <c r="B232" i="10" a="1"/>
  <c r="B232" i="10"/>
  <c r="B231" i="10" a="1"/>
  <c r="B231" i="10"/>
  <c r="B230" i="10" a="1"/>
  <c r="B230" i="10"/>
  <c r="B229" i="10" a="1"/>
  <c r="B229" i="10"/>
  <c r="B228" i="10" a="1"/>
  <c r="B228" i="10"/>
  <c r="B227" i="10" a="1"/>
  <c r="B227" i="10"/>
  <c r="B226" i="10" a="1"/>
  <c r="B226" i="10"/>
  <c r="B225" i="10" a="1"/>
  <c r="B225" i="10"/>
  <c r="B224" i="10" a="1"/>
  <c r="B224" i="10"/>
  <c r="B223" i="10" a="1"/>
  <c r="B223" i="10"/>
  <c r="B222" i="10" a="1"/>
  <c r="B222" i="10"/>
  <c r="B221" i="10" a="1"/>
  <c r="B221" i="10"/>
  <c r="B220" i="10" a="1"/>
  <c r="B220" i="10"/>
  <c r="B219" i="10" a="1"/>
  <c r="B219" i="10"/>
  <c r="B218" i="10" a="1"/>
  <c r="B218" i="10"/>
  <c r="B217" i="10" a="1"/>
  <c r="B217" i="10"/>
  <c r="B216" i="10" a="1"/>
  <c r="B216" i="10"/>
  <c r="B215" i="10" a="1"/>
  <c r="B215" i="10"/>
  <c r="B214" i="10" a="1"/>
  <c r="B214" i="10"/>
  <c r="B213" i="10" a="1"/>
  <c r="B213" i="10"/>
  <c r="B212" i="10" a="1"/>
  <c r="B212" i="10"/>
  <c r="B211" i="10" a="1"/>
  <c r="B211" i="10"/>
  <c r="B210" i="10" a="1"/>
  <c r="B210" i="10"/>
  <c r="B209" i="10" a="1"/>
  <c r="B209" i="10"/>
  <c r="B208" i="10" a="1"/>
  <c r="B208" i="10"/>
  <c r="B207" i="10" a="1"/>
  <c r="B207" i="10"/>
  <c r="B206" i="10" a="1"/>
  <c r="B206" i="10"/>
  <c r="B205" i="10" a="1"/>
  <c r="B205" i="10"/>
  <c r="B204" i="10" a="1"/>
  <c r="B204" i="10"/>
  <c r="B203" i="10" a="1"/>
  <c r="B203" i="10"/>
  <c r="B202" i="10" a="1"/>
  <c r="B202" i="10"/>
  <c r="B201" i="10" a="1"/>
  <c r="B201" i="10"/>
  <c r="B200" i="10" a="1"/>
  <c r="B200" i="10"/>
  <c r="B199" i="10" a="1"/>
  <c r="B199" i="10"/>
  <c r="B198" i="10" a="1"/>
  <c r="B198" i="10"/>
  <c r="B197" i="10" a="1"/>
  <c r="B197" i="10"/>
  <c r="B196" i="10" a="1"/>
  <c r="B196" i="10"/>
  <c r="B195" i="10" a="1"/>
  <c r="B195" i="10"/>
  <c r="B194" i="10" a="1"/>
  <c r="B194" i="10"/>
  <c r="B193" i="10" a="1"/>
  <c r="B193" i="10"/>
  <c r="B192" i="10" a="1"/>
  <c r="B192" i="10"/>
  <c r="B191" i="10" a="1"/>
  <c r="B191" i="10"/>
  <c r="B190" i="10" a="1"/>
  <c r="B190" i="10"/>
  <c r="B189" i="10" a="1"/>
  <c r="B189" i="10"/>
  <c r="B188" i="10" a="1"/>
  <c r="B188" i="10"/>
  <c r="B187" i="10" a="1"/>
  <c r="B187" i="10"/>
  <c r="B186" i="10" a="1"/>
  <c r="B186" i="10"/>
  <c r="B185" i="10" a="1"/>
  <c r="B185" i="10"/>
  <c r="B184" i="10" a="1"/>
  <c r="B184" i="10"/>
  <c r="B183" i="10" a="1"/>
  <c r="B183" i="10"/>
  <c r="B182" i="10" a="1"/>
  <c r="B182" i="10"/>
  <c r="B181" i="10" a="1"/>
  <c r="B181" i="10"/>
  <c r="B180" i="10" a="1"/>
  <c r="B180" i="10"/>
  <c r="B179" i="10" a="1"/>
  <c r="B179" i="10"/>
  <c r="B178" i="10" a="1"/>
  <c r="B178" i="10"/>
  <c r="B177" i="10" a="1"/>
  <c r="B177" i="10"/>
  <c r="B176" i="10" a="1"/>
  <c r="B176" i="10"/>
  <c r="B175" i="10" a="1"/>
  <c r="B175" i="10"/>
  <c r="B174" i="10" a="1"/>
  <c r="B174" i="10"/>
  <c r="B173" i="10" a="1"/>
  <c r="B173" i="10"/>
  <c r="B172" i="10" a="1"/>
  <c r="B172" i="10"/>
  <c r="B171" i="10" a="1"/>
  <c r="B171" i="10"/>
  <c r="B170" i="10" a="1"/>
  <c r="B170" i="10"/>
  <c r="B169" i="10" a="1"/>
  <c r="B169" i="10"/>
  <c r="B168" i="10" a="1"/>
  <c r="B168" i="10"/>
  <c r="B167" i="10" a="1"/>
  <c r="B167" i="10"/>
  <c r="B166" i="10" a="1"/>
  <c r="B166" i="10"/>
  <c r="B165" i="10" a="1"/>
  <c r="B165" i="10"/>
  <c r="B164" i="10" a="1"/>
  <c r="B164" i="10"/>
  <c r="B163" i="10" a="1"/>
  <c r="B163" i="10"/>
  <c r="B162" i="10" a="1"/>
  <c r="B162" i="10"/>
  <c r="B161" i="10" a="1"/>
  <c r="B161" i="10"/>
  <c r="B160" i="10" a="1"/>
  <c r="B160" i="10"/>
  <c r="B159" i="10" a="1"/>
  <c r="B159" i="10"/>
  <c r="B158" i="10" a="1"/>
  <c r="B158" i="10"/>
  <c r="B157" i="10" a="1"/>
  <c r="B157" i="10"/>
  <c r="B156" i="10" a="1"/>
  <c r="B156" i="10"/>
  <c r="B155" i="10" a="1"/>
  <c r="B155" i="10"/>
  <c r="B154" i="10" a="1"/>
  <c r="B154" i="10"/>
  <c r="B153" i="10" a="1"/>
  <c r="B153" i="10"/>
  <c r="B152" i="10" a="1"/>
  <c r="B152" i="10"/>
  <c r="B151" i="10" a="1"/>
  <c r="B151" i="10"/>
  <c r="B150" i="10" a="1"/>
  <c r="B150" i="10"/>
  <c r="B149" i="10" a="1"/>
  <c r="B149" i="10"/>
  <c r="B148" i="10" a="1"/>
  <c r="B148" i="10"/>
  <c r="B147" i="10" a="1"/>
  <c r="B147" i="10"/>
  <c r="B146" i="10" a="1"/>
  <c r="B146" i="10"/>
  <c r="B145" i="10" a="1"/>
  <c r="B145" i="10"/>
  <c r="B144" i="10" a="1"/>
  <c r="B144" i="10"/>
  <c r="B143" i="10" a="1"/>
  <c r="B143" i="10"/>
  <c r="B142" i="10" a="1"/>
  <c r="B142" i="10"/>
  <c r="B141" i="10" a="1"/>
  <c r="B141" i="10"/>
  <c r="B140" i="10" a="1"/>
  <c r="B140" i="10"/>
  <c r="B139" i="10" a="1"/>
  <c r="B139" i="10"/>
  <c r="B138" i="10" a="1"/>
  <c r="B138" i="10"/>
  <c r="B137" i="10" a="1"/>
  <c r="B137" i="10"/>
  <c r="B136" i="10" a="1"/>
  <c r="B136" i="10"/>
  <c r="B135" i="10" a="1"/>
  <c r="B135" i="10"/>
  <c r="B134" i="10" a="1"/>
  <c r="B134" i="10"/>
  <c r="B133" i="10" a="1"/>
  <c r="B133" i="10"/>
  <c r="B132" i="10" a="1"/>
  <c r="B132" i="10"/>
  <c r="B131" i="10" a="1"/>
  <c r="B131" i="10"/>
  <c r="B130" i="10" a="1"/>
  <c r="B130" i="10"/>
  <c r="B129" i="10" a="1"/>
  <c r="B129" i="10"/>
  <c r="B128" i="10" a="1"/>
  <c r="B128" i="10"/>
  <c r="B127" i="10" a="1"/>
  <c r="B127" i="10"/>
  <c r="B126" i="10" a="1"/>
  <c r="B126" i="10"/>
  <c r="B125" i="10" a="1"/>
  <c r="B125" i="10"/>
  <c r="B124" i="10" a="1"/>
  <c r="B124" i="10"/>
  <c r="B123" i="10" a="1"/>
  <c r="B123" i="10"/>
  <c r="B122" i="10" a="1"/>
  <c r="B122" i="10"/>
  <c r="B121" i="10" a="1"/>
  <c r="B121" i="10"/>
  <c r="B120" i="10" a="1"/>
  <c r="B120" i="10"/>
  <c r="B119" i="10" a="1"/>
  <c r="B119" i="10"/>
  <c r="B118" i="10" a="1"/>
  <c r="B118" i="10"/>
  <c r="B117" i="10" a="1"/>
  <c r="B117" i="10"/>
  <c r="B116" i="10" a="1"/>
  <c r="B116" i="10"/>
  <c r="B115" i="10" a="1"/>
  <c r="B115" i="10"/>
  <c r="B114" i="10" a="1"/>
  <c r="B114" i="10"/>
  <c r="B113" i="10" a="1"/>
  <c r="B113" i="10"/>
  <c r="B112" i="10" a="1"/>
  <c r="B112" i="10"/>
  <c r="B111" i="10" a="1"/>
  <c r="B111" i="10"/>
  <c r="B110" i="10" a="1"/>
  <c r="B110" i="10"/>
  <c r="B109" i="10" a="1"/>
  <c r="B109" i="10"/>
  <c r="B108" i="10" a="1"/>
  <c r="B108" i="10"/>
  <c r="B107" i="10" a="1"/>
  <c r="B107" i="10"/>
  <c r="B106" i="10" a="1"/>
  <c r="B106" i="10"/>
  <c r="B105" i="10" a="1"/>
  <c r="B105" i="10"/>
  <c r="B104" i="10" a="1"/>
  <c r="B104" i="10"/>
  <c r="B103" i="10" a="1"/>
  <c r="B103" i="10"/>
  <c r="B102" i="10" a="1"/>
  <c r="B102" i="10"/>
  <c r="B101" i="10" a="1"/>
  <c r="B101" i="10"/>
  <c r="B100" i="10" a="1"/>
  <c r="B100" i="10"/>
  <c r="B99" i="10" a="1"/>
  <c r="B99" i="10"/>
  <c r="B98" i="10" a="1"/>
  <c r="B98" i="10"/>
  <c r="B97" i="10" a="1"/>
  <c r="B97" i="10"/>
  <c r="B96" i="10" a="1"/>
  <c r="B96" i="10"/>
  <c r="B95" i="10" a="1"/>
  <c r="B95" i="10"/>
  <c r="B94" i="10" a="1"/>
  <c r="B94" i="10"/>
  <c r="B93" i="10" a="1"/>
  <c r="B93" i="10"/>
  <c r="B92" i="10" a="1"/>
  <c r="B92" i="10"/>
  <c r="B91" i="10" a="1"/>
  <c r="B91" i="10"/>
  <c r="B90" i="10" a="1"/>
  <c r="B90" i="10"/>
  <c r="B89" i="10" a="1"/>
  <c r="B89" i="10"/>
  <c r="B88" i="10" a="1"/>
  <c r="B88" i="10"/>
  <c r="B87" i="10" a="1"/>
  <c r="B87" i="10"/>
  <c r="B86" i="10" a="1"/>
  <c r="B86" i="10"/>
  <c r="B85" i="10" a="1"/>
  <c r="B85" i="10"/>
  <c r="B84" i="10" a="1"/>
  <c r="B84" i="10"/>
  <c r="B83" i="10" a="1"/>
  <c r="B83" i="10"/>
  <c r="B82" i="10" a="1"/>
  <c r="B82" i="10"/>
  <c r="B81" i="10" a="1"/>
  <c r="B81" i="10"/>
  <c r="B80" i="10" a="1"/>
  <c r="B80" i="10"/>
  <c r="B79" i="10" a="1"/>
  <c r="B79" i="10"/>
  <c r="B78" i="10" a="1"/>
  <c r="B78" i="10"/>
  <c r="B77" i="10" a="1"/>
  <c r="B77" i="10"/>
  <c r="B76" i="10" a="1"/>
  <c r="B76" i="10"/>
  <c r="B75" i="10" a="1"/>
  <c r="B75" i="10"/>
  <c r="B74" i="10" a="1"/>
  <c r="B74" i="10"/>
  <c r="B73" i="10" a="1"/>
  <c r="B73" i="10"/>
  <c r="B72" i="10" a="1"/>
  <c r="B72" i="10"/>
  <c r="B71" i="10" a="1"/>
  <c r="B71" i="10"/>
  <c r="B70" i="10" a="1"/>
  <c r="B70" i="10"/>
  <c r="B69" i="10" a="1"/>
  <c r="B69" i="10"/>
  <c r="B68" i="10" a="1"/>
  <c r="B68" i="10"/>
  <c r="B67" i="10" a="1"/>
  <c r="B67" i="10"/>
  <c r="B66" i="10" a="1"/>
  <c r="B66" i="10"/>
  <c r="B65" i="10" a="1"/>
  <c r="B65" i="10"/>
  <c r="B64" i="10" a="1"/>
  <c r="B64" i="10"/>
  <c r="B63" i="10" a="1"/>
  <c r="B63" i="10"/>
  <c r="B62" i="10" a="1"/>
  <c r="B62" i="10"/>
  <c r="B61" i="10" a="1"/>
  <c r="B61" i="10"/>
  <c r="B60" i="10" a="1"/>
  <c r="B60" i="10"/>
  <c r="B59" i="10" a="1"/>
  <c r="B59" i="10"/>
  <c r="B58" i="10" a="1"/>
  <c r="B58" i="10"/>
  <c r="B57" i="10" a="1"/>
  <c r="B57" i="10"/>
  <c r="B56" i="10" a="1"/>
  <c r="B56" i="10"/>
  <c r="B55" i="10" a="1"/>
  <c r="B55" i="10"/>
  <c r="B54" i="10" a="1"/>
  <c r="B54" i="10"/>
  <c r="B53" i="10" a="1"/>
  <c r="B53" i="10"/>
  <c r="B52" i="10" a="1"/>
  <c r="B52" i="10"/>
  <c r="B51" i="10" a="1"/>
  <c r="B51" i="10"/>
  <c r="B50" i="10" a="1"/>
  <c r="B50" i="10"/>
  <c r="B49" i="10" a="1"/>
  <c r="B49" i="10"/>
  <c r="B48" i="10" a="1"/>
  <c r="B48" i="10"/>
  <c r="B47" i="10" a="1"/>
  <c r="B47" i="10"/>
  <c r="B46" i="10" a="1"/>
  <c r="B46" i="10"/>
  <c r="B45" i="10" a="1"/>
  <c r="B45" i="10"/>
  <c r="B44" i="10" a="1"/>
  <c r="B44" i="10"/>
  <c r="B43" i="10" a="1"/>
  <c r="B43" i="10"/>
  <c r="B42" i="10" a="1"/>
  <c r="B42" i="10"/>
  <c r="B41" i="10" a="1"/>
  <c r="B41" i="10"/>
  <c r="B40" i="10" a="1"/>
  <c r="B40" i="10"/>
  <c r="B39" i="10" a="1"/>
  <c r="B39" i="10"/>
  <c r="B38" i="10" a="1"/>
  <c r="B38" i="10"/>
  <c r="B37" i="10" a="1"/>
  <c r="B37" i="10"/>
  <c r="B36" i="10" a="1"/>
  <c r="B36" i="10"/>
  <c r="B35" i="10" a="1"/>
  <c r="B35" i="10"/>
  <c r="B34" i="10" a="1"/>
  <c r="B34" i="10"/>
  <c r="B33" i="10" a="1"/>
  <c r="B33" i="10"/>
  <c r="B32" i="10" a="1"/>
  <c r="B32" i="10"/>
  <c r="B31" i="10" a="1"/>
  <c r="B31" i="10"/>
  <c r="B30" i="10" a="1"/>
  <c r="B30" i="10"/>
  <c r="B29" i="10" a="1"/>
  <c r="B29" i="10"/>
  <c r="B28" i="10" a="1"/>
  <c r="B28" i="10"/>
  <c r="B27" i="10" a="1"/>
  <c r="B27" i="10"/>
  <c r="B26" i="10" a="1"/>
  <c r="B26" i="10"/>
  <c r="B25" i="10" a="1"/>
  <c r="B25" i="10"/>
  <c r="B24" i="10" a="1"/>
  <c r="B24" i="10"/>
  <c r="B23" i="10" a="1"/>
  <c r="B23" i="10"/>
  <c r="B22" i="10" a="1"/>
  <c r="B22" i="10"/>
  <c r="B21" i="10" a="1"/>
  <c r="B21" i="10"/>
  <c r="B20" i="10" a="1"/>
  <c r="B20" i="10"/>
  <c r="B19" i="10" a="1"/>
  <c r="B19" i="10"/>
  <c r="B18" i="10" a="1"/>
  <c r="B18" i="10"/>
  <c r="B17" i="10" a="1"/>
  <c r="B17" i="10"/>
  <c r="B16" i="10" a="1"/>
  <c r="B16" i="10"/>
  <c r="B15" i="10" a="1"/>
  <c r="B15" i="10"/>
  <c r="B14" i="10" a="1"/>
  <c r="B14" i="10"/>
  <c r="B13" i="10" a="1"/>
  <c r="B13" i="10"/>
  <c r="B12" i="10" a="1"/>
  <c r="B12" i="10"/>
  <c r="B11" i="10" a="1"/>
  <c r="B11" i="10"/>
  <c r="B10" i="10" a="1"/>
  <c r="B10" i="10"/>
  <c r="B9" i="10" a="1"/>
  <c r="B9" i="10"/>
  <c r="B8" i="10" a="1"/>
  <c r="B8" i="10"/>
  <c r="B7" i="10" a="1"/>
  <c r="B7" i="10"/>
  <c r="B6" i="10" a="1"/>
  <c r="B6" i="10"/>
  <c r="B5" i="10" a="1"/>
  <c r="B5" i="10"/>
  <c r="B4" i="10" a="1"/>
  <c r="B4" i="10"/>
  <c r="B3" i="10" a="1"/>
  <c r="B3" i="10"/>
  <c r="B2" i="10" a="1"/>
  <c r="B2" i="10"/>
  <c r="O4" i="4"/>
  <c r="M4" i="4" a="1"/>
  <c r="M4" i="4"/>
  <c r="I4" i="4"/>
  <c r="A4" i="4"/>
  <c r="O3" i="4"/>
  <c r="K3" i="4"/>
  <c r="I3" i="4"/>
  <c r="O2" i="4"/>
  <c r="M2" i="4" a="1"/>
  <c r="M2" i="4"/>
  <c r="I2" i="4"/>
  <c r="A2" i="4"/>
  <c r="D332" i="3" a="1"/>
  <c r="D332" i="3"/>
  <c r="D331" i="3" a="1"/>
  <c r="D331" i="3"/>
  <c r="D330" i="3" a="1"/>
  <c r="D330" i="3"/>
  <c r="D329" i="3" a="1"/>
  <c r="D329" i="3"/>
  <c r="D328" i="3" a="1"/>
  <c r="D328" i="3"/>
  <c r="D327" i="3" a="1"/>
  <c r="D327" i="3"/>
  <c r="D326" i="3" a="1"/>
  <c r="D326" i="3"/>
  <c r="D325" i="3" a="1"/>
  <c r="D325" i="3"/>
  <c r="D324" i="3" a="1"/>
  <c r="D324" i="3"/>
  <c r="D323" i="3" a="1"/>
  <c r="D323" i="3"/>
  <c r="D322" i="3" a="1"/>
  <c r="D322" i="3"/>
  <c r="D321" i="3" a="1"/>
  <c r="D321" i="3"/>
  <c r="D320" i="3" a="1"/>
  <c r="D320" i="3"/>
  <c r="D319" i="3" a="1"/>
  <c r="D319" i="3"/>
  <c r="D318" i="3" a="1"/>
  <c r="D318" i="3"/>
  <c r="D317" i="3" a="1"/>
  <c r="D317" i="3"/>
  <c r="D316" i="3" a="1"/>
  <c r="D316" i="3"/>
  <c r="D315" i="3" a="1"/>
  <c r="D315" i="3"/>
  <c r="D314" i="3" a="1"/>
  <c r="D314" i="3"/>
  <c r="D313" i="3" a="1"/>
  <c r="D313" i="3"/>
  <c r="D312" i="3" a="1"/>
  <c r="D312" i="3"/>
  <c r="D311" i="3" a="1"/>
  <c r="D311" i="3"/>
  <c r="D310" i="3" a="1"/>
  <c r="D310" i="3"/>
  <c r="D309" i="3" a="1"/>
  <c r="D309" i="3"/>
  <c r="D308" i="3" a="1"/>
  <c r="D308" i="3"/>
  <c r="D307" i="3" a="1"/>
  <c r="D307" i="3"/>
  <c r="D306" i="3" a="1"/>
  <c r="D306" i="3"/>
  <c r="D305" i="3" a="1"/>
  <c r="D305" i="3"/>
  <c r="D304" i="3" a="1"/>
  <c r="D304" i="3"/>
  <c r="D303" i="3" a="1"/>
  <c r="D303" i="3"/>
  <c r="D302" i="3" a="1"/>
  <c r="D302" i="3"/>
  <c r="D301" i="3" a="1"/>
  <c r="D301" i="3"/>
  <c r="D300" i="3" a="1"/>
  <c r="D300" i="3"/>
  <c r="D299" i="3" a="1"/>
  <c r="D299" i="3"/>
  <c r="D298" i="3" a="1"/>
  <c r="D298" i="3"/>
  <c r="D297" i="3" a="1"/>
  <c r="D297" i="3"/>
  <c r="D296" i="3" a="1"/>
  <c r="D296" i="3"/>
  <c r="D295" i="3" a="1"/>
  <c r="D295" i="3"/>
  <c r="D294" i="3" a="1"/>
  <c r="D294" i="3"/>
  <c r="D293" i="3" a="1"/>
  <c r="D293" i="3"/>
  <c r="D292" i="3" a="1"/>
  <c r="D292" i="3"/>
  <c r="D291" i="3" a="1"/>
  <c r="D291" i="3"/>
  <c r="D290" i="3" a="1"/>
  <c r="D290" i="3"/>
  <c r="D289" i="3" a="1"/>
  <c r="D289" i="3"/>
  <c r="D288" i="3" a="1"/>
  <c r="D288" i="3"/>
  <c r="D287" i="3" a="1"/>
  <c r="D287" i="3"/>
  <c r="D286" i="3" a="1"/>
  <c r="D286" i="3"/>
  <c r="D285" i="3" a="1"/>
  <c r="D285" i="3"/>
  <c r="D284" i="3" a="1"/>
  <c r="D284" i="3"/>
  <c r="D283" i="3" a="1"/>
  <c r="D283" i="3"/>
  <c r="D282" i="3" a="1"/>
  <c r="D282" i="3"/>
  <c r="D281" i="3" a="1"/>
  <c r="D281" i="3"/>
  <c r="D280" i="3" a="1"/>
  <c r="D280" i="3"/>
  <c r="D279" i="3" a="1"/>
  <c r="D279" i="3"/>
  <c r="D278" i="3" a="1"/>
  <c r="D278" i="3"/>
  <c r="D277" i="3" a="1"/>
  <c r="D277" i="3"/>
  <c r="D276" i="3" a="1"/>
  <c r="D276" i="3"/>
  <c r="D275" i="3" a="1"/>
  <c r="D275" i="3"/>
  <c r="D274" i="3" a="1"/>
  <c r="D274" i="3"/>
  <c r="D273" i="3" a="1"/>
  <c r="D273" i="3"/>
  <c r="D272" i="3" a="1"/>
  <c r="D272" i="3"/>
  <c r="D271" i="3" a="1"/>
  <c r="D271" i="3"/>
  <c r="D270" i="3" a="1"/>
  <c r="D270" i="3"/>
  <c r="D269" i="3" a="1"/>
  <c r="D269" i="3"/>
  <c r="D268" i="3" a="1"/>
  <c r="D268" i="3"/>
  <c r="D267" i="3" a="1"/>
  <c r="D267" i="3"/>
  <c r="D266" i="3" a="1"/>
  <c r="D266" i="3"/>
  <c r="D265" i="3" a="1"/>
  <c r="D265" i="3"/>
  <c r="D264" i="3" a="1"/>
  <c r="D264" i="3"/>
  <c r="D263" i="3" a="1"/>
  <c r="D263" i="3"/>
  <c r="D262" i="3" a="1"/>
  <c r="D262" i="3"/>
  <c r="D261" i="3" a="1"/>
  <c r="D261" i="3"/>
  <c r="D260" i="3" a="1"/>
  <c r="D260" i="3"/>
  <c r="D259" i="3" a="1"/>
  <c r="D259" i="3"/>
  <c r="D258" i="3" a="1"/>
  <c r="D258" i="3"/>
  <c r="D257" i="3" a="1"/>
  <c r="D257" i="3"/>
  <c r="D256" i="3" a="1"/>
  <c r="D256" i="3"/>
  <c r="D255" i="3" a="1"/>
  <c r="D255" i="3"/>
  <c r="D254" i="3" a="1"/>
  <c r="D254" i="3"/>
  <c r="D253" i="3" a="1"/>
  <c r="D253" i="3"/>
  <c r="D252" i="3" a="1"/>
  <c r="D252" i="3"/>
  <c r="D251" i="3" a="1"/>
  <c r="D251" i="3"/>
  <c r="D250" i="3" a="1"/>
  <c r="D250" i="3"/>
  <c r="D249" i="3" a="1"/>
  <c r="D249" i="3"/>
  <c r="D248" i="3" a="1"/>
  <c r="D248" i="3"/>
  <c r="D247" i="3" a="1"/>
  <c r="D247" i="3"/>
  <c r="D246" i="3" a="1"/>
  <c r="D246" i="3"/>
  <c r="D245" i="3" a="1"/>
  <c r="D245" i="3"/>
  <c r="D244" i="3" a="1"/>
  <c r="D244" i="3"/>
  <c r="D243" i="3" a="1"/>
  <c r="D243" i="3"/>
  <c r="D242" i="3" a="1"/>
  <c r="D242" i="3"/>
  <c r="D241" i="3" a="1"/>
  <c r="D241" i="3"/>
  <c r="D240" i="3" a="1"/>
  <c r="D240" i="3"/>
  <c r="D239" i="3" a="1"/>
  <c r="D239" i="3"/>
  <c r="D238" i="3" a="1"/>
  <c r="D238" i="3"/>
  <c r="D237" i="3" a="1"/>
  <c r="D237" i="3"/>
  <c r="D236" i="3" a="1"/>
  <c r="D236" i="3"/>
  <c r="D235" i="3" a="1"/>
  <c r="D235" i="3"/>
  <c r="D234" i="3" a="1"/>
  <c r="D234" i="3"/>
  <c r="D233" i="3" a="1"/>
  <c r="D233" i="3"/>
  <c r="D232" i="3" a="1"/>
  <c r="D232" i="3"/>
  <c r="D231" i="3" a="1"/>
  <c r="D231" i="3"/>
  <c r="D230" i="3" a="1"/>
  <c r="D230" i="3"/>
  <c r="D229" i="3" a="1"/>
  <c r="D229" i="3"/>
  <c r="D228" i="3" a="1"/>
  <c r="D228" i="3"/>
  <c r="D227" i="3" a="1"/>
  <c r="D227" i="3"/>
  <c r="D226" i="3" a="1"/>
  <c r="D226" i="3"/>
  <c r="D225" i="3" a="1"/>
  <c r="D225" i="3"/>
  <c r="D224" i="3" a="1"/>
  <c r="D224" i="3"/>
  <c r="D223" i="3" a="1"/>
  <c r="D223" i="3"/>
  <c r="D222" i="3" a="1"/>
  <c r="D222" i="3"/>
  <c r="D221" i="3" a="1"/>
  <c r="D221" i="3"/>
  <c r="D220" i="3" a="1"/>
  <c r="D220" i="3"/>
  <c r="D219" i="3" a="1"/>
  <c r="D219" i="3"/>
  <c r="D218" i="3" a="1"/>
  <c r="D218" i="3"/>
  <c r="D217" i="3" a="1"/>
  <c r="D217" i="3"/>
  <c r="D216" i="3" a="1"/>
  <c r="D216" i="3"/>
  <c r="D215" i="3" a="1"/>
  <c r="D215" i="3"/>
  <c r="D214" i="3" a="1"/>
  <c r="D214" i="3"/>
  <c r="D213" i="3" a="1"/>
  <c r="D213" i="3"/>
  <c r="D212" i="3" a="1"/>
  <c r="D212" i="3"/>
  <c r="D211" i="3" a="1"/>
  <c r="D211" i="3"/>
  <c r="D210" i="3" a="1"/>
  <c r="D210" i="3"/>
  <c r="D209" i="3" a="1"/>
  <c r="D209" i="3"/>
  <c r="D208" i="3" a="1"/>
  <c r="D208" i="3"/>
  <c r="D207" i="3" a="1"/>
  <c r="D207" i="3"/>
  <c r="D206" i="3" a="1"/>
  <c r="D206" i="3"/>
  <c r="D205" i="3" a="1"/>
  <c r="D205" i="3"/>
  <c r="D204" i="3" a="1"/>
  <c r="D204" i="3"/>
  <c r="D203" i="3" a="1"/>
  <c r="D203" i="3"/>
  <c r="D202" i="3" a="1"/>
  <c r="D202" i="3"/>
  <c r="D201" i="3" a="1"/>
  <c r="D201" i="3"/>
  <c r="D200" i="3" a="1"/>
  <c r="D200" i="3"/>
  <c r="D199" i="3" a="1"/>
  <c r="D199" i="3"/>
  <c r="D198" i="3" a="1"/>
  <c r="D198" i="3"/>
  <c r="D197" i="3" a="1"/>
  <c r="D197" i="3"/>
  <c r="D196" i="3" a="1"/>
  <c r="D196" i="3"/>
  <c r="D195" i="3" a="1"/>
  <c r="D195" i="3"/>
  <c r="D194" i="3" a="1"/>
  <c r="D194" i="3"/>
  <c r="D193" i="3" a="1"/>
  <c r="D193" i="3"/>
  <c r="D192" i="3" a="1"/>
  <c r="D192" i="3"/>
  <c r="D191" i="3" a="1"/>
  <c r="D191" i="3"/>
  <c r="D190" i="3" a="1"/>
  <c r="D190" i="3"/>
  <c r="D189" i="3" a="1"/>
  <c r="D189" i="3"/>
  <c r="D188" i="3" a="1"/>
  <c r="D188" i="3"/>
  <c r="D187" i="3" a="1"/>
  <c r="D187" i="3"/>
  <c r="D186" i="3" a="1"/>
  <c r="D186" i="3"/>
  <c r="D185" i="3" a="1"/>
  <c r="D185" i="3"/>
  <c r="D184" i="3" a="1"/>
  <c r="D184" i="3"/>
  <c r="D183" i="3" a="1"/>
  <c r="D183" i="3"/>
  <c r="D182" i="3" a="1"/>
  <c r="D182" i="3"/>
  <c r="D181" i="3" a="1"/>
  <c r="D181" i="3"/>
  <c r="D180" i="3" a="1"/>
  <c r="D180" i="3"/>
  <c r="D179" i="3" a="1"/>
  <c r="D179" i="3"/>
  <c r="D178" i="3" a="1"/>
  <c r="D178" i="3"/>
  <c r="D177" i="3" a="1"/>
  <c r="D177" i="3"/>
  <c r="D176" i="3" a="1"/>
  <c r="D176" i="3"/>
  <c r="D175" i="3" a="1"/>
  <c r="D175" i="3"/>
  <c r="D174" i="3" a="1"/>
  <c r="D174" i="3"/>
  <c r="D173" i="3" a="1"/>
  <c r="D173" i="3"/>
  <c r="D172" i="3" a="1"/>
  <c r="D172" i="3"/>
  <c r="D171" i="3" a="1"/>
  <c r="D171" i="3"/>
  <c r="D170" i="3" a="1"/>
  <c r="D170" i="3"/>
  <c r="D169" i="3" a="1"/>
  <c r="D169" i="3"/>
  <c r="D168" i="3" a="1"/>
  <c r="D168" i="3"/>
  <c r="D167" i="3" a="1"/>
  <c r="D167" i="3"/>
  <c r="D166" i="3" a="1"/>
  <c r="D166" i="3"/>
  <c r="D165" i="3" a="1"/>
  <c r="D165" i="3"/>
  <c r="D164" i="3" a="1"/>
  <c r="D164" i="3"/>
  <c r="D163" i="3" a="1"/>
  <c r="D163" i="3"/>
  <c r="D162" i="3" a="1"/>
  <c r="D162" i="3"/>
  <c r="D161" i="3" a="1"/>
  <c r="D161" i="3"/>
  <c r="D160" i="3" a="1"/>
  <c r="D160" i="3"/>
  <c r="D159" i="3" a="1"/>
  <c r="D159" i="3"/>
  <c r="D158" i="3" a="1"/>
  <c r="D158" i="3"/>
  <c r="D157" i="3" a="1"/>
  <c r="D157" i="3"/>
  <c r="D156" i="3" a="1"/>
  <c r="D156" i="3"/>
  <c r="D155" i="3" a="1"/>
  <c r="D155" i="3"/>
  <c r="D154" i="3" a="1"/>
  <c r="D154" i="3"/>
  <c r="D153" i="3" a="1"/>
  <c r="D153" i="3"/>
  <c r="D152" i="3" a="1"/>
  <c r="D152" i="3"/>
  <c r="D151" i="3" a="1"/>
  <c r="D151" i="3"/>
  <c r="D150" i="3" a="1"/>
  <c r="D150" i="3"/>
  <c r="D149" i="3" a="1"/>
  <c r="D149" i="3"/>
  <c r="D148" i="3" a="1"/>
  <c r="D148" i="3"/>
  <c r="D147" i="3" a="1"/>
  <c r="D147" i="3"/>
  <c r="D146" i="3" a="1"/>
  <c r="D146" i="3"/>
  <c r="D145" i="3" a="1"/>
  <c r="D145" i="3"/>
  <c r="D144" i="3" a="1"/>
  <c r="D144" i="3"/>
  <c r="D143" i="3" a="1"/>
  <c r="D143" i="3"/>
  <c r="D142" i="3" a="1"/>
  <c r="D142" i="3"/>
  <c r="D141" i="3" a="1"/>
  <c r="D141" i="3"/>
  <c r="D140" i="3" a="1"/>
  <c r="D140" i="3"/>
  <c r="D139" i="3" a="1"/>
  <c r="D139" i="3"/>
  <c r="D138" i="3" a="1"/>
  <c r="D138" i="3"/>
  <c r="D137" i="3" a="1"/>
  <c r="D137" i="3"/>
  <c r="D136" i="3" a="1"/>
  <c r="D136" i="3"/>
  <c r="D135" i="3" a="1"/>
  <c r="D135" i="3"/>
  <c r="D134" i="3" a="1"/>
  <c r="D134" i="3"/>
  <c r="D133" i="3" a="1"/>
  <c r="D133" i="3"/>
  <c r="D132" i="3" a="1"/>
  <c r="D132" i="3"/>
  <c r="D131" i="3" a="1"/>
  <c r="D131" i="3"/>
  <c r="D130" i="3" a="1"/>
  <c r="D130" i="3"/>
  <c r="D129" i="3" a="1"/>
  <c r="D129" i="3"/>
  <c r="D128" i="3" a="1"/>
  <c r="D128" i="3"/>
  <c r="D127" i="3" a="1"/>
  <c r="D127" i="3"/>
  <c r="D126" i="3" a="1"/>
  <c r="D126" i="3"/>
  <c r="D125" i="3" a="1"/>
  <c r="D125" i="3"/>
  <c r="D124" i="3" a="1"/>
  <c r="D124" i="3"/>
  <c r="D123" i="3" a="1"/>
  <c r="D123" i="3"/>
  <c r="D122" i="3" a="1"/>
  <c r="D122" i="3"/>
  <c r="D121" i="3" a="1"/>
  <c r="D121" i="3"/>
  <c r="D120" i="3" a="1"/>
  <c r="D120" i="3"/>
  <c r="D119" i="3" a="1"/>
  <c r="D119" i="3"/>
  <c r="D118" i="3" a="1"/>
  <c r="D118" i="3"/>
  <c r="D117" i="3" a="1"/>
  <c r="D117" i="3"/>
  <c r="D116" i="3" a="1"/>
  <c r="D116" i="3"/>
  <c r="D115" i="3" a="1"/>
  <c r="D115" i="3"/>
  <c r="D114" i="3" a="1"/>
  <c r="D114" i="3"/>
  <c r="D113" i="3" a="1"/>
  <c r="D113" i="3"/>
  <c r="D112" i="3" a="1"/>
  <c r="D112" i="3"/>
  <c r="D111" i="3" a="1"/>
  <c r="D111" i="3"/>
  <c r="D110" i="3" a="1"/>
  <c r="D110" i="3"/>
  <c r="D109" i="3" a="1"/>
  <c r="D109" i="3"/>
  <c r="D108" i="3" a="1"/>
  <c r="D108" i="3"/>
  <c r="D107" i="3" a="1"/>
  <c r="D107" i="3"/>
  <c r="D106" i="3" a="1"/>
  <c r="D106" i="3"/>
  <c r="D105" i="3" a="1"/>
  <c r="D105" i="3"/>
  <c r="D104" i="3" a="1"/>
  <c r="D104" i="3"/>
  <c r="D103" i="3" a="1"/>
  <c r="D103" i="3"/>
  <c r="D102" i="3" a="1"/>
  <c r="D102" i="3"/>
  <c r="D101" i="3" a="1"/>
  <c r="D101" i="3"/>
  <c r="D100" i="3" a="1"/>
  <c r="D100" i="3"/>
  <c r="D99" i="3" a="1"/>
  <c r="D99" i="3"/>
  <c r="D98" i="3" a="1"/>
  <c r="D98" i="3"/>
  <c r="D97" i="3" a="1"/>
  <c r="D97" i="3"/>
  <c r="D96" i="3" a="1"/>
  <c r="D96" i="3"/>
  <c r="D95" i="3" a="1"/>
  <c r="D95" i="3"/>
  <c r="D94" i="3" a="1"/>
  <c r="D94" i="3"/>
  <c r="D93" i="3" a="1"/>
  <c r="D93" i="3"/>
  <c r="D92" i="3" a="1"/>
  <c r="D92" i="3"/>
  <c r="D91" i="3" a="1"/>
  <c r="D91" i="3"/>
  <c r="D90" i="3" a="1"/>
  <c r="D90" i="3"/>
  <c r="D89" i="3" a="1"/>
  <c r="D89" i="3"/>
  <c r="D88" i="3" a="1"/>
  <c r="D88" i="3"/>
  <c r="D87" i="3" a="1"/>
  <c r="D87" i="3"/>
  <c r="D86" i="3" a="1"/>
  <c r="D86" i="3"/>
  <c r="D85" i="3" a="1"/>
  <c r="D85" i="3"/>
  <c r="D84" i="3" a="1"/>
  <c r="D84" i="3"/>
  <c r="D83" i="3" a="1"/>
  <c r="D83" i="3"/>
  <c r="D82" i="3" a="1"/>
  <c r="D82" i="3"/>
  <c r="D81" i="3" a="1"/>
  <c r="D81" i="3"/>
  <c r="D80" i="3" a="1"/>
  <c r="D80" i="3"/>
  <c r="D79" i="3" a="1"/>
  <c r="D79" i="3"/>
  <c r="D78" i="3" a="1"/>
  <c r="D78" i="3"/>
  <c r="D77" i="3" a="1"/>
  <c r="D77" i="3"/>
  <c r="D76" i="3" a="1"/>
  <c r="D76" i="3"/>
  <c r="D75" i="3" a="1"/>
  <c r="D75" i="3"/>
  <c r="D74" i="3" a="1"/>
  <c r="D74" i="3"/>
  <c r="D73" i="3" a="1"/>
  <c r="D73" i="3"/>
  <c r="D72" i="3" a="1"/>
  <c r="D72" i="3"/>
  <c r="D71" i="3" a="1"/>
  <c r="D71" i="3"/>
  <c r="D70" i="3" a="1"/>
  <c r="D70" i="3"/>
  <c r="D69" i="3" a="1"/>
  <c r="D69" i="3"/>
  <c r="D68" i="3" a="1"/>
  <c r="D68" i="3"/>
  <c r="D67" i="3" a="1"/>
  <c r="D67" i="3"/>
  <c r="D66" i="3" a="1"/>
  <c r="D66" i="3"/>
  <c r="D65" i="3" a="1"/>
  <c r="D65" i="3"/>
  <c r="D64" i="3" a="1"/>
  <c r="D64" i="3"/>
  <c r="D63" i="3" a="1"/>
  <c r="D63" i="3"/>
  <c r="D62" i="3" a="1"/>
  <c r="D62" i="3"/>
  <c r="D61" i="3" a="1"/>
  <c r="D61" i="3"/>
  <c r="D60" i="3" a="1"/>
  <c r="D60" i="3"/>
  <c r="D59" i="3" a="1"/>
  <c r="D59" i="3"/>
  <c r="D58" i="3" a="1"/>
  <c r="D58" i="3"/>
  <c r="D57" i="3" a="1"/>
  <c r="D57" i="3"/>
  <c r="D56" i="3" a="1"/>
  <c r="D56" i="3"/>
  <c r="D55" i="3" a="1"/>
  <c r="D55" i="3"/>
  <c r="D54" i="3" a="1"/>
  <c r="D54" i="3"/>
  <c r="D53" i="3" a="1"/>
  <c r="D53" i="3"/>
  <c r="D52" i="3" a="1"/>
  <c r="D52" i="3"/>
  <c r="D51" i="3" a="1"/>
  <c r="D51" i="3"/>
  <c r="D50" i="3" a="1"/>
  <c r="D50" i="3"/>
  <c r="D49" i="3" a="1"/>
  <c r="D49" i="3"/>
  <c r="D48" i="3" a="1"/>
  <c r="D48" i="3"/>
  <c r="D47" i="3" a="1"/>
  <c r="D47" i="3"/>
  <c r="D46" i="3" a="1"/>
  <c r="D46" i="3"/>
  <c r="D45" i="3" a="1"/>
  <c r="D45" i="3"/>
  <c r="D44" i="3" a="1"/>
  <c r="D44" i="3"/>
  <c r="D43" i="3" a="1"/>
  <c r="D43" i="3"/>
  <c r="D42" i="3" a="1"/>
  <c r="D42" i="3"/>
  <c r="D41" i="3" a="1"/>
  <c r="D41" i="3"/>
  <c r="D40" i="3" a="1"/>
  <c r="D40" i="3"/>
  <c r="D39" i="3" a="1"/>
  <c r="D39" i="3"/>
  <c r="D38" i="3" a="1"/>
  <c r="D38" i="3"/>
  <c r="D37" i="3" a="1"/>
  <c r="D37" i="3"/>
  <c r="D36" i="3" a="1"/>
  <c r="D36" i="3"/>
  <c r="D35" i="3" a="1"/>
  <c r="D35" i="3"/>
  <c r="D34" i="3" a="1"/>
  <c r="D34" i="3"/>
  <c r="D33" i="3" a="1"/>
  <c r="D33" i="3"/>
  <c r="D32" i="3" a="1"/>
  <c r="D32" i="3"/>
  <c r="D31" i="3" a="1"/>
  <c r="D31" i="3"/>
  <c r="D30" i="3" a="1"/>
  <c r="D30" i="3"/>
  <c r="D29" i="3" a="1"/>
  <c r="D29" i="3"/>
  <c r="D28" i="3" a="1"/>
  <c r="D28" i="3"/>
  <c r="D27" i="3" a="1"/>
  <c r="D27" i="3"/>
  <c r="D26" i="3" a="1"/>
  <c r="D26" i="3"/>
  <c r="D25" i="3" a="1"/>
  <c r="D25" i="3"/>
  <c r="D24" i="3" a="1"/>
  <c r="D24" i="3"/>
  <c r="D23" i="3" a="1"/>
  <c r="D23" i="3"/>
  <c r="D22" i="3" a="1"/>
  <c r="D22" i="3"/>
  <c r="D21" i="3" a="1"/>
  <c r="D21" i="3"/>
  <c r="D20" i="3" a="1"/>
  <c r="D20" i="3"/>
  <c r="D19" i="3" a="1"/>
  <c r="D19" i="3"/>
  <c r="D18" i="3" a="1"/>
  <c r="D18" i="3"/>
  <c r="D17" i="3" a="1"/>
  <c r="D17" i="3"/>
  <c r="D16" i="3" a="1"/>
  <c r="D16" i="3"/>
  <c r="D15" i="3" a="1"/>
  <c r="D15" i="3"/>
  <c r="D14" i="3" a="1"/>
  <c r="D14" i="3"/>
  <c r="D13" i="3" a="1"/>
  <c r="D13" i="3"/>
  <c r="D12" i="3" a="1"/>
  <c r="D12" i="3"/>
  <c r="D11" i="3" a="1"/>
  <c r="D11" i="3"/>
  <c r="D10" i="3" a="1"/>
  <c r="D10" i="3"/>
  <c r="D9" i="3" a="1"/>
  <c r="D9" i="3"/>
  <c r="D8" i="3" a="1"/>
  <c r="D8" i="3"/>
  <c r="D7" i="3" a="1"/>
  <c r="D7" i="3"/>
  <c r="D6" i="3" a="1"/>
  <c r="D6" i="3"/>
  <c r="D5" i="3" a="1"/>
  <c r="D5" i="3"/>
  <c r="D4" i="3" a="1"/>
  <c r="D4" i="3"/>
  <c r="D3" i="3" a="1"/>
  <c r="D3" i="3"/>
  <c r="D2" i="3" a="1"/>
  <c r="D2" i="3"/>
  <c r="B2" i="24"/>
</calcChain>
</file>

<file path=xl/sharedStrings.xml><?xml version="1.0" encoding="utf-8"?>
<sst xmlns="http://schemas.openxmlformats.org/spreadsheetml/2006/main" count="34576" uniqueCount="3118">
  <si>
    <t>ФИО</t>
  </si>
  <si>
    <t>e-mail</t>
  </si>
  <si>
    <t>e-mail МУДЛ</t>
  </si>
  <si>
    <t>hfccskrf</t>
  </si>
  <si>
    <t>Гапоненко Сергей Алексеевич</t>
  </si>
  <si>
    <t>s.a.gaponenko@mtuci.ru</t>
  </si>
  <si>
    <t>ggserongg@gmail.com</t>
  </si>
  <si>
    <t>Заликов Руслан Артурович</t>
  </si>
  <si>
    <t>r.a.zalikov@edu.mtuci.ru</t>
  </si>
  <si>
    <t>rus.zalikov@bk.ru</t>
  </si>
  <si>
    <t>Иевлев Кирилл Олегович</t>
  </si>
  <si>
    <t>k.o.ievlev@mtuci.ru</t>
  </si>
  <si>
    <t>ievlev.k.o@yandex.ru</t>
  </si>
  <si>
    <t>Кулагин Владимир Петрович</t>
  </si>
  <si>
    <t>v.p.kulagin@mtuci.ru</t>
  </si>
  <si>
    <t>Мкртчян Грач Маратович</t>
  </si>
  <si>
    <t>g.m.mkrtchyan@mtuci.ru</t>
  </si>
  <si>
    <t>Мокин Александр Игоревич</t>
  </si>
  <si>
    <t>a.i.mokin@mtuci.ru</t>
  </si>
  <si>
    <t>alejmokin@yandex.ru</t>
  </si>
  <si>
    <t>Мосева Алеся Сергеевна</t>
  </si>
  <si>
    <t>a.s.moseva@mtuci.ru</t>
  </si>
  <si>
    <t>mosevaa@yandex.ru</t>
  </si>
  <si>
    <t>Мосева Марина Сергеевна</t>
  </si>
  <si>
    <t>m.s.moseva@mtuci.ru</t>
  </si>
  <si>
    <t>Павликов Артем Евгеньевич</t>
  </si>
  <si>
    <t>a.e.pavlikov@mtuci.ru</t>
  </si>
  <si>
    <t>Петросян Вера Рафаэловна</t>
  </si>
  <si>
    <t>v.r.petrosyan@mtuci.ru</t>
  </si>
  <si>
    <t>Полянцева Ксения Андреевна</t>
  </si>
  <si>
    <t>k.a.poliantseva@mtuci.ru</t>
  </si>
  <si>
    <t>Потапченко Тимур Дмитриевич</t>
  </si>
  <si>
    <t>t.d.potapchenko@mtuci.ru</t>
  </si>
  <si>
    <t>Городничев Михаил Геннадьевич</t>
  </si>
  <si>
    <t>m.g.gorodnichev@mtuci.ru</t>
  </si>
  <si>
    <t>gorodnichev89@yandex.ru</t>
  </si>
  <si>
    <t>Сергеев Андрей Евгеньевич</t>
  </si>
  <si>
    <t>a.e.sergeev@mtuci.ru</t>
  </si>
  <si>
    <t>se-an-ev@yandex.ru</t>
  </si>
  <si>
    <t>Симонов Сергей Евгеньевич</t>
  </si>
  <si>
    <t>s.e.simonov@mtuci.ru</t>
  </si>
  <si>
    <t>Сопов Андрей Алексеевич</t>
  </si>
  <si>
    <t>a.a.sopov@mtuci.ru</t>
  </si>
  <si>
    <t>saa020403@gmail.com</t>
  </si>
  <si>
    <t>Харрасов Камиль Раисович</t>
  </si>
  <si>
    <t>k.r.harrasov@mtuci.ru</t>
  </si>
  <si>
    <t>Шереметьев Александр Вячеславович</t>
  </si>
  <si>
    <t>a.v.sheremetev@mtuci.ru</t>
  </si>
  <si>
    <t>Шишкин Кирилл Сергеевич</t>
  </si>
  <si>
    <t>k.s.shishkin@mtuci.ru</t>
  </si>
  <si>
    <t>l.k.1910@mail.ru</t>
  </si>
  <si>
    <t>Авдюшина Анна Евгеньевна</t>
  </si>
  <si>
    <t>avdiushina@itmo.ru</t>
  </si>
  <si>
    <t>avdushina98@gmail.com</t>
  </si>
  <si>
    <t>Бабушкин Максим Владимирович</t>
  </si>
  <si>
    <t>mvbabushkin@itmo.ru</t>
  </si>
  <si>
    <t>hitmaxd11@mail.ru</t>
  </si>
  <si>
    <t>Багмутов Александр Сергеевич</t>
  </si>
  <si>
    <t>asbagmutov@itmo.ru</t>
  </si>
  <si>
    <t>bagmutov94@mail.ru</t>
  </si>
  <si>
    <t>Борель Лидия Викторовна</t>
  </si>
  <si>
    <t>borel_lv@itmo.ru</t>
  </si>
  <si>
    <t>lidiya904@yandex.ru</t>
  </si>
  <si>
    <t>Девятовский Сергей Евгеньевич</t>
  </si>
  <si>
    <t>seregadev86@gmail.com</t>
  </si>
  <si>
    <t>Забашта Алексей Сергеевич</t>
  </si>
  <si>
    <t>azabashta@itmo.ru</t>
  </si>
  <si>
    <t>alex.zabashta@yandex.ru</t>
  </si>
  <si>
    <t>Круглов Георгий Николаевич</t>
  </si>
  <si>
    <t>ronimizy@itmo.ru</t>
  </si>
  <si>
    <t>ronimizy@niuitmo.ru</t>
  </si>
  <si>
    <t>Кугаевских Александр Владимирович</t>
  </si>
  <si>
    <t>avkugaevskikh@itmo.ru</t>
  </si>
  <si>
    <t/>
  </si>
  <si>
    <t>Лимар Иван Александрович</t>
  </si>
  <si>
    <t>ivan.limar@itmo.ru</t>
  </si>
  <si>
    <t>Ким Станислав Евгеньевич</t>
  </si>
  <si>
    <t>codeilece@itmo.ru</t>
  </si>
  <si>
    <t>codeilece@gmail.com</t>
  </si>
  <si>
    <t>Маркина Татьяна Анатольевна</t>
  </si>
  <si>
    <t>markina_t@itmo.ru</t>
  </si>
  <si>
    <t>Москаленко Мария Александровна</t>
  </si>
  <si>
    <t>mamoskalenko@itmo.ru</t>
  </si>
  <si>
    <t>moskalenko.mary@gmail.com</t>
  </si>
  <si>
    <t>Попков Роман Андреевич</t>
  </si>
  <si>
    <t>rpopkov@itmo.ru</t>
  </si>
  <si>
    <t>Правдин Константин Владимирович</t>
  </si>
  <si>
    <t>kvpravdin@itmo.ru</t>
  </si>
  <si>
    <t>construeman@gmail.com</t>
  </si>
  <si>
    <t>Пушкарев Даниил Александрович</t>
  </si>
  <si>
    <t>dpushkarev@itmo.ru</t>
  </si>
  <si>
    <t>pushkarevd.89@gmail.com</t>
  </si>
  <si>
    <t>Свинцов Михаил Викторович</t>
  </si>
  <si>
    <t>mvsvintsov@itmo.ru</t>
  </si>
  <si>
    <t>misha.svintsow@gmail.com</t>
  </si>
  <si>
    <t>Табиева Арина Вадимовна</t>
  </si>
  <si>
    <t>tabieva.arina@itmo.ru</t>
  </si>
  <si>
    <t>Трифанов Александр Игоревич</t>
  </si>
  <si>
    <t>alextrifanov@itmo.ru</t>
  </si>
  <si>
    <t>alextrifanov@gmail.com</t>
  </si>
  <si>
    <t>Агарева Ольга Юрьевна</t>
  </si>
  <si>
    <t>OYAgareva@mephi.ru</t>
  </si>
  <si>
    <t>oyagareva@mephi.ru</t>
  </si>
  <si>
    <t>Григорьев Андрей Александрович</t>
  </si>
  <si>
    <t>AAGrigorev1@mephi.ru</t>
  </si>
  <si>
    <t>grig.and.al@yandex.ru</t>
  </si>
  <si>
    <t>Демидов Дмитрий Витальевич</t>
  </si>
  <si>
    <t>DVDemidov@mephi.ru</t>
  </si>
  <si>
    <t>dvdemidov@mephi.ru</t>
  </si>
  <si>
    <t>Драников Илья Леонидович</t>
  </si>
  <si>
    <t>ILDranikov@mephi.ru</t>
  </si>
  <si>
    <t>dranikov@mail.ru</t>
  </si>
  <si>
    <t>Душкина Елена Николаевна</t>
  </si>
  <si>
    <t>ENDushkina@mephi.ru</t>
  </si>
  <si>
    <t>helly19@yandex.ru</t>
  </si>
  <si>
    <t>Золотарев Александр Маркович</t>
  </si>
  <si>
    <t>AMZolotarev@mephi.ru</t>
  </si>
  <si>
    <t>amzolotarev@mephi.ru</t>
  </si>
  <si>
    <t>Киреев Василий Сергеевич</t>
  </si>
  <si>
    <t>VSKireev@mephi.ru</t>
  </si>
  <si>
    <t>v.kireev1982@gmail.com</t>
  </si>
  <si>
    <t>Кирова Валерия Орлановна</t>
  </si>
  <si>
    <t>VOKirova@mephi.ru</t>
  </si>
  <si>
    <t>Коваленко Александр Евгеньевич</t>
  </si>
  <si>
    <t>sasha@kovalenko.net.ru</t>
  </si>
  <si>
    <t>Овчинникова Анастасия Олеговна</t>
  </si>
  <si>
    <t>AOOvchinnikova@mephi.ru</t>
  </si>
  <si>
    <t>aoantonova@mail.ru</t>
  </si>
  <si>
    <t>Рословцев Владимир Владимирович</t>
  </si>
  <si>
    <t>VVRoslovtsev@mephi.ru</t>
  </si>
  <si>
    <t>vvroslovtsev@mephi.ru</t>
  </si>
  <si>
    <t>Смирнов Дмитрий Сергеевич</t>
  </si>
  <si>
    <t>DSSmirnov@mephi.ru</t>
  </si>
  <si>
    <t>dvonrims@yandex.ru</t>
  </si>
  <si>
    <t>Сорока Артем Александрович</t>
  </si>
  <si>
    <t>AASoroka@mephi.ru</t>
  </si>
  <si>
    <t>40aaa@mail.ru</t>
  </si>
  <si>
    <t>Трофимов Александр Геннадьевич</t>
  </si>
  <si>
    <t>AGTrofimov@mephi.ru</t>
  </si>
  <si>
    <t>atrofimov@list.ru</t>
  </si>
  <si>
    <t>Шильников Кирилл Евгеньевич</t>
  </si>
  <si>
    <t>KEShilnikov@mephi.ru</t>
  </si>
  <si>
    <t>shilnikov.k@yandex.ru</t>
  </si>
  <si>
    <t>Абрамович Александра Юрьевна</t>
  </si>
  <si>
    <t>ayabramovich@sevsu.ru</t>
  </si>
  <si>
    <t>ayabramovich@mail.ru</t>
  </si>
  <si>
    <t>Амосова Светлана Геннадьевна</t>
  </si>
  <si>
    <t>sgamosova@sevsu.ru</t>
  </si>
  <si>
    <t>amosovasg@yandex.ru</t>
  </si>
  <si>
    <t>Безуглая Анна Евгеньевна</t>
  </si>
  <si>
    <t>aebezuglaya@sevsu.ru</t>
  </si>
  <si>
    <t>Бондарев Владимир Николаевич</t>
  </si>
  <si>
    <t>bondarev@sevsu.ru</t>
  </si>
  <si>
    <t>Брюховецкий Алексей Алексеевич</t>
  </si>
  <si>
    <t>bryukhovetskiy@sevsu.ru</t>
  </si>
  <si>
    <t>a.alexir@mail.ru</t>
  </si>
  <si>
    <t>Доронина Юлия Валентиновна</t>
  </si>
  <si>
    <t>yvdoronina@mail.sevsu.ru</t>
  </si>
  <si>
    <t>yvdoronina@sevsu.ru</t>
  </si>
  <si>
    <t>Заморёнов Михаил Вадимович</t>
  </si>
  <si>
    <t>mvzamoryonov@sevsu.ru</t>
  </si>
  <si>
    <t>Кузнецов Сергей Александрович</t>
  </si>
  <si>
    <t>sakuznetsov@sevsu.ru</t>
  </si>
  <si>
    <t>sergodk@mail.ru</t>
  </si>
  <si>
    <t>Мащенко Елена Николаевна</t>
  </si>
  <si>
    <t>maschenko@sevsu.ru</t>
  </si>
  <si>
    <t>Моисеев Дмитрий Владимирович</t>
  </si>
  <si>
    <t>DVMoiseev@sevsu.ru</t>
  </si>
  <si>
    <t>dvmoiseev@sevsu.ru</t>
  </si>
  <si>
    <t>Сметанина Татьяна Ивановна</t>
  </si>
  <si>
    <t>tismetanina@sevsu.ru</t>
  </si>
  <si>
    <t>Собченко Максим Владимирович</t>
  </si>
  <si>
    <t>mvsobchenko@sevsu.ru</t>
  </si>
  <si>
    <t>mvsobchenko@mail.sevsu.ru</t>
  </si>
  <si>
    <t>Цофнас Денис Андреевич</t>
  </si>
  <si>
    <t>datsofnas@sevsu.ru</t>
  </si>
  <si>
    <t>fulun@bk.ru</t>
  </si>
  <si>
    <t>Чаленков Никита Игоревич</t>
  </si>
  <si>
    <t>nichalenkov@sevsu.ru</t>
  </si>
  <si>
    <t>nichalenkov@mail.sevsu.ru</t>
  </si>
  <si>
    <t>Ченгарь Ольга Васильевна</t>
  </si>
  <si>
    <t>ovchengar@sevsu.ru</t>
  </si>
  <si>
    <t>Чероков Владислав Витальевич</t>
  </si>
  <si>
    <t>vvcherokov@sevsu.ru</t>
  </si>
  <si>
    <t>vcherokov@mail.ru</t>
  </si>
  <si>
    <t>Шевченко Виктория Игоревна</t>
  </si>
  <si>
    <t>vishevchenko@sevsu.ru</t>
  </si>
  <si>
    <t>Шокин Александр Геннадьевич</t>
  </si>
  <si>
    <t>agshokin@sevsu.ru</t>
  </si>
  <si>
    <t>agshokin@mail.sevsu.ru</t>
  </si>
  <si>
    <t>Шумейко Ирина Петровна</t>
  </si>
  <si>
    <t>ipshumejko@sevsu.ru</t>
  </si>
  <si>
    <t>shumeyko-irina-74@yandex.ru</t>
  </si>
  <si>
    <t>Щетинин Евгений Юрьевич</t>
  </si>
  <si>
    <t>eyschetinin@sevsu.ru</t>
  </si>
  <si>
    <t>riviera-molto@mail.ru</t>
  </si>
  <si>
    <t>Анисова Мария Александровна</t>
  </si>
  <si>
    <t>m.anisova@g.nsu.ru</t>
  </si>
  <si>
    <t>Белоцерковский Валерий Александрович</t>
  </si>
  <si>
    <t>v.belotserkovskii@g.nsu.ru</t>
  </si>
  <si>
    <t>Беспалов Сергей Вячеславович</t>
  </si>
  <si>
    <t>s.bespalov1@g.nsu.ru</t>
  </si>
  <si>
    <t>8yp3r10@gmail.com</t>
  </si>
  <si>
    <t>Былков Вадим Сергеевич</t>
  </si>
  <si>
    <t>v.bylkov1@g.nsu.ru</t>
  </si>
  <si>
    <t>Грищенко Александр Михайлович</t>
  </si>
  <si>
    <t>a.grishchenko1@g.nsu.ru</t>
  </si>
  <si>
    <t>alexgrihalex@yandex.ru</t>
  </si>
  <si>
    <t>Гузанов Владимир Владимирович</t>
  </si>
  <si>
    <t>v.guzanov@g.nsu.ru</t>
  </si>
  <si>
    <t>Кирчанова Елизавета Евгеньевна</t>
  </si>
  <si>
    <t>e.kirchanova@g.nsu.ru</t>
  </si>
  <si>
    <t>ekirchanova@inbox.ru</t>
  </si>
  <si>
    <t>Козулин Игорь Анатольевич</t>
  </si>
  <si>
    <t>i.kozulin@g.nsu.ru</t>
  </si>
  <si>
    <t>Кудинов Виталий Юрьевич</t>
  </si>
  <si>
    <t>v.kudinov@g.nsu.ru</t>
  </si>
  <si>
    <t>Матвеев Андрей Викторович</t>
  </si>
  <si>
    <t>matveev.nsu@mail.ru</t>
  </si>
  <si>
    <t>Назаров Александр Дмитриевич</t>
  </si>
  <si>
    <t>nazaradid@yandex.ru</t>
  </si>
  <si>
    <t>Ряскин Александр Николаевич</t>
  </si>
  <si>
    <t>a.riaskin@g.nsu.ru</t>
  </si>
  <si>
    <t>Сахнов Алексей Юрьевич</t>
  </si>
  <si>
    <t>aleksei_sakhnov@mail.ru</t>
  </si>
  <si>
    <t>Сердаков Леонид Евгеньевич</t>
  </si>
  <si>
    <t>l.serdakov@g.nsu.ru</t>
  </si>
  <si>
    <t>Синева Татьяна Антоновна</t>
  </si>
  <si>
    <t>t.sineva@g.nsu.ru</t>
  </si>
  <si>
    <t>Степанов Константин Ильич</t>
  </si>
  <si>
    <t>k.stepanov8@g.nsu.ru</t>
  </si>
  <si>
    <t>stepanov_ki@mail.ru</t>
  </si>
  <si>
    <t>Ткаченко Марина Евгеньевна</t>
  </si>
  <si>
    <t>m.tkachenko@g.nsu.ru</t>
  </si>
  <si>
    <t>mtkachenko@mail.ru</t>
  </si>
  <si>
    <t>Трачева Наталья Валерьевна</t>
  </si>
  <si>
    <t>n.tracheva@g.nsu.ru</t>
  </si>
  <si>
    <t>Филиппов Михаил Витальевич</t>
  </si>
  <si>
    <t>m.filippov@g.nsu.ru</t>
  </si>
  <si>
    <t>Чеховской Игорь Сергеевич</t>
  </si>
  <si>
    <t>i.chekhovskoi@g.nsu.ru</t>
  </si>
  <si>
    <t>i.s.chekhovskoy@gmail.com</t>
  </si>
  <si>
    <t>Вербова Наталья Михайловна</t>
  </si>
  <si>
    <t>verbova_nm@spbstu.ru, nag00@mail.ru</t>
  </si>
  <si>
    <t>verbova_nm@spbstu.ru</t>
  </si>
  <si>
    <t>Гололобов Никита Вячеславович</t>
  </si>
  <si>
    <t>neptu133@gmail.com</t>
  </si>
  <si>
    <t>Грибков Никита Андреевич</t>
  </si>
  <si>
    <t>n.gribkov@ibks.spbstu.ru</t>
  </si>
  <si>
    <t>Зубков Евгений Альбертович</t>
  </si>
  <si>
    <t>zubkov@ibks.spbstu.ru</t>
  </si>
  <si>
    <t>Калинин Максим Олегович</t>
  </si>
  <si>
    <t>max@ibks.spbstu.ru</t>
  </si>
  <si>
    <t>Кирпиченко Станислав Романович</t>
  </si>
  <si>
    <t>kirpich_sr@spbstu.ru</t>
  </si>
  <si>
    <t>stasychbr@mail.ru</t>
  </si>
  <si>
    <t>Лаврова Дарья Сергеевна</t>
  </si>
  <si>
    <t>lavrova@ibks.spbstu.ru</t>
  </si>
  <si>
    <t>lavrova.daria@gmail.com</t>
  </si>
  <si>
    <t>Макаров Александр Сергеевич</t>
  </si>
  <si>
    <t>makarov_as@spbstu.ru</t>
  </si>
  <si>
    <t>makarov@neobit.ru</t>
  </si>
  <si>
    <t>Малов Сергей Васильевич</t>
  </si>
  <si>
    <t>malov_sv@spbstu.ru, sergey.v.malov@gmail.com</t>
  </si>
  <si>
    <t>sergey.v.malov@gmail.com</t>
  </si>
  <si>
    <t>Моторин Дмитрий Евгеньевич</t>
  </si>
  <si>
    <t>motorin_de@spbstu.ru, d.e.motorin@gmail.com</t>
  </si>
  <si>
    <t>d.e.motorin@gmail.com</t>
  </si>
  <si>
    <t>Пак Вадим Геннадьевич</t>
  </si>
  <si>
    <t>pak_vg@spbstu.ru</t>
  </si>
  <si>
    <t>vadimpak917@gmail.com</t>
  </si>
  <si>
    <t>Пахомов Максим Анатольевич</t>
  </si>
  <si>
    <t>pahomov.ma@ibks.spbstu.ru</t>
  </si>
  <si>
    <t>pahomov.ma@yandex.ru</t>
  </si>
  <si>
    <t>Пономарев Данила Андреевич</t>
  </si>
  <si>
    <t>dponomaryyov@gmail.com</t>
  </si>
  <si>
    <t>Соболев Николай Владиславович</t>
  </si>
  <si>
    <t>sobolev@ibks.spbstu.ru, sobolev_nv@spbstu.ru</t>
  </si>
  <si>
    <t>nikolay.sobolev99@mail.ru</t>
  </si>
  <si>
    <t>Шенец Николай Николаевич</t>
  </si>
  <si>
    <t>shenets@ibks.spbstu.ru</t>
  </si>
  <si>
    <t>shenets_nn@ibks.spbstu.ru</t>
  </si>
  <si>
    <t>Югай Павел Эдуардович</t>
  </si>
  <si>
    <t>yugay@ibks.spbstu.ru</t>
  </si>
  <si>
    <t>yugaj_pe@spbstu.ru</t>
  </si>
  <si>
    <t>Башуров Вячеслав Владимирович</t>
  </si>
  <si>
    <t>v.v.bashurov@urfu.ru</t>
  </si>
  <si>
    <t>bashurovvv@gmail.com</t>
  </si>
  <si>
    <t>Белоусов Иван Николаевич</t>
  </si>
  <si>
    <t>i.n.belousov@urfu.ru</t>
  </si>
  <si>
    <t>i_belousov@mail.ru</t>
  </si>
  <si>
    <t>Борисов Василий Ильич</t>
  </si>
  <si>
    <t>v.i.borisov@urfu.ru</t>
  </si>
  <si>
    <t>funkyvas@ya.ru</t>
  </si>
  <si>
    <t>Долганов Антон Юрьевич</t>
  </si>
  <si>
    <t>anton.dolganov@urfu.ru</t>
  </si>
  <si>
    <t>ai@day-ural.ru</t>
  </si>
  <si>
    <t>Зенков Виктор Иванович</t>
  </si>
  <si>
    <t>v.i.zenkov@urfu.ru</t>
  </si>
  <si>
    <t>v1i9z52@mail.ru</t>
  </si>
  <si>
    <t>Корелин Иван Андреевич</t>
  </si>
  <si>
    <t>i.a.korelin@urfu.ru</t>
  </si>
  <si>
    <t>korelin.i.a@yandex.ru</t>
  </si>
  <si>
    <t>Кошелев Антон Александрович</t>
  </si>
  <si>
    <t>Anton.Koshelev@urfu.ru</t>
  </si>
  <si>
    <t>pagekos@mail.ru</t>
  </si>
  <si>
    <t>Марвин Сергей Владимирович</t>
  </si>
  <si>
    <t>s.v.marvin@urfu.ru</t>
  </si>
  <si>
    <t>s.v.marvin@yandex.ru</t>
  </si>
  <si>
    <t>Новиков Максим Юрьевич</t>
  </si>
  <si>
    <t>novikov.maksim@urfu.ru</t>
  </si>
  <si>
    <t>nm0105@ya.ru</t>
  </si>
  <si>
    <t>Осипов Александр Владимирович</t>
  </si>
  <si>
    <t>a.v.osipov@urfu.ru</t>
  </si>
  <si>
    <t>oab@list.ru</t>
  </si>
  <si>
    <t>Расин Олег Вениаминович</t>
  </si>
  <si>
    <t>O.V.Rasin@urfu.ru</t>
  </si>
  <si>
    <t>rasin.oleg@k66.ru</t>
  </si>
  <si>
    <t>Ронкин Михаил Владимирович</t>
  </si>
  <si>
    <t>m.v.ronkin@urfu.ru</t>
  </si>
  <si>
    <t>mvronkin@gmail.com</t>
  </si>
  <si>
    <t>Русинова Залина Ринатовна</t>
  </si>
  <si>
    <t>z.r.rusinova@urfu.ru</t>
  </si>
  <si>
    <t>z.gilvanova@yandex.ru</t>
  </si>
  <si>
    <t>Солодушкин Святослав Игоревич</t>
  </si>
  <si>
    <t>s.i.solodushkin@urfu.ru</t>
  </si>
  <si>
    <t>solodushkin_s@mail.ru</t>
  </si>
  <si>
    <t>Сорокин Артем Константинович</t>
  </si>
  <si>
    <t>sorokinak@urfu.ru</t>
  </si>
  <si>
    <t>atomdistortion@mail.ru</t>
  </si>
  <si>
    <t>Тарасов Дмитрий Александрович</t>
  </si>
  <si>
    <t>d.a.tarasov@urfu.ru</t>
  </si>
  <si>
    <t>datarasov@yandex.ru</t>
  </si>
  <si>
    <t>Тягунов Андрей Геннадьевич</t>
  </si>
  <si>
    <t>AG.Tyagunov@urfu.ru</t>
  </si>
  <si>
    <t>adi8@yandex.ru</t>
  </si>
  <si>
    <t>Чернышов Юрий Юрьевич</t>
  </si>
  <si>
    <t>iu.iu.chernyshov@urfu.ru</t>
  </si>
  <si>
    <t>yura_ch@mail.ru</t>
  </si>
  <si>
    <t>Шека Андрей Сергеевич</t>
  </si>
  <si>
    <t>AndreySheka@urfu.ru</t>
  </si>
  <si>
    <t>andreysheka@ya.ru</t>
  </si>
  <si>
    <t>Шитиков Сергей Александрович</t>
  </si>
  <si>
    <t>s.a.shitikov@urfu.ru</t>
  </si>
  <si>
    <t>shitikov.s.a@yandex.ru</t>
  </si>
  <si>
    <t>Юманова Ирина Фарисовна</t>
  </si>
  <si>
    <t>irina.iumanova@urfu.ru</t>
  </si>
  <si>
    <t>yuirfa@mail.ru</t>
  </si>
  <si>
    <t>Гончаров Никита Сергеевич</t>
  </si>
  <si>
    <t>goncharovns@susu.ru</t>
  </si>
  <si>
    <t>goncharov.ns.krm@yandex.ru</t>
  </si>
  <si>
    <t>Елсаков Сергей Михайлович</t>
  </si>
  <si>
    <t>elsakovsm@susu.ru</t>
  </si>
  <si>
    <t>esergeym@mail.ru</t>
  </si>
  <si>
    <t>Иванова Ольга Николаевна</t>
  </si>
  <si>
    <t>onivanova@susu.ru</t>
  </si>
  <si>
    <t>Карпета Татьяна Васильевна</t>
  </si>
  <si>
    <t>eroshkinatv@susu.ru</t>
  </si>
  <si>
    <t>Лут Александр Валерьевич</t>
  </si>
  <si>
    <t>lutav@susu.ru</t>
  </si>
  <si>
    <t>Макаровских Татьяна Анатольевна</t>
  </si>
  <si>
    <t>paniukovata@susu.ru</t>
  </si>
  <si>
    <t>kwark@mail.ru</t>
  </si>
  <si>
    <t>Манакова Наталья Александровна</t>
  </si>
  <si>
    <t>manakovana@susu.ru</t>
  </si>
  <si>
    <t>Мартюшев Евгений Владимирович</t>
  </si>
  <si>
    <t>martiushevev@susu.ru</t>
  </si>
  <si>
    <t>Муравьева Надежда Васильевна</t>
  </si>
  <si>
    <t>muravevanv@susu.ru</t>
  </si>
  <si>
    <t>Парасич Ирина Васильевна</t>
  </si>
  <si>
    <t>parasichiv@susu.ru</t>
  </si>
  <si>
    <t>Паршукова Наталья Борисовна</t>
  </si>
  <si>
    <t>parshukovanb@susu.ru</t>
  </si>
  <si>
    <t>Сурин Владимир Анатольевич</t>
  </si>
  <si>
    <t>surinva@susu.ru</t>
  </si>
  <si>
    <t>sva12t@yandex.ru</t>
  </si>
  <si>
    <t>Сурина Альфия Адгамовна</t>
  </si>
  <si>
    <t>surinaaa@susu.ru</t>
  </si>
  <si>
    <t>Сухов Михаил Васильевич</t>
  </si>
  <si>
    <t>sukhovm@susu.ru</t>
  </si>
  <si>
    <t>Турлакова Светлана Ульмджиевна</t>
  </si>
  <si>
    <t>turlakovasu@susu.ru</t>
  </si>
  <si>
    <t>Акиньшина Вера Александровна</t>
  </si>
  <si>
    <t>ak-vera@yandex.ru</t>
  </si>
  <si>
    <t>Добровольская Наталья Юрьевна</t>
  </si>
  <si>
    <t>dnu10@mail.ru</t>
  </si>
  <si>
    <t>Жук Арсений Сергеевич</t>
  </si>
  <si>
    <t>arseniyzhuck@mail.ru</t>
  </si>
  <si>
    <t>Казаковцева Екатерина Васильевна</t>
  </si>
  <si>
    <t>vivkaterina@mail.ru</t>
  </si>
  <si>
    <t>Кесиян Грант Арутович</t>
  </si>
  <si>
    <t>grant.kesiyan@mail.ru</t>
  </si>
  <si>
    <t>Коваленко Анна Владимировна</t>
  </si>
  <si>
    <t>savanna-05@mail.ru</t>
  </si>
  <si>
    <t>Колотий Александр Дмитриевич</t>
  </si>
  <si>
    <t>kolotiy.ad@yandex.ru</t>
  </si>
  <si>
    <t>Левченко Дмитрий Александрович</t>
  </si>
  <si>
    <t>levchenkodima@mail.ru</t>
  </si>
  <si>
    <t>Пелипенко Екатерина Юрьевна</t>
  </si>
  <si>
    <t>katrins_notes@mail.ru</t>
  </si>
  <si>
    <t>Письменский Александр Владимирович</t>
  </si>
  <si>
    <t>archer812@mail.ru</t>
  </si>
  <si>
    <t>Подколзин Вадим Владиславович</t>
  </si>
  <si>
    <t>vvp_35@mail.ru</t>
  </si>
  <si>
    <t>Полетайкин Алексей Николаевич</t>
  </si>
  <si>
    <t>alex.poletaykin@gmail.com</t>
  </si>
  <si>
    <t>Полупанов Алексей Александрович</t>
  </si>
  <si>
    <t>polualex@mail.ru</t>
  </si>
  <si>
    <t>Полупанова Елена Евгеньевна</t>
  </si>
  <si>
    <t>jienka@mail.ru</t>
  </si>
  <si>
    <t>Приходько Татьяна Александровна</t>
  </si>
  <si>
    <t>pr.tatyana@gmail.com</t>
  </si>
  <si>
    <t>Прутский Алексей Сергеевич</t>
  </si>
  <si>
    <t>prutskiyalex@yandex.ru</t>
  </si>
  <si>
    <t>Силинская Светлана Михайловна</t>
  </si>
  <si>
    <t>silinskaya1@mail.ru</t>
  </si>
  <si>
    <t>Синица Сергей Геннадьевич</t>
  </si>
  <si>
    <t>sin@kubsu.ru</t>
  </si>
  <si>
    <t>Стягун Дина Игоревна</t>
  </si>
  <si>
    <t>dina2011@mail.ru</t>
  </si>
  <si>
    <t>Харченко Анна Владимировна</t>
  </si>
  <si>
    <t>fz@mail.ru</t>
  </si>
  <si>
    <t>Чубырь Наталья Олеговна</t>
  </si>
  <si>
    <t>chubyr-natalja@mail.ru</t>
  </si>
  <si>
    <t>Вассуф Язан</t>
  </si>
  <si>
    <t>vassuf.y@rea.ru</t>
  </si>
  <si>
    <t>wassouf.yazan.95@gmail.com</t>
  </si>
  <si>
    <t>Горемыкина Галина Ивановна</t>
  </si>
  <si>
    <t>goremykina.gi@rea.ru</t>
  </si>
  <si>
    <t>Красиков Виталий Александрович</t>
  </si>
  <si>
    <t>krasikov.va@rea.ru</t>
  </si>
  <si>
    <t>vitkras@inbox.ru</t>
  </si>
  <si>
    <t>Куренков Александр Львович</t>
  </si>
  <si>
    <t>kurenkov.al@rea.ru</t>
  </si>
  <si>
    <t>Меерсон Алла Юрьевна</t>
  </si>
  <si>
    <t>meerson.ayu@rea.ru</t>
  </si>
  <si>
    <t>Мочалина Екатерина Павловна</t>
  </si>
  <si>
    <t>mochalina.ep@rea.ru</t>
  </si>
  <si>
    <t>Напеденина Екатерина Юрьевна</t>
  </si>
  <si>
    <t>napedenina.ey@rea.ru</t>
  </si>
  <si>
    <t>Паклин Николай Борисович</t>
  </si>
  <si>
    <t>paklin.nb@rea.ru</t>
  </si>
  <si>
    <t>pnb@inbox.ru</t>
  </si>
  <si>
    <t>Петров Лев Федорович</t>
  </si>
  <si>
    <t>petrov.lf@rea.ru</t>
  </si>
  <si>
    <t>Садыков Тимур Мрадович</t>
  </si>
  <si>
    <t>sadykov.tm@rea.ru</t>
  </si>
  <si>
    <t>Тихонов Сергей Викторович</t>
  </si>
  <si>
    <t>tikhonov.sv@rea.ru</t>
  </si>
  <si>
    <t>Храмова Марина Викторовна</t>
  </si>
  <si>
    <t>hramova.mv@rea.ru</t>
  </si>
  <si>
    <t>mhramova@gmail.com</t>
  </si>
  <si>
    <t>Чапкин Николай Сергеевич</t>
  </si>
  <si>
    <t>TCHapkin.NS@rea.ru</t>
  </si>
  <si>
    <t>nic-ch-work@yandex.ru</t>
  </si>
  <si>
    <t>Щукина Наталья Александровна</t>
  </si>
  <si>
    <t>schukina.na@rea.ru</t>
  </si>
  <si>
    <t>shchukinan@yandex.ru</t>
  </si>
  <si>
    <t>Борзин Роман Юрьевич</t>
  </si>
  <si>
    <t>roma.borzin@mail.ru</t>
  </si>
  <si>
    <t>Драгунов Станислав Евгеньевич</t>
  </si>
  <si>
    <t>dragunov.stanislav.e@gmail.com</t>
  </si>
  <si>
    <t>dragun.se@yandex.ru</t>
  </si>
  <si>
    <t>Егунов Виталий Алексеевич</t>
  </si>
  <si>
    <t>vegunov@mail.ru</t>
  </si>
  <si>
    <t>Завьялов Дмитрий Викторович</t>
  </si>
  <si>
    <t>sinegordon@gmail.com</t>
  </si>
  <si>
    <t>Катаев Александр Вадимович</t>
  </si>
  <si>
    <t>alexander.kataev@gmail.com</t>
  </si>
  <si>
    <t>Кизим Алексей Владимирович</t>
  </si>
  <si>
    <t>kizim@mail.ru</t>
  </si>
  <si>
    <t>Конченков Владимир Игоревич</t>
  </si>
  <si>
    <t>kontchenkov@yandex.ru</t>
  </si>
  <si>
    <t>Коробкин Дмитрий Михайлович</t>
  </si>
  <si>
    <t>dkorobkin80@mail.ru</t>
  </si>
  <si>
    <t>Кравченя Павел Дмитриевич</t>
  </si>
  <si>
    <t>kpd_@mail.ru</t>
  </si>
  <si>
    <t>Ломакин Николай Иванович</t>
  </si>
  <si>
    <t>tel9033176642@yahoo.com</t>
  </si>
  <si>
    <t>Матохина Анна Владимировна</t>
  </si>
  <si>
    <t>matohina.a.v@yandex.ru</t>
  </si>
  <si>
    <t>Парыгин Данила Сергеевич</t>
  </si>
  <si>
    <t>dparygin@gmail.com</t>
  </si>
  <si>
    <t>Раюшкин Эдуард Сергеевич</t>
  </si>
  <si>
    <t>j.rayushkin@gmail.com</t>
  </si>
  <si>
    <t>Сафонова Елена Владимировна</t>
  </si>
  <si>
    <t>safonova_h@mail.ru</t>
  </si>
  <si>
    <t>Скоробогатченко Дмитрий Анатольевич</t>
  </si>
  <si>
    <t>dmitryskor2004@yandex.ru</t>
  </si>
  <si>
    <t>dmitryskor2004@gmail.com</t>
  </si>
  <si>
    <t>Соколов Александр Александрович</t>
  </si>
  <si>
    <t>alexander.sokolov.it@gmail.com</t>
  </si>
  <si>
    <t>Сычев Олег Александрович</t>
  </si>
  <si>
    <t>oasychev@gmail.com</t>
  </si>
  <si>
    <t>Тюков Антон Павлович</t>
  </si>
  <si>
    <t>anton.tyukov@gmail.com</t>
  </si>
  <si>
    <t>Шабалина Ольга Аркадьевна</t>
  </si>
  <si>
    <t>o.a.shabalina@gmail.com</t>
  </si>
  <si>
    <t>Яновский Тимур Александрович</t>
  </si>
  <si>
    <t>janovsky@yandex.ru</t>
  </si>
  <si>
    <t>Баев Алексей Александрович</t>
  </si>
  <si>
    <t>BaevAA@volgatech.net</t>
  </si>
  <si>
    <t>baevaa@volgatech.net</t>
  </si>
  <si>
    <t>Бородин Андрей Викторович</t>
  </si>
  <si>
    <t>bor-forward@yandex.ru</t>
  </si>
  <si>
    <t>borodinav@volgatech.net</t>
  </si>
  <si>
    <t>Ворожцов Дмитрий Михайлович</t>
  </si>
  <si>
    <t>VorozhtsovDM@volgatech.net</t>
  </si>
  <si>
    <t>dimka_vor3@mail.ru</t>
  </si>
  <si>
    <t>Дедов Андрей Николаевич</t>
  </si>
  <si>
    <t>dedovan@volgatech.net</t>
  </si>
  <si>
    <t>Еклашева Ольга Витальевна</t>
  </si>
  <si>
    <t>eklashova@mail.ru</t>
  </si>
  <si>
    <t>Иванов Константин Олегович</t>
  </si>
  <si>
    <t>IvanovKO@volgatech.net</t>
  </si>
  <si>
    <t>ivanovko@volgatech.net</t>
  </si>
  <si>
    <t>Ипатов Юрий Аркадьевич</t>
  </si>
  <si>
    <t>ipatovya@yandex.ru</t>
  </si>
  <si>
    <t>Кислицын Алексей Александрович</t>
  </si>
  <si>
    <t>KislitsinAA@volgatech.net</t>
  </si>
  <si>
    <t>kislitsinaa@volgatech.net</t>
  </si>
  <si>
    <t>Кревецкий Александр Владимирович</t>
  </si>
  <si>
    <t>krevetsk@mail.ru</t>
  </si>
  <si>
    <t>Курасов Павел Александрович</t>
  </si>
  <si>
    <t>KurasovPA@volgatech.net</t>
  </si>
  <si>
    <t>kurasovpa@volgatech.net</t>
  </si>
  <si>
    <t>Лащевский Алексей Романович</t>
  </si>
  <si>
    <t>LashhevskijAR@volgatech.net</t>
  </si>
  <si>
    <t>lashhevskijar@volgatech.net</t>
  </si>
  <si>
    <t>Нехаев Игорь Николаевич</t>
  </si>
  <si>
    <t>NehaevIN@volgatech.net</t>
  </si>
  <si>
    <t>garry_nekhaev@mail.ru</t>
  </si>
  <si>
    <t>Овчинников Владимир Викторович</t>
  </si>
  <si>
    <t>OvchinnikovVV@volgatech.net</t>
  </si>
  <si>
    <t>ovchinnikovvv@volgatech.net</t>
  </si>
  <si>
    <t>Танрывердиев Илья Оруджевич</t>
  </si>
  <si>
    <t>TanryverdievIO@volgatech.net</t>
  </si>
  <si>
    <t>tanryverdievio@volgatech.net</t>
  </si>
  <si>
    <t>Уразаева Татьяна Альфредовна</t>
  </si>
  <si>
    <t>bor1-forward@yandex.ru</t>
  </si>
  <si>
    <t>urazaevata@volgatech.net</t>
  </si>
  <si>
    <t>Бакнин Максим Дмитриевич</t>
  </si>
  <si>
    <t>baknin@rgau-msha.ru</t>
  </si>
  <si>
    <t>Бодур Айсу Мустафаевна</t>
  </si>
  <si>
    <t>bodur_a@rgau-msha.ru</t>
  </si>
  <si>
    <t>Быков Денис Витальевич</t>
  </si>
  <si>
    <t>bykovdv@rgau-msha.ru</t>
  </si>
  <si>
    <t>Ветошкин Артем Юрьевич</t>
  </si>
  <si>
    <t>vetoshkin@rgau-msha.ru</t>
  </si>
  <si>
    <t>Дашиева Баярма Шагдаровна</t>
  </si>
  <si>
    <t>dashieva.b.sh@rgau-msha.ru</t>
  </si>
  <si>
    <t>Ермолаева Ольга Сергеевна</t>
  </si>
  <si>
    <t>ol_ermolaeva@rgau-msha.ru</t>
  </si>
  <si>
    <t>Калитвин Владимир Анатольевич</t>
  </si>
  <si>
    <t>kalitvin@rgau-msha.ru</t>
  </si>
  <si>
    <t>kalitvinv@yandex.ru</t>
  </si>
  <si>
    <t>Козлов Кирилл Александрович</t>
  </si>
  <si>
    <t>kozlov.kirill@rgau-msha.ru</t>
  </si>
  <si>
    <t>Кукарцев Владислав Викторович</t>
  </si>
  <si>
    <t>v.kukarcev@rgau-msha.ru</t>
  </si>
  <si>
    <t>vlad_saa_2000@mail.ru</t>
  </si>
  <si>
    <t>Лапшин Сергей Михайлович</t>
  </si>
  <si>
    <t>lapshin@rgau-msha.ru</t>
  </si>
  <si>
    <t>sergey@lapshin.pro</t>
  </si>
  <si>
    <t>Невзоров Александр Сергеевич</t>
  </si>
  <si>
    <t>a.nevzorov@rgau-msha.ru</t>
  </si>
  <si>
    <t>xcom1223@mail.ru</t>
  </si>
  <si>
    <t>Семенова Софья Олеговна</t>
  </si>
  <si>
    <t>s.semenova@rgau-msha.ru</t>
  </si>
  <si>
    <t>Титов Артем Денисович</t>
  </si>
  <si>
    <t>a.titov@rgau-msha.ru</t>
  </si>
  <si>
    <t>Титова Дарья Алексеевна</t>
  </si>
  <si>
    <t>d.gorshkova@rgau-msha.ru</t>
  </si>
  <si>
    <t>Уколова Анна Владимировна</t>
  </si>
  <si>
    <t>statmsha@rgau-msha.ru</t>
  </si>
  <si>
    <t>Храмов Дмитрий Эдуардович</t>
  </si>
  <si>
    <t>khramovde@rgau-msha.ru</t>
  </si>
  <si>
    <t>Бакулев Александр Валерьевич</t>
  </si>
  <si>
    <t>alex.bakulev@gmail.com</t>
  </si>
  <si>
    <t>contact-bav@mail.ru</t>
  </si>
  <si>
    <t>Бакулева Марина Алексеевна</t>
  </si>
  <si>
    <t>m.a.bakuleva@yandex.ru</t>
  </si>
  <si>
    <t>Баранчиков Алексей Иванович</t>
  </si>
  <si>
    <t>alexib@inbox.ru</t>
  </si>
  <si>
    <t>Бастрычкин Александр Сергеевич</t>
  </si>
  <si>
    <t>a_s_bas@mail.ru</t>
  </si>
  <si>
    <t>Белов Владимир Викторович</t>
  </si>
  <si>
    <t>vvbeloff@yandex.ru</t>
  </si>
  <si>
    <t>Гостин Алексей Михайлович</t>
  </si>
  <si>
    <t>gostin.a.m@rsreu.ru</t>
  </si>
  <si>
    <t>Демидова Лилия Анатольевна</t>
  </si>
  <si>
    <t>liliya.demidova@rambler.ru</t>
  </si>
  <si>
    <t>Крошилин Александр Викторович</t>
  </si>
  <si>
    <t>av_kroshilin@mail.ru</t>
  </si>
  <si>
    <t>Крошилина Светлана Владимировна</t>
  </si>
  <si>
    <t>kroshilina_rzn@mail.ru</t>
  </si>
  <si>
    <t>Мосин Сергей Геннадьевич</t>
  </si>
  <si>
    <t>sergey@mosin.pro</t>
  </si>
  <si>
    <t>Муратов Евгений Рашитович</t>
  </si>
  <si>
    <t>myratov_er@mail.ru</t>
  </si>
  <si>
    <t>Новиков Анатолий Иванович</t>
  </si>
  <si>
    <t>novikovanatoly@yandex.ru</t>
  </si>
  <si>
    <t>Соколова Юлия Сергеевна</t>
  </si>
  <si>
    <t>juliasokolova62@yandex.ru</t>
  </si>
  <si>
    <t>Тарасов Андрей Сергеевич</t>
  </si>
  <si>
    <t>vb2005@yandex.ru</t>
  </si>
  <si>
    <t>Шибанов Владимир Александрович</t>
  </si>
  <si>
    <t>vova_shibanov@mail.ru</t>
  </si>
  <si>
    <t>Голубева Виктория Сергеевна</t>
  </si>
  <si>
    <t>usr23939@vyatsu.ru</t>
  </si>
  <si>
    <t>Долженкова Мария Львовна</t>
  </si>
  <si>
    <t>maryd@vyatsu.ru</t>
  </si>
  <si>
    <t>maryid@mail.ru</t>
  </si>
  <si>
    <t>Исупова Наталья Ивановна</t>
  </si>
  <si>
    <t>usr11710@vyatsu.ru</t>
  </si>
  <si>
    <t>natalyisupova@mail.ru</t>
  </si>
  <si>
    <t>Исупова Татьяна Николаевна</t>
  </si>
  <si>
    <t>tn_isupova@vyatsu.ru</t>
  </si>
  <si>
    <t>tisupova@inbox.ru</t>
  </si>
  <si>
    <t>Караваева Ольга Владимировна</t>
  </si>
  <si>
    <t>karavaeva@vyatsu.ru</t>
  </si>
  <si>
    <t>Колупаев Александр Владимирович</t>
  </si>
  <si>
    <t>al_kolupaev@vyatsu.ru</t>
  </si>
  <si>
    <t>Коржавина Анастасия Сергеевна</t>
  </si>
  <si>
    <t>as_korzhavina@vyatsu.ru</t>
  </si>
  <si>
    <t>Котельникова Анастасия Валерьевна</t>
  </si>
  <si>
    <t>usr11503@vyatsu.ru</t>
  </si>
  <si>
    <t>Лесников Владислав Алексеевич</t>
  </si>
  <si>
    <t>lesnikov@vyatsu.ru</t>
  </si>
  <si>
    <t>Медведева Елена Викторовна</t>
  </si>
  <si>
    <t>medvedeva@vyatsu.ru</t>
  </si>
  <si>
    <t>Мельцов Василий Юрьевич</t>
  </si>
  <si>
    <t>meltsov@vyatsu.ru</t>
  </si>
  <si>
    <t>meltsov69@mail.ru</t>
  </si>
  <si>
    <t>Метелев Александр Петрович</t>
  </si>
  <si>
    <t>ap_metelev@vyatsu.ru</t>
  </si>
  <si>
    <t>Перевозчикова Марина Сергеевна</t>
  </si>
  <si>
    <t>ms_perevozchikova@vyatsu.ru</t>
  </si>
  <si>
    <t>m_perevozchikova@mail.ru</t>
  </si>
  <si>
    <t>Прозоров Дмитрий Евгеньевич</t>
  </si>
  <si>
    <t>de_prozorov@vyatsu.ru</t>
  </si>
  <si>
    <t>Ржаникова Елена Дмитриевна</t>
  </si>
  <si>
    <t>ed_rzhanikova@vyatsu.ru</t>
  </si>
  <si>
    <t>Сергеева Елизавета Григорьевна</t>
  </si>
  <si>
    <t>eg_sergeeva@vyatsu.ru</t>
  </si>
  <si>
    <t>Соколова Анна Николаевна</t>
  </si>
  <si>
    <t>an_sokolova@vyatsu.ru</t>
  </si>
  <si>
    <t>junell@inbox.ru</t>
  </si>
  <si>
    <t>Трубин Игорь Сергеевич</t>
  </si>
  <si>
    <t>trubin@vyatsu.ru</t>
  </si>
  <si>
    <t>Харина Наталья Леонидовна</t>
  </si>
  <si>
    <t>harina@vyatsu.ru</t>
  </si>
  <si>
    <t>Чистяков Геннадий Андреевич</t>
  </si>
  <si>
    <t>tchistyakov@vyatsu.ru</t>
  </si>
  <si>
    <t>Шалагинова Надежда Владимировна</t>
  </si>
  <si>
    <t>usr11801@vyatsu.ru</t>
  </si>
  <si>
    <t>korshunnv@mail.ru</t>
  </si>
  <si>
    <t>Александрова Ирина Александровна</t>
  </si>
  <si>
    <t>ialeksandrova@fa.ru</t>
  </si>
  <si>
    <t>Али Бушра</t>
  </si>
  <si>
    <t>bali@fa.ru</t>
  </si>
  <si>
    <t>bushraali9@yandex.ru</t>
  </si>
  <si>
    <t>Андриянов Никита Андреевич</t>
  </si>
  <si>
    <t>naandriyanov@fa.ru</t>
  </si>
  <si>
    <t>Артемова Светлана Евгеньевна</t>
  </si>
  <si>
    <t>seartemova@fa.ru</t>
  </si>
  <si>
    <t>Бартева Виктория Алексеевна</t>
  </si>
  <si>
    <t>vamalekova@fa.ru</t>
  </si>
  <si>
    <t>fishka91@yandex.ru</t>
  </si>
  <si>
    <t>Владова Алла Юрьевна</t>
  </si>
  <si>
    <t>ayvladova@fa.ru</t>
  </si>
  <si>
    <t>Горохова Римма Ивановна</t>
  </si>
  <si>
    <t>rigorokhova@fa.ru</t>
  </si>
  <si>
    <t>Емельянов Виталий Александрович</t>
  </si>
  <si>
    <t>vaemelyanov@fa.ru</t>
  </si>
  <si>
    <t>v.yemelyanov@gmail.com</t>
  </si>
  <si>
    <t>Емельянова Наталия Юрьевна</t>
  </si>
  <si>
    <t>nyemelyanova@fa.ru</t>
  </si>
  <si>
    <t>n.yemelianova@gmail.com</t>
  </si>
  <si>
    <t>Калажоков Заур Хамидбиевич</t>
  </si>
  <si>
    <t>zkhkalazhokov@fa.ru</t>
  </si>
  <si>
    <t>zaurpost@yandex.ru</t>
  </si>
  <si>
    <t>Коротеев Михаил Викторович</t>
  </si>
  <si>
    <t>MVKoroteev@fa.ru</t>
  </si>
  <si>
    <t>mvkoroteev@fa.ru</t>
  </si>
  <si>
    <t>Маковейчук Кристина Александровна</t>
  </si>
  <si>
    <t>kamakovejchuk@fa.ru</t>
  </si>
  <si>
    <t>Маковейчук Ян Тарасович</t>
  </si>
  <si>
    <t>ytmakovejchuk@fa.ru</t>
  </si>
  <si>
    <t>Миронов Владимир Олегович</t>
  </si>
  <si>
    <t>vomironov@fa.ru</t>
  </si>
  <si>
    <t>Окунева Эвелина Александровна</t>
  </si>
  <si>
    <t>eaokuneva@fa.ru</t>
  </si>
  <si>
    <t>Романова Екатерина Владимировна</t>
  </si>
  <si>
    <t>ekvromanova@fa.ru</t>
  </si>
  <si>
    <t>Рубцов Дмитрий Юрьевич</t>
  </si>
  <si>
    <t>dyrubtsov@fa.ru</t>
  </si>
  <si>
    <t>Рябов Павел Евгеньевич</t>
  </si>
  <si>
    <t>peryabov@fa.ru</t>
  </si>
  <si>
    <t>Стругач Григорий Константинович</t>
  </si>
  <si>
    <t>gkstrugach@fa.ru</t>
  </si>
  <si>
    <t>gstrugach00@mail.ru</t>
  </si>
  <si>
    <t>Тюжина Ирина Викторовна</t>
  </si>
  <si>
    <t>ivtyuzhina@fa.ru</t>
  </si>
  <si>
    <t>dojdlivaia@bk.ru</t>
  </si>
  <si>
    <t>Чупреева Алена Николаевна</t>
  </si>
  <si>
    <t>anchupreeva@fa.ru</t>
  </si>
  <si>
    <t>chupreyeva@mail.ru</t>
  </si>
  <si>
    <t>Гараев Роман Валентинович</t>
  </si>
  <si>
    <t>o.garaev@innopolis.university</t>
  </si>
  <si>
    <t>demo8916@gmail.com</t>
  </si>
  <si>
    <t>Данько Данила Константинович</t>
  </si>
  <si>
    <t>d.danko@innopolis.university</t>
  </si>
  <si>
    <t>Джанкарло Суччи</t>
  </si>
  <si>
    <t>giancarlo.succi@gmail.com</t>
  </si>
  <si>
    <t>Дмитриев Егор Алексеевич</t>
  </si>
  <si>
    <t>genom_10@mail.ru</t>
  </si>
  <si>
    <t>Загидуллин Артур Александрович</t>
  </si>
  <si>
    <t>a.zagidullin@innopolis.ru</t>
  </si>
  <si>
    <t>arhtur.zagidullin@yandex.ru</t>
  </si>
  <si>
    <t>Иванова Марина Артемовна</t>
  </si>
  <si>
    <t>eima1647@outlook.com</t>
  </si>
  <si>
    <t>ima1647@outlook.com</t>
  </si>
  <si>
    <t>Конюхов Иван Владимирович</t>
  </si>
  <si>
    <t>i.konyukhov@innopolis.ru</t>
  </si>
  <si>
    <t>Крид Дмитрий Андреевич</t>
  </si>
  <si>
    <t>creeed22@gmail.com</t>
  </si>
  <si>
    <t>2creed@mail.ru</t>
  </si>
  <si>
    <t>Максименко Владимир Александрович</t>
  </si>
  <si>
    <t>e.dubrovnaya@innopolis.ru</t>
  </si>
  <si>
    <t>maximenkovl@gmail.com</t>
  </si>
  <si>
    <t>Матюхин Владислав Вячеславович</t>
  </si>
  <si>
    <t>vladmatyukh@gmail.com</t>
  </si>
  <si>
    <t>Фролов Андрей Николаевич</t>
  </si>
  <si>
    <t>a.frolov.kpfu@gmail.com</t>
  </si>
  <si>
    <t>Харин Тимур Витальевич</t>
  </si>
  <si>
    <t>timur.harin@mail.ru</t>
  </si>
  <si>
    <t>Холматова Замира Шухратовна</t>
  </si>
  <si>
    <t>z.kholmatova@innopolis.university</t>
  </si>
  <si>
    <t>Холодов Ярослав Александрович</t>
  </si>
  <si>
    <t>kholodov@crec.mipt.ru</t>
  </si>
  <si>
    <t>Щедрикова Злата Константинвна</t>
  </si>
  <si>
    <t>alphalyrae253@gmail.com</t>
  </si>
  <si>
    <t>Беляева Юлия Олеговна</t>
  </si>
  <si>
    <t>belyaeva-yuo@rudn.ru</t>
  </si>
  <si>
    <t>yilia-b@yandex.ru</t>
  </si>
  <si>
    <t>Булычев Александр Викторович</t>
  </si>
  <si>
    <t>bulytchev.isa.ran@gmail.com</t>
  </si>
  <si>
    <t>Габдрахманова Наиля Талгатовна</t>
  </si>
  <si>
    <t>gabdrakhmanova-nt@rudn.ru</t>
  </si>
  <si>
    <t>Гонтарь Людмила Олеговна</t>
  </si>
  <si>
    <t>cambridge.gontar@gmail.com</t>
  </si>
  <si>
    <t>gontar-lo@rudn.ru</t>
  </si>
  <si>
    <t>Горбунова Анастасия Владимировна</t>
  </si>
  <si>
    <t>avgorbunova@bk.ru</t>
  </si>
  <si>
    <t>Дворецкая Ирина Владимировна</t>
  </si>
  <si>
    <t>idorogova@mail.ru</t>
  </si>
  <si>
    <t>Курашкин Сергей Олегович</t>
  </si>
  <si>
    <t>scorpion_ser@mail.ru</t>
  </si>
  <si>
    <t>Окишев Василий Александрович</t>
  </si>
  <si>
    <t>okishev-va@rudn.ru</t>
  </si>
  <si>
    <t>vasyaokishev@gmail.com</t>
  </si>
  <si>
    <t>Перчихин Олег Игоревич</t>
  </si>
  <si>
    <t>3217298@mail.ru</t>
  </si>
  <si>
    <t>perchikhin-oi@rudn.ru</t>
  </si>
  <si>
    <t>Реза Каши Заде Казем</t>
  </si>
  <si>
    <t>reza-kashi-zade-ka@rudn.ru</t>
  </si>
  <si>
    <t>kazem.kashyzadeh@gmail.com</t>
  </si>
  <si>
    <t>Суворова Татьяна Николаевна</t>
  </si>
  <si>
    <t>suvorova-tn@rudn.ru</t>
  </si>
  <si>
    <t>Усачёв Александр Владимирович</t>
  </si>
  <si>
    <t>aazkr@yandex.ru</t>
  </si>
  <si>
    <t>Усова Наталья Александровна</t>
  </si>
  <si>
    <t>usova_na@rudn.ru</t>
  </si>
  <si>
    <t>us-nat@ya.ru</t>
  </si>
  <si>
    <t>Федоренко Анастасия Олеговна</t>
  </si>
  <si>
    <t>fedorenko-ao@rudn.ru</t>
  </si>
  <si>
    <t>Жуйков Константин Николаевич</t>
  </si>
  <si>
    <t>zhuykov-kn@rudn.ru</t>
  </si>
  <si>
    <t>Баглий Антон Павлович</t>
  </si>
  <si>
    <t>abagly@sfedu.ru</t>
  </si>
  <si>
    <t>Бермудес Сото Хосе Грегорио</t>
  </si>
  <si>
    <t>sbermudes@sfedu.ru</t>
  </si>
  <si>
    <t>Веденев Кирилл Владимирович</t>
  </si>
  <si>
    <t>vedenev@sfedu.ru</t>
  </si>
  <si>
    <t>vedenevk@gmail.com</t>
  </si>
  <si>
    <t>Данильченко Владислав Иванович</t>
  </si>
  <si>
    <t>vdanilchenko@sfedu.ru</t>
  </si>
  <si>
    <t>Драгныш Николай Васильевич</t>
  </si>
  <si>
    <t>dragnysh@sfedu.ru</t>
  </si>
  <si>
    <t>Компаниец Виталий Сергеевич</t>
  </si>
  <si>
    <t>kompaniets@sfedu.ru</t>
  </si>
  <si>
    <t>Костюк Андрей Иванович</t>
  </si>
  <si>
    <t>aikostyuk@sfedu.ru</t>
  </si>
  <si>
    <t>Кулиев Эльмар Валерьевич</t>
  </si>
  <si>
    <t>ekuliev@sfedu.ru</t>
  </si>
  <si>
    <t>elmar_2005@mail.ru</t>
  </si>
  <si>
    <t>Миронов Яков Константинович</t>
  </si>
  <si>
    <t>ymironov@sfedu.ru</t>
  </si>
  <si>
    <t>tmiyap117@gmail.com</t>
  </si>
  <si>
    <t>Могилевская Надежда Сергеевна</t>
  </si>
  <si>
    <t>nmogilevskaya@sfedu.ru</t>
  </si>
  <si>
    <t>broshka2011@yandex.ru</t>
  </si>
  <si>
    <t>Пустовалова Ольга Геннадиевна</t>
  </si>
  <si>
    <t>ogpustovalova@sfedu.ru</t>
  </si>
  <si>
    <t>Сафроненкова Ирина Борисовна</t>
  </si>
  <si>
    <t>safronenkova@sfedu.ru</t>
  </si>
  <si>
    <t>safronenkova050788@yandex.ru</t>
  </si>
  <si>
    <t>Свиридов Александр Славьевич</t>
  </si>
  <si>
    <t>asviridov@sfedu.ru</t>
  </si>
  <si>
    <t>Штейнберг Борис Яковлевич</t>
  </si>
  <si>
    <t>byshtyaynberg@sfedu.ru</t>
  </si>
  <si>
    <t>boris.j.steinberg@gmail.com</t>
  </si>
  <si>
    <t>a</t>
  </si>
  <si>
    <t>Наименование направляющей организации</t>
  </si>
  <si>
    <t>SHORT_NAME</t>
  </si>
  <si>
    <t>CITY</t>
  </si>
  <si>
    <t xml:space="preserve">Ф </t>
  </si>
  <si>
    <t>И</t>
  </si>
  <si>
    <t>О</t>
  </si>
  <si>
    <t>ИФ</t>
  </si>
  <si>
    <t>Должность</t>
  </si>
  <si>
    <t>Телефон</t>
  </si>
  <si>
    <t>Чат</t>
  </si>
  <si>
    <t>Мудл</t>
  </si>
  <si>
    <t>Битрикс</t>
  </si>
  <si>
    <t>В оф. пис. от 22.06</t>
  </si>
  <si>
    <t>Рассылка 22-23 июня</t>
  </si>
  <si>
    <t>Рассылка про мудл и мах 30.06</t>
  </si>
  <si>
    <t>Федеральное государственное автономное образовательное учреждение высшего образования "Российский университет дружбы народов имени Патриса Лумумбы"</t>
  </si>
  <si>
    <t>РУДН</t>
  </si>
  <si>
    <t>Москва</t>
  </si>
  <si>
    <t>Красиков</t>
  </si>
  <si>
    <t>Виталий</t>
  </si>
  <si>
    <t>Александрович</t>
  </si>
  <si>
    <t>Доцент кафедры прикладного искусственного интеллекта</t>
  </si>
  <si>
    <r>
      <rPr>
        <sz val="12"/>
        <color rgb="FF000000"/>
        <rFont val="Calibri, sans-serif"/>
        <charset val="134"/>
      </rPr>
      <t>vitkras@inbox.ru</t>
    </r>
  </si>
  <si>
    <t>Согласовано с АЦ</t>
  </si>
  <si>
    <t>Ордена Трудового Красного Знамени Федеральное государственное бюджетное образовательное учреждение высшего образования "Московский технический университет связи и информатики"</t>
  </si>
  <si>
    <t>МТУСИ</t>
  </si>
  <si>
    <t>Санкт-Петербург</t>
  </si>
  <si>
    <t>Рогов Олег Юрьевич</t>
  </si>
  <si>
    <t xml:space="preserve">Рогов </t>
  </si>
  <si>
    <t xml:space="preserve">Олег </t>
  </si>
  <si>
    <t>Юрьевич</t>
  </si>
  <si>
    <t>доцент</t>
  </si>
  <si>
    <t>o.yu.rogov@mtuci.ru</t>
  </si>
  <si>
    <t>Федеральное государственное автономное образовательное учреждение высшего образования "Национальный исследовательский университет ИТМО"</t>
  </si>
  <si>
    <t>ИТМО</t>
  </si>
  <si>
    <t>Лукина Марина Владимировна</t>
  </si>
  <si>
    <t>Лукина</t>
  </si>
  <si>
    <t>Марина</t>
  </si>
  <si>
    <t>Владимировна</t>
  </si>
  <si>
    <t>Преподаватель</t>
  </si>
  <si>
    <t>8-921-349-64-04</t>
  </si>
  <si>
    <t>mvlukina@itmo.ru</t>
  </si>
  <si>
    <t>Вместо неё - Ким</t>
  </si>
  <si>
    <t>Синхронизировано</t>
  </si>
  <si>
    <t>Course ID</t>
  </si>
  <si>
    <t>Moodle user ID</t>
  </si>
  <si>
    <t>Moodle ID number</t>
  </si>
  <si>
    <t>Почта</t>
  </si>
  <si>
    <t>Grade item ID</t>
  </si>
  <si>
    <t>Элемент оценивания</t>
  </si>
  <si>
    <t>Тип элемента</t>
  </si>
  <si>
    <t>Модуль</t>
  </si>
  <si>
    <t>Минимум</t>
  </si>
  <si>
    <t>Максимум</t>
  </si>
  <si>
    <t>Балл</t>
  </si>
  <si>
    <t>Отображение Moodle</t>
  </si>
  <si>
    <t>Дата отправки</t>
  </si>
  <si>
    <t>Дата оценивания</t>
  </si>
  <si>
    <t>Айсу Бодур</t>
  </si>
  <si>
    <t>Итоговая аттестация</t>
  </si>
  <si>
    <t>manual</t>
  </si>
  <si>
    <t>-</t>
  </si>
  <si>
    <t>Кроссвалидация</t>
  </si>
  <si>
    <t>Посещение вебинаров</t>
  </si>
  <si>
    <t>mod</t>
  </si>
  <si>
    <t>attendance</t>
  </si>
  <si>
    <t>Промежуточная аттестация</t>
  </si>
  <si>
    <t>Тестирование по модулю 1</t>
  </si>
  <si>
    <t>quiz</t>
  </si>
  <si>
    <t>Тестирование по модулю 4</t>
  </si>
  <si>
    <t>Тестирование по модулям 2 и 3</t>
  </si>
  <si>
    <t>Элемент 168</t>
  </si>
  <si>
    <t>course</t>
  </si>
  <si>
    <t>Александр Багмутов</t>
  </si>
  <si>
    <t>Александр Бакулев</t>
  </si>
  <si>
    <t>Александр Бастрычкин</t>
  </si>
  <si>
    <t>Александр Булычев</t>
  </si>
  <si>
    <t>Александр Владимирович</t>
  </si>
  <si>
    <t>Александр Грищенко</t>
  </si>
  <si>
    <t>Александр Золотарев</t>
  </si>
  <si>
    <t>Александр Катаев</t>
  </si>
  <si>
    <t>Александр Коваленко</t>
  </si>
  <si>
    <t>Александр Колотий</t>
  </si>
  <si>
    <t>Александр Колупаев</t>
  </si>
  <si>
    <t>Александр Кревецкий</t>
  </si>
  <si>
    <t>Александр Крошилин</t>
  </si>
  <si>
    <t>Александр Куренков</t>
  </si>
  <si>
    <t>Александр Лут</t>
  </si>
  <si>
    <t>Александр Макаров</t>
  </si>
  <si>
    <t>Александр Метелев</t>
  </si>
  <si>
    <t>Александр Мокин</t>
  </si>
  <si>
    <t>Александр Назаров</t>
  </si>
  <si>
    <t>Александр Невзоров</t>
  </si>
  <si>
    <t>Александр Осипов</t>
  </si>
  <si>
    <t>Александр Письменский</t>
  </si>
  <si>
    <t>Александр Ряскин</t>
  </si>
  <si>
    <t>Александр Свиридов</t>
  </si>
  <si>
    <t>Александр Соколов</t>
  </si>
  <si>
    <t>Александр Трифанов</t>
  </si>
  <si>
    <t>Александр Трофимов</t>
  </si>
  <si>
    <t>Александр Шереметьев</t>
  </si>
  <si>
    <t>Александр Шокин</t>
  </si>
  <si>
    <t>Александра Абрамович</t>
  </si>
  <si>
    <t>Александрова Ирина</t>
  </si>
  <si>
    <t>Алексей Брюховецкий</t>
  </si>
  <si>
    <t>Алексей Гостин</t>
  </si>
  <si>
    <t>Алексей Забашта</t>
  </si>
  <si>
    <t>Алексей Кизим</t>
  </si>
  <si>
    <t>Алексей Кислицын</t>
  </si>
  <si>
    <t>Алексей Лащевский</t>
  </si>
  <si>
    <t>Алексей Полетайкин</t>
  </si>
  <si>
    <t>Алексей Полупанов</t>
  </si>
  <si>
    <t>Алексей Прутский</t>
  </si>
  <si>
    <t>Алексей Сахнов</t>
  </si>
  <si>
    <t>Алёна Чупреева</t>
  </si>
  <si>
    <t>Алеся Мосева</t>
  </si>
  <si>
    <t>Алла Владова</t>
  </si>
  <si>
    <t>Алла Меерсон</t>
  </si>
  <si>
    <t>Альфия Сурина</t>
  </si>
  <si>
    <t>Анастасия Горбунова</t>
  </si>
  <si>
    <t>Анастасия Коржавина</t>
  </si>
  <si>
    <t>Анастасия Котельникова</t>
  </si>
  <si>
    <t>Анастасия Овчинникова</t>
  </si>
  <si>
    <t>Анатолий Новиков</t>
  </si>
  <si>
    <t>Андрей Бородин</t>
  </si>
  <si>
    <t>Андрей Григорьев</t>
  </si>
  <si>
    <t>Андрей Дедов</t>
  </si>
  <si>
    <t>Андрей Костюк</t>
  </si>
  <si>
    <t>Андрей Матвеев</t>
  </si>
  <si>
    <t>Андрей Сергеев</t>
  </si>
  <si>
    <t>Андрей Сопов</t>
  </si>
  <si>
    <t>Андрей Тарасов</t>
  </si>
  <si>
    <t>Андрей Фролов</t>
  </si>
  <si>
    <t>Андрей Шека</t>
  </si>
  <si>
    <t>Анна Авдюшина</t>
  </si>
  <si>
    <t>Анна Безуглая</t>
  </si>
  <si>
    <t>Анна Коваленко</t>
  </si>
  <si>
    <t>Анна Матохина</t>
  </si>
  <si>
    <t>Анна Соколова</t>
  </si>
  <si>
    <t>Анна Уколова</t>
  </si>
  <si>
    <t>Анна Харченко</t>
  </si>
  <si>
    <t>Антон Баглий</t>
  </si>
  <si>
    <t>Антон Долганов</t>
  </si>
  <si>
    <t>Антон Кошелев</t>
  </si>
  <si>
    <t>Арина Табиева</t>
  </si>
  <si>
    <t>Арсений Жук</t>
  </si>
  <si>
    <t>Артем Ветошкин</t>
  </si>
  <si>
    <t>Артем Павликов</t>
  </si>
  <si>
    <t>Артем Сорока</t>
  </si>
  <si>
    <t>Артем Сорокин</t>
  </si>
  <si>
    <t>Артем Титов</t>
  </si>
  <si>
    <t>Артур Загидуллин</t>
  </si>
  <si>
    <t>Баев Алексей</t>
  </si>
  <si>
    <t>Баранчиков Алексей</t>
  </si>
  <si>
    <t>Баярма Дашиева</t>
  </si>
  <si>
    <t>Борис Штейнберг</t>
  </si>
  <si>
    <t>Бушра Али</t>
  </si>
  <si>
    <t>Вадим Былков</t>
  </si>
  <si>
    <t>Вадим Подколзин</t>
  </si>
  <si>
    <t>Валерий Белоцерковский</t>
  </si>
  <si>
    <t>валерия кирова</t>
  </si>
  <si>
    <t>kirova_vo@mail.ru</t>
  </si>
  <si>
    <t>Василий Борисов</t>
  </si>
  <si>
    <t>Василий Киреев</t>
  </si>
  <si>
    <t>Василий Мельцов</t>
  </si>
  <si>
    <t>Василий Окишев</t>
  </si>
  <si>
    <t>Вера Акиньшина</t>
  </si>
  <si>
    <t>Вера Петросян</t>
  </si>
  <si>
    <t>Виктор Зенков</t>
  </si>
  <si>
    <t>Виктория Бартева</t>
  </si>
  <si>
    <t>Виктория Голубева</t>
  </si>
  <si>
    <t>Виктория Шевченко</t>
  </si>
  <si>
    <t>Виталий Егунов</t>
  </si>
  <si>
    <t>Виталий Емельянов</t>
  </si>
  <si>
    <t>Виталий Красиков</t>
  </si>
  <si>
    <t>Виталий Кудинов</t>
  </si>
  <si>
    <t>Владимир Белов</t>
  </si>
  <si>
    <t>Владимир Бондарев</t>
  </si>
  <si>
    <t>Владимир Гузанов</t>
  </si>
  <si>
    <t>Владимир Калитвин</t>
  </si>
  <si>
    <t>Владимир Конченков</t>
  </si>
  <si>
    <t>Владимир Кулагин</t>
  </si>
  <si>
    <t>Владимир Максименко</t>
  </si>
  <si>
    <t>Владимир Миронов</t>
  </si>
  <si>
    <t>Владимир Овчинников</t>
  </si>
  <si>
    <t>Владимир Рословцев</t>
  </si>
  <si>
    <t>Владимир Сурин</t>
  </si>
  <si>
    <t>Владимир Шибанов</t>
  </si>
  <si>
    <t>Владислав Данильченко</t>
  </si>
  <si>
    <t>Владислав Кукарцев</t>
  </si>
  <si>
    <t>Владислав Лесников</t>
  </si>
  <si>
    <t>Владислав Матюхин</t>
  </si>
  <si>
    <t>Владислав Чероков</t>
  </si>
  <si>
    <t>Вячеслав Башуров</t>
  </si>
  <si>
    <t>Галина Горемыкина</t>
  </si>
  <si>
    <t>Геннадий Чистяков</t>
  </si>
  <si>
    <t>Георгий Круглов</t>
  </si>
  <si>
    <t>Грант Кесиян</t>
  </si>
  <si>
    <t>Грач Мкртчян</t>
  </si>
  <si>
    <t>Григорий Стругач</t>
  </si>
  <si>
    <t>Даниил Пушкарев</t>
  </si>
  <si>
    <t>Данила Данько</t>
  </si>
  <si>
    <t>Данила Парыгин</t>
  </si>
  <si>
    <t>Данила Пономарев</t>
  </si>
  <si>
    <t>Дарья Лаврова</t>
  </si>
  <si>
    <t>Дарья Титова</t>
  </si>
  <si>
    <t>Денис Быков</t>
  </si>
  <si>
    <t>Денис Цофнас</t>
  </si>
  <si>
    <t>Дина Стягун</t>
  </si>
  <si>
    <t>Дмитрий Ворожцов</t>
  </si>
  <si>
    <t>Дмитрий Демидов</t>
  </si>
  <si>
    <t>Дмитрий Завьялов</t>
  </si>
  <si>
    <t>Дмитрий Коробкин</t>
  </si>
  <si>
    <t>Дмитрий Крид</t>
  </si>
  <si>
    <t>Дмитрий Левченко</t>
  </si>
  <si>
    <t>Дмитрий Моисеев</t>
  </si>
  <si>
    <t>Дмитрий Моторин</t>
  </si>
  <si>
    <t>Дмитрий Прозоров</t>
  </si>
  <si>
    <t>Дмитрий Рубцов</t>
  </si>
  <si>
    <t>Дмитрий Скоробогатченко</t>
  </si>
  <si>
    <t>Дмитрий Смирнов</t>
  </si>
  <si>
    <t>Дмитрий Тарасов</t>
  </si>
  <si>
    <t>Дмитрий Храмов</t>
  </si>
  <si>
    <t>Евгений Зубков</t>
  </si>
  <si>
    <t>Евгений Мартюшев</t>
  </si>
  <si>
    <t>Евгений Муратов</t>
  </si>
  <si>
    <t>Евгений Юрьевич</t>
  </si>
  <si>
    <t>Егор Дмитриев</t>
  </si>
  <si>
    <t>Екатерина Казаковцева</t>
  </si>
  <si>
    <t>Екатерина Мочалина</t>
  </si>
  <si>
    <t>Екатерина Напеденина</t>
  </si>
  <si>
    <t>Екатерина Пелипенко</t>
  </si>
  <si>
    <t>Екатерина Романова</t>
  </si>
  <si>
    <t>ekatromanova90@mail.ru</t>
  </si>
  <si>
    <t>Елена Душкина</t>
  </si>
  <si>
    <t>Елена Мащенко</t>
  </si>
  <si>
    <t>Елена Медведева</t>
  </si>
  <si>
    <t>Елена Полупанова</t>
  </si>
  <si>
    <t>Елена Ржаникова</t>
  </si>
  <si>
    <t>Елена Сафонова</t>
  </si>
  <si>
    <t>Елизавета Кирчанова</t>
  </si>
  <si>
    <t>Елизавета Сергеева</t>
  </si>
  <si>
    <t>Залина Русинова</t>
  </si>
  <si>
    <t>Замира Холматова</t>
  </si>
  <si>
    <t>Заур Калажоков</t>
  </si>
  <si>
    <t>Злата Щедрикова</t>
  </si>
  <si>
    <t>Иван Белоусов</t>
  </si>
  <si>
    <t>Иван Конюхов</t>
  </si>
  <si>
    <t>Иван Корелин</t>
  </si>
  <si>
    <t>Иван Лимар</t>
  </si>
  <si>
    <t>Игорь Козулин</t>
  </si>
  <si>
    <t>Игорь Нехаев</t>
  </si>
  <si>
    <t>Игорь Трубин</t>
  </si>
  <si>
    <t>Игорь Чеховской</t>
  </si>
  <si>
    <t>Илья Драников</t>
  </si>
  <si>
    <t>Илья Танрывердиев</t>
  </si>
  <si>
    <t>Ирина Дворецкая</t>
  </si>
  <si>
    <t>Ирина Парасич</t>
  </si>
  <si>
    <t>Ирина Сафроненкова</t>
  </si>
  <si>
    <t>Ирина Тюжина</t>
  </si>
  <si>
    <t>Ирина Шумейко</t>
  </si>
  <si>
    <t>Ирина Юманова</t>
  </si>
  <si>
    <t>Казем Реза Каши Заде</t>
  </si>
  <si>
    <t>Камиль Харрасов</t>
  </si>
  <si>
    <t>Кирилл Веденев</t>
  </si>
  <si>
    <t>Кирилл Иевлев</t>
  </si>
  <si>
    <t>Кирилл Козлов</t>
  </si>
  <si>
    <t>Кирилл Шильников</t>
  </si>
  <si>
    <t>Кирилл Шишкин</t>
  </si>
  <si>
    <t>Компаниец Виталий</t>
  </si>
  <si>
    <t>Константин Жуйков</t>
  </si>
  <si>
    <t>Константин Иванов</t>
  </si>
  <si>
    <t>Константин Правдин</t>
  </si>
  <si>
    <t>Константин Степанов</t>
  </si>
  <si>
    <t>Кристина Маковейчук</t>
  </si>
  <si>
    <t>Ксения Полянцева</t>
  </si>
  <si>
    <t>Лев Петров</t>
  </si>
  <si>
    <t>Леонид Сердаков</t>
  </si>
  <si>
    <t>Лидия Борель</t>
  </si>
  <si>
    <t>Лилия Демидова</t>
  </si>
  <si>
    <t>Людмила Гонтарь</t>
  </si>
  <si>
    <t>Максим Бабушкин</t>
  </si>
  <si>
    <t>Максим Бакнин</t>
  </si>
  <si>
    <t>Максим Калинин</t>
  </si>
  <si>
    <t>Максим Новиков</t>
  </si>
  <si>
    <t>Максим Пахомов</t>
  </si>
  <si>
    <t>Максим Собченко</t>
  </si>
  <si>
    <t>Марвин Сергей</t>
  </si>
  <si>
    <t>Марина Бакулева</t>
  </si>
  <si>
    <t>Марина Иванова</t>
  </si>
  <si>
    <t>Марина Мосева</t>
  </si>
  <si>
    <t>Марина Перевозчикова</t>
  </si>
  <si>
    <t>Марина Храмова</t>
  </si>
  <si>
    <t>Мария Анисова</t>
  </si>
  <si>
    <t>Мария Долженкова</t>
  </si>
  <si>
    <t>Мария Москаленко</t>
  </si>
  <si>
    <t>Михаил Городничев</t>
  </si>
  <si>
    <t>Михаил Заморёнов</t>
  </si>
  <si>
    <t>Михаил Коротеев</t>
  </si>
  <si>
    <t>Михаил Ронкин</t>
  </si>
  <si>
    <t>Михаил Свинцов</t>
  </si>
  <si>
    <t>Михаил Сухов</t>
  </si>
  <si>
    <t>Михаил Филиппов</t>
  </si>
  <si>
    <t>Надежда Могилевская</t>
  </si>
  <si>
    <t>Надежда Муравьева</t>
  </si>
  <si>
    <t>Надежда Шалагинова</t>
  </si>
  <si>
    <t>Наиля Габдрахманова</t>
  </si>
  <si>
    <t>Наталия Емельянова</t>
  </si>
  <si>
    <t>наталья вербова</t>
  </si>
  <si>
    <t>Наталья Добровольская</t>
  </si>
  <si>
    <t>Наталья Исупова</t>
  </si>
  <si>
    <t>Наталья Манакова</t>
  </si>
  <si>
    <t>Наталья Паршукова</t>
  </si>
  <si>
    <t>Наталья Трачева</t>
  </si>
  <si>
    <t>Наталья Усова</t>
  </si>
  <si>
    <t>Наталья Харина</t>
  </si>
  <si>
    <t>Наталья Чубырь</t>
  </si>
  <si>
    <t>Наталья Щукина</t>
  </si>
  <si>
    <t>Никита Андриянов</t>
  </si>
  <si>
    <t>Никита Гололобов</t>
  </si>
  <si>
    <t>Никита Гончаров</t>
  </si>
  <si>
    <t>Никита Грибков</t>
  </si>
  <si>
    <t>Никита Чаленков</t>
  </si>
  <si>
    <t>Николай Драгныш</t>
  </si>
  <si>
    <t>Николай Ломакин</t>
  </si>
  <si>
    <t>Николай Паклин</t>
  </si>
  <si>
    <t>Николай Чапкин</t>
  </si>
  <si>
    <t>Николай Шенец</t>
  </si>
  <si>
    <t>Олег Перчихин</t>
  </si>
  <si>
    <t>Олег Расин</t>
  </si>
  <si>
    <t>Олег Сычев</t>
  </si>
  <si>
    <t>Ольга Агарева</t>
  </si>
  <si>
    <t>Ольга Еклашева</t>
  </si>
  <si>
    <t>Ольга Ермолаева</t>
  </si>
  <si>
    <t>Ольга Иванова</t>
  </si>
  <si>
    <t>Ольга Караваева</t>
  </si>
  <si>
    <t>Ольга Пустовалова</t>
  </si>
  <si>
    <t>Ольга Ченгарь</t>
  </si>
  <si>
    <t>Ольга Шабалина</t>
  </si>
  <si>
    <t>Павел Кравченя</t>
  </si>
  <si>
    <t>Павел Курасов</t>
  </si>
  <si>
    <t>Павел Рябов</t>
  </si>
  <si>
    <t>Пак Вадим</t>
  </si>
  <si>
    <t>Приходько Татьяна</t>
  </si>
  <si>
    <t>Римма Горохова</t>
  </si>
  <si>
    <t>Роман Борзин</t>
  </si>
  <si>
    <t>Роман Гараев</t>
  </si>
  <si>
    <t>Роман Попков</t>
  </si>
  <si>
    <t>Руслан Заликов</t>
  </si>
  <si>
    <t>Садыков Тимур</t>
  </si>
  <si>
    <t>Светлана Амосова</t>
  </si>
  <si>
    <t>Светлана Артемова</t>
  </si>
  <si>
    <t>Светлана Крошилина</t>
  </si>
  <si>
    <t>Светлана Силинская</t>
  </si>
  <si>
    <t>Светлана Турлакова</t>
  </si>
  <si>
    <t>Святослав Солодушкин</t>
  </si>
  <si>
    <t>Сергей Беспалов</t>
  </si>
  <si>
    <t>Сергей Гапоненко</t>
  </si>
  <si>
    <t>Сергей Девятовский</t>
  </si>
  <si>
    <t>Сергей Елсаков</t>
  </si>
  <si>
    <t>Сергей Кузнецов</t>
  </si>
  <si>
    <t>Сергей Курашкин</t>
  </si>
  <si>
    <t>Сергей Лапшин</t>
  </si>
  <si>
    <t>Сергей Малов</t>
  </si>
  <si>
    <t>Сергей Мосин</t>
  </si>
  <si>
    <t>Сергей Симонов</t>
  </si>
  <si>
    <t>Сергей Синица</t>
  </si>
  <si>
    <t>Сергей Тихонов</t>
  </si>
  <si>
    <t>СЕРГЕЙ ШИТИКОВ</t>
  </si>
  <si>
    <t>Соболев Николай</t>
  </si>
  <si>
    <t>Софья Семенова</t>
  </si>
  <si>
    <t>Станислав Драгунов</t>
  </si>
  <si>
    <t>Станислав Ким</t>
  </si>
  <si>
    <t>Станислав Кирпиченко</t>
  </si>
  <si>
    <t>Татьяна Исупова</t>
  </si>
  <si>
    <t>Татьяна Карпета</t>
  </si>
  <si>
    <t>Татьяна Макаровских</t>
  </si>
  <si>
    <t>Татьяна Маркина</t>
  </si>
  <si>
    <t>Татьяна Синева</t>
  </si>
  <si>
    <t>Татьяна Сметанина</t>
  </si>
  <si>
    <t>ТАТЬЯНА Суворова</t>
  </si>
  <si>
    <t>Татьяна Уразаева</t>
  </si>
  <si>
    <t>Тимур Потапченко</t>
  </si>
  <si>
    <t>Тимур Харин</t>
  </si>
  <si>
    <t>Тимур Яновский</t>
  </si>
  <si>
    <t>Ткаченко Марина</t>
  </si>
  <si>
    <t>Тягунов Андрей</t>
  </si>
  <si>
    <t>Федоренко Анастасия</t>
  </si>
  <si>
    <t>Эвелина Окунева</t>
  </si>
  <si>
    <t>Эдуард Раюшкин</t>
  </si>
  <si>
    <t>Эльмар Кулиев</t>
  </si>
  <si>
    <t>Югай Павел</t>
  </si>
  <si>
    <t>Юлия Беляева</t>
  </si>
  <si>
    <t>Юлия Доронина</t>
  </si>
  <si>
    <t>Юлия Соколова</t>
  </si>
  <si>
    <t>Юрий Ипатов</t>
  </si>
  <si>
    <t>Юрий Чернышов</t>
  </si>
  <si>
    <t>Язан Вассуф</t>
  </si>
  <si>
    <t>Яков Миронов</t>
  </si>
  <si>
    <t>Ян маковейчук</t>
  </si>
  <si>
    <t>Ярослав Холодов</t>
  </si>
  <si>
    <t>Anton tyukov</t>
  </si>
  <si>
    <t>Giancarlo Succi</t>
  </si>
  <si>
    <t>Jose Gregorio Bermudez Soto</t>
  </si>
  <si>
    <t>Test User</t>
  </si>
  <si>
    <t>maxsannikovmax@gmail.com</t>
  </si>
  <si>
    <t>USER TEST</t>
  </si>
  <si>
    <t>367528@niuitmo.ru</t>
  </si>
  <si>
    <t>Полное имя пользователя</t>
  </si>
  <si>
    <t>Адрес электронной почты</t>
  </si>
  <si>
    <t>Дата</t>
  </si>
  <si>
    <t>1. Какие дисциплины Вы преподаете (или планируете преподавать) по образовательным программам топ-уровня? (Укажите конкретные названия курсов / дисциплин / модулей)</t>
  </si>
  <si>
    <t>2. Какой у Вас базовый профиль образования?</t>
  </si>
  <si>
    <t>3. Знакомы ли Вы с Компетентностно-ролевой моделью (КРМ) в сфере искусственного интеллекта?</t>
  </si>
  <si>
    <t>4. Какие разделы КРМ Вам знакомы лучше всего? *(Выберите все подходящие варианты)</t>
  </si>
  <si>
    <t>5. Если на предыдущий вопрс Вы ответили "другое", пожалуйста, поясните</t>
  </si>
  <si>
    <t>6. Используете ли Вы КРМ при разработке или актуализации рабочих программ дисциплин (РПД)?</t>
  </si>
  <si>
    <t>7. Оцените, насколько Вы умеете "переводить" требования КРМ в конкретные результаты обучения и оценочные средства:</t>
  </si>
  <si>
    <t>8. Используете ли Вы КРМ при проектировании фонда оценочных средств (ФОС)?</t>
  </si>
  <si>
    <t>9. Оцените от 0 до 4 Ваш практический навык «Проектирование информационных систем без программирования (в том числе с помощью графических языков UML/C4)»</t>
  </si>
  <si>
    <t>10. Оцените от 0 до 4 Ваш практический навык «Разработка баз данных (SQL, Ключ-значение, документно-ориентированные…)»</t>
  </si>
  <si>
    <t>11. Оцените от 0 до 4 Ваш практический навык «Python (программирование)»</t>
  </si>
  <si>
    <t>12. Оцените от 0 до 4 Ваш практический навык «Работа с библиотеками машинного обучения»</t>
  </si>
  <si>
    <t>13. Оцените от 0 до 4 Ваш практический навык «Системы контроля версий (Git)»</t>
  </si>
  <si>
    <t>14. Оцените от 0 до 4 Ваш практический навык «Контейнеризация (Docker) и облачные платформы»</t>
  </si>
  <si>
    <t>15. Оцените от 0 до 4 Ваш практический навык «Работа с большими данными (обработка, хранение)»</t>
  </si>
  <si>
    <t>16. Оцените от 0 до 4 Ваш практический навык «Владение большими языковыми моделями (от общего представления до использования программных интерфейсов)»</t>
  </si>
  <si>
    <t>17. Оцените от 0 до 4 Ваш навык «Разработка рабочих программ дисциплин (РПД)»</t>
  </si>
  <si>
    <t>18. Оцените от 0 до 4 Ваш навык «Создание фонда оценочных средств (ФОС)»</t>
  </si>
  <si>
    <t>19. Оцените от 0 до 4 Ваш навык «Проектирование практико-ориентированных занятий»</t>
  </si>
  <si>
    <t>20. Оцените от 0 до 4 Ваш навык «Организация проектной и командной работы студентов»</t>
  </si>
  <si>
    <t>21. Оцените от 0 до 4 Ваш навык «Опыт разработки средств автоматизации для учебных целей»</t>
  </si>
  <si>
    <t>22. Оцените от 0 до 4 Ваш опыт участия в совместных проектах с ИТ-компаниями</t>
  </si>
  <si>
    <t>23. Оцените от 0 до 4 вовлечение индустриальных партнеров в учебный процесс на Вашей образовательной программе</t>
  </si>
  <si>
    <t>24. Оцените от 0 до 4 насколько трансформированны реальные бизнес-задачи в Ваши учебные кейсы</t>
  </si>
  <si>
    <t>25. Организовывали ли вы проектную работу студентов?</t>
  </si>
  <si>
    <t>26. Какие роли вы выполняете / готовы выполнять в команде? (Выберите 1-2 основных варианта)</t>
  </si>
  <si>
    <t>27. Какой у вас опыт преподавания (в годах)?</t>
  </si>
  <si>
    <t>28. Каких результатов вы ожидаете от обучения? (Напишите 2-3 ключевых пункта)</t>
  </si>
  <si>
    <t>29. Есть ли у вас конкретные дисциплины / модули, которые вы хотите разработать или актуализировать в рамках проектной работы? Если да, укажите:</t>
  </si>
  <si>
    <t>Учебная практика (ознакомительная практика) Введение в проектную деятельность</t>
  </si>
  <si>
    <t>Информатика / Программирование</t>
  </si>
  <si>
    <t>Использую КРМ в своей профессиональной деятельности</t>
  </si>
  <si>
    <t>Компетенции в области машинного обучения (ML)</t>
  </si>
  <si>
    <t>Планирую начать использовать в ближайшее время</t>
  </si>
  <si>
    <t>Владею на базовом уровне</t>
  </si>
  <si>
    <t>Иногда, для отдельных дисциплин</t>
  </si>
  <si>
    <t>Да, регулярно</t>
  </si>
  <si>
    <t>Методолог (проектирование образовательных результатов и ФОС)</t>
  </si>
  <si>
    <t>7–10 лет</t>
  </si>
  <si>
    <t>Глубокое понимание КРМ</t>
  </si>
  <si>
    <t>Нет</t>
  </si>
  <si>
    <t>Программирование на языке Python</t>
  </si>
  <si>
    <t>Компьютерные науки</t>
  </si>
  <si>
    <t>Ни один из разделов не знаком</t>
  </si>
  <si>
    <t>Да, применяю как основу для проектирования</t>
  </si>
  <si>
    <t>Да, для всех дисциплин, которые разрабатываю</t>
  </si>
  <si>
    <t>Постановщик задач Методолог (проектирование образовательных результатов и ФОС) Практик-разработчик (код, инструменты, инфраструктура)</t>
  </si>
  <si>
    <t>Более 10 лет</t>
  </si>
  <si>
    <t>Ознакомиться с методологией разработки РПД для программ ТОП_ИИ Понять принципы устройства модели КРМ Научиться разработке актуальных и значимых РПД для программ ТОП_ИИ</t>
  </si>
  <si>
    <t>Пока нет.</t>
  </si>
  <si>
    <t>Императивное программирование, Основы ООП, УПРППО.</t>
  </si>
  <si>
    <t>Математика / Прикладная математика</t>
  </si>
  <si>
    <t>Слышал(а) о ней, но не изучал(а) подробно</t>
  </si>
  <si>
    <t>Компетенции в области математических основ ИИ (MF) Компетенции в области машинного обучения (ML)</t>
  </si>
  <si>
    <t>Нет, никогда не использовал(а)</t>
  </si>
  <si>
    <t>Нет, никогда</t>
  </si>
  <si>
    <t>Постановщик задач Эксперт по содержанию (глубокое знание предметной области ИИ) Методолог (проектирование образовательных результатов и ФОС) Практик-разработчик (код, инструменты, инфраструктура) Эксперт по КРМ (знание структуры, методик применения)</t>
  </si>
  <si>
    <t>3–6 лет</t>
  </si>
  <si>
    <t>Методы обучения, которые вы применяете в своём университете. Организация процессов с бизнесом, как привлечь бизнес надолго. Как эффективно (быстро) сделать методические пособия к предмету.</t>
  </si>
  <si>
    <t>Все: Основы ООП, УПРППО, Императивное программирование. Я каждое лето актуализирую.</t>
  </si>
  <si>
    <t>Irina Dvoretskaya</t>
  </si>
  <si>
    <t>Теория Вероятностей, прикладной ИИ.</t>
  </si>
  <si>
    <t>Компетенции в области больших языковых моделей (LLM) Компетенции в области жизненного цикла систем искусственного интеллекта (FC)</t>
  </si>
  <si>
    <t>Планирую использовать в будущем</t>
  </si>
  <si>
    <t>Постановщик задач Эксперт по содержанию (глубокое знание предметной области ИИ) Методолог (проектирование образовательных результатов и ФОС)</t>
  </si>
  <si>
    <t>1. Углубить свои знания о КРМ, связать их с знакомыми подходами проектирования обучения 2. Развить навыки постановки задач практического характера с спецификой программы.</t>
  </si>
  <si>
    <t>нет</t>
  </si>
  <si>
    <t>Управление ИТ-проектами</t>
  </si>
  <si>
    <t>Компетенции в области математических основ ИИ (MF)</t>
  </si>
  <si>
    <t>Не владею, не понимаю, как это делать</t>
  </si>
  <si>
    <t>Нет, но планирую</t>
  </si>
  <si>
    <t>Прокачка навыков работы с большими данными и ии, крм</t>
  </si>
  <si>
    <t>Пока нет</t>
  </si>
  <si>
    <t>Обработка_естественного_языка_и_машинный_анализ_текстов</t>
  </si>
  <si>
    <t>Изучал(а) структуру КРМ, но не применял(а) в работе</t>
  </si>
  <si>
    <t>Да, иногда</t>
  </si>
  <si>
    <t>Практик-разработчик (код, инструменты, инфраструктура)</t>
  </si>
  <si>
    <t>Проще будет оценить позже, когда детальнее узнаю о содержании обучения</t>
  </si>
  <si>
    <t>Алгоритмы и методы машинного обучения, машинное обучение</t>
  </si>
  <si>
    <t>От обучения я жду прикладных инструментов, которые можно сразу интегрировать в рабочие процессы, а также освоения навыков декомпозиции для грамотной разбивки крупных задач. В совокупности это позволит мне существенно оптимизировать время разработки</t>
  </si>
  <si>
    <t>Машинное обучение</t>
  </si>
  <si>
    <t>Архитектура операционных систем, Программные комплексы решения интеллектуальных задач.</t>
  </si>
  <si>
    <t>Нет, не планирую</t>
  </si>
  <si>
    <t>Постановщик задач</t>
  </si>
  <si>
    <t>Получить навык использования современных технологий в учебном процессе.</t>
  </si>
  <si>
    <t>Многопроцессорные операционные системы.</t>
  </si>
  <si>
    <t>Архитектуры искусственного интеллекта</t>
  </si>
  <si>
    <t>Постановщик задач Методолог (проектирование образовательных результатов и ФОС)</t>
  </si>
  <si>
    <t>Получение навыков, которые можно применить на практике.</t>
  </si>
  <si>
    <t>Язык Python, Объектно-ориентированное программирование, Обработка естественного языка</t>
  </si>
  <si>
    <t>Компетенции в области машинного обучения (ML) Компетенции в области больших языковых моделей (LLM)</t>
  </si>
  <si>
    <t>Приобретение новых навыков разработки ИИ-дисциплин, развитие навыков организации ИИ-проектов</t>
  </si>
  <si>
    <t>Акуаоюлизация дисциплины:Обработка естественного языка, разработка модуля ИИ в Java</t>
  </si>
  <si>
    <t>Технологии компьютерного зрения, Современные методы компьютерного зрения, паттерны проектирования</t>
  </si>
  <si>
    <t>Профессиональные роли Компетенции в области глубокого обучения (DL)</t>
  </si>
  <si>
    <t>Постановщик задач Эксперт по содержанию (глубокое знание предметной области ИИ) Практик-разработчик (код, инструменты, инфраструктура)</t>
  </si>
  <si>
    <t>1. Повышение навыков использования инструментов обработки больших данных и инструментов работы с ML/DL моделями при проведении лабораторных занятий со студентами 2. Ознакомиться с практиками постановки задач студентам из бизнес-кейсов индустрии, то есть посмотреть, как на практике организовывается работа студентов с реальными задачами индустрии с учетом аспектов доступа, объема задач и времени на погружение, системности построения учебных дисциплин</t>
  </si>
  <si>
    <t>1. Современные методы компьютерного зрения</t>
  </si>
  <si>
    <t>Математический анализ Специальные главы математики Методы оптимизации</t>
  </si>
  <si>
    <t>Не знаю</t>
  </si>
  <si>
    <t>Современные методы машинного обучения, Анализ данных машинного обучения, Подготовка данных машинного обучения,</t>
  </si>
  <si>
    <t>Компетенции в области машинного обучения (ML) Компетенции в области жизненного цикла систем искусственного интеллекта (FC)</t>
  </si>
  <si>
    <t>Более четкое понимание релевантности применения различных библиотек к различным задачам, углубление в детали, в тонкую настройку. Прочувствовать на практике и проверить свое понимание построения системы ИИ.</t>
  </si>
  <si>
    <t>Подготовка данных машинного обучения. Мультиагентные системы ИИ.</t>
  </si>
  <si>
    <t>Технологии хранения и обработки больших данных 3 курс бакалавра Генеративный искусственный интеллект и машинное обучение 1 курс бакалавра</t>
  </si>
  <si>
    <t>Эксперт по содержанию (глубокое знание предметной области ИИ) Методолог (проектирование образовательных результатов и ФОС) Эксперт по КРМ (знание структуры, методик применения)</t>
  </si>
  <si>
    <t>Освоение современных методов и инструментов обработки больших данных для их интеграции в авторский курс «Технологии хранения и обработки больших данных». Повышение качества преподавания за счёт актуализации материалов и внедрения практических кейсов на базе передовых решений в области Data Engineering. Получение компетенций в области проектирования архитектур хранения данных, что позволит усилить практико-ориентированную составляющую читаемых дисциплин.</t>
  </si>
  <si>
    <t>Авторская дисциплина - Технологии хранения и обработки больших данных, дисциплина относительно новая, но хотелось бы внести в нее актуальные тренды из индустрии.</t>
  </si>
  <si>
    <t>Не знаю, мне никто это не сообщил</t>
  </si>
  <si>
    <t>Нет, совсем не знаком(а)</t>
  </si>
  <si>
    <t>Компетенции в области математических основ ИИ (MF) Компетенции в области жизненного цикла систем искусственного интеллекта (FC)</t>
  </si>
  <si>
    <t>Повышения квалификации в области ИИ</t>
  </si>
  <si>
    <t>Big Data и Data Mining</t>
  </si>
  <si>
    <t>Предиктивная аналитика</t>
  </si>
  <si>
    <t>Компетенции в области жизненного цикла систем искусственного интеллекта (FC)</t>
  </si>
  <si>
    <t>изучение методик преподавания ИИ</t>
  </si>
  <si>
    <t>Введение в профессию Управление ИТ-продуктом Хранилища данных и системы BI</t>
  </si>
  <si>
    <t>Профессиональные роли Компетенции в области машинного обучения (ML) Компетенции в области больших языковых моделей (LLM)</t>
  </si>
  <si>
    <t>Эксперт по содержанию (глубокое знание предметной области ИИ) Методолог (проектирование образовательных результатов и ФОС)</t>
  </si>
  <si>
    <t>Поскольку содержание программы мне неизвестно, я затрудняюсь ответить на данный вопрос. Но попробую: 1. понять, как перестроить преподавание так, чтобы студенты развивали критическое мышление, ИИ‑грамотность и умели безопасно и ответственно использовать генеративные модели в учебных и проектных задачах. 2. Перенять опыт ведущего вуза России (ИТМО) в преподавании ИТ-специалистов.</t>
  </si>
  <si>
    <t>Разработка прикладных решений в машинном обучении</t>
  </si>
  <si>
    <t>Компьютерные сети, Архитектура вычислительных систем</t>
  </si>
  <si>
    <t>Методолог (проектирование образовательных результатов и ФОС) Практик-разработчик (код, инструменты, инфраструктура)</t>
  </si>
  <si>
    <t>Научиться использовать компетентностно-ролевую модель при обновлении дисциплин «Архитектура ЭВМ» и «Компьютерные сети», чтобы связать их с современными требованиями к специалистам в области ИИ. Разработать практико-ориентированные задания и проектные кейсы, отражающие реальные инфраструктурные требования систем искусственного интеллекта (включая работу с LLM и облачными сервисами) для своих курсов. Освоить подходы к формулировке результатов обучения и ФОС для инфраструктурных курсов (архитектура, сети) в логике КРМ и ФГОС.</t>
  </si>
  <si>
    <t>Да, планирую актуализировать следующие дисциплины/модули: &amp;quot;Архитектура ЭВМ&amp;quot; - с акцентом на требования к аппаратным ресурсам и инфраструктуре для современных систем ИИ и больших языковых моделей. &amp;quot;Компьютерные сети” - с усилением тем, связанных с сетевой инфраструктурой, безопасностью и производительностью распределённых ИИ‑систем и сервисов. Также рассматриваю возможность разработки небольшого проектного модуля, где студенты будут проектировать инфраструктуру для ИИ‑приложений (комбинация архитектуры, сетей и облачных технологий).</t>
  </si>
  <si>
    <t>Методы интеллектуального моделирования; Нечёткая логика в системах поддержки принятия решений; Методы оптимизации</t>
  </si>
  <si>
    <t>Овладение современными практиками и инструментами. Разработка актуальных и востребованных курсов. Набор методик и форматов для преподавания ИИ продвинутой аудитории.</t>
  </si>
  <si>
    <t>Методы интеллектуального моделирования. Нечёткая логика в системах поддержки принятия решений</t>
  </si>
  <si>
    <t>Алгоритмы и структуры данных Бизнес-аналитика и автоматизация на основе анализа больших данных Аудит ИТ инфраструктуры Разработка цифровых платформ</t>
  </si>
  <si>
    <t>Глубокое знакомство с моделью КРМ</t>
  </si>
  <si>
    <t>Инструментальные средства разработки ИИ</t>
  </si>
  <si>
    <t>Профессиональные роли Компетенции в области математических основ ИИ (MF) Компетенции в области машинного обучения (ML) Компетенции в области глубокого обучения (DL) Компетенции в области больших языковых моделей (LLM) Компетенции в области жизненного цикла систем искусственного интеллекта (FC)</t>
  </si>
  <si>
    <t>Владею хорошо, могу обучить коллег</t>
  </si>
  <si>
    <t>1. Систематизировать представление о современном стеке ИИ-технологий (LLM, агентные системы, RAG, мультимодальные модели) и о том, как выстраивать их преподавание на старших курсах — от отдельных дисциплин к целостной архитектуре образовательной программы, соответствующей актуальным требованиям индустрии и методологии подготовки кадров топ-уровня. 2. Освоить лучшие практики проектирования учебных курсов и оценочных средств по ИИ для выпускных курсов бакалавриата и магистратуры: как обновлять содержание дисциплин при высокой скорости развития области, как встраивать в обучение реальные индустриальные задачи и проектную работу студентов, включая корректное использование генеративного ИИ самими обучающимися. 3. Перенести полученные подходы в практику актуализации собственных образовательных программ — доработать рабочие программы дисциплин старших курсов и тематику ВКР с учётом системного видения области, а также обменяться опытом с коллегами из других вузов, реализующих программы подготовки по ИИ.</t>
  </si>
  <si>
    <t>Инструментальные средства разработки ИИ, Разработка ИИ агентов, Разработка ИИ решений для индустрии</t>
  </si>
  <si>
    <t>Параллельная и распределенная обработка данных Технологии хранения больших данных</t>
  </si>
  <si>
    <t>Компетенции в области машинного обучения (ML) Компетенции в области глубокого обучения (DL) Компетенции в области больших языковых моделей (LLM)</t>
  </si>
  <si>
    <t>Постановщик задач Практик-разработчик (код, инструменты, инфраструктура)</t>
  </si>
  <si>
    <t>Менее 3 лет</t>
  </si>
  <si>
    <t>Получить практические идеи и материалы, которые можно использовать на занятиях. Научиться выстраивать обучение так, чтобы студентам было понятно, интересно и полезно для будущей работы.</t>
  </si>
  <si>
    <t>Основы машинного обучения</t>
  </si>
  <si>
    <t>Компетенции в области математических основ ИИ (MF) Компетенции в области машинного обучения (ML) Компетенции в области глубокого обучения (DL) Компетенции в области больших языковых моделей (LLM)</t>
  </si>
  <si>
    <t>Постановщик задач Эксперт по содержанию (глубокое знание предметной области ИИ)</t>
  </si>
  <si>
    <t>- овладение современными методами работы с облачными сервисами типа Yandex-Cloud, DataCloud. - познакомиться с интересными и полезными для обучения бенчмарками и кейсами для преподавания дисциплины</t>
  </si>
  <si>
    <t>- Основы машинного обучения; - современные методы ускорения обучения нейросетей;</t>
  </si>
  <si>
    <t>Системная инженерия Программная инженерия Системы управления знаниями Профессиональная коммуникация Иноязычная профессиональная коммуникация</t>
  </si>
  <si>
    <t>Системное понимание проблем ИИ Совершенствование методик преподавания Повышение квалификации в сфере ИИ</t>
  </si>
  <si>
    <t>Software Accessibility (a11y)</t>
  </si>
  <si>
    <t>Генеративный ИИ Отраслевое применение ИИ</t>
  </si>
  <si>
    <t>Ознакомление с курсом и опытом коллег для дальнейшего использования в работ</t>
  </si>
  <si>
    <t>Методы искусственного интеллекта. Глубокое обучение.</t>
  </si>
  <si>
    <t>Компетенции в области машинного обучения (ML) Компетенции в области глубокого обучения (DL)</t>
  </si>
  <si>
    <t>Углубление знаний в области ИИ. Совершенствование навыков разработки и реализации программ дисциплин в сферах ИТ и ИИ.</t>
  </si>
  <si>
    <t>Методы искусственного интеллекта</t>
  </si>
  <si>
    <t>Введение в профессиональную деятельность Основы системного искусственного интеллекта Машинное обучение Основы искусственных нейронных сетей Основы алгоритмизации и ООП Обработка изображений и видео в системах ИИ</t>
  </si>
  <si>
    <t>Профессиональные роли Компетенции в области математических основ ИИ (MF) Компетенции в области машинного обучения (ML)</t>
  </si>
  <si>
    <t>Постановщик задач Эксперт по содержанию (глубокое знание предметной области ИИ) Методолог (проектирование образовательных результатов и ФОС) Практик-разработчик (код, инструменты, инфраструктура)</t>
  </si>
  <si>
    <t>Общение с коллегами, корректировка РПД под требования аналит.центра, изучение подходов к преподаванию AI/ML в ВУЗах</t>
  </si>
  <si>
    <t>Есть желание улучшить понимание материала студентами, если для этого потребуется переделка дисциплин и/или модулей, значит переделать.</t>
  </si>
  <si>
    <t>Обработка данных на Python</t>
  </si>
  <si>
    <t>Сроектировать практико-ориентированные задания по обработке данных на Python Получить опыт командной работы при актуализациии программы</t>
  </si>
  <si>
    <t>Да, планирую актуализировать курс «Обработка данных на Python»</t>
  </si>
  <si>
    <t>3-4 курс Объектно-ориентированное программирование и шаблоны проектирования Анализ и проектирование информационных систем</t>
  </si>
  <si>
    <t>Профессиональные роли Компетенции в области машинного обучения (ML)</t>
  </si>
  <si>
    <t>Лучше понимать архитектуру современных ИИ‑систем Узнать эффективные промпты для образовательных задач Лучше узнать подходы к развёртыванию и использованию ИИ‑сервисов, ЖЦ моделей.</t>
  </si>
  <si>
    <t>Объектно-ориентированное программирование и шаблоны проектирования Анализ и проектирование информационных систем</t>
  </si>
  <si>
    <t>Введение в искусственный интеллект Этика искусственного интеллекта</t>
  </si>
  <si>
    <t>Участвовал(а) в разработке или доработке КРМ</t>
  </si>
  <si>
    <t>Профессиональные роли Компетенции в области математических основ ИИ (MF) Компетенции в области машинного обучения (ML) Компетенции в области больших языковых моделей (LLM)</t>
  </si>
  <si>
    <t>1. Актуализация применения последней версии КРМ 2. Навыки разработки проектно-ориентированных дисциплин/модуле 3. Практические навыки использования LLM</t>
  </si>
  <si>
    <t>Этика искусственного интеллекта</t>
  </si>
  <si>
    <t>Математическая статистика, Эконометрика, Многомерные статистические методы, Лабораторный практикум по эконометрике с использованием пакетов прикладных программ, Проектная деятельность в АПК.</t>
  </si>
  <si>
    <t>Методолог (проектирование образовательных результатов и ФОС) Эксперт по КРМ (знание структуры, методик применения)</t>
  </si>
  <si>
    <t>1) научиться трансформировать прикладные задачи АПК в учебные кейсы. 2) научиться интегрировать методы статистики в единый учебный модуль.</t>
  </si>
  <si>
    <t>Математическая статистика, Проектная деятельность в АПК, Эконометрика.</t>
  </si>
  <si>
    <t>1. Методы оптимизации - 2 курс 2. Моделирование систем - 3 курс</t>
  </si>
  <si>
    <t>Постановщик задач Методолог (проектирование образовательных результатов и ФОС) Эксперт по КРМ (знание структуры, методик применения)</t>
  </si>
  <si>
    <t>Появились новые технологии/инструменты ИИ, которые напрямую влияют на содержание преподаваемых дисциплин, требуется актуализации знаний и получение практического опыта работы с конкретными инструментами и кейсами по тематике ИИ. Внедрение технологий ИИ во вновь читаемые дисциплины.</t>
  </si>
  <si>
    <t>1. Методы оптимизации 2. Моделирование систем</t>
  </si>
  <si>
    <t>Компьютерные сети, Компьютерное зрение, Трек индустриального партнёра.</t>
  </si>
  <si>
    <t>Компетенции в области глубокого обучения (DL) Компетенции в области больших языковых моделей (LLM)</t>
  </si>
  <si>
    <t>Узнать как использовать облачную инфраструктуру для информационного и программного обеспечения курсов. Опыт использования свободно-распространяемых программных решений в преподавательской деятельности. Как оценивать знания студентов с учетом доступности для них облачных LLM.</t>
  </si>
  <si>
    <t>Трек индустриального партнера</t>
  </si>
  <si>
    <t>Теория вероятностей, Математическая статистика</t>
  </si>
  <si>
    <t>Изучение опыта внедрения программ по обучению ИИ</t>
  </si>
  <si>
    <t>Системы искусственного интеллекта</t>
  </si>
  <si>
    <t>Теория вероятностей, дифференциальные уравнения, математический анализ</t>
  </si>
  <si>
    <t>Новые навыки внедрения ИИ</t>
  </si>
  <si>
    <t>Да, теория вероятностей и дифференциальные уравнения</t>
  </si>
  <si>
    <t>Дисциплины: &amp;quot;Алгебра, геометрия и теория дифференциальных уравнений&amp;quot;, &amp;quot;Теория вероятностей&amp;quot;.</t>
  </si>
  <si>
    <t>Создание локального (корпоративного, профессионального) ИИ, берущего информацию из проверенных источников; создание профессионального ИИ, предпочитающего сообщать о собственном незнании, чем придумывать ответы.</t>
  </si>
  <si>
    <t>Дисциплины: &amp;quot;Алгебра, геометрия и ТДУ&amp;quot;, &amp;quot;Теория вероятностей&amp;quot;.</t>
  </si>
  <si>
    <t>Информатика. Введение в аппаратное обеспечение систем искусственного интеллекта. Вычислительная математика и методы оптимизации. Разработка мультимедийных приложений</t>
  </si>
  <si>
    <t>Углубление знаний в области ИИ и преподавания ИИ. Изучение подходов к проектированию образовательных программ с использованием КРМ.</t>
  </si>
  <si>
    <t>Разработка мультимедийных приложений (разработка игрового интеллекта)</t>
  </si>
  <si>
    <t>Основы защиты данных в интеллектуальных системах, Программирование на языке Java для разработки систем искусственного интеллекта, Программирование на языке C# для разработки систем искусственного интеллекта</t>
  </si>
  <si>
    <t>Компетенции в области математических основ ИИ (MF) Компетенции в области машинного обучения (ML) Компетенции в области глубокого обучения (DL)</t>
  </si>
  <si>
    <t>Системный взгляд на подготовку студентов в целом в данной области.</t>
  </si>
  <si>
    <t>Мультиагентное обучение с подкреплением</t>
  </si>
  <si>
    <t>Компьютерное зрение</t>
  </si>
  <si>
    <t>Приобрести знания и навыки для повышения качества ведения проектной деятельности в области ИИ. Определиться с инструментарием разворачивания компьютерных практикумов по дисциплинам ИИ.</t>
  </si>
  <si>
    <t>Компьютерный практикум по компьютерному зрению.</t>
  </si>
  <si>
    <t>разобраться как применять КРМ при разработке и ведении различных курсов про программированию и машинному обучению</t>
  </si>
  <si>
    <t>Машинное обучение и возможно Объектно-ориенттированое программирование на python</t>
  </si>
  <si>
    <t>Фундаментальные дискретные модели Объектно-ориентированное программирование Разработка мобильных приложений</t>
  </si>
  <si>
    <t>Профессиональные роли Компетенции в области математических основ ИИ (MF)</t>
  </si>
  <si>
    <t>Улучшить навыки использования ИИ при разработке РПД/ФОС Изучить новые/современные модели для разработки учебных материалов</t>
  </si>
  <si>
    <t>Объектно-ориентированное программирование</t>
  </si>
  <si>
    <t>планируется преподавание дисциплины Основы компьютерного зрения</t>
  </si>
  <si>
    <t>Постановщик задач Эксперт по КРМ (знание структуры, методик применения)</t>
  </si>
  <si>
    <t>Получение практических навыков работы с библиотеками в области компьютерного зрения и в области машинного обучения</t>
  </si>
  <si>
    <t>дисциплина Основы компьютерного зрения</t>
  </si>
  <si>
    <t>Введение в искусственный интеллект Математика в машинном обучении</t>
  </si>
  <si>
    <t>Профессиональные роли Компетенции в области машинного обучения (ML) Компетенции в области глубокого обучения (DL)</t>
  </si>
  <si>
    <t>Эксперт по содержанию (глубокое знание предметной области ИИ) Практик-разработчик (код, инструменты, инфраструктура)</t>
  </si>
  <si>
    <t>Повышение профессионализма в области разработки программ и преподавания</t>
  </si>
  <si>
    <t>Конкретных нет</t>
  </si>
  <si>
    <t>Введение в алгебру и анализ Методы алгебры и анализа</t>
  </si>
  <si>
    <t>Ожидаю получить видение того, как встраивать ИИ в процесс оценки знаний. Мне нужны конкретные сценарии, как использовать ИИ для персонализированной траектории обучения сильных студентов. Хочу освоить методики, которые учат студентов не использованию конкретных ИИ-инструментов, а постановке задач и верификации результатов.</t>
  </si>
  <si>
    <t>Адаптация дисциплин &amp;quot;Введение в алгебру и анализ&amp;quot;, &amp;quot;Методы алгебры и анализа&amp;quot; для специальностей в области машинного обучения и других, связанных с ИИ</t>
  </si>
  <si>
    <t>Методы оптимальных решений</t>
  </si>
  <si>
    <t>Использовать полученные знания в дисциплинах далеких от ИТ</t>
  </si>
  <si>
    <t>Дисциплина &amp;quot;Методы оптимальных решений&amp;quot;</t>
  </si>
  <si>
    <t>Методы и средства защиты информации</t>
  </si>
  <si>
    <t>Услышать предложения о том, как должно модифицироваться образование в эпоху ИИ: чему и как учить студентов ИТ-направлений, как оценивать</t>
  </si>
  <si>
    <t>Безопасность операционных систем</t>
  </si>
  <si>
    <t>Приобретение навыков использования КРМ, Приобретение навыка применения ФОС</t>
  </si>
  <si>
    <t>Применение ИИ в обеспечении безопасности операционных систем</t>
  </si>
  <si>
    <t>Теоретико-числовые методы в криптографии Алгебраические основы криптографии</t>
  </si>
  <si>
    <t>Компетенции в области больших языковых моделей (LLM)</t>
  </si>
  <si>
    <t>Повышение квалификации в рамках преподавания современного ИИ</t>
  </si>
  <si>
    <t>Не уверен</t>
  </si>
  <si>
    <t>«Разработка программно-аппаратных комплексов (Программирование на Python и введение в Machine Learning)», «Императивное программирование (Программирование на языке C)», а также проектная деятельность/практика в области прикладного искусственного интеллекта.</t>
  </si>
  <si>
    <t>Профессиональные роли Компетенции в области математических основ ИИ (MF) Компетенции в области машинного обучения (ML) Компетенции в области глубокого обучения (DL) Компетенции в области жизненного цикла систем искусственного интеллекта (FC)</t>
  </si>
  <si>
    <t>Прокачка навыков публичных выступлений, удержания внимания аудитории и уверенного позиционирования себя как ментора. Изучение методик понятного и системного донесения сложных тем в области ИИ (ML/DL) до студентов младших курсов. Получение практических инструментов для управления и эффективной модерации проектных команд</t>
  </si>
  <si>
    <t>В рамках курса планирую сфокусироваться на адаптации и актуализации практических заданий и лабораторных работ для дисциплин «Разработка ПАК» и «Императивное программирование», а также на проектировании эффективного трека проектной работы для команды первокурсников.</t>
  </si>
  <si>
    <t>Анализ данных</t>
  </si>
  <si>
    <t>мне бы хотелось улучшить свое понимание и умение донести это понимание до студентов.</t>
  </si>
  <si>
    <t>в университете только будет происходить перестройка курсов.</t>
  </si>
  <si>
    <t>Машинное обучение и анализ данных; Параллельные и распределенные вычисления</t>
  </si>
  <si>
    <t>Системного видения проблем образования (и возможных путей их решения) в связи с расширением внедрения у работодателей ИИ в их процессы</t>
  </si>
  <si>
    <t>Машинное обучение и анализ данных</t>
  </si>
  <si>
    <t>Нейронные сети и глубокое обучение</t>
  </si>
  <si>
    <t>Получить общее представление о возможностях применения КРМ при актуализации дисциплин в области искусственного интеллекта. Оценить, какие элементы КРМ могут быть использованы при формулировании результатов обучения и разработке оценочных средств. Сопоставить существующий опыт преподавания тем машинного и глубокого обучения с предлагаемыми подходами программы.</t>
  </si>
  <si>
    <t>Планируется рассмотреть возможность актуализации отдельных разделов дисциплины «Нейронные сети и глубокое обучение», в том числе тем, связанных с генеративными моделями, трансформерами и большими языковыми моделями.</t>
  </si>
  <si>
    <t>Большие данные: инструменты и технологии. Программирование на языке Python. Интеллектуальные информационные системы.</t>
  </si>
  <si>
    <t>Изучить актуальные инструменты и подходы в сфере искусственного интеллекта. Освоить компетенции по преподаванию современного ИИ.</t>
  </si>
  <si>
    <t>Большие данные: инструменты и технологии. Интеллектуальные информационные системы.</t>
  </si>
  <si>
    <t>Линейная алгебра, Численные методы, Дискретная оптимизация, Генеративные нейронные сети</t>
  </si>
  <si>
    <t>Профессиональные роли Компетенции в области математических основ ИИ (MF) Компетенции в области машинного обучения (ML) Компетенции в области глубокого обучения (DL) Компетенции в области больших языковых моделей (LLM)</t>
  </si>
  <si>
    <t>Новые знания</t>
  </si>
  <si>
    <t>Глубокое обучение</t>
  </si>
  <si>
    <t>опыт</t>
  </si>
  <si>
    <t>да, одну из дисциплин</t>
  </si>
  <si>
    <t>Прикладные задачи машинного обучения, Машинная обработка естественных языков</t>
  </si>
  <si>
    <t>Узнать о современных практиках обучения дисциплинам, связанных с ИИ. О новых технологиях для подготовки и ведения занятий</t>
  </si>
  <si>
    <t>Пакеты научных вычислений. Лекции и практика для студентов 2 курса. Проект 1 курса. Практика Проект 2 курса. Практика Искусственные нейронные сети и приложения. Практика для студентов 4 курса.</t>
  </si>
  <si>
    <t>От программы я ожидаю формирования целостного системного видения современного ИИ, позволяющего выстраивать междисциплинарные связи и интегрировать передовые технологии в учебные планы старших курсов. Также рассчитываю освоить эффективные методики проектного обучения и оценки компетенций, чтобы готовить студентов к решению реальных инженерных и исследовательских задач. В итоге — получить инструментарий для обновления содержания курсов и повышения их практической значимости в условиях стремительного развития ИИ.</t>
  </si>
  <si>
    <t>Обмен опытом с коллегами, Узнать что-то новое и полезное для своей профессиональной деятельности.</t>
  </si>
  <si>
    <t>Поисковые системы с ИИ, Рекомендательные системы, 3D-моделирование и визуализация</t>
  </si>
  <si>
    <t>Профессиональные роли Компетенции в области больших языковых моделей (LLM)</t>
  </si>
  <si>
    <t>Повышение квалификации</t>
  </si>
  <si>
    <t>3D-моделирование и визуализация</t>
  </si>
  <si>
    <t>&amp;quot;Машинное обучение с участием человека&amp;quot; (4 курс) &amp;quot;3D-моделирование и визуализация&amp;quot; (3 курс)</t>
  </si>
  <si>
    <t>&amp;quot;Машинное обучение с участием человека&amp;quot; (4 курс)</t>
  </si>
  <si>
    <t>Алгоритмизация и программирование, Параллельные и распределённые вычисления на GPU</t>
  </si>
  <si>
    <t>Профессиональные роли</t>
  </si>
  <si>
    <t>Повышение профессиональных компетенций</t>
  </si>
  <si>
    <t>Нету</t>
  </si>
  <si>
    <t>Математическое моделирование нелинейных динамических систем</t>
  </si>
  <si>
    <t>1. Больше конкретики 2. Формализацию - в разумных пределах, не утрировать</t>
  </si>
  <si>
    <t>актуализировать дисциплину Математическое моделирование нелинейных динамических систем</t>
  </si>
  <si>
    <t>Дискретная математика Методы оптимизации</t>
  </si>
  <si>
    <t>Разобраться в КРМ Научиться ее использовать в своих курсах</t>
  </si>
  <si>
    <t>Усовершенствовать программу курса &amp;quot;Методы оптимизации&amp;quot; в контексте современных потребностей специалистов в области ИИ.</t>
  </si>
  <si>
    <t>Познакомиться с опытом разработки средств автоматизации для учебных целей. Познакомиться с опытом реализации практических занятий по базовым дисциплинам для роли ML-инженер, Дата-инженер.</t>
  </si>
  <si>
    <t>Глубокое обучение или Генеративные нейронные сети</t>
  </si>
  <si>
    <t>Интеллектуальные интернет технологии Информационное и программное обеспечение систем искусственного интеллекта Облачные и GRID-вычисления в интеллектуальных автоматизированных системах</t>
  </si>
  <si>
    <t>Освоить компетентностно-ролевую модель (КРМ) в сфере искусственного интеллекта Внедрить КРМ в читаемые дисциплины</t>
  </si>
  <si>
    <t>Интеллектуальные интернет технологии Информационное и программное обеспечение систем искусственного интеллекта</t>
  </si>
  <si>
    <t>Цифровая грамотность (Институт экологии), Лингвистические основы анализа естественного языка (элективная дисциплина база для подготовки к машинному обучению по работе с естественным языком NLP) (Факультет ИИ РУДН)</t>
  </si>
  <si>
    <t>Хочу научиться максимально полезно применять ИИ в своей профессиональной деятельности, разрабатывать ИИ агентов, ставить проектные задачи для студентов, разобраться во всех тонкостях основ ИИ</t>
  </si>
  <si>
    <t>Алгоритмы и структуры данных Операционные системы Элективы связанные в промышленной разработкой</t>
  </si>
  <si>
    <t>Понимать требуемые компетенции по ИИ и способы их перенесения в образовательные программы Понимание как с помощью метрик заложить понимание требуемого материала и способа проверки при текущих инструментах ИИ без необходимости проводить все устно или на бумаге</t>
  </si>
  <si>
    <t>Электив rapid cross-platform development, где студенты на практике решают и познают парадигмы современного стэка go + flutter по быстрой разработке продуктов. Хочется сместить фокус на осознанное использование агентов. Также про курс алгоритмы и структуры данных по методике заданий на реальную проверку заданий, а не генерацию кода</t>
  </si>
  <si>
    <t>Цифровые технологии и медиабезопасность Дискретная математика Прикладная математика Проектирование баз данных Программирование на языке Python</t>
  </si>
  <si>
    <t>Ожидаю, что программа поможет мне выстроить системную архитектуру преподавания ИИ — от фундаментальных принципов до инженерной реализации, структурировав мой опыт в современную образовательную методологию. Хочу получить инструменты для подготовки специалистов нового уровня, способных не только применять алгоритмы, но и проектировать AI-решения, понимая всю вертикаль — от данных до продукта. Главный результат — переход от преподавания отдельных технологий к формированию системного мышления у студентов.</t>
  </si>
  <si>
    <t>Как преподаватель с большим стажем, я бы сфокусировалась не на разрозненных «модных» темах/дисциплинах, а на системных модулях, которые закроют разрыв между академическим фундаментом и реальным исполнением.</t>
  </si>
  <si>
    <t>Получение опыта встраивания прикладных инструментов в рпд, опыт проектирования и реализации программ дисциплин</t>
  </si>
  <si>
    <t>Моделирование Системы принятия решений</t>
  </si>
  <si>
    <t>Получение дополнительных компетенций Расширение представлений Выход из зоны комфорта</t>
  </si>
  <si>
    <t>Механика</t>
  </si>
  <si>
    <t>Повышение квалификации в области программирования и ИИ.</t>
  </si>
  <si>
    <t>Моделирование бизнес-процессов Объектно-ориентированный анализ и проектирование</t>
  </si>
  <si>
    <t>1. Научиться грамотно применять КРМ в разработке образовательных программ и ФОС. 2. Узнать особенности преподавания ИИ в области машинного обучения, глубокого обучения, больших языковых моделей, научиться использовать полученные знания.</t>
  </si>
  <si>
    <t>Дискретная математика, Алгоритмизация и программирование, Теория Вероятностей, Распределенные системы хранения данных</t>
  </si>
  <si>
    <t>Компетенции в области глубокого обучения (DL)</t>
  </si>
  <si>
    <t>Повышение уровня компетенций в области преподавания дисциплин топ-уровня, увленичение навыка владения БЯМ</t>
  </si>
  <si>
    <t>Распределенные системы хранения данных</t>
  </si>
  <si>
    <t>-Практическое машинное обучение и глубокое обучение -Обработка естественного языка</t>
  </si>
  <si>
    <t>Компетенции в области математических основ ИИ (MF) Компетенции в области машинного обучения (ML) Компетенции в области глубокого обучения (DL) Компетенции в области больших языковых моделей (LLM) Компетенции в области жизненного цикла систем искусственного интеллекта (FC)</t>
  </si>
  <si>
    <t>Познакомиться с вашей методологией составления курсов. Пока составление занятий и подача информации основывается на интуиции, опыте, и курсе ISW, интересно изучить более систематизированный подход</t>
  </si>
  <si>
    <t>Хочу подготовить элективный курс по безопасным нейронным сетям</t>
  </si>
  <si>
    <t>Математический анализ Аналитическая геометрия Линейная алгебра Дифференциальные уравнения Высокопроизводительные вычисления</t>
  </si>
  <si>
    <t>Интересно посмотреть на автоматизацию создания учебных материалов, фосов с помощью llm, может быть какие-то анкетные истории</t>
  </si>
  <si>
    <t>Можно посмотреть на то, как можно было бы трансформировать какую-то классическую дисциплину, вроде математического анализа, под КРМ и вещи, связанные с ИИ. Мы и сами делаем, но, может, что-то упускаем. Интересен взгляд со стороны.</t>
  </si>
  <si>
    <t>Автоматическое машинное обучение</t>
  </si>
  <si>
    <t>Узнать, что такое КРМ и как её применять</t>
  </si>
  <si>
    <t>Технологии интеллектуальной защиты информации</t>
  </si>
  <si>
    <t>Приобрести навыки практической работы</t>
  </si>
  <si>
    <t>В будущем планируется курс по обеспечению безопасности БТС в сетях Vanet</t>
  </si>
  <si>
    <t>1. Базы данных 2. Базы данных NoSQL 3. Введение в проектную деятельность 4. Программирование на Python 5. Проектирование человеко-машинного интерфейса 6. Сбор, анализ и предобработка данных в машинном обучении 7. Трек индустриального партнера 8. Учебная практика 9. Машинное обучение 10. Основы DevOps 11. Современные языки программирования высокого уровня 12. Тестирование программного обеспечения 13. Функциональное и логическое программирование 14. Экспертные системы 15. Программная инженерия</t>
  </si>
  <si>
    <t>Профессиональные роли Компетенции в области машинного обучения (ML) Компетенции в области глубокого обучения (DL) Компетенции в области жизненного цикла систем искусственного интеллекта (FC)</t>
  </si>
  <si>
    <t>Я хотела бы актуализировать учебно-методический комплект (рабочую программу, ФОСы, методические материалы и т.д.) по одной из дисциплин таким образом, чтобы она не только соответствовала передовым российским и мировым научным достижениям, но и стала бы целостной образовательной системой от целей и результатов обучения до практических заданий, критериев оценивания, цифровой среды, проектной работы и регулярного обновления содержания с прозрачными, прослеживаемыми результатами освоения компетенций; а также чтобы такая система была адаптирована под новый портрет слушателя - учащийся поколения Z в новых реалиях мира (информационная эра, технологический суверенитет, критические информационные технологии, новые экономические вызовы, ориентация на запрос регионального рынка).</t>
  </si>
  <si>
    <t>Если проектная работа будет командная, то я хотела бы актуализировать дисциплину &amp;quot;Сбор, анализ и предобработка данных в машинном обучении&amp;quot;. Если проектная работа будет индивидуальной, то я хотела бы актуализировать дисциплине &amp;quot;Современные языки программирования высокого уровня&amp;quot;</t>
  </si>
  <si>
    <t>Представление и использование знаний в интеллектуальных системах Учебная практика</t>
  </si>
  <si>
    <t>Усовершенствовать знания в области ИИ</t>
  </si>
  <si>
    <t>Представление и использование знаний в интеллектуальных системах</t>
  </si>
  <si>
    <t>преподаю: Алгебра и геометрия, Дискретная математика</t>
  </si>
  <si>
    <t>Познакомиться получше с КРМ Узнать как эффективно использовать в работе</t>
  </si>
  <si>
    <t>Хотелось бы предварительно получше понять суть дела</t>
  </si>
  <si>
    <t>Линейная алгебра и обработка данных Методы оптимизации Численные методы</t>
  </si>
  <si>
    <t>Хочу познакомиться со взглядом коллег и экспертов на современное ИИ-образование.</t>
  </si>
  <si>
    <t>Теория игр Методы оптимизации</t>
  </si>
  <si>
    <t>Дискретная математика, Теория вероятностей, Математическая статистика и байесовские модели, Проектно-исследовательский семинар</t>
  </si>
  <si>
    <t>Изучить опыт коллег и расширить представление о том, как методически грамотно связывать разделы фундаментальной математики с конкретными механизмами современных нейросетей (трансформеры, диффузионные модели, байесовские подходы) с учетом того, что подробно последние будут изучаться позже на старших курсах. Изучить методический опыт обучения студентов построению полного цикла исследовательского проекта от постановки задачи к реализации простейшего пайплайна, экспериментам с байесовской оптимизацией и получению готового продукта</t>
  </si>
  <si>
    <t>Проектно-исследовательский семинар</t>
  </si>
  <si>
    <t>Дифференциальная геометрия, Численные методы линейной алгебры</t>
  </si>
  <si>
    <t>Получить современные представления об образовании в области ИИ. Практические навыки по проектированию УММ в области ИИ.</t>
  </si>
  <si>
    <t>1. Дифференциальная геометрия 2. Продвинутые методы оптимизации</t>
  </si>
  <si>
    <t>Математические методы и модели исследования операций; Дискретное программирование; Теория вероятностей и математическая статистика; Математический анализ; Функциональный анализ;</t>
  </si>
  <si>
    <t>Сформировать целостное, системное видение: хочу перейти от фрагментарных знаний об ИИ к стройной картине, чтобы понимать, как логично выстраивать архитектуру образовательных программ. Освоить передовые методики преподавания: научиться объяснять сложные концепции ИИ доступно, но без потери академической или технической глубины. Получить лучшие практики: узнать, как адаптировать учебные материалы под стремительно меняющиеся реалии рынка и технологий.</t>
  </si>
  <si>
    <t>Математический анализ, Теория вероятности и математическая статистика, Дискретная математика, Дифференциальные уравнения, Модели временных рядов,</t>
  </si>
  <si>
    <t>Углубление знаний о КРМ в ИИ, обучение использованию КРМ в работе, идеи проектного обучения с ИИ</t>
  </si>
  <si>
    <t>Модели временных рядов и, возможно, остальные тоже</t>
  </si>
  <si>
    <t>Математический анализ, Теория вероятностей и математическая статистика, Дифференциальные уравнения, Дискретная математика, Математическая логика и теория алгоритмов</t>
  </si>
  <si>
    <t>Углубление знаний о КРМ в ИИ, обучение использованию КРМ в преподавательской деятельности, идеи для проектной работы со студентами, использовании ИИ в преподавательской деятельности</t>
  </si>
  <si>
    <t>Пока не решила</t>
  </si>
  <si>
    <t>Теория вероятностей и мат. статистика, Случайные процессы, Дифференциальные уравнения и др.</t>
  </si>
  <si>
    <t>Использование ИИ при подготовке к работе</t>
  </si>
  <si>
    <t>Дискретная математика, Введение в комбинаторику, Теория вероятностей, Математическая статистика, Математический анализ</t>
  </si>
  <si>
    <t>Затрудняюсь ответить на данный момент</t>
  </si>
  <si>
    <t>Дискретная математика, Теория вероятностей, Математическая статистика</t>
  </si>
  <si>
    <t>1. Анализ данных и машинное обучение 2. Базовые методы обработки данных с использованием Python 4. Визуализация данных 5. Визуальная аналитика 6. Интеллектуальный анализ текстов 7. Искусственный интеллект и машинное обучение 8. Маркетинг инноваций 9. Маркетинговые исследования (Marketing Research) 11. Математические и инструментальные методы машинного обучения 12. Методы работы с большими данными 13. Программирование на языке Python 18. Нейросетевые методы обработки данных с использованием Python</t>
  </si>
  <si>
    <t>Эксперт по содержанию (глубокое знание предметной области ИИ) Методолог (проектирование образовательных результатов и ФОС) Практик-разработчик (код, инструменты, инфраструктура)</t>
  </si>
  <si>
    <t>Возможно освоить новые инструменты и образовательные подходы</t>
  </si>
  <si>
    <t>11. Математические и инструментальные методы машинного обучения 12. Методы работы с большими данными</t>
  </si>
  <si>
    <t>Компьютерная графика, 2D и 3D моделирование, Нарративный геймдизайн</t>
  </si>
  <si>
    <t>Изучение инструментов для редизайна дисциплин и актуализация содержания с учетом трансформации ролей, новые форматы оценивания и преподавания, варианты решения проблемы поверхностных знаний (вследствие использовании LLM)</t>
  </si>
  <si>
    <t>Компьютерная графика, Нарративный геймдизайн</t>
  </si>
  <si>
    <t>Программирование на Python программирование на C++ Web-программирование для систем искусственного интеллекта Алгоритмы и структуры данных Основы распределенных и облачных вычислений</t>
  </si>
  <si>
    <t>Профессиональные роли Компетенции в области машинного обучения (ML) Компетенции в области больших языковых моделей (LLM) Другое</t>
  </si>
  <si>
    <t>компетенции в области программирования и развертывания систем машинного обучения</t>
  </si>
  <si>
    <t>освоение новых компетенций в сфере LLM, глубокого обучения, облачных сервисов по работе с ML моделями. обмен опытом с коллегами по организации проектной работы в связке индустриальный партнер - преподаватель - команда студентов</t>
  </si>
  <si>
    <t>Web-программирование для систем искусственного интеллекта</t>
  </si>
  <si>
    <t>Линейная алгебра и обработка данных, Математический анализ, методы оптимизации</t>
  </si>
  <si>
    <t>Планирую в результате обучения повысить свои компетенции и навыки в области преподавания предметов, связанных с ИИ.</t>
  </si>
  <si>
    <t>Пока что затрудняюсь ответить.</t>
  </si>
  <si>
    <t>Прикладной Data Science в финтехе, Машинное обучение, Технологии обработки данных</t>
  </si>
  <si>
    <t>Профессиональные роли Компетенции в области математических основ ИИ (MF) Компетенции в области машинного обучения (ML) Компетенции в области больших языковых моделей (LLM) Компетенции в области жизненного цикла систем искусственного интеллекта (FC)</t>
  </si>
  <si>
    <t>Постановщик задач Эксперт по содержанию (глубокое знание предметной области ИИ) Методолог (проектирование образовательных результатов и ФОС) Эксперт по КРМ (знание структуры, методик применения)</t>
  </si>
  <si>
    <t>Освоить навыки топ-преподавания ИИ Внедрять КРМ в учебный процесс</t>
  </si>
  <si>
    <t>Прикладной Data Science Машинное обучение</t>
  </si>
  <si>
    <t>Сбор, анализ и предобработка данных в машинном обучении Базы данных Машинное обучение</t>
  </si>
  <si>
    <t>1. Хотелось бы ознакомиться с новыми компетенциями при изучении ИИ для студентов. 2. Разобраться с LLM</t>
  </si>
  <si>
    <t>Затрудняюсь ответить.</t>
  </si>
  <si>
    <t>Робототехника Киберфизические системы Системы автоматизированного проектирования Разработка компьютерных игр</t>
  </si>
  <si>
    <t>познакомится ближе с КРМ</t>
  </si>
  <si>
    <t>Технологии быстрого прототипирование, Разработка игровых механик, технический геймдизайн.</t>
  </si>
  <si>
    <t>Введение в проектную деятельность</t>
  </si>
  <si>
    <t>Повышение квалификации и опыта в разработке программ дисциплин</t>
  </si>
  <si>
    <t>Теория кодирования (сжатие, помехоустойчивое хранение, распределенное отказоустойчивое хранение) Теория автоматов и формальных языков.</t>
  </si>
  <si>
    <t>Сменить учебные курсы, которые преподаю на более актуальные и востребованные. Хочется проводить занятия по дисциплинам, необходимость знания которых очевидна для студентов.</t>
  </si>
  <si>
    <t>Управление проектами в сфере ИИ</t>
  </si>
  <si>
    <t>1. Структурированный и готовый к применению документ 2. Практическая применимость 3. Гибкость и вариативность</t>
  </si>
  <si>
    <t>Преподавал дисциплину &amp;quot;Математический анализ&amp;quot; в 1 семестре. Планирую преподавать дисциплину &amp;quot;Дифференциальные уравнения&amp;quot; в 4 семестре.</t>
  </si>
  <si>
    <t>Овладеть практическими навыками и применить их для создания учебных материалов, которые я смогу применить в ходе преподавания дисциплины &amp;quot;Дифференциальные уравнения&amp;quot; в следующем учебном году.</t>
  </si>
  <si>
    <t>Да. Дисциплина &amp;quot;Дифференциальные уравнения&amp;quot;.</t>
  </si>
  <si>
    <t>Технологии компьютерного зрения Администрирование информационных сетей ИИ в робототехнике</t>
  </si>
  <si>
    <t>1 Познакомиться с опытными педагогами 2 Получить опыт в администрировании систем ИИ современных (серверные решения, MLOPS) 3 Научиться применять современные ИИ инструменты в образовании (как применять правильно)</t>
  </si>
  <si>
    <t>ИИ в робототехнике</t>
  </si>
  <si>
    <t>Рекомендательные системы и системы поддержки принятия решений</t>
  </si>
  <si>
    <t>1. Полная готовность РПД к использованию. 2. Наличие четких критериев оценки и диагностических материалов</t>
  </si>
  <si>
    <t>Проектирование интеллектуальных программных систем Математическая статистика для систем искусственного интеллекта</t>
  </si>
  <si>
    <t>1. Продвижение компетентности в тех позициях, по которым поставил оценку 0, 1 или 2. 2. Увидеть примеры и получить навык трансформации реальных бизнес-задач в учебные кейсы. 3. Углубить навык «Опыт разработки средств автоматизации для учебных целей»</t>
  </si>
  <si>
    <t>пока не знаю</t>
  </si>
  <si>
    <t>сложно сказать</t>
  </si>
  <si>
    <t>Управление проектами разработки систем ИИ (УПРСИИ), Системный инжиниринг</t>
  </si>
  <si>
    <t>Закрыть пробелы в ИИ, моделях, инструментарии и т.д.</t>
  </si>
  <si>
    <t>УПРСИИ, Системный инжиниринг</t>
  </si>
  <si>
    <t>Технологии обработки данных</t>
  </si>
  <si>
    <t>Для меня важно поднять уровень качества преподавания ИИ для дальнейшего использования в своей работе</t>
  </si>
  <si>
    <t>Операционные системы Интеллектуальные методы оптимизации</t>
  </si>
  <si>
    <t>1)Получение нового опыта применения ИИ в преподавательской деятельности 2)Упрощение рутинных задач преподавателя по разработке сопроводительной документации</t>
  </si>
  <si>
    <t>Модуль &amp;quot;Управление внешними устройствами&amp;quot; в рамках курса по Операционным системам</t>
  </si>
  <si>
    <t>Основы облачных технологий Модели и методы представления и обработки знаний Обработка аудиовизуальной информации</t>
  </si>
  <si>
    <t>1. Получить практические навыки создания агентских систем и веб-приложений с помощью генеративного ИИ 2. Хочу понять как мотивировать студентов к глубокому изучению проблемных областей помимо использования ИИ: чтобы умели применять, обходиться без, совмещать, отличать, когда стоит применять, а когда нет.</t>
  </si>
  <si>
    <t>Модели и методы представления и обработки знаний — очень надо Обработка аудиовизуальной информации — хочется обсудить Основы облачных технологий — хочется обсудить</t>
  </si>
  <si>
    <t>Теория нейронных сетей</t>
  </si>
  <si>
    <t>Эксперт по содержанию (глубокое знание предметной области ИИ)</t>
  </si>
  <si>
    <t>Понимание сквозных ИИ-ролей (аналитик, архитектор решений, менеджер проектов), что позволит эффективно синхронизировать бизнес-цели с возможностями искусственного интеллекта.</t>
  </si>
  <si>
    <t>Основы программирования, Объектно-ориентированное программирование, Численные методы</t>
  </si>
  <si>
    <t>* Изучить опыт преподавания ИИ в ведущем университете страны; * понять методику трансформации требований КРМ в конкретные результаты обучения дисциплин; * получить учебные материалы, на основе которых можно перерабатывать свои дисциплины под требования КРМ.</t>
  </si>
  <si>
    <t>Актуализировать нужно все дисциплины. Разработать - Тестирование программного обеспечения.</t>
  </si>
  <si>
    <t>Робототехника, Теория параллелизма</t>
  </si>
  <si>
    <t>Изучить КРМ на практике Изучить как можно внедрить его в образовательную программу</t>
  </si>
  <si>
    <t>Автоматизация составления отчетов, управления командой работой и коллективом, при помощи ИИ агента.</t>
  </si>
  <si>
    <t>Основы программирования, объектно-ориентированное программирование</t>
  </si>
  <si>
    <t>Понять, что такое компетентностно-ролевая модель, научиться ее использовать</t>
  </si>
  <si>
    <t>Дисциплины, связанные с программированием</t>
  </si>
  <si>
    <t>Многомерный анализ данных на Python</t>
  </si>
  <si>
    <t>-Систематизировать и углубить знания в области использования ИИ-ассистентов, научиться создавать ИИ-агентов. -Понять, как необходимо изменить подход к организации учебных занятий и контролю знаний в университете с учётом &amp;quot;гонки ИИ-моделей&amp;quot;, найти единомышленников, почерпнуть передовой опыт, идеи. Научиться проектировать учебные курсы (РПД, ФОСЫ, ...) в соответствии с ИИ-трансформациями</t>
  </si>
  <si>
    <t>Владимир Гузаноа</t>
  </si>
  <si>
    <t>Основы ООП, Управление производственным процессом разработки программного обеспечения</t>
  </si>
  <si>
    <t>научиться применять КРМ для конкретных курсов.</t>
  </si>
  <si>
    <t>основы ооп</t>
  </si>
  <si>
    <t>Промпт-инжиниринг, Управление данными</t>
  </si>
  <si>
    <t>Углубление понимания предметных областей, Методические &amp;quot;находки&amp;quot;</t>
  </si>
  <si>
    <t>Управление данными (для систем искусственного интеллекта)</t>
  </si>
  <si>
    <t>Технологии искусственного интеллекта; машинное обучение; методы оптимизации; большие языковые модели и т.п.</t>
  </si>
  <si>
    <t>Прокачку компетенций по ИИ, педагогическому мастерству, командной работе в условиях &amp;quot;преподаватель учит учить преподавателей&amp;quot; 8-)</t>
  </si>
  <si>
    <t>Интересны дисциплины в обвязке к задачам 1.2.1</t>
  </si>
  <si>
    <t>Машинное обучение и анализ данных Машинное обучение и искусственные нейронные сети Нейронные сети</t>
  </si>
  <si>
    <t>1. Погрузиться больше в проектирование и реализацию образовательных программ 2. Перенять опыт других людей 3. Узнать что-то новое</t>
  </si>
  <si>
    <t>Нейронные сети</t>
  </si>
  <si>
    <t>Машинное обучение и анализ данных Методы и средства проектирования информационных систем и технологий</t>
  </si>
  <si>
    <t>Повышение навыков проектирования практико-ориентированных занятий у студентов, организации проектной работы студентов</t>
  </si>
  <si>
    <t>проектная работа по дисциплине &amp;quot;машинное обучение и анализ данных&amp;quot;. Хочу, чтобы студенты не просто делали скучные лабораторки, а были вовлечены в проектную работу самостоятельно или в небольших коллективах, т.е. изучали машинное обучение на примере проектирования конкретной системы, которая в последующем могла бы быть трансформирована в ВКР или в формат стартап как диплом или студенческий стартап. Нужно как то вписать эту проектную работу в дисциплину, либо просто актуализировать содержание курса с учетом современных требований работодателя к специалисту по ии.</t>
  </si>
  <si>
    <t>Алгоритмизация и программирование</t>
  </si>
  <si>
    <t>Улучшение понимания ИИ и его внедрения в дисциплины Изучение чего-то нового</t>
  </si>
  <si>
    <t>Теория вероятностей и линейная алгебра</t>
  </si>
  <si>
    <t>Хочется понять что то новое и использовать в дальнейшей своей деятельности</t>
  </si>
  <si>
    <t>Теория вероятностей, математическая статистика, линейная алгебра</t>
  </si>
  <si>
    <t>Компьютерная лингвистика и диалоговые системы Моделирование систем</t>
  </si>
  <si>
    <t>Успешного получения новых знаний и закрепления имеющихся</t>
  </si>
  <si>
    <t>Дискретная математика, Искусственный интеллект и нейросети, Технологии интернета вещей</t>
  </si>
  <si>
    <t>Повышение уровня знаний в области ИИ</t>
  </si>
  <si>
    <t>Искусственный интеллект и нейросети</t>
  </si>
  <si>
    <t>Методы высокопроизводительных вычислений в ИИ Рекомендательные системы Современные технологии обработки текстов на естественных языках</t>
  </si>
  <si>
    <t>Профессиональные роли Компетенции в области машинного обучения (ML) Компетенции в области глубокого обучения (DL) Компетенции в области больших языковых моделей (LLM)</t>
  </si>
  <si>
    <t>1. Освоить современные подходы к проектированию образовательных программ и фондов оценочных средств в области искусственного интеллекта на основе компетентностно-ролевой модели. 2. Актуализировать содержание преподаваемых дисциплин с учетом современных направлений развития ИИ (LLM, генеративный ИИ, MLOps, инженерия ИИ). 3. Получить практический опыт разработки учебных материалов и обменяться лучшими практиками преподавания дисциплин в области искусственного интеллекта.</t>
  </si>
  <si>
    <t>Планирую актуализировать дисциплины «Рекомендательные системы», «Методы высокопроизводительных вычислений в искусственном интеллекте» и «Современные технологии обработки текстов на естественных языках». Основная цель — обновление содержания с учетом современных направлений развития искусственного интеллекта (генеративный ИИ, большие языковые модели, MLOps, инженерия ИИ), внедрение практико-ориентированных кейсов и совершенствование компетентностной модели, фондов оценочных средств и оценочных материалов. Особый интерес представляет интеграция современных практик промышленной разработки систем искусственного интеллекта в образовательный процесс.</t>
  </si>
  <si>
    <t>Теория вероятности Математическая статистика Введение в машинное обучение</t>
  </si>
  <si>
    <t>1. Актуализация практических занятий моего курса ( дополнить практические занятия по теории вероятностей и математической статистике задачами, лаболаторными или проектными работами, приближёнными к реальным задачам) 2. Применение ИИ для автоматизации и облегчения рабочих процессов преподавателя</t>
  </si>
  <si>
    <t>В целом, мне хотелось быть получить понимание, как знания той или иной темы из теории вероятности и мат статистики могут найти применение в ИИ, чтобы повысить мотивацию студентов к изучению.</t>
  </si>
  <si>
    <t>Алгоритмизация и программирование Объектно-ориентированное программирование</t>
  </si>
  <si>
    <t>Получение новых знаний</t>
  </si>
  <si>
    <t>Алгоритмизацию и программирование</t>
  </si>
  <si>
    <t>Программирование на языке Python Системное программирование Системотехнические решения</t>
  </si>
  <si>
    <t>Более детально понять структуру профессионального преподавания. Изучить новые техники и задачи которые лежат перед преподавателями в наши дни.</t>
  </si>
  <si>
    <t>Программирование на языке python</t>
  </si>
  <si>
    <t>Программирование Системная инженерия Инженерия данных для машинного обучения</t>
  </si>
  <si>
    <t>Пересобирать контент дисциплин под текущие запросы рынка и особенности КРМ Нетворк</t>
  </si>
  <si>
    <t>Цифровая схемотехника; Основы компьютерного зрения</t>
  </si>
  <si>
    <t>1. Понять как готовить студентов к современным профессиям, как их обучать, а не просто использовать ИИ. 2. Овладеть современной методологией преподавания. 3. Создание научного задела (проекты, публикации).</t>
  </si>
  <si>
    <t>Основы компьютерного зрения</t>
  </si>
  <si>
    <t>Основы технологий искусственного интеллекта Методы оптимизации</t>
  </si>
  <si>
    <t>Получение конкретных рекомендаций по постановке курса ( лабораторные работы, методические материалы, учебные типовые датасеты)</t>
  </si>
  <si>
    <t>Введение в информационные технологии</t>
  </si>
  <si>
    <t>ПРОЕКТИРОВАНИЕ И РЕАЛИЗАЦИЯ ОБРАЗОВАТЕЛЬНЫХ ПРОГРАММ</t>
  </si>
  <si>
    <t>Машинное обучение, Интеллектуальный анализ данных, Большие данные: инструменты и технологии в ИИ, Технологии обработки естественного языка</t>
  </si>
  <si>
    <t>1. Актуализация рабочих программ дисциплин 2. Актуализация практических навыков в области разработки баз данных, машинного обучения, обработки и хранения больших данных и др.</t>
  </si>
  <si>
    <t>Большие данные: инструменты и технологии в ИИ</t>
  </si>
  <si>
    <t>Линейная алгебра и обработка данных; Логика.</t>
  </si>
  <si>
    <t>Примеры использования реальных задач ИИ в математических дисциплинах; Примеры автоматизации для создания интересных контрольных материалов по математике.</t>
  </si>
  <si>
    <t>Линейная алгебра и обработка данных</t>
  </si>
  <si>
    <t>Машинно-зависимые языки программирования, Основы машинного обучения</t>
  </si>
  <si>
    <t>Примеры разработки РПД</t>
  </si>
  <si>
    <t>1. Цифровые технологии и медиабезопасность 2. Прикладная математика в ИИ 3. Мультиагентное моделирование</t>
  </si>
  <si>
    <t>- новые технологии использования ИИ в образовательном процессе - новые технологи поддержки преподавателей разработчиков РПД, УМК, ФОС - практикоориентированность</t>
  </si>
  <si>
    <t>Мультиагентные системы и ИИ</t>
  </si>
  <si>
    <t>Технологии машинного обучения в кибербезопасности</t>
  </si>
  <si>
    <t>Постановщик задач   Методолог (проектирование образовательных результатов и ФОС)</t>
  </si>
  <si>
    <t>Приобретение новых знаний.</t>
  </si>
  <si>
    <t>--</t>
  </si>
  <si>
    <t>Введение в комбинаторику и дискретную математику</t>
  </si>
  <si>
    <t>Ничего жду</t>
  </si>
  <si>
    <t>нет, ничего не хочу</t>
  </si>
  <si>
    <t>Теория вероятностей и математическая статистика</t>
  </si>
  <si>
    <t>Разработка средств автоматизации для учебных целей</t>
  </si>
  <si>
    <t>Структуры данных, Алгоритмы и программирование, Объектно-ориентированное программирование</t>
  </si>
  <si>
    <t>Эксперт по содержанию (глубокое знание предметной области ИИ)   Практик-разработчик (код, инструменты, инфраструктура)</t>
  </si>
  <si>
    <t>Получить опыт применения ИИ в преподавании классических курсов по программированию; сформировать представление о нормативных и организационных аспектах использования ИИ в высшем образовании.</t>
  </si>
  <si>
    <t>Алгоритмы и программирование, Объектно-ориентированное программирование</t>
  </si>
  <si>
    <t>Интеллектуальные методы оптимизации, ИИ ФинТех, Современные методы фронтирных исследований ИИ</t>
  </si>
  <si>
    <t>Профессиональные роли   Компетенции в области математических основ ИИ (MF)   Компетенции в области машинного обучения (ML)   Компетенции в области больших языковых моделей (LLM)</t>
  </si>
  <si>
    <t>Да,  применяю как основу для проектирования</t>
  </si>
  <si>
    <t>Постановщик задач   Эксперт по КРМ (знание структуры, методик применения)</t>
  </si>
  <si>
    <t>Увидеть примеры  реализации кейсов от индустриальных партнеров на практике,       улучшить компетенции в области больших языковых моделей (LLM) и в области глубокого обучения</t>
  </si>
  <si>
    <t>Дискретная математика      Криптографические методы защиты информации      Быстрые вычислительные алгоритмы</t>
  </si>
  <si>
    <t>Компетенции в области математических основ ИИ (MF)   Компетенции в области машинного обучения (ML)</t>
  </si>
  <si>
    <t>1. Понимание и практические навыки использования ИИ, в том числе, для целей образовательного процесса.      2. Опыт работы в команде для конкретных прикладных задач (не НИР/НИОКР).</t>
  </si>
  <si>
    <t>Возможно, для магистров дисциплину &amp;quot;Криптографическая защита информации&amp;quot;, но не уверен, что ИИ там необходимо.</t>
  </si>
  <si>
    <t>Вычислительная линейная алгебра, вычислительная математика, Многомерный анализ данных.</t>
  </si>
  <si>
    <t>Автоматизация разрабатываемых учебных материалов.</t>
  </si>
  <si>
    <t>Вычислительная математика</t>
  </si>
  <si>
    <t>Методы оптимизации</t>
  </si>
  <si>
    <t>Эксперт по КРМ (знание структуры, методик применения)</t>
  </si>
  <si>
    <t>Научиться проектировать программы на основе КРМ, внедрять проектные и соревновательные программы в учебную деятельность студентов.</t>
  </si>
  <si>
    <t>Хотела разработать и актуализировать в рамках проектной работы дисциплину методы оптимизации.</t>
  </si>
  <si>
    <t>Векторная алгебра</t>
  </si>
  <si>
    <t>Получиьь большее представление о работе с большими данными</t>
  </si>
  <si>
    <t>Системы искусственного интеллекта и анализ данных в профессиональной среде</t>
  </si>
  <si>
    <t>Промпт-инжиниринг, Машинное обучение, Компьютерная лингвистика, Диалоговые системы, Системы искусственного интеллекта</t>
  </si>
  <si>
    <t>Профессиональные роли   Компетенции в области машинного обучения (ML)   Компетенции в области больших языковых моделей (LLM)</t>
  </si>
  <si>
    <t>1. Навых разработкк структуры и содержания РПД с учетом проф. ролей.      2. Навык разработки ФОС с учетом проф. ролей.</t>
  </si>
  <si>
    <t>Машинное обучение, Промпт-инжиниринг</t>
  </si>
  <si>
    <t>Основы алгоритмизации и объектно-ориентированное программирование      Промышленная разработка программного обеспечения на Java      Промышленное программирование на Java</t>
  </si>
  <si>
    <t>Другое</t>
  </si>
  <si>
    <t>Компетенции в области языков программирования (PL)</t>
  </si>
  <si>
    <t>Методолог (проектирование образовательных результатов и ФОС)   Практик-разработчик (код, инструменты, инфраструктура)</t>
  </si>
  <si>
    <t>Получение знаний в области ИИ      Получение знаний и опыта в преподавании ИИ-дисциплин</t>
  </si>
  <si>
    <t>Промышленная разработка программного обеспечения на Java      Промышленное программирование на Java      Учебная практика</t>
  </si>
  <si>
    <t>Алгоритмизация и программирование      Технологии хранения и управления данными в АПК      Компьютерное зрение в сельском хозяйстве      Программирование на языке С++</t>
  </si>
  <si>
    <t>Компетенции в области математических основ ИИ (MF)   Компетенции в области машинного обучения (ML)   Компетенции в области глубокого обучения (DL)   Компетенции в области жизненного цикла систем искусственного интеллекта (FC)</t>
  </si>
  <si>
    <t>Постановщик задач   Эксперт по содержанию (глубокое знание предметной области ИИ)</t>
  </si>
  <si>
    <t>Углубление навыков составления и адаптации под дисциплину кейс-задач      Изучение современных технологий автоматизации проверки практических работ</t>
  </si>
  <si>
    <t>Компьютерное зрение в сельском хозяйстве      Технологии хранения и управления данными в АПК      Программирование на языке С++</t>
  </si>
  <si>
    <t>Технологии хранения и управления данными в АПК, Операционные системы,</t>
  </si>
  <si>
    <t>Углубить знания в области применения современных практик преподавания дисциплин, направленных на развитие компетенций топ-уровня. Изучение современных технологий автоматизации проверки практических работ.</t>
  </si>
  <si>
    <t>Технологии хранения и управления данными в АПК</t>
  </si>
  <si>
    <t>Методы оптимизации; Машинное обучение; Алгоритмы и структуры данных; Временные ряды; Теория вероятностей; Математическая статистика;</t>
  </si>
  <si>
    <t>Постановщик задач   Практик-разработчик (код, инструменты, инфраструктура)</t>
  </si>
  <si>
    <t>Понять что такое КРМ и зачем это нужно      Лучше разобраться в темах, понять где мои знания не корректны/не полные      Попробовать что-то новое</t>
  </si>
  <si>
    <t>Не знаю :(      Методы оптимизации может быть</t>
  </si>
  <si>
    <t>Компетенции в области математических основ ИИ (MF)   Компетенции в области машинного обучения (ML)   Компетенции в области глубокого обучения (DL)</t>
  </si>
  <si>
    <t>Теория вероятностей и математическая статистика, Методы Монте-Карло.</t>
  </si>
  <si>
    <t>Понять  как можно связать фундаментальные математические дисциплины с ИИ.      Освоить методологию КРМ.      Найти практические  задачи для применения методов  Монте-Карло в реальных задачах машинного обучения для их интеграции в учебный процесс.</t>
  </si>
  <si>
    <t>Методы Монте-Карло в машинном обучении</t>
  </si>
  <si>
    <t>Математическая статистика      Программирование на языке Python       Операционные системы</t>
  </si>
  <si>
    <t>Профессиональные роли   Компетенции в области математических основ ИИ (MF)   Компетенции в области машинного обучения (ML)</t>
  </si>
  <si>
    <t>Совершенствование навыков разработки и проектирования образовательных программ топ-ИИ уровня</t>
  </si>
  <si>
    <t>Программирование на языке Python, Основы ИИ в АПК, Математическая статистика</t>
  </si>
  <si>
    <t>Константин  Жуйков</t>
  </si>
  <si>
    <t>Линейная алгебра и аналитическая геометрия, математический анализ, теория вероятностей, дифференциальные уравнения, методы оптимизации</t>
  </si>
  <si>
    <t>Получить опыт использования КРМ в разработке образовательных программ.      Улучшить практические навыки</t>
  </si>
  <si>
    <t>Цифровая обработка сигналов.</t>
  </si>
  <si>
    <t>Освоить методы использования ИИ в преподавании</t>
  </si>
  <si>
    <t>- Теория вероятностей      - Математическая статистика      - Прикладная статистика в анализе данных</t>
  </si>
  <si>
    <t>Компетенции в области математических основ ИИ (MF)   Компетенции в области больших языковых моделей (LLM)</t>
  </si>
  <si>
    <t>Постановщик задач   Эксперт по содержанию (глубокое знание предметной области ИИ)   Практик-разработчик (код, инструменты, инфраструктура)</t>
  </si>
  <si>
    <t>- формирование целостной структуры курса      - освоение методик преподавания на ИИ на топ-уровне</t>
  </si>
  <si>
    <t>- Прикладная статистика в анализе данных</t>
  </si>
  <si>
    <t>Введение в специальность, Технологии компьютерного зрения, Математические модели нейронных сетей</t>
  </si>
  <si>
    <t>Профессиональные роли   Компетенции в области машинного обучения (ML)   Компетенции в области глубокого обучения (DL)</t>
  </si>
  <si>
    <t>Эксперт по содержанию (глубокое знание предметной области ИИ)   Эксперт по КРМ (знание структуры, методик применения)</t>
  </si>
  <si>
    <t>Прокачать навыки работы с КРМ, актуализировать знания в сфере ии</t>
  </si>
  <si>
    <t>Компетенции в области машинного обучения (ML)   Компетенции в области жизненного цикла систем искусственного интеллекта (FC)</t>
  </si>
  <si>
    <t>Высшая математика, математический анализ</t>
  </si>
  <si>
    <t>Получить знания, улучшить насмотренность.</t>
  </si>
  <si>
    <t>Теория вероятностей      Математическая статистика</t>
  </si>
  <si>
    <t>Актуализация знаний о современных ИИ-системах и совершенствование навыков работы с ними, в том числе и в области образования.      Интеграция новых практик в учебный процесс.      Более глубокое погружение в модель КРМ.</t>
  </si>
  <si>
    <t>В рамках проектной работы -- нет.</t>
  </si>
  <si>
    <t>Математический анализ и основы вычислений</t>
  </si>
  <si>
    <t>Глубже и детальнее познакомиться с КРМ, научиться планировать образовательные результаты на основе КРМ, познакомиться с подходящими для моей дисциплины технологиями обучения с использованием ИИ.</t>
  </si>
  <si>
    <t>Математический анализ и основы вычислений (дисциплина)</t>
  </si>
  <si>
    <t>Информационные технологии и программирование (Java)      Проектный практикум</t>
  </si>
  <si>
    <t>Профессиональные роли   Компетенции в области машинного обучения (ML)</t>
  </si>
  <si>
    <t>Методолог (проектирование образовательных результатов и ФОС)   Практик-разработчик (код, инструменты, инфраструктура)   Эксперт по КРМ (знание структуры, методик применения)</t>
  </si>
  <si>
    <t>доработка умк по преподаваемым дисциплинам в соответствии с результатами обучения из КРМ      обмен лучшими практиками</t>
  </si>
  <si>
    <t>информационные технологии и программирование</t>
  </si>
  <si>
    <t>Проектный практикум      Введение в информационные технологии (Python)</t>
  </si>
  <si>
    <t>Профессиональные роли   Компетенции в области математических основ ИИ (MF)   Компетенции в области машинного обучения (ML)   Компетенции в области жизненного цикла систем искусственного интеллекта (FC)</t>
  </si>
  <si>
    <t>Обмен практиками преподавания и составления программ</t>
  </si>
  <si>
    <t>Введение в информационные технологии (Python)      Проектный практикум</t>
  </si>
  <si>
    <t>Введение в инженерную деятельность       Современные цифровые инструменты научного исследования       Научный семинар</t>
  </si>
  <si>
    <t>Узнать новое о КРМ      Получить опыт командной работы      Разработать задел для образовательных материалов в новом семестре</t>
  </si>
  <si>
    <t>Современные цифровые инструменты научного исследования</t>
  </si>
  <si>
    <t>Nikita Andriyanov</t>
  </si>
  <si>
    <t>а) Математика искусственного интеллекта      б) Введение в искусственный интеллект</t>
  </si>
  <si>
    <t>Компетенции в области машинного обучения (ML)   Компетенции в области глубокого обучения (DL)</t>
  </si>
  <si>
    <t>Составлял РПД с компетенциями ML и DL</t>
  </si>
  <si>
    <t>Эксперт по содержанию (глубокое знание предметной области ИИ)   Методолог (проектирование образовательных результатов и ФОС)   Практик-разработчик (код, инструменты, инфраструктура)</t>
  </si>
  <si>
    <t>А) Актуализация тематик РПД в соответствии с КРМ      Б) Получение навыков разработки проектных заданий      В) Знакомство с экспертами и коллегами, в том числе с практиками</t>
  </si>
  <si>
    <t>А) Математические основы ML (переход от регрессии к классификации и кластеризационные задачи с точки зрения математики)      Б) Математические основы DL (моделирование перспетронов, сверток и трансформеров)</t>
  </si>
  <si>
    <t>Социальные, правовые и этические вопросы искусственного интеллекта; Программная инженерия; Управление ИТ проектами; Тестирование ПО</t>
  </si>
  <si>
    <t>Умение проектировать рабочие программы с применением компетентностно-ролевой модели</t>
  </si>
  <si>
    <t>Программная инженерия; Управление ИТ проектами.</t>
  </si>
  <si>
    <t>Практикум по программированию      Алгоритмы и структуры данных</t>
  </si>
  <si>
    <t>Профессиональные роли   Компетенции в области математических основ ИИ (MF)</t>
  </si>
  <si>
    <t>Формирование целостной архитектуры курса «под ключ».      Внедрение актуальных индустриальных кейсов и стеков в учебный процесс.      Разработка системы оценки проектно-исследовательских компетенций.</t>
  </si>
  <si>
    <t>Практикум по программированию      Алгоритмы и структуры данных      Введение в искусственный интеллект      Математика искусственного интеллекта</t>
  </si>
  <si>
    <t>Объектно-ориентированное программирование      Инструменты и инженерные практики  разработки систем ИИ</t>
  </si>
  <si>
    <t>Получение навыков по использованию КРМ при разработке или актуализации рабочих программ дисциплин.      Ознакомление с методологией внедрения практических кейсов в области ИИ в учебные дисциплины.</t>
  </si>
  <si>
    <t>Теория вероятностей; Математическая статистика; Интеллектуальный анализ данных</t>
  </si>
  <si>
    <t>Профессиональные роли   Компетенции в области математических основ ИИ (MF)   Компетенции в области машинного обучения (ML)   Другое</t>
  </si>
  <si>
    <t>Работа с данными (BD) - частично (BD-1,2)</t>
  </si>
  <si>
    <t>Надеюсь изучить новые инструменты и получить практические навыки для актуализации компетентностно-ролевой матрицы дисциплины с ранжированием математического аппарата по позициям в ИИ-команде с учетом профиля (в данном случае: «Геоинформационные технологии и 3D-моделирование»). Также планирую в дальнейшем освоить методологию организации сквозного цикла ИИ-проекта (от сбора данных до оценки устойчивости моделей) с опорой на кейсы индустриальных партнеров. В результате предполагаю систематизировать содержание курса и обновить рабочую программу дисциплины, включая тематический план, лабораторный практикум, фонд оценочных средств и проектные задания.</t>
  </si>
  <si>
    <t>Интеллектуальный анализ данных (для студентов 3 курса)</t>
  </si>
  <si>
    <t>Архитектура вычислительных систем      Основы системного программного обеспечения      Технологии больших данных</t>
  </si>
  <si>
    <t>- рабочая программа дисциплины по современному ИИ, пригодная для утверждения и запуска;      - набор методических приёмов для объяснения нетривиальных тем и работы с разнородной аудиторией;      - опыт командной разработки образовательного продукта и навыки согласования содержания между участниками.</t>
  </si>
  <si>
    <t>Анализ данных, Машинное обучение, Нейронные сети, Компьютерное зрение</t>
  </si>
  <si>
    <t>Актуализировать знания о современных подходах и тенденциях в области ИИ;      Освоить best practices преподавания ИИ и проектного обучения;      Обновить учебные материалы с учетом актуальных технологий и инструментов.</t>
  </si>
  <si>
    <t>Планирую актуализировать следующие дисциплины:      - Введение в нейронные сети;      - Компьютерное зрение.</t>
  </si>
  <si>
    <t>Базы данных, программирование на языке C++, C# и Python, объектно-ориентированное программирование, функциональное и логическое программирование, алгоритмы и структуры данных</t>
  </si>
  <si>
    <t>повышение квалификации и уровня командной работы</t>
  </si>
  <si>
    <t>&amp;quot;Безопасность генеративного искусственного интеллекта&amp;quot;      &amp;quot;Эффективность вычислений в нейронных сетях&amp;quot;</t>
  </si>
  <si>
    <t>Компетенции в области машинного обучения (ML)   Компетенции в области глубокого обучения (DL)   Компетенции в области больших языковых моделей (LLM)</t>
  </si>
  <si>
    <t>Постановщик задач   Эксперт по содержанию (глубокое знание предметной области ИИ)   Методолог (проектирование образовательных результатов и ФОС)   Практик-разработчик (код, инструменты, инфраструктура)</t>
  </si>
  <si>
    <t>Познакомиться с лучшими практическими методами преподавания ИИ (структуры теоретических материалов, практические задачи), особенно по новым перспективным направлениям - безопасность ИИ агентов, объяснимый ИИ, мультимодальные системы.      Обсудить практический опыт взаимодействия с индустрией.      Наладить полезные контакты (полезно для конференций, публикаций, перекрестного рецензирования диссертаций и пр.)</t>
  </si>
  <si>
    <t>Все темы, связанные с безопасностью и объяснимостью генеративного ИИ, в том числе ИИ агентов.      Эффективные вычисления для ИИ (специальные алгоритмы для обучения и инференса, оптимизация вычислений для кластеров GPU)      Применение методов обучения с подкреплением (reinforcement learning) для обучения ИИ моделей (включая мультимодальные).</t>
  </si>
  <si>
    <t>Системы машинного зрения      Проектный практикум      Технологии ИИ в интеллектуальных транспортных системах</t>
  </si>
  <si>
    <t>Профессиональные роли   Компетенции в области машинного обучения (ML)   Компетенции в области глубокого обучения (DL)   Компетенции в области жизненного цикла систем искусственного интеллекта (FC)</t>
  </si>
  <si>
    <t>Узнать лучшие практики применения ИИ в учебном процессе      Систематизация знаний в области разработки РПД и ФОС      Повышение навыков взаимодействия с ИП и внедрения практико-ориентированных занятий</t>
  </si>
  <si>
    <t>Технологии ИИ в интеллектуальных транспортных системах</t>
  </si>
  <si>
    <t>Основы промт-инжениринга</t>
  </si>
  <si>
    <t>1. Системное понимание архитектуры ИИ‑моделей.      2. Интеграция ИИ в учебный процесс с учётом этических норм.      3. Критическая оценка результатов ИИ и обучение этому студентов.</t>
  </si>
  <si>
    <t>На данный момент нет.</t>
  </si>
  <si>
    <t>Введение в профессию (преподавала)</t>
  </si>
  <si>
    <t>Любое повышение квалификации интересно</t>
  </si>
  <si>
    <t>Введение в машинное обучение. Автоматизированное машинное обучение.</t>
  </si>
  <si>
    <t>Компетенции в области математических основ ИИ (MF)   Компетенции в области машинного обучения (ML)   Компетенции в области глубокого обучения (DL)   Компетенции в области больших языковых моделей (LLM)</t>
  </si>
  <si>
    <t>Постановщик задач   Эксперт по содержанию (глубокое знание предметной области ИИ)   Методолог (проектирование образовательных результатов и ФОС)   Практик-разработчик (код, инструменты, инфраструктура)   Эксперт по КРМ (знание структуры, методик применения)</t>
  </si>
  <si>
    <t>Совершенствование знаний по преподаванию дисциплин в сфере ИИ.</t>
  </si>
  <si>
    <t>Введение в машинное обучение</t>
  </si>
  <si>
    <t>Основы MLOps</t>
  </si>
  <si>
    <t>Практик-разработчик (код, инструменты, инфраструктура)   Эксперт по КРМ (знание структуры, методик применения)</t>
  </si>
  <si>
    <t>Обмен опытом      Нетворкинг</t>
  </si>
  <si>
    <t>Моделирование систем      Машинное обучение и анализ данных      Машинное обучение и искусственные нейронные сети      Нейронные сети      MLOps инженерия</t>
  </si>
  <si>
    <t>- Освоить методику применения КРМ для проектирования РПД и ФОС в области ИИ.      - Систематизировать собственные курсы и привести их в соответствие с актуальными требованиями к компетенциям.      - Обменяться практиками с коллегами и получить готовые инструменты для проектной работы студентов.</t>
  </si>
  <si>
    <t>Пока не определился, готов выбрать в процессе.</t>
  </si>
  <si>
    <t>Основы глубокого обучения, технологии обработки данных, системы искусственного интеллекта</t>
  </si>
  <si>
    <t>Эксперт по содержанию (глубокое знание предметной области ИИ)   Методолог (проектирование образовательных результатов и ФОС)</t>
  </si>
  <si>
    <t>Улучшение разрабатываемых дисциплин, лучшее понимание логике, что за каким пунктом должно идти, в конечном итоге польза для студентов.</t>
  </si>
  <si>
    <t>Затрудняюсь ответить, но впереди работа с большим набором новых дисциплин.</t>
  </si>
  <si>
    <t>Математический анализ 2, промпт-инжиниринг в профессиональной деятельности</t>
  </si>
  <si>
    <t>Результаты обучения планирую использовать в работе</t>
  </si>
  <si>
    <t>Введение в информационные технологии       Основы MLOps</t>
  </si>
  <si>
    <t>Компетенции в области математических основ ИИ (MF)   Компетенции в области машинного обучения (ML)   Компетенции в области больших языковых моделей (LLM)</t>
  </si>
  <si>
    <t>Получение практических советов и навыков с возможностью дальнейшего их применения на практике</t>
  </si>
  <si>
    <t>1. Введение в инженерную деятельность. История развития и основные тренды современного ИИ      2. Введение в машинное обучение и интеллектуальные системы- 2 курс      3. Основы технологий искусственного интеллекта- 3 курс      4. Промышленные системы машинного обучения - 4 курс</t>
  </si>
  <si>
    <t>Методолог (проектирование образовательных результатов и ФОС)   Эксперт по КРМ (знание структуры, методик применения)</t>
  </si>
  <si>
    <t>Хочу углубить свои знания в современном ИИ, чтобы уверенно и осмысленно внедрять эти технологии в учебный процесс</t>
  </si>
  <si>
    <t>1. Введение в машинное обучение и интеллектуальные системы- 2 курс      2. Промышленные системы машинного обучения - 4 курс</t>
  </si>
  <si>
    <t>Математический анализ</t>
  </si>
  <si>
    <t>Понимание применения элементов математического анализа для средств ИИ</t>
  </si>
  <si>
    <t>Линейная Алгебра, Математический Анализ</t>
  </si>
  <si>
    <t>Знакомство с КРМ</t>
  </si>
  <si>
    <t>Анализ больших данных – 3 курс      Введение в анализ данных – 3 курс</t>
  </si>
  <si>
    <t>1. Актуальность времени и практическим вызовам;      2. Хороший баланс теории/ практики;      3. Содержательность и практико-ориентированность.</t>
  </si>
  <si>
    <t>Пока не сложилась полная картина...</t>
  </si>
  <si>
    <t>Yazan Wassouf</t>
  </si>
  <si>
    <t>Программироввание на Питон      Введение в ИИ</t>
  </si>
  <si>
    <t>Правильно преподавать ИИ      Обучение новых инструментов</t>
  </si>
  <si>
    <t>дифференциальные уравнения, математический анализ, численные методы</t>
  </si>
  <si>
    <t>1. Лучше разобраться, чему обучать специалистов по ИИ-технологиям.      2. Лучше разобраться в ИИ-технологиях.</t>
  </si>
  <si>
    <t>Дифференциальные уравнения, математический анализ, численные методы</t>
  </si>
  <si>
    <t>1. Понять пользу КРМ для разработки ОП      2. Лучше разобраться в ИИ технологиях</t>
  </si>
  <si>
    <t>Методы оптимизации; Численные методы; Модели случайных процессов и анализ временных рядов; Машинное обучение для временных рядов</t>
  </si>
  <si>
    <t>1. Знание схемы внедрения КРМ в создание РПД      2. Усиление реализуемых курсов инструментами и подходами современного ИИ</t>
  </si>
  <si>
    <t>Численные методы; Модели случайных процессов и анализ временных рядов; Машинное обучение для временных рядов</t>
  </si>
  <si>
    <t>Математический анализ и основы вычислений, функциональный анализ</t>
  </si>
  <si>
    <t>1) Научиться выстраивать системную методологию для построения образовательных траекторий, позволяющих закрывать всю цепочку компетенций КРМ.      2) Освоить лучшие практики трансформации фундаментальной математической теории в инженерные прототипы.      3) Сформировать базу контрольно-оценочных средств, соответствующих современным индустриальным стандартам и актуализировать РПД.</t>
  </si>
  <si>
    <t>Анализ данных      Управление данными      Основы технологий искусственного интеллекта</t>
  </si>
  <si>
    <t>Постановщик задач   Методолог (проектирование образовательных результатов и ФОС)   Эксперт по КРМ (знание структуры, методик применения)</t>
  </si>
  <si>
    <t>Формирование системного взгляда на подготовку специалистов топ-уровня в области ИИ.      Разбор кейсов для лабораторно-практических занятий.      Ориентация в множестве современных типовых дата-сетов для обучения технологиям ИИ.</t>
  </si>
  <si>
    <t>Анализ данных      Основы технологий искусственного интеллекта</t>
  </si>
  <si>
    <t>Машинное обучение, Прикладные задачи машинного обучения</t>
  </si>
  <si>
    <t>Получить знания, умения и навыки использования КРМ в разработке образовательных программ</t>
  </si>
  <si>
    <t>Дополнительные главы алгебры, Функциональный анализ, Анализ на многообразиях</t>
  </si>
  <si>
    <t>- Повышение компетентности в области ИИ      - Развитие навыков преподавания в рамках ИИ-ориентированных программ</t>
  </si>
  <si>
    <t>Затрудняюсь</t>
  </si>
  <si>
    <t>Дискретная математика. Теория вероятностей. Математическая статистика. Имитационное моделирование</t>
  </si>
  <si>
    <t>Повышение квалификации в области КРМ и методологий проектирования практико-ориентированных занятий при изучении систем ИИ</t>
  </si>
  <si>
    <t>Функциональное программирование</t>
  </si>
  <si>
    <t>интеграция ИИ в профильные предметы;      снижение рутины и генерация материалов</t>
  </si>
  <si>
    <t>Основы объектно-ориентированного программирования      Управление процессами разработки программного обеспечения.</t>
  </si>
  <si>
    <t>Научиться грамотно и современно преподовать,  улучшить навык составления рабочих программ для студентов</t>
  </si>
  <si>
    <t>Основы объектно-ориентированного программирования - подготовка задач и план обучения</t>
  </si>
  <si>
    <t>Программирование на языке Python      Цифровые технологии и медиабезопасность      Технологии ИИ в IoT      Прикладная математика в ИИ</t>
  </si>
  <si>
    <t>1. Проектирование сквозных междисциплинарных треков (выстроить стройную систему освоения студентами технологий ИИ)      2. Использование и внедрение передовых фундаментальных исследований в области ИИ в учебный процесс</t>
  </si>
  <si>
    <t>Технологии искусственного интеллекта в IoT</t>
  </si>
  <si>
    <t>Введение в алгебру и анализ</t>
  </si>
  <si>
    <t>1. Знакомство с компетентностно-ролевой моделью      2. Получение навыков по работе с компетентностно-ролевой моделью, достаточном для применения компетентностно-ролевой модели</t>
  </si>
  <si>
    <t>Технологии генеративного ИИ</t>
  </si>
  <si>
    <t>повысить свои компетенции преподавания дисциплин, связанных с ИИ      ознакомиться с опытом коллег      обновить материалы по своим дисциплинам</t>
  </si>
  <si>
    <t>дисциплина Технологии генеративного ИИ</t>
  </si>
  <si>
    <t>Теория вероятностей</t>
  </si>
  <si>
    <t>Повышение уровня в разработке РПД и ФОС</t>
  </si>
  <si>
    <t>Основы проектной деятельности      Проектный практикум      Анализ данных и ИИ      Информационные технологии и сервисы      Сбор и верификация данных</t>
  </si>
  <si>
    <t>Профессиональные роли   Компетенции в области математических основ ИИ (MF)   Компетенции в области машинного обучения (ML)   Компетенции в области глубокого обучения (DL)   Компетенции в области больших языковых моделей (LLM)   Компетенции в области жизненного цикла систем искусственного интеллекта (FC)</t>
  </si>
  <si>
    <t>Научиться регулярно актуализировать программу на базе обновлений КРС и вызовов индустрии</t>
  </si>
  <si>
    <t>Основы проектной деятельности.      Промпт-разработка</t>
  </si>
  <si>
    <t>Математический анализ; Специальные главы математики</t>
  </si>
  <si>
    <t>Научиться применять КРМ в разработке и преподавании математики.</t>
  </si>
  <si>
    <t>Специальные главы математики</t>
  </si>
  <si>
    <t>Управление проектами</t>
  </si>
  <si>
    <t>Научиться разрабатывать практико-ориентированные кейсы и создавать междисциплинарные программы.</t>
  </si>
  <si>
    <t>Алгоритмы и структуры данных, Промышленная разработка</t>
  </si>
  <si>
    <t>Профессиональные роли   Компетенции в области машинного обучения (ML)   Компетенции в области глубокого обучения (DL)   Компетенции в области больших языковых моделей (LLM)   Компетенции в области жизненного цикла систем искусственного интеллекта (FC)</t>
  </si>
  <si>
    <t>Улучшение понимания гибкости КРМ      Удобный и ненавязчивый формат обучения</t>
  </si>
  <si>
    <t>Промышленная разаботка</t>
  </si>
  <si>
    <t>Разработка геоинформационных систем для предприятий АПК, Анализ пространственно-временных данных с использованием машинного обучения, веб-технологии</t>
  </si>
  <si>
    <t>Хотелось бы  получить  готовые инструменты, примеры интеграции реальных продуктовых кейсов ИТ-бизнеса и хакатонов непосредственно в учебный процесс, научиться формировать у студентов системное видение полного цикла разработки ИИ.</t>
  </si>
  <si>
    <t>Разработка геоинформационных систем для предприятий АПК</t>
  </si>
  <si>
    <t>Математический анализ, линейная алгебра, цифровая математика на языке R и Excel, анализ данных, машинное обучение, математика машинного обучения</t>
  </si>
  <si>
    <t>Повысить компетентность, освоить прикладные инструменты</t>
  </si>
  <si>
    <t>Математика машинного обучения, топологический анализ данных</t>
  </si>
  <si>
    <t>Математические методы в больших данных</t>
  </si>
  <si>
    <t>Более четкое применение КРМ при разработке РПД и ФОС</t>
  </si>
  <si>
    <t>Анализ временных рядов, компьютерное зрение</t>
  </si>
  <si>
    <t>трансформация образования в эпоху БЯМ</t>
  </si>
  <si>
    <t>анализ временных рядов, компьютерное зрение</t>
  </si>
  <si>
    <t>Операционные системы</t>
  </si>
  <si>
    <t>Компетенции в области математических основ ИИ (MF)   Компетенции в области машинного обучения (ML)   Компетенции в области жизненного цикла систем искусственного интеллекта (FC)</t>
  </si>
  <si>
    <t>Ускорения при разработке РПД, повышения качества образовательного процесса.</t>
  </si>
  <si>
    <t>Операционные системы, модуль по разработке драйверов внешних устройств.</t>
  </si>
  <si>
    <t>Введение в интеллектуальные системы и технологии, интеллектуальные диалоговые системы, динамические интеллектуальные системы, основы моделирования систем, инструментальные средства интеллектуального имитационного моделирования, системы искусственного интеллекта, основы программирования на языке Python, Нереляционные базы данных</t>
  </si>
  <si>
    <t>Навыки планирования содержания курсов, баланс теории и практики</t>
  </si>
  <si>
    <t>Нереляционные базы данных</t>
  </si>
  <si>
    <t>Алгоритмы и структуры данных, Компьютерная математика, Теория вероятностей, Математическая статистика</t>
  </si>
  <si>
    <t>Внедрение в практические и лабораторные работы требований согласно КРМ      Разработка ФОС по читаемым дисциплинам в соответствии с требованиями КРМ</t>
  </si>
  <si>
    <t>Теория вероятностей и математическая статистика (актуализация)      Алгоритмы и структуры данных (разработка)</t>
  </si>
  <si>
    <t>Дифференциальные уравнения      Численные методы      Курсовые проекты</t>
  </si>
  <si>
    <t>1. Получить системное видение современного ИИ-стека и подходов к его преподаванию на старших курсах.      2.Освоить практики актуализации дисциплин и оценочных средств в условиях быстрого развития области.      3. Применить полученные знания к доработке собственных ООП и обменяться опытом с коллегами из ведущих вузов.</t>
  </si>
  <si>
    <t>Дифференциальные уравнения</t>
  </si>
  <si>
    <t>Машинное обучение      Обработка естественного языка в прикладных задачах      Информационные технологии и сервисы (вайб-кодинг и инструменты разработчика)</t>
  </si>
  <si>
    <t>Компетенции в области машинного обучения (ML)   Компетенции в области больших языковых моделей (LLM)</t>
  </si>
  <si>
    <t>Повышение насмотренности для дисциплин, которые я преподаю       Пища для размышлений при ежесеместровой актуализации практических заданий и лекционных для своих курсов</t>
  </si>
  <si>
    <t>Актуализация практик для дисциплины Информационные технологии и сервисы (вайб-кодинг и инструменты разработчика) с учетом изменений в этом быстро меняющемся мире</t>
  </si>
  <si>
    <t>- Прикладная статистика;      - Основы научных исследований;      - программирование на Python.</t>
  </si>
  <si>
    <t>Постановщик задач   Эксперт по содержанию (глубокое знание предметной области ИИ)   Эксперт по КРМ (знание структуры, методик применения)</t>
  </si>
  <si>
    <t>Ожидаю получения новых знаний</t>
  </si>
  <si>
    <t>современные методы программирования задач иб</t>
  </si>
  <si>
    <t>повышение квалификации, освоение новых для себя скиллов</t>
  </si>
  <si>
    <t>пока нет</t>
  </si>
  <si>
    <t>Технологии искусственного интеллекта</t>
  </si>
  <si>
    <t>знакомство с новыми технологиями применимыми при обучении</t>
  </si>
  <si>
    <t>Машинное обучение      Машинное зрение</t>
  </si>
  <si>
    <t>1. Разобраться, как использовать ИИ в образовательном процессе эффективно и ответственно: для объяснения тем, поддержки студентов, оценки результатов и развития компетенций.      2. Сформировать системное понимание современных технологий ИИ и способов их преподавания.</t>
  </si>
  <si>
    <t>Машинное обучение на R, Основы теории и управления цифровой обработки сигналов, математическая статистика, технологии обработки больших данных</t>
  </si>
  <si>
    <t>Освоить преподавание современного ИИ, освоить разработку методических материалов в сфере ИИ</t>
  </si>
  <si>
    <t>Основы теории и управления цифровой обработки сигналов</t>
  </si>
  <si>
    <t>Управление IT-проектами      Теория вероятностей и математическая статистика</t>
  </si>
  <si>
    <t>● Инновационные процессы в образовании,      ● Анализ данных,      ● Цифровые технологии обработки результатов педагогического исследования,      ● Оценка качества цифровых образовательных ресурсов,      ● Цифровая грамотность.</t>
  </si>
  <si>
    <t>Понимание структуры ИИ-профессий      Понимание подхода к определению целей обучения и их декомпозиции согласно логике системно-деятельностного подхода в условиях применения ИИ      Знакомство с новыми ИИ-инструментами для профессиональной деятельности (преподавание в вузе, научная работа).</t>
  </si>
  <si>
    <t>ИИ в промышленности</t>
  </si>
  <si>
    <t>Повысить организованность работы студентов в командных проектах</t>
  </si>
  <si>
    <t>Методы машинного обучения, Математические основы искусственного интеллекта, Основы ИИ в АПК, Алгоритмизация и программирование, Методы оптимизации</t>
  </si>
  <si>
    <t>Установить контакты с другими преподавателями и организациями, изучить современные методики преподавания ии, получить методические материалы для использования в работе, организовать взаимодействие с индустриальными партнерами</t>
  </si>
  <si>
    <t>Математические основы ИИ, методы машинного обучения</t>
  </si>
  <si>
    <t>Основы информационной безопасности; алгоритмизация и программирование; структуры данных.</t>
  </si>
  <si>
    <t>Повышение навыков преподавания современного ИИ на топ-уровне</t>
  </si>
  <si>
    <t>&amp;quot;Теория автоматов&amp;quot;</t>
  </si>
  <si>
    <t>Профессиональные роли   Компетенции в области жизненного цикла систем искусственного интеллекта (FC)</t>
  </si>
  <si>
    <t>Актуализировать знания по современным моделям ИИ и LLM.      Овладеть no-code/low-code разработкой.      Овладедь навыками разработки курсов и ФОС с помощью прикладного ИИ.</t>
  </si>
  <si>
    <t>&amp;quot;Теория автоматов&amp;quot;.</t>
  </si>
  <si>
    <t>Обработка естественного языка (Natural language processing)      Прикладной искусственный интеллект (09.04.02)</t>
  </si>
  <si>
    <t>Усовершенствование курса по обработке естественного языка. Формирование компетенций преподавания для ТОП-ИТ. Усовершенствование связки бизнеса и образования.</t>
  </si>
  <si>
    <t>Natural language processing      Прикладной искусственный интеллект (09.04.02)</t>
  </si>
  <si>
    <t>Проектный практикум</t>
  </si>
  <si>
    <t>Получение реальных знаний для построение качественных РПД и ФОС для возможности обучения реально нужных на рынке труда специалистов в области ИИ</t>
  </si>
  <si>
    <t>Теория Вероятностей      Математическая статистика и основы машинного обучения      Теория и технология программирования</t>
  </si>
  <si>
    <t>Углубление знаний и умений в области практического искусственного интеллекта      Услышать мнение коллег о трансформации практических и домашних заданий для студентов в условиях массового применения ИИ</t>
  </si>
  <si>
    <t>Нет, мне скорее нужно системное видение</t>
  </si>
  <si>
    <t>Информационные технологии и программирование, Введение в информационные технологии, Проектный практикум</t>
  </si>
  <si>
    <t>Профессиональные роли   Компетенции в области математических основ ИИ (MF)   Компетенции в области машинного обучения (ML)   Компетенции в области глубокого обучения (DL)   Компетенции в области жизненного цикла систем искусственного интеллекта (FC)</t>
  </si>
  <si>
    <t>Практические советы по внедрению методологий для преподавания дисциплин</t>
  </si>
  <si>
    <t>Программирование сетевых устройств,      Сетевое администрирование,       Беспроводные сети</t>
  </si>
  <si>
    <t>Получение актуальных знаний в областии ИИ.      Обмен опытом с коллегами.</t>
  </si>
  <si>
    <t>Программирование сетевых устройств</t>
  </si>
  <si>
    <t>1. Высшая математика      2. Теория чисел.      3. Теория линейных пространств и операторов.      4. Алгебраические структуры.      5. Функциональный анализ      6. Математические методы в  обработке цифровых изображений.      Примечание: дисциплины 1-5 для студентов 1-2 курсов, : - для магистрантов</t>
  </si>
  <si>
    <t>Получение компетенций  в планировании и использовании в учебном процессе и в научной работе ИИ.</t>
  </si>
  <si>
    <t>Пока нет, но, надеюсь, появятся в процессе обучения.</t>
  </si>
  <si>
    <t>Преподаю: &amp;quot;Операционные системы&amp;quot;      Планирую: &amp;quot;Технологии машинного обучения в кибербезопасности&amp;quot;</t>
  </si>
  <si>
    <t>Повышение квалификации      Получение углубленных знаний</t>
  </si>
  <si>
    <t>Технологии машинного обучения в кибербезопасности      Безопасность алгоритмов машинного обучения</t>
  </si>
  <si>
    <t>Машинное обучение, Алгоритмы и структуры данных, Технология обработки данных</t>
  </si>
  <si>
    <t>Понимание современных тенденций преподавания и обучение популярным и рабочим практикам в этой сфере</t>
  </si>
  <si>
    <t>особой конкретизации нет</t>
  </si>
  <si>
    <t>Компьютерное зрение, Глубокое обучение в компьютерном зрении, Проектная деятельность, Методы и алгоритмы глубокого обучения для обработки оптической      информации для систем наведения беспилотных ЛА</t>
  </si>
  <si>
    <t>Улучшение компетенция в преподовании</t>
  </si>
  <si>
    <t>Глубокое обучение в компьютерном зрении</t>
  </si>
  <si>
    <t>Математическая статистика, Эконометрика, Сельскохозяйственная статистика с основами социально-экономической статистики</t>
  </si>
  <si>
    <t>Изучить опыт ведущих вузов по реализации программ по подготовке студентов топ уровня в сфере ИИ</t>
  </si>
  <si>
    <t>Математическая статистика</t>
  </si>
  <si>
    <t>Проектный практикум, Введение в информационные технологии</t>
  </si>
  <si>
    <t>Постановщик задач   Методолог (проектирование образовательных результатов и ФОС)   Практик-разработчик (код, инструменты, инфраструктура)</t>
  </si>
  <si>
    <t>Улучшить использование КРМ в своей работе</t>
  </si>
  <si>
    <t>Цифровая схемотехника;      Кибербезопасность и защита информации.</t>
  </si>
  <si>
    <t>Профессиональные роли   Компетенции в области математических основ ИИ (MF)   Компетенции в области жизненного цикла систем искусственного интеллекта (FC)</t>
  </si>
  <si>
    <t>Оценить свои знания и практические навыкы в области применения современных технологий ИИ в  в разработке образовательных программ.      Познакомиться с опытом трансформации образовательных технологий с учетом массового внедрения технологий ИИ в различные сферы деятельности человека.</t>
  </si>
  <si>
    <t>Любые модули касающиеся системных и физико-математических знаний и навыков в области проектирования защищенных ИС.</t>
  </si>
  <si>
    <t>Компьютерное зрение, Глубокое обучение в компьютерном зрении</t>
  </si>
  <si>
    <t>Овладеть инструментами КРМ       Применять КРМ в профессиональной деятельности</t>
  </si>
  <si>
    <t>Теория информации, Технологии хранения и управления данными в АПК, Алгоритмизация и программирование</t>
  </si>
  <si>
    <t>Повысить уровень компетенций по работе с ИИ, научиться применять ИИ в образовательной деятельности, углубиться в предметную область</t>
  </si>
  <si>
    <t>Проектная деятельность в АПК (актуализировать)</t>
  </si>
  <si>
    <t>Системы управления базами данных</t>
  </si>
  <si>
    <t>Модернизация курсов с упором на системный подход и реальные технические кейсы.      Освоение практик преподнесения сложных концепций ИИ, повышение вовлеченности и понимания студентов.      Приведение учебного процесса в соответствие с актуальными требованиями рынка и реальными задачами разработки.</t>
  </si>
  <si>
    <t>Кирилл  Козлов</t>
  </si>
  <si>
    <t>1. Проектная деятельность в АПК      2. Программирование на языке Python      3. Технологии хранения и управления данными в АПК      4. Ознакомительная практика по стандартам оформления текстовых документов      5. Ознакомительная практика      6. Математическая статистика</t>
  </si>
  <si>
    <t>1. Освоить системную архитектуру ИИ для проектирования образовательных программ      2. Научиться адаптировать передовые индустриальные практики под задачи высшего образования</t>
  </si>
  <si>
    <t>1.Ознакомительная практика по стандартам оформления текстовых документов      2. Ознакомительная практика      3. Математическая статистика</t>
  </si>
  <si>
    <t>Программирование на Python      Разработка профессиональных приложений      Теория информации      Инфокоммуникационные системы</t>
  </si>
  <si>
    <t>Улучшения качества преподавания ИИ      Получение новых навыков работы с ИИ</t>
  </si>
  <si>
    <t>Большие языковые модели, генеративный искусственный интеллект, компьютерное зрение</t>
  </si>
  <si>
    <t>Освоение методики применения КРМ — научиться системно «переводить» требования компетентностно-ролевой модели в конкретные результаты обучения, оценочные средства и структуру дисциплин по генеративному ИИ и LLM. Разработать или обновить рабочую программу и фонд оценочных средств для дисциплин по большим языковым моделям и компьютерному зрению, встроив их в логику непрерывной подготовки топ-уровня.</t>
  </si>
  <si>
    <t>Большие языковые модели, генеративный искусственный интеллект</t>
  </si>
  <si>
    <t>Информатика (2й сем -- полиморфные абстрактные типы данных, 3й сем -- организация и поиск данных)      Дискретная математика (логические исчисления)      Модели параллельных вычислений      Семантические технологии в информационных системах      Конструирование систем обработки неоднородных данных</t>
  </si>
  <si>
    <t>углубление знаний по машинному обучению, генеративным моделям, БЯМ      изучение актуальных инструментов      интересные ноу-хау</t>
  </si>
  <si>
    <t>думаю над вариантом -- добавление тематических модулей/отдельного курса по генерации и оптимизации решений с использованием логических и семантических средств</t>
  </si>
  <si>
    <t>Введение в информационные технологии, проектный практикум, структуры и алгоритмы обработки данных</t>
  </si>
  <si>
    <t>Научиться проектировать задания и формы контроля с учётом доступности ИИ студентам — так, чтобы развивать самостоятельное мышление, а не подменять его.      Актуализировать содержание своих дисциплин, включив в них темы и практики применения ИИ, соответствующие текущим требованиям отрасли.</t>
  </si>
  <si>
    <t>«Структуры и алгоритмы обработки данных» (СиАОД) - добавление практик применения ИИ-инструментов при проектировании, анализе и отладке алгоритмов.</t>
  </si>
  <si>
    <t>Теория вероятностей и математическая статистика, Дискретная математика и комбинаторика, Математический анализ и оптимизация</t>
  </si>
  <si>
    <t>повышение квалификации,      умение правильно встраивать ИИ в преподаваемый предмет</t>
  </si>
  <si>
    <t>Основы кибернетики и вычислительные модели</t>
  </si>
  <si>
    <t>Профессиональные роли   Компетенции в области математических основ ИИ (MF)   Компетенции в области больших языковых моделей (LLM)</t>
  </si>
  <si>
    <t>Постановщик задач   Эксперт по содержанию (глубокое знание предметной области ИИ)   Методолог (проектирование образовательных результатов и ФОС)   Эксперт по КРМ (знание структуры, методик применения)</t>
  </si>
  <si>
    <t>нет ожиданий</t>
  </si>
  <si>
    <t>Агентное программирование</t>
  </si>
  <si>
    <t>Основы систем ИИ, Нейросетевые технологии и машинное обучение, ИИ в задачах анализа изображений и видео, Проектирование специализированных цифровых устройств, Прикладные проекты машинного обучения, Массово-параллельные вычисления</t>
  </si>
  <si>
    <t>Повысить свои компетенции в области разработки учебных программ уровня топ ИИ</t>
  </si>
  <si>
    <t>Пока нет, думаю появятся в процессе обучения.</t>
  </si>
  <si>
    <t>Разработка мультимедийных приложений</t>
  </si>
  <si>
    <t>Получение целостного понимания КРМ в сфере ИИ, освоение практик эффективного использования современных цифровых инструментов и LMS, формирование компетенций по вовлечению студентов в решение прикладных задач через проектную деятельность.</t>
  </si>
  <si>
    <t>Математические основы искусственного интеллекта</t>
  </si>
  <si>
    <t>1. Узнать о компетентностно-ролевых моделях      2. Научиться создавать учебно-методические материалы в сфере ИИ      3. Получить навыки проектной работы в области ИИ</t>
  </si>
  <si>
    <t>Объектно-ориентированное программирование интеллектуальных систем,      Визуальное программирование,      Облачные технологии</t>
  </si>
  <si>
    <t>Иметь теоретические и более глубокие практические представление о компетенциях MF, ML, DL, LLM, FC и направлениях ИИ; Иметь понимание как ИИ технологии внедрять в существующие ИТ проекты.      Хотелось бы использовать в проектах С++ кроме Qt библиотеки ИИ, например TensorFlow Lite.</t>
  </si>
  <si>
    <t>Объектно-ориентированное программирование интеллектуальных систем.</t>
  </si>
  <si>
    <t>Статистический анализ и визуализация данных, Машинное обучение</t>
  </si>
  <si>
    <t>Нет понимания, на приобретение/развитие каких навыков направлено обучение и о какой команде идёт речь. Поэтому никаких результатов не ожидаю.</t>
  </si>
  <si>
    <t>Все свои РПД уже актуализировала как могла</t>
  </si>
  <si>
    <t>Архитектура компьютеров      Многопроцессорные вычислительные комплексы      Интернет вещей</t>
  </si>
  <si>
    <t>Компетенции в области математических основ ИИ (MF)   Компетенции в области машинного обучения (ML)   Компетенции в области глубокого обучения (DL)   Компетенции в области больших языковых моделей (LLM)   Компетенции в области жизненного цикла систем искусственного интеллекта (FC)</t>
  </si>
  <si>
    <t>Освоить КРМ      Закрепить основы на практике</t>
  </si>
  <si>
    <t>Многопроцессорные вычислительные комплексы</t>
  </si>
  <si>
    <t>Б1.В.16 «AIoT-технологии и средства автоматизации в АПК»</t>
  </si>
  <si>
    <t>Углубить понимания КРМ. Понять где и как можно автоматизировать рутинные процессы при создании методических материалов (с применением ИИ)</t>
  </si>
  <si>
    <t>&amp;quot;Основы кибернетики и вычислительные модели&amp;quot;</t>
  </si>
  <si>
    <t>Лучше разобраться в КРМ</t>
  </si>
  <si>
    <t>Предотвращение утечки информации по конфиденциальным каналам - 2 курс      Доверенный искусственный интеллект, управление рисками и безопасностью систем искусственного интеллекта - 3 курс</t>
  </si>
  <si>
    <t>Получение опыта</t>
  </si>
  <si>
    <t>Нейронные сети, Инфраструктура для машинного обучения, Контейнеризация и оркестрация в машинном обучении</t>
  </si>
  <si>
    <t>Актуализация знаний в части разработки ОП и РПД в области ИИ; систематизация уже имеющихся знаний в части методологии разработки ОП и РПД в области ИИ;</t>
  </si>
  <si>
    <t>Системы управления базами данных, Безопасность баз данных, Основы построения защищенных баз данных</t>
  </si>
  <si>
    <t>1. Новые знания и навыки      2. Внедрение ИИ в рабочие программы дисциплин, которые я веду</t>
  </si>
  <si>
    <t>Да, СУБД / ББД / ОПЗБД</t>
  </si>
  <si>
    <t>Информатика, Безопасность ИИ</t>
  </si>
  <si>
    <t>Повышения уровня основных компетенций</t>
  </si>
  <si>
    <t>Сенсоры и обработка сигналов      Аппаратное обеспечение робототехнических систем      Машинно-зависимые языки</t>
  </si>
  <si>
    <t>Осмотреться в области текущего развития преподавания искусственного интеллекта</t>
  </si>
  <si>
    <t>Сенсоры и обработка сигналов</t>
  </si>
  <si>
    <t>Проектный практикум, Прикладной ИИ (по отраслям)</t>
  </si>
  <si>
    <t>Профессиональные роли   Компетенции в области машинного обучения (ML)   Компетенции в области жизненного цикла систем искусственного интеллекта (FC)</t>
  </si>
  <si>
    <t>Систематизация подхода и трансформация разрозненных подходов и метдои в единую методологию.</t>
  </si>
  <si>
    <t>без конерктики</t>
  </si>
  <si>
    <t>Автоматизация машинного обучения      Технологии баз данных      Обработка больших данных</t>
  </si>
  <si>
    <t>Углубить мягкие навыки и освоить новое.</t>
  </si>
  <si>
    <t>Теория вероятностей       Математическая статистика</t>
  </si>
  <si>
    <t>Постановщик задач   Эксперт по содержанию (глубокое знание предметной области ИИ)   Методолог (проектирование образовательных результатов и ФОС)</t>
  </si>
  <si>
    <t>1. Глубокое понимание связи методов искусственного интеллекта с задачами статистического анализа данных      2. Получение базовых знаний в области практического использования языковых моделей</t>
  </si>
  <si>
    <t>Актуализировать курсы &amp;quot;Статистический анализ данных&amp;quot;, &amp;quot;Биостатистика&amp;quot; с применением методов машинного обучения и искусственного интеллекта, если получится.</t>
  </si>
  <si>
    <t>чтобы меня удивили</t>
  </si>
  <si>
    <t>на ваш вкус</t>
  </si>
  <si>
    <t>Математическая лингвистика, кибернетика.</t>
  </si>
  <si>
    <t>* Разработка компиляторов      * Компьютерные сети      * Теория автоматов и формальных языков</t>
  </si>
  <si>
    <t>* понимание базовых требований современной программы      * понимание инфраструктурных требований</t>
  </si>
  <si>
    <t>* теория формальных языков      * разработка компиляторов</t>
  </si>
  <si>
    <t>Алгебра, математический анализ</t>
  </si>
  <si>
    <t>1. Узнать какие результаты я МОГУ получить от этого обучения.      2. Ознакомится с изменениями, инструментами  и тенденциями в автоматизированном обучении</t>
  </si>
  <si>
    <t>пока не решено</t>
  </si>
  <si>
    <t>DevOps      DevOps Introduction      DevSecOps Introduction      SRE Introduction</t>
  </si>
  <si>
    <t>ожидаю что будет стыдно, что на это потратили деньги</t>
  </si>
  <si>
    <t>Информационная безопасность       Информационная безопасность ИИ      Практика</t>
  </si>
  <si>
    <t>Разработка РПД</t>
  </si>
  <si>
    <t>Информационная безопасность       Информационная безопасность ИИ</t>
  </si>
  <si>
    <t>не знаю</t>
  </si>
  <si>
    <t>Основы анализа данных</t>
  </si>
  <si>
    <t>Повышение квалификации в области ML/DS. Актуализация читаемых учебных курсов.</t>
  </si>
  <si>
    <t>Arhtur Zagidullin</t>
  </si>
  <si>
    <t>Небесная мехника, гравиметрия, физика, математический анализ, линейнная алгебра,  дифференциальные уравнения</t>
  </si>
  <si>
    <t>Пока так и не понял о чем будет программа...будут учить новому или будут показывать связку ИИ с ФОС</t>
  </si>
  <si>
    <t>Проектирование сложных пользовательских интерфейсов      Проектирование и разработка информационных систем</t>
  </si>
  <si>
    <t>Компетенции в области больших языковых моделей (LLM)   Компетенции в области жизненного цикла систем искусственного интеллекта (FC)</t>
  </si>
  <si>
    <t>Готовность к разработке и реализации дисциплин по КРМ      Познакомиться с опытом коллег      Нетворкинг</t>
  </si>
  <si>
    <t>Проектирование и разработка информационных систем</t>
  </si>
  <si>
    <t>Методы оптимизации, Теория вероятностей и математическая статистика</t>
  </si>
  <si>
    <t>Я в первую очередь представитель индустриального партнера. Жду от обучения актуализацию своих знаний по тематике ИИ, расширение кругозора. Понимание принципов трансформации потребностей бизнеса в учебные практики.</t>
  </si>
  <si>
    <t>Да, есть. Методы оптимизации</t>
  </si>
  <si>
    <t>Марина  Бакулева</t>
  </si>
  <si>
    <t>Дискретная математика</t>
  </si>
  <si>
    <t>Повышение квалификации в современных подходах использования и разработки ИИ</t>
  </si>
  <si>
    <t>Дискретная математика, нейроинформатика</t>
  </si>
  <si>
    <t>Архитектуры промышленных программных систем</t>
  </si>
  <si>
    <t>Систематизация знаний в области ИИ, практика применения ИИ в образовательной деятельности, трансформация традиционной преподавания в ИИ-ориентированную</t>
  </si>
  <si>
    <t>Модули дисциплины &amp;quot;Архитектура промышленных программных систем&amp;quot;</t>
  </si>
  <si>
    <t>Обработка естественного языка</t>
  </si>
  <si>
    <t>Научиться проектировать и реализовывать ОП</t>
  </si>
  <si>
    <t>- Искусственный интеллект в информационной безопасности</t>
  </si>
  <si>
    <t>Информационные технологии</t>
  </si>
  <si>
    <t>Овладеть новыми компетенциями в области ИИ</t>
  </si>
  <si>
    <t>Информационные технологии, Программирование ГИС, Дистанционное зондирование земли</t>
  </si>
  <si>
    <t>Мультиагентные системы</t>
  </si>
  <si>
    <t>Выстроить более практикоориентированный курс на основе КРМ</t>
  </si>
  <si>
    <t>1. Фактические знания по обучению, доучиванию, тонкой настройке и практическому использованию больших языковых моделей.      2. Фактические знания по обучению, доучиванию, тонкой настройке и практическому использованию  нейросетей для совместной обработки разнородных изображений (фотография в видимом спектре + компьютерная томография).</t>
  </si>
  <si>
    <t>Языки программирование, основы нейронных сетей, машинное обучение</t>
  </si>
  <si>
    <t>Погрузить в преподавание дисциплин, связанных с ии      Узнать про разработку рпд</t>
  </si>
  <si>
    <t>языки программирования</t>
  </si>
  <si>
    <t>Машинное обучение, разработка мобильных приложений</t>
  </si>
  <si>
    <t>Практические навыки проектирования современных образовательных программ с применением передовых технологий ИИ      Развитие компетенций в области организации проектной и командной работы студентов с применением современных подходов</t>
  </si>
  <si>
    <t>Основы машинного обучения. Учебная практика.</t>
  </si>
  <si>
    <t>Глубже понимать и преподавать по тематике &amp;quot;Современный ИИ&amp;quot;. Я пришел в тему со стороны. По образованию физико-химик.</t>
  </si>
  <si>
    <t>Языки программирования, Тестирование систем ИИ, Рефакторинг баз данных и приложений</t>
  </si>
  <si>
    <t>Профессиональные роли   Другое</t>
  </si>
  <si>
    <t>Компетенции серий PL, DB</t>
  </si>
  <si>
    <t>- Углубленное понимание тенденций в развитии современных систем ИИ       - Понимание роли дисциплин связанных с программированием и DevOps в цикле обучения ИИ       - Новые тренды в разработке и использовании средств автоматизации обучения</t>
  </si>
  <si>
    <t>Языки программирования</t>
  </si>
  <si>
    <t>Математика</t>
  </si>
  <si>
    <t>Получить представление о предмете обучения.            Освоить работу с библиотеками программ.</t>
  </si>
  <si>
    <t>Математика.</t>
  </si>
  <si>
    <t>Овладение компетентностно-ролевой моделью       Повышение уровня компетенций в области математических основ ИИ</t>
  </si>
  <si>
    <t>Компьютерная инженерная графика</t>
  </si>
  <si>
    <t>Ознакомиться с основами использования ИИ для использования в учебном процессе; обучение современными методами преподавания</t>
  </si>
  <si>
    <t>Не ожидаю ничего нового, был на прошлом обучении</t>
  </si>
  <si>
    <t>Технологии интернета вещей</t>
  </si>
  <si>
    <t>Подготовка к преподаванию дисциплины &amp;quot;Технологии интернета вещей&amp;quot; на 4 курсе</t>
  </si>
  <si>
    <t>Технологии интернета вещей       Tiny ML</t>
  </si>
  <si>
    <t>Программирование МК</t>
  </si>
  <si>
    <t>приобретение навыков для использования КОМПЕТЕНТНОСТНО-РОЛЕВОЙ МОДЕЛИ (КРМ) В РАБОТЕ</t>
  </si>
  <si>
    <t>Время</t>
  </si>
  <si>
    <t>Статус</t>
  </si>
  <si>
    <t>Сообщение</t>
  </si>
  <si>
    <t>ERROR</t>
  </si>
  <si>
    <t>Ошибка Moodle: invalidparameter. Сообщение: Обнаружено неверное значение параметра..</t>
  </si>
  <si>
    <t>DIAGNOSTIC</t>
  </si>
  <si>
    <t>Токен принят. Пользователь: Учитель ИТМО; логин: sheets.sync; ID: 586.
Ошибка запроса журнала: Ошибка Moodle: invalidparameter. Сообщение: Обнаружено неверное значение параметра..</t>
  </si>
  <si>
    <t>OK</t>
  </si>
  <si>
    <t>Курс: 12; Студентов: 1; Оценочных элементов: 6</t>
  </si>
  <si>
    <t>Курс: 12; Пользователей: 1; Оценочных элементов: 6</t>
  </si>
  <si>
    <t>Функция: gradereport_user_get_grade_items. Параметры: {"courseid":"10"}. Ошибка Moodle: requireloginerror. Сообщение: Курс или элемент курса не доступны..</t>
  </si>
  <si>
    <t>Курс: 10; Пользователей: 240; Оценочных элементов: 6</t>
  </si>
  <si>
    <t>Курс: 12; Пользователей: 1; Оценочных элементов: 2</t>
  </si>
  <si>
    <t>Диапазон должен содержать как минимум один столбец.</t>
  </si>
  <si>
    <t>Токен принят. Пользователь: Университет ИТМО. Логин: sheets.sync. ID: 586.
Журнал получен успешно. Пользователей: 1. Почта получена у: 1.</t>
  </si>
  <si>
    <t>Курс: 12; Пользователей: 78; Оценочных элементов: 2</t>
  </si>
  <si>
    <t>Курс: 12; Пользователей: 96; Оценочных элементов: 2</t>
  </si>
  <si>
    <t>Курс: 12; Пользователей: 106; Оценочных элементов: 2</t>
  </si>
  <si>
    <t>Курс: 12; Пользователей: 119; Оценочных элементов: 2</t>
  </si>
  <si>
    <t>Курс: 12; Пользователей: 122; Оценочных элементов: 2</t>
  </si>
  <si>
    <t>Курс: 12; Пользователей: 125; Оценочных элементов: 2</t>
  </si>
  <si>
    <t>Курс: 12; Пользователей: 135; Оценочных элементов: 2</t>
  </si>
  <si>
    <t>Курс: 12; Пользователей: 139; Оценочных элементов: 2</t>
  </si>
  <si>
    <t>Курс: 12; Пользователей: 158; Оценочных элементов: 2</t>
  </si>
  <si>
    <t>Курс: 12; Пользователей: 159; Оценочных элементов: 2</t>
  </si>
  <si>
    <t>Курс: 12; Пользователей: 169; Оценочных элементов: 2</t>
  </si>
  <si>
    <t>Курс: 12; Пользователей: 171; Оценочных элементов: 2</t>
  </si>
  <si>
    <t>Курс: 12; Пользователей: 174; Оценочных элементов: 2</t>
  </si>
  <si>
    <t>Курс: 12; Пользователей: 177; Оценочных элементов: 2</t>
  </si>
  <si>
    <t>Курс: 12; Пользователей: 181; Оценочных элементов: 2</t>
  </si>
  <si>
    <t>Курс: 12; Пользователей: 182; Оценочных элементов: 2</t>
  </si>
  <si>
    <t>Курс: 12; Пользователей: 184; Оценочных элементов: 2</t>
  </si>
  <si>
    <t>Курс: 12; Пользователей: 187; Оценочных элементов: 2</t>
  </si>
  <si>
    <t>Курс: 12; Пользователей: 188; Оценочных элементов: 2</t>
  </si>
  <si>
    <t>Курс: 12; Пользователей: 193; Оценочных элементов: 2</t>
  </si>
  <si>
    <t>Курс: 12; Пользователей: 220; Оценочных элементов: 2</t>
  </si>
  <si>
    <t>Курс: 12; Пользователей: 234; Оценочных элементов: 2</t>
  </si>
  <si>
    <t>Функция: gradereport_user_get_grade_items. Параметры: {"courseid":"12"}. Ошибка Moodle: dmlreadexception. Сообщение: Ошибка чтения из базы данных. Ни в коем случае не выполняйте выключение (перезагрузку) сервера, так как это может привести к необратимой потере данных!.</t>
  </si>
  <si>
    <t>Курс: 12; Пользователей: 245; Оценочных элементов: 2</t>
  </si>
  <si>
    <t>Курс: 12; Пользователей: 252; Оценочных элементов: 2</t>
  </si>
  <si>
    <t>Курс: 12; Пользователей: 254; Оценочных элементов: 2</t>
  </si>
  <si>
    <t>Курс: 12; Пользователей: 256; Оценочных элементов: 2</t>
  </si>
  <si>
    <t>Курс: 12; Пользователей: 260; Оценочных элементов: 2</t>
  </si>
  <si>
    <t>Курс: 12; Пользователей: 262; Оценочных элементов: 2</t>
  </si>
  <si>
    <t>Курс: 12; Пользователей: 263; Оценочных элементов: 2</t>
  </si>
  <si>
    <t>Курс: 12; Пользователей: 270; Оценочных элементов: 2</t>
  </si>
  <si>
    <t>Курс: 12; Пользователей: 277; Оценочных элементов: 2</t>
  </si>
  <si>
    <t>Курс: 12; Пользователей: 283; Оценочных элементов: 2</t>
  </si>
  <si>
    <t>Курс: 12; Пользователей: 294; Оценочных элементов: 2</t>
  </si>
  <si>
    <t>Курс: 12; Пользователей: 303; Оценочных элементов: 2</t>
  </si>
  <si>
    <t>Курс: 12; Пользователей: 308; Оценочных элементов: 2</t>
  </si>
  <si>
    <t>Курс: 12; Пользователей: 309; Оценочных элементов: 2</t>
  </si>
  <si>
    <t>Курс: 12; Пользователей: 310; Оценочных элементов: 2</t>
  </si>
  <si>
    <t>Курс: 12; Пользователей: 317; Оценочных элементов: 6</t>
  </si>
  <si>
    <t>Курс: 12; Пользователей: 318; Оценочных элементов: 6</t>
  </si>
  <si>
    <t>Курс: 12; Пользователей: 320; Оценочных элементов: 6</t>
  </si>
  <si>
    <t>Курс: 12; Пользователей: 322; Оценочных элементов: 6</t>
  </si>
  <si>
    <t>Курс: 12; Пользователей: 323; Оценочных элементов: 6</t>
  </si>
  <si>
    <t>Курс: 12; Пользователей: 327; Оценочных элементов: 6</t>
  </si>
  <si>
    <t>Курс: 12; Пользователей: 329; Оценочных элементов: 6</t>
  </si>
  <si>
    <t>Курс: 12; Пользователей: 330; Оценочных элементов: 6</t>
  </si>
  <si>
    <t>Курс: 12; Пользователей: 331; Оценочных элементов: 6</t>
  </si>
  <si>
    <t>Курс: 12; Пользователей: 332; Оценочных элементов: 6</t>
  </si>
  <si>
    <t>Курс: 12; Пользователей: 332; Оценочных элементов: 8</t>
  </si>
  <si>
    <t>Функция: gradereport_user_get_grade_items. Параметры: {"courseid":"12"}. Ошибка Moodle: invalidtoken. Сообщение: Ключ недействителен - ключ не найден..</t>
  </si>
  <si>
    <t>Курс: 12; Пользователей: 332; Оценочных элементов: 9</t>
  </si>
  <si>
    <t>Курс: 12; Пользователей: 331; Оценочных элементов: 9</t>
  </si>
  <si>
    <t>Курс: 12; Пользователей: 333; Оценочных элементов: 9</t>
  </si>
  <si>
    <t>FEEDBACK_DIAGNOSTIC</t>
  </si>
  <si>
    <t>cmid 673; ошибка: Функция: core_course_get_course_module. Параметры: {"cmid":"673"}. Ошибка Moodle: accessexception. Сообщение: Исключительная ситуация контроля доступа.
cmid 675; ошибка: Функция: core_course_get_course_module. Параметры: {"cmid":"675"}. Ошибка Moodle: accessexception. Сообщение: Исключительная ситуация контроля доступа.
cmid 676; ошибка: Функция: core_course_get_course_module. Параметры: {"cmid":"676"}. Ошибка Moodle: accessexception. Сообщение: Исключительная ситуация контроля доступа.
cmid 688; ошибка: Функция: core_course_get_course_module. Параметры: {"cmid":"688"}. Ошибка Moodle: accessexception. Сообщение: Исключительная ситуация контроля доступа.</t>
  </si>
  <si>
    <t>FEEDBACK_PARTIAL_ERROR</t>
  </si>
  <si>
    <t>ОШИБКА: cmid 673: Функция: core_course_get_course_module. Параметры: {"cmid":"673"}. Ошибка Moodle: accessexception. Сообщение: Исключительная ситуация контроля доступа.; ОШИБКА: cmid 675: Функция: core_course_get_course_module. Параметры: {"cmid":"675"}. Ошибка Moodle: accessexception. Сообщение: Исключительная ситуация контроля доступа.; ОШИБКА: cmid 676: Функция: core_course_get_course_module. Параметры: {"cmid":"676"}. Ошибка Moodle: accessexception. Сообщение: Исключительная ситуация контроля доступа.; ОШИБКА: cmid 688: Функция: core_course_get_course_module. Параметры: {"cmid":"688"}. Ошибка Moodle: accessexception. Сообщение: Исключительная ситуация контроля доступа.</t>
  </si>
  <si>
    <t>FEEDBACK_ERROR</t>
  </si>
  <si>
    <t>cmid 673: Функция: core_course_get_course_module. Параметры: {"cmid":"673"}. Ошибка Moodle: accessexception. Сообщение: Исключительная ситуация контроля доступа.
cmid 675: Функция: core_course_get_course_module. Параметры: {"cmid":"675"}. Ошибка Moodle: accessexception. Сообщение: Исключительная ситуация контроля доступа.
cmid 676: Функция: core_course_get_course_module. Параметры: {"cmid":"676"}. Ошибка Moodle: accessexception. Сообщение: Исключительная ситуация контроля доступа.
cmid 688: Функция: core_course_get_course_module. Параметры: {"cmid":"688"}. Ошибка Moodle: accessexception. Сообщение: Исключительная ситуация контроля доступа.</t>
  </si>
  <si>
    <t>cmid 673; ошибка: Функция: mod_feedback_get_feedbacks_by_courses. Параметры: {"courseids[0]":"12"}. Ошибка Moodle: accessexception. Сообщение: Исключительная ситуация контроля доступа.
cmid 675; ошибка: Функция: mod_feedback_get_feedbacks_by_courses. Параметры: {"courseids[0]":"12"}. Ошибка Moodle: accessexception. Сообщение: Исключительная ситуация контроля доступа.
cmid 676; ошибка: Функция: mod_feedback_get_feedbacks_by_courses. Параметры: {"courseids[0]":"12"}. Ошибка Moodle: accessexception. Сообщение: Исключительная ситуация контроля доступа.
cmid 688; ошибка: Функция: mod_feedback_get_feedbacks_by_courses. Параметры: {"courseids[0]":"12"}. Ошибка Moodle: accessexception. Сообщение: Исключительная ситуация контроля доступа.</t>
  </si>
  <si>
    <t>cmid 673; «Обратная связь по первой неделе обучения»; feedbackid 8; отчёты: да; анонимная: нет
cmid 673; обычных ответов: 279; анонимных ответов: 0
cmid 675; «Обратная связь по второй неделе обучения (просьба пройти до 26 июля включительно)»; feedbackid 10; отчёты: да; анонимная: нет
cmid 675; обычных ответов: 142; анонимных ответов: 0
cmid 676; «Обратная связь по третьей неделе обучения»; feedbackid 11; отчёты: да; анонимная: нет
cmid 676; обычных ответов: 23; анонимных ответов: 0
cmid 688; «Обратная связь по четвертой неделе обучения»; feedbackid 12; отчёты: да; анонимная: нет
cmid 688; обычных ответов: 0; анонимных ответов: 0</t>
  </si>
  <si>
    <t>Курс: 12; Пользователей: 333; Оценочных элементов: 8</t>
  </si>
  <si>
    <t>FEEDBACK_OK</t>
  </si>
  <si>
    <t>cmid 673, feedbackid 8, лист «ОС1», ответов 279; cmid 675, feedbackid 10, лист «ОС2», ответов 142; cmid 676, feedbackid 11, лист «ОС3», ответов 23; cmid 688, feedbackid 12, лист «ОС4», ответов 0</t>
  </si>
  <si>
    <t>ОШИБКА: cmid 673: Функция: mod_feedback_get_items. Параметры: {"feedbackid":"8","courseid":"0"}. Ошибка Moodle: accessexception. Сообщение: Исключительная ситуация контроля доступа.; ОШИБКА: cmid 675: Функция: mod_feedback_get_items. Параметры: {"feedbackid":"10","courseid":"0"}. Ошибка Moodle: accessexception. Сообщение: Исключительная ситуация контроля доступа.; ОШИБКА: cmid 676: Функция: mod_feedback_get_items. Параметры: {"feedbackid":"11","courseid":"0"}. Ошибка Moodle: accessexception. Сообщение: Исключительная ситуация контроля доступа.; ОШИБКА: cmid 688: Функция: mod_feedback_get_items. Параметры: {"feedbackid":"12","courseid":"0"}. Ошибка Moodle: accessexception. Сообщение: Исключительная ситуация контроля доступа.</t>
  </si>
  <si>
    <t>cmid 673: Функция: mod_feedback_get_items. Параметры: {"feedbackid":"8","courseid":"0"}. Ошибка Moodle: accessexception. Сообщение: Исключительная ситуация контроля доступа.
cmid 675: Функция: mod_feedback_get_items. Параметры: {"feedbackid":"10","courseid":"0"}. Ошибка Moodle: accessexception. Сообщение: Исключительная ситуация контроля доступа.
cmid 676: Функция: mod_feedback_get_items. Параметры: {"feedbackid":"11","courseid":"0"}. Ошибка Moodle: accessexception. Сообщение: Исключительная ситуация контроля доступа.
cmid 688: Функция: mod_feedback_get_items. Параметры: {"feedbackid":"12","courseid":"0"}. Ошибка Moodle: accessexception. Сообщение: Исключительная ситуация контроля доступа.</t>
  </si>
  <si>
    <t>cmid 673, feedbackid 8, лист «ОС1», ответов 279; cmid 675, feedbackid 10, лист «ОС2», ответов 146; cmid 676, feedbackid 11, лист «ОС3», ответов 23; cmid 688, feedbackid 12, лист «ОС4», ответов 0</t>
  </si>
  <si>
    <t>cmid 673, feedbackid 8, лист «ОС1», ответов 279; cmid 675, feedbackid 10, лист «ОС2», ответов 152; cmid 676, feedbackid 11, лист «ОС3», ответов 29; cmid 688, feedbackid 12, лист «ОС4», ответов 0</t>
  </si>
  <si>
    <t>cmid 673, feedbackid 8, лист «ОС1», ответов 279; cmid 675, feedbackid 10, лист «ОС2», ответов 152; cmid 676, feedbackid 11, лист «ОС3», ответов 30; cmid 688, feedbackid 12, лист «ОС4», ответов 0</t>
  </si>
  <si>
    <t>cmid 673, feedbackid 8, лист «ОС1», ответов 279; cmid 675, feedbackid 10, лист «ОС2», ответов 154; cmid 676, feedbackid 11, лист «ОС3», ответов 34; cmid 688, feedbackid 12, лист «ОС4», ответов 0</t>
  </si>
  <si>
    <t>cmid 673, feedbackid 8, лист «ОС1», ответов 279; cmid 675, feedbackid 10, лист «ОС2», ответов 163; cmid 676, feedbackid 11, лист «ОС3», ответов 45; cmid 688, feedbackid 12, лист «ОС4», ответов 0</t>
  </si>
  <si>
    <t>cmid 673, feedbackid 8, лист «ОС1», ответов 280; cmid 675, feedbackid 10, лист «ОС2», ответов 172; cmid 676, feedbackid 11, лист «ОС3», ответов 49; cmid 688, feedbackid 12, лист «ОС4», ответов 0</t>
  </si>
  <si>
    <t>Формат</t>
  </si>
  <si>
    <t>Мероприятие</t>
  </si>
  <si>
    <t>Согласование времени</t>
  </si>
  <si>
    <t>статус</t>
  </si>
  <si>
    <t>15:30 - 16:00</t>
  </si>
  <si>
    <t>Онлайн</t>
  </si>
  <si>
    <r>
      <rPr>
        <sz val="12"/>
        <color theme="1"/>
        <rFont val="Times New Roman"/>
        <family val="1"/>
      </rPr>
      <t xml:space="preserve">Анастасия Казанцева 
Заместитель директора Департамента развития цифровых компетенций и образования, Министерство цифрового развития, связи и массовых коммуникаций Российской Федерации
Сергей Астахов
Руководитель Центра экспертизы образовательных программ автономной некоммерческой организации «Аналитический центр при Правительстве Российской Федерации»
Александр Бухановский
Д.т.н., научный руководитель исследовательского центра «Сильный ИИ в промышленности» Университета ИТМО
</t>
    </r>
    <r>
      <rPr>
        <b/>
        <sz val="12"/>
        <color theme="1"/>
        <rFont val="Times New Roman"/>
        <family val="1"/>
      </rPr>
      <t>Приветственные слова</t>
    </r>
  </si>
  <si>
    <t>Да</t>
  </si>
  <si>
    <t>16:00 - 17:30</t>
  </si>
  <si>
    <r>
      <rPr>
        <sz val="12"/>
        <color theme="1"/>
        <rFont val="Times New Roman"/>
        <family val="1"/>
      </rPr>
      <t xml:space="preserve">Александр Бухановский
Д.т.н., научный руководитель исследовательского центра «Сильный ИИ в промышленности» Университета ИТМО
</t>
    </r>
    <r>
      <rPr>
        <b/>
        <sz val="12"/>
        <color theme="1"/>
        <rFont val="Times New Roman"/>
        <family val="1"/>
      </rPr>
      <t xml:space="preserve"> 
Конструирование и разработка учебных дисциплин в сфере ИИ на основе КРМ</t>
    </r>
  </si>
  <si>
    <t>17:30 - 18:00</t>
  </si>
  <si>
    <r>
      <rPr>
        <sz val="12"/>
        <color theme="1"/>
        <rFont val="Times New Roman"/>
        <family val="1"/>
      </rPr>
      <t xml:space="preserve">Александра Климова  
К.т.н., директор учебно-методического центра «Искусственный интеллект» Университета ИТМО 
</t>
    </r>
    <r>
      <rPr>
        <b/>
        <sz val="12"/>
        <color theme="1"/>
        <rFont val="Times New Roman"/>
        <family val="1"/>
      </rPr>
      <t>Особенности организации программы ДПО</t>
    </r>
  </si>
  <si>
    <t>10:00 - 11:30</t>
  </si>
  <si>
    <r>
      <rPr>
        <sz val="12"/>
        <color theme="1"/>
        <rFont val="Times New Roman"/>
        <family val="1"/>
      </rPr>
      <t xml:space="preserve">Александр Хватов
К.ф.-м..н., старший научный сотрудник, центр «Сильный искусственный интеллект в промышленности» Университета ИТМО
</t>
    </r>
    <r>
      <rPr>
        <b/>
        <sz val="12"/>
        <color theme="1"/>
        <rFont val="Times New Roman"/>
        <family val="1"/>
      </rPr>
      <t>Преподавание современного ИИ: архитектуры, математика, оптимизация (компетенции КРМ MF1-MF6, O2-O3, FC1)</t>
    </r>
  </si>
  <si>
    <t>11:40 - 13:10</t>
  </si>
  <si>
    <r>
      <rPr>
        <sz val="12"/>
        <color theme="1"/>
        <rFont val="Times New Roman"/>
        <family val="1"/>
      </rPr>
      <t xml:space="preserve">Петр Гладилин
К.т.н., инженер ключевых проектов ООО «Техкампания Хуавей»
</t>
    </r>
    <r>
      <rPr>
        <b/>
        <sz val="12"/>
        <color theme="1"/>
        <rFont val="Times New Roman"/>
        <family val="1"/>
      </rPr>
      <t>Преподавание современного ИИ: машинное обучение (компетенции КРМ ML2-ML8)</t>
    </r>
  </si>
  <si>
    <r>
      <rPr>
        <sz val="12"/>
        <color theme="1"/>
        <rFont val="Times New Roman"/>
        <family val="1"/>
      </rPr>
      <t xml:space="preserve">Али Аммар
К.т.н., Разработчик-эксперт ООО «Центр искусственного интеллекта МВС»
</t>
    </r>
    <r>
      <rPr>
        <b/>
        <sz val="12"/>
        <color theme="1"/>
        <rFont val="Times New Roman"/>
        <family val="1"/>
      </rPr>
      <t xml:space="preserve">
Преподавание современного ИИ: глубокое обучение (компетенции КРМ DL1-DL5)</t>
    </r>
  </si>
  <si>
    <r>
      <rPr>
        <sz val="12"/>
        <color theme="1"/>
        <rFont val="Times New Roman"/>
        <family val="1"/>
      </rPr>
      <t xml:space="preserve">Анна Калюжная
К.т.н., Старший менеджер программы продвинутой аналитики и ИИ, управление цифровых технологий и ИИ, департамент по цифровой трансформации ПАО «Газпром нефть»
</t>
    </r>
    <r>
      <rPr>
        <b/>
        <sz val="12"/>
        <color theme="1"/>
        <rFont val="Times New Roman"/>
        <family val="1"/>
      </rPr>
      <t xml:space="preserve">
Преподавание современного ИИ: большие языковые модели, агенты и ГенИИ (компетенции КРМ LLM1-LLM5, FC2-FC3)</t>
    </r>
  </si>
  <si>
    <r>
      <rPr>
        <sz val="12"/>
        <color theme="1"/>
        <rFont val="Times New Roman"/>
        <family val="1"/>
      </rPr>
      <t xml:space="preserve">Алексей Духанов
Д.т.н., ведущий научный сотрудник, центр «Сильный искусственный интеллект в промышленности», доцент ФТИИ  Университета ИТМО
</t>
    </r>
    <r>
      <rPr>
        <b/>
        <sz val="12"/>
        <color theme="1"/>
        <rFont val="Times New Roman"/>
        <family val="1"/>
      </rPr>
      <t>Практики создания учебно-методических материалов в сфере ИИ на основе КРМ с использованием агентных технологий ИИ</t>
    </r>
  </si>
  <si>
    <r>
      <rPr>
        <sz val="12"/>
        <color theme="1"/>
        <rFont val="Times New Roman"/>
        <family val="1"/>
      </rPr>
      <t xml:space="preserve">Александр Бухановский
Д.т.н., научный руководитель исследовательского центра «Сильный ИИ в промышленности» Университета ИТМО
</t>
    </r>
    <r>
      <rPr>
        <b/>
        <sz val="12"/>
        <color theme="1"/>
        <rFont val="Times New Roman"/>
        <family val="1"/>
      </rPr>
      <t>Разработка РПД и комплексного фонда оценочных средств на основе КРМ: установочная сессия</t>
    </r>
  </si>
  <si>
    <t>10:00 - 13:00</t>
  </si>
  <si>
    <t>День проектной работы, в том числе 2 а.ч. консультация с куратором (РПД)</t>
  </si>
  <si>
    <r>
      <rPr>
        <sz val="12"/>
        <color theme="1"/>
        <rFont val="Times New Roman"/>
        <family val="1"/>
      </rPr>
      <t>Денис Кустов
Руководитель направления развития образовательных программ бакалавриата; Операционный руководитель Образовательного центра по ИИ МФТИ</t>
    </r>
    <r>
      <rPr>
        <sz val="12"/>
        <color rgb="FFFF0000"/>
        <rFont val="Times New Roman"/>
        <family val="1"/>
      </rPr>
      <t xml:space="preserve">
</t>
    </r>
    <r>
      <rPr>
        <b/>
        <sz val="12"/>
        <color rgb="FFFF0000"/>
        <rFont val="Times New Roman"/>
        <family val="1"/>
      </rPr>
      <t xml:space="preserve">
</t>
    </r>
    <r>
      <rPr>
        <b/>
        <sz val="12"/>
        <color theme="1"/>
        <rFont val="Times New Roman"/>
        <family val="1"/>
      </rPr>
      <t>Оценка учебных дисциплин и ассесмент результатов обучения в сфере ИИ на основе КРМ</t>
    </r>
  </si>
  <si>
    <r>
      <rPr>
        <sz val="12"/>
        <color theme="1"/>
        <rFont val="Times New Roman"/>
        <family val="1"/>
      </rPr>
      <t xml:space="preserve">Нурышева Меруерт
Старший менеджер ООО «ИТМО.ИСКИН»
</t>
    </r>
    <r>
      <rPr>
        <b/>
        <sz val="12"/>
        <color theme="1"/>
        <rFont val="Times New Roman"/>
        <family val="1"/>
      </rPr>
      <t xml:space="preserve">
Формы и практические кейсы взаимодействия вуза и компании в рамках приказа Минцифры №270 от 31.03.2026 (об ИТ-льготах)</t>
    </r>
  </si>
  <si>
    <t>ассинхрон</t>
  </si>
  <si>
    <r>
      <rPr>
        <sz val="12"/>
        <color theme="1"/>
        <rFont val="Times New Roman"/>
        <family val="1"/>
      </rPr>
      <t xml:space="preserve">Александр Бухановский
Д.т.н., научный руководитель исследовательского центра «Сильный искусственный интеллект в промышленности» Университета ИТМО
</t>
    </r>
    <r>
      <rPr>
        <b/>
        <sz val="12"/>
        <color theme="1"/>
        <rFont val="Times New Roman"/>
        <family val="1"/>
      </rPr>
      <t xml:space="preserve">
Привлечение финансирования от бизнеса и государства в сфере ИИ в вуз</t>
    </r>
  </si>
  <si>
    <t>согласование не нужно, ассинхрон</t>
  </si>
  <si>
    <r>
      <rPr>
        <sz val="12"/>
        <color theme="1"/>
        <rFont val="Times New Roman"/>
        <family val="1"/>
      </rPr>
      <t xml:space="preserve">Денис Насонов
К.т.н., старший научный сотрудник, центр «Сильный искусственный интеллект в промышленности», доцент ФТИИ Университета ИТМО
</t>
    </r>
    <r>
      <rPr>
        <b/>
        <sz val="12"/>
        <color theme="1"/>
        <rFont val="Times New Roman"/>
        <family val="1"/>
      </rPr>
      <t>Практики выполнения заказных НИОКТР в сфере ИИ по заказу индустрии: трансформация в учебные кейсы на основе КРМ</t>
    </r>
  </si>
  <si>
    <t>10:00 - 13:10</t>
  </si>
  <si>
    <t>Взаимодействие бизнеса с вузами в сфере ИИ: взгляд от индустрии и сессия «вопрос-ответ»</t>
  </si>
  <si>
    <t>Нет, ждем</t>
  </si>
  <si>
    <t>14:00 - 15:00</t>
  </si>
  <si>
    <t>День проектной работы,
в том числе 2 а.ч. консультация с куратором (РПД)</t>
  </si>
  <si>
    <t>11:00 - 13:00</t>
  </si>
  <si>
    <t>Промежуточная аттестация результатов обучения: представление концепции РПД перед экспертами</t>
  </si>
  <si>
    <t>13:15 - 15:15</t>
  </si>
  <si>
    <r>
      <rPr>
        <sz val="12"/>
        <color theme="1"/>
        <rFont val="Times New Roman"/>
        <family val="1"/>
      </rPr>
      <t xml:space="preserve">Сергей Иванов 
К.т.н., старший научный сотрудник, центр «Сильный искусственный интеллект в промышленности», доцент ФТИИ Университета ИТМО
</t>
    </r>
    <r>
      <rPr>
        <b/>
        <sz val="12"/>
        <color theme="1"/>
        <rFont val="Times New Roman"/>
        <family val="1"/>
      </rPr>
      <t xml:space="preserve">ИИ-разработка ПО: основные подходы и доступный инструментарий </t>
    </r>
  </si>
  <si>
    <t>11:45 - 13:15</t>
  </si>
  <si>
    <r>
      <rPr>
        <sz val="12"/>
        <color theme="1"/>
        <rFont val="Times New Roman"/>
        <family val="1"/>
      </rPr>
      <t xml:space="preserve">Иван Ходненко 
К.т.н., старший научный сотрудник, «Национальный центр когнитивных разработок», старший преподаватель ФТИИ Университета ИТМО
</t>
    </r>
    <r>
      <rPr>
        <b/>
        <sz val="12"/>
        <color theme="1"/>
        <rFont val="Times New Roman"/>
        <family val="1"/>
      </rPr>
      <t>ИИ-разработка ПО: применение в учебном процессе для подготовки ИИ специалистов</t>
    </r>
  </si>
  <si>
    <r>
      <rPr>
        <sz val="12"/>
        <color theme="1"/>
        <rFont val="Times New Roman"/>
        <family val="1"/>
      </rPr>
      <t xml:space="preserve">Илья Ревин 
К.т.н., руководитель группы разработки ООО «ИТМО.ИСКИН»
</t>
    </r>
    <r>
      <rPr>
        <b/>
        <sz val="12"/>
        <color theme="1"/>
        <rFont val="Times New Roman"/>
        <family val="1"/>
      </rPr>
      <t>Создание инфраструктуры для аппаратного воплощения ИИ</t>
    </r>
  </si>
  <si>
    <t>рендеринг</t>
  </si>
  <si>
    <r>
      <rPr>
        <sz val="12"/>
        <color theme="1"/>
        <rFont val="Times New Roman"/>
        <family val="1"/>
      </rPr>
      <t xml:space="preserve">Николай Никитин 
К.т.н., старший научный сотрудник, центр «Сильный искусственный интеллект в промышленности», доцент ФТИИ Университета ИТМО
</t>
    </r>
    <r>
      <rPr>
        <b/>
        <sz val="12"/>
        <color theme="1"/>
        <rFont val="Times New Roman"/>
        <family val="1"/>
      </rPr>
      <t xml:space="preserve">
Культура и экосистема отрытого кода в сфере ИИ в вузе</t>
    </r>
  </si>
  <si>
    <t>11:00 - 16:00</t>
  </si>
  <si>
    <t>День проектной работы,
в том числе 2 а.ч. консультация с куратором (ФОС)</t>
  </si>
  <si>
    <r>
      <rPr>
        <sz val="12"/>
        <color theme="1"/>
        <rFont val="Times New Roman"/>
        <family val="1"/>
      </rPr>
      <t xml:space="preserve">Артем Береснев
К.т.н., старший преподаватель, заместитель декана факультета прикладной информатики Университета ИТМО
</t>
    </r>
    <r>
      <rPr>
        <b/>
        <sz val="12"/>
        <color theme="1"/>
        <rFont val="Times New Roman"/>
        <family val="1"/>
      </rPr>
      <t>Особенности использования суперкомпьютерных, распределенных, облачных инфраструктур для обучения в сфере ИИ</t>
    </r>
  </si>
  <si>
    <t>ИИ-ассистенты в образовании: демонстрация практических кейсов и сессия «вопрос-ответ»</t>
  </si>
  <si>
    <t>10:00 - 10:45</t>
  </si>
  <si>
    <r>
      <rPr>
        <sz val="12"/>
        <color theme="1"/>
        <rFont val="Times New Roman"/>
        <family val="1"/>
      </rPr>
      <t xml:space="preserve">Юлия Борисова 
К.т.н., младший научный сотрудник, центр «Сильный искусственный интеллект в промышленности», ассистент ФТИИ Университета ИТМО
</t>
    </r>
    <r>
      <rPr>
        <b/>
        <sz val="12"/>
        <color theme="1"/>
        <rFont val="Times New Roman"/>
        <family val="1"/>
      </rPr>
      <t>Организация молодежных учебно-научных лаборатории в сфере ИИ</t>
    </r>
  </si>
  <si>
    <t>10:55 - 12:25</t>
  </si>
  <si>
    <r>
      <rPr>
        <sz val="12"/>
        <color theme="1"/>
        <rFont val="Times New Roman"/>
        <family val="1"/>
      </rPr>
      <t>Борисова Юлия Ивановна
К.т.н., младший научный сотрудник, центр «Сильный искусственный интеллект в промышленности», ассистент ФТИИ Университета ИТМО
Климова Александра Сергеевна
К.т.н., директор УМЦ искусственный интеллект, доцент ФТИИ Университета ИТМО</t>
    </r>
    <r>
      <rPr>
        <b/>
        <sz val="12"/>
        <color theme="1"/>
        <rFont val="Times New Roman"/>
        <family val="1"/>
      </rPr>
      <t xml:space="preserve">
Вовлечение обучаемых в сфере ИИ в подготовку публикаций уровня А*/Q1</t>
    </r>
  </si>
  <si>
    <r>
      <rPr>
        <sz val="12"/>
        <color theme="1"/>
        <rFont val="Times New Roman"/>
        <family val="1"/>
      </rPr>
      <t xml:space="preserve">Михаил Граденко
Директор департамента технологий искусственного интеллекта  
</t>
    </r>
    <r>
      <rPr>
        <b/>
        <sz val="12"/>
        <color theme="1"/>
        <rFont val="Times New Roman"/>
        <family val="1"/>
      </rPr>
      <t>Современные образовательные практики в ИИ: взгляд от индустрии</t>
    </r>
  </si>
  <si>
    <r>
      <rPr>
        <sz val="12"/>
        <color theme="1"/>
        <rFont val="Times New Roman"/>
        <family val="1"/>
      </rPr>
      <t xml:space="preserve">Толстиков
</t>
    </r>
    <r>
      <rPr>
        <b/>
        <sz val="12"/>
        <color theme="1"/>
        <rFont val="Times New Roman"/>
        <family val="1"/>
      </rPr>
      <t>Выездные мероприятия для обучаемых в сфере ИИ: конференции, школы, визиты к индустриальным партнерам</t>
    </r>
  </si>
  <si>
    <t>10:55 - 11:40</t>
  </si>
  <si>
    <r>
      <rPr>
        <sz val="12"/>
        <color theme="1"/>
        <rFont val="Times New Roman"/>
        <family val="1"/>
      </rPr>
      <t xml:space="preserve">Нурышева Меруерт
Старший менеджер ООО «ИТМО.ИСКИН»
</t>
    </r>
    <r>
      <rPr>
        <b/>
        <sz val="12"/>
        <color theme="1"/>
        <rFont val="Times New Roman"/>
        <family val="1"/>
      </rPr>
      <t>Организация проектно-соревновательной деятельности обучаемых в форме хакатонов</t>
    </r>
  </si>
  <si>
    <t>14:00 - 18:00</t>
  </si>
  <si>
    <t>День консультаций с куратором (2 а.ч. консультация с куратором (ФОС))</t>
  </si>
  <si>
    <r>
      <rPr>
        <b/>
        <sz val="12"/>
        <color theme="1"/>
        <rFont val="Times New Roman"/>
        <family val="1"/>
      </rPr>
      <t xml:space="preserve">ВСЕ
</t>
    </r>
    <r>
      <rPr>
        <sz val="12"/>
        <color theme="1"/>
        <rFont val="Times New Roman"/>
        <family val="1"/>
      </rPr>
      <t>Нестандартные практики обучения в сфере ИИ: кейсы вузов и сессия «вопрос-ответ»</t>
    </r>
  </si>
  <si>
    <t>Кросс-валидация</t>
  </si>
  <si>
    <t>10:00 - 10:30</t>
  </si>
  <si>
    <t>Очно: Ломоносова</t>
  </si>
  <si>
    <t>Приветственный кофе</t>
  </si>
  <si>
    <t>10:30 - 12:00</t>
  </si>
  <si>
    <t>Очно: Ломоносова
Трансляция</t>
  </si>
  <si>
    <r>
      <rPr>
        <sz val="12"/>
        <color theme="1"/>
        <rFont val="Times New Roman"/>
        <family val="1"/>
      </rPr>
      <t>Юрий Визильтер</t>
    </r>
    <r>
      <rPr>
        <b/>
        <sz val="12"/>
        <color theme="1"/>
        <rFont val="Times New Roman"/>
        <family val="1"/>
      </rPr>
      <t xml:space="preserve">
Ключевые направления и основные тренды развития ИИ </t>
    </r>
  </si>
  <si>
    <t xml:space="preserve">12:10 - 13:40 </t>
  </si>
  <si>
    <r>
      <rPr>
        <sz val="12"/>
        <color theme="1"/>
        <rFont val="Times New Roman"/>
        <family val="1"/>
      </rPr>
      <t xml:space="preserve">Александр Бухановский
Д.т.н., научный руководитель исследовательского центра «Сильный ИИ в промышленности»
</t>
    </r>
    <r>
      <rPr>
        <b/>
        <sz val="12"/>
        <color theme="1"/>
        <rFont val="Times New Roman"/>
        <family val="1"/>
      </rPr>
      <t>Современный ИИ в образовании</t>
    </r>
  </si>
  <si>
    <t>Кофе-брейк</t>
  </si>
  <si>
    <t>15:00 - 16:30</t>
  </si>
  <si>
    <t>Подготовка к защите результатов на основе ИИ-симулятора</t>
  </si>
  <si>
    <t>Кофе</t>
  </si>
  <si>
    <t>Консультации и групповая работа с куратором, подготовка к аттестации</t>
  </si>
  <si>
    <t xml:space="preserve">13:00 - 14:00 </t>
  </si>
  <si>
    <t>Кофе-брейк / обед</t>
  </si>
  <si>
    <t xml:space="preserve">14:00 - 16:00 </t>
  </si>
  <si>
    <t>Очно</t>
  </si>
  <si>
    <t>Визит в компанию? / групповая работа</t>
  </si>
  <si>
    <t>09:30 - 10:00</t>
  </si>
  <si>
    <t xml:space="preserve">10:00 - 13:00 </t>
  </si>
  <si>
    <t>Круглый стол: Публичная защита результатов проектной работ</t>
  </si>
  <si>
    <t>14:00 - 17:00</t>
  </si>
  <si>
    <t>18:30 - 21:00</t>
  </si>
  <si>
    <t>Нетворкинг (в лофте)</t>
  </si>
  <si>
    <t>число команд</t>
  </si>
  <si>
    <t>почта мудл</t>
  </si>
  <si>
    <t>линк</t>
  </si>
  <si>
    <t>Слоты на 10.07</t>
  </si>
  <si>
    <t>Слоты на 14.07</t>
  </si>
  <si>
    <t>Слоты на 17.07</t>
  </si>
  <si>
    <t>Добренко</t>
  </si>
  <si>
    <t>@NataliDobrenko</t>
  </si>
  <si>
    <t>dobrenkonv@itmo.ru</t>
  </si>
  <si>
    <t>https://itmo.ktalk.ru/vn8h7mt8m174</t>
  </si>
  <si>
    <t>Монахов</t>
  </si>
  <si>
    <t>@MonakhovIurii</t>
  </si>
  <si>
    <t>monakhov@itmo.ru</t>
  </si>
  <si>
    <t>https://itmo.ktalk.ru/x0s9b05l71rw</t>
  </si>
  <si>
    <t>Хлопотов</t>
  </si>
  <si>
    <t>@mkhlopotov</t>
  </si>
  <si>
    <t>kinomant@gmail.com</t>
  </si>
  <si>
    <t>https://itmo.ktalk.ru/nq2cy2g39qxx</t>
  </si>
  <si>
    <t>Краев</t>
  </si>
  <si>
    <t>@simon_kraev</t>
  </si>
  <si>
    <t>simon.kraev@gmail.com</t>
  </si>
  <si>
    <t>https://itmo.ktalk.ru/ufn5wfs8r22i</t>
  </si>
  <si>
    <t>Авдюшина</t>
  </si>
  <si>
    <t>@sunnysubmarines</t>
  </si>
  <si>
    <t>https://itmo.ktalk.ru/bevjuflkmffi</t>
  </si>
  <si>
    <t>Натиг Аминов</t>
  </si>
  <si>
    <t>@natigaminov</t>
  </si>
  <si>
    <t>natig.aminov@gmail.com</t>
  </si>
  <si>
    <t>https://itmo.ktalk.ru/wyhhoyid6wyg</t>
  </si>
  <si>
    <t>Влад Терещенко</t>
  </si>
  <si>
    <t>@Vl_Tershch</t>
  </si>
  <si>
    <t>vlad-tershch@yandex.ru</t>
  </si>
  <si>
    <t>https://itmo.ktalk.ru/j0em6gr9pi2x</t>
  </si>
  <si>
    <t>Москаленко</t>
  </si>
  <si>
    <t>@moskalenkomary</t>
  </si>
  <si>
    <t>https://itmo.ktalk.ru/tgu4qk52q0ww</t>
  </si>
  <si>
    <t>Береснев</t>
  </si>
  <si>
    <t>@ArtemBeresnev</t>
  </si>
  <si>
    <t>open.look@gmail.com</t>
  </si>
  <si>
    <t>https://itmo.ktalk.ru/o9p0mahrj6xe</t>
  </si>
  <si>
    <t>Ходненко</t>
  </si>
  <si>
    <t>@Ivan_hod</t>
  </si>
  <si>
    <t>khodnenko.ivan@gmail.com</t>
  </si>
  <si>
    <t>https://itmo.ktalk.ru/wc7d4c2adsgo</t>
  </si>
  <si>
    <t>Вершинин</t>
  </si>
  <si>
    <t>@Kerysfel</t>
  </si>
  <si>
    <t>newerasowwor@gmail.com</t>
  </si>
  <si>
    <t>https://itmo.ktalk.ru/mtdrmok5cepk</t>
  </si>
  <si>
    <t>Попков</t>
  </si>
  <si>
    <t>@rmn_p</t>
  </si>
  <si>
    <t>https://itmo.ktalk.ru/xgms7jw2v2d6</t>
  </si>
  <si>
    <t>Трифанов</t>
  </si>
  <si>
    <t>@alextrifanov</t>
  </si>
  <si>
    <t>https://itmo.ktalk.ru/em8yolj5ysiw</t>
  </si>
  <si>
    <t>Бабушкин</t>
  </si>
  <si>
    <t>@mvbabushkin</t>
  </si>
  <si>
    <t>https://itmo.ktalk.ru/ecvk4d3diq1r</t>
  </si>
  <si>
    <t>Волков</t>
  </si>
  <si>
    <t>@alexandrr_volkov</t>
  </si>
  <si>
    <t>Х</t>
  </si>
  <si>
    <t>volkovra@yahoo.com</t>
  </si>
  <si>
    <t>https://itmo.ktalk.ru/gvrf909x1iti</t>
  </si>
  <si>
    <t>Волчек</t>
  </si>
  <si>
    <t>@dvolchek</t>
  </si>
  <si>
    <t>dvolchek@itmo.ru</t>
  </si>
  <si>
    <t>https://itmo.ktalk.ru/g2n1ajjgcmo8</t>
  </si>
  <si>
    <t>Романов</t>
  </si>
  <si>
    <t>@gorumo</t>
  </si>
  <si>
    <t>romanov@itmo.ru</t>
  </si>
  <si>
    <t>https://itmo.ktalk.ru/mll9gj2ploqd</t>
  </si>
  <si>
    <t>Иванова</t>
  </si>
  <si>
    <t>@unoivansson</t>
  </si>
  <si>
    <t>kristina.uno.ivanova@gmail.com</t>
  </si>
  <si>
    <t>https://itmo.ktalk.ru/qadnah1l6cog</t>
  </si>
  <si>
    <t>Бойцев</t>
  </si>
  <si>
    <t>@boitsev</t>
  </si>
  <si>
    <t>boitsevanton@gmail.com</t>
  </si>
  <si>
    <t>https://itmo.ktalk.ru/it0t4l816cv1</t>
  </si>
  <si>
    <t>Духанов</t>
  </si>
  <si>
    <t>dukhanov@itmo.ru</t>
  </si>
  <si>
    <t>https://itmo.ktalk.ru/yudk74vchoqv</t>
  </si>
  <si>
    <t>всего в командах</t>
  </si>
  <si>
    <t>онлайн</t>
  </si>
  <si>
    <t>очно</t>
  </si>
  <si>
    <t>Ссылка</t>
  </si>
  <si>
    <t>Добренко, Хлопотов</t>
  </si>
  <si>
    <t>8 аудиторий-4 команды церковь</t>
  </si>
  <si>
    <t>церковь</t>
  </si>
  <si>
    <t>проектор + доска</t>
  </si>
  <si>
    <t>Команде Хлопотова надо написать что другая ссыль</t>
  </si>
  <si>
    <t>8 аудиторий-4 команды 1226</t>
  </si>
  <si>
    <t>1 корпус</t>
  </si>
  <si>
    <t>8 аудиторий-4 команды 1224</t>
  </si>
  <si>
    <t>8 аудиторий-4 команды 4307</t>
  </si>
  <si>
    <t>4 корпус</t>
  </si>
  <si>
    <t>8 аудиторий-4 команды 4208</t>
  </si>
  <si>
    <t>Москаленко, Бабушкин</t>
  </si>
  <si>
    <t>8 аудиторий-4 команды 4306</t>
  </si>
  <si>
    <t>Команде Бабушкина надо написать что другая ссыль</t>
  </si>
  <si>
    <t>Трифанов, Попков</t>
  </si>
  <si>
    <t>8 аудиторий-4 команды 4210</t>
  </si>
  <si>
    <t>Команде Попкова надо написать что другая ссыль</t>
  </si>
  <si>
    <t>3 аудитории-3-4 команды 4202</t>
  </si>
  <si>
    <t>3 аудитории-3-4 команды 4207</t>
  </si>
  <si>
    <t>1 ауд. - 2-3 команды  1604</t>
  </si>
  <si>
    <t>1303/8</t>
  </si>
  <si>
    <t>медиа зона коворкинг</t>
  </si>
  <si>
    <t>4 аудитории - 2-3 команды (только проектор и доска) 1315</t>
  </si>
  <si>
    <t>4 аудитории - 2-3 команды (только проектор и доска) 4213</t>
  </si>
  <si>
    <t>4 аудитории - 2-3 команды (только проектор и доска) 4103</t>
  </si>
  <si>
    <t>1 ауд. - 2 команды (только проектор и доска) 4206</t>
  </si>
  <si>
    <t>4 ауд. - 1 команда без техники с ноутбуком циия 3202</t>
  </si>
  <si>
    <t>1303/7</t>
  </si>
  <si>
    <t>коворкинг</t>
  </si>
  <si>
    <t>только ноут, нужно флипчарт</t>
  </si>
  <si>
    <t>4 ауд. - 1 команда без техники с ноутбуком циия 3210</t>
  </si>
  <si>
    <t>1303/3</t>
  </si>
  <si>
    <t>4 ауд. - 1 команда без техники с ноутбуком циия 3229</t>
  </si>
  <si>
    <t>1303/2</t>
  </si>
  <si>
    <t>Куратор</t>
  </si>
  <si>
    <t>Добренко Н.В., Хлопотов М.В.</t>
  </si>
  <si>
    <t>Монахов Ю.С.</t>
  </si>
  <si>
    <t>Краев С.В.</t>
  </si>
  <si>
    <t>Аминов Н.С.</t>
  </si>
  <si>
    <t>Духанов А.В.</t>
  </si>
  <si>
    <t>Москаленко М.А., Бабушкин М.В.</t>
  </si>
  <si>
    <t>Трифанов А.И., Попков Р.А.</t>
  </si>
  <si>
    <t>Волчек Д.Г.</t>
  </si>
  <si>
    <t>Романов А.А.</t>
  </si>
  <si>
    <t>Иванова К.Ю.</t>
  </si>
  <si>
    <t>Бойцев А.А.</t>
  </si>
  <si>
    <t>Терещенко В.В.</t>
  </si>
  <si>
    <t xml:space="preserve">Волков А.Р. </t>
  </si>
  <si>
    <t>Авдюшина А.Е.</t>
  </si>
  <si>
    <t>Береснев А.Д.</t>
  </si>
  <si>
    <t>Ходненко И.В.</t>
  </si>
  <si>
    <t>Вершинин В.К.</t>
  </si>
  <si>
    <t>Тема</t>
  </si>
  <si>
    <t>Ссылка на встречу отправлена</t>
  </si>
  <si>
    <t>Презентация</t>
  </si>
  <si>
    <t>ТГ</t>
  </si>
  <si>
    <t>Список лит-ры</t>
  </si>
  <si>
    <t>Тесты</t>
  </si>
  <si>
    <t xml:space="preserve">Александр Валерьевич Бухановский
 </t>
  </si>
  <si>
    <t xml:space="preserve">Д.т.н., научный руководитель исследовательского центра «Сильный ИИ в промышленности»
  </t>
  </si>
  <si>
    <t>Установочная встреча</t>
  </si>
  <si>
    <t xml:space="preserve">
 Конструирование и разработка учебных дисциплин в сфере ИИ на основе КРМ</t>
  </si>
  <si>
    <t xml:space="preserve">Александр Александрович Хватов
 </t>
  </si>
  <si>
    <t>к.ф.-м..н, старший научный сотрудник, центр «Сильный искусственный интеллект в промышленности»</t>
  </si>
  <si>
    <t>Преподавание современного ИИ: архитектуры, математика, оптимизация (компетенции КРМ MF1-MF6, O2-O3, FC1)</t>
  </si>
  <si>
    <t>https://t.me/sasha_hvat</t>
  </si>
  <si>
    <t>Петр Евгеньевич Гладилин</t>
  </si>
  <si>
    <t>к.т.н., Инженер ключевых проектов, ООО «Техкампания Хуавей»</t>
  </si>
  <si>
    <t>Преподавание современного ИИ: машинное обучение (компетенции КРМ ML2-ML8)</t>
  </si>
  <si>
    <t>https://t.me/petrgl</t>
  </si>
  <si>
    <t xml:space="preserve">Али Аммар 
 </t>
  </si>
  <si>
    <t>к.т.н., Разработчик-эксперт, ООО «Центр искусственного интеллекта МВС»</t>
  </si>
  <si>
    <t>Преподавание современного ИИ: глубокое обучение (компетенции КРМ DL1-DL5)</t>
  </si>
  <si>
    <t>https://t.me/thekon3232</t>
  </si>
  <si>
    <t xml:space="preserve">Анна Владимировна Калюжная
 </t>
  </si>
  <si>
    <t>к.т.н., Старший менеджер программы продвинутой аналитики и ИИ, управление цифровых технологий и ИИ, Департамент по цифровой трансформации, ПАО "Газпромнефть"</t>
  </si>
  <si>
    <t>Преподавание современного ИИ: большие языковые модели, агенты и ГенИИ (компетенции КРМ LLM1-LLM5, FC2-FC3)</t>
  </si>
  <si>
    <t>https://t.me/kalyuzhnaya</t>
  </si>
  <si>
    <t xml:space="preserve">Алексей Валентинович Духанов
 </t>
  </si>
  <si>
    <t>Д.т.н., Ведущий научный сотрудник, центр «Сильный искусственный интеллект в промышленности, доцент ФТИИ</t>
  </si>
  <si>
    <t>Практики создания учебно-методических материалов в сфере ИИ на основе КРМ с использованием агентных технологий ИИ</t>
  </si>
  <si>
    <t>https://t.me/alexeid77</t>
  </si>
  <si>
    <t>Разработка РПД и комплексного фонда оценочных средств на основее КРМ: установочная сессия</t>
  </si>
  <si>
    <t xml:space="preserve">Нурышева Меруерт
 </t>
  </si>
  <si>
    <t>старший менеджер, ООО «ИТМО.ИСКИН»</t>
  </si>
  <si>
    <t>Формы и практические кейсы взаимодействия вуза и компании в рамках приказа Минцифры №270 от 31.03.2026 (об ИТ-льготах)</t>
  </si>
  <si>
    <t>https://t.me/Meruyert_nurysheva</t>
  </si>
  <si>
    <t xml:space="preserve">Радух Анна Евгеньевна, </t>
  </si>
  <si>
    <t>к.т.н., Генеральный директор, ООО «ИТМО.ИСКИН»</t>
  </si>
  <si>
    <t>https://t.me/anna_lutsenko</t>
  </si>
  <si>
    <t>Климова Александра Сергеевна</t>
  </si>
  <si>
    <t>к.т.н., Директор УМЦ Искусственный интеллект, Доцент ФТИИ	Университет ИТМО</t>
  </si>
  <si>
    <t>https://t.me/caledonia_09</t>
  </si>
  <si>
    <t xml:space="preserve">Александр Валерьевич Бухановский
</t>
  </si>
  <si>
    <t xml:space="preserve"> Привлечение финансирования от бизнеса и государства в сфере ИИ в вуз</t>
  </si>
  <si>
    <t>Насонов Денис Александрович</t>
  </si>
  <si>
    <t>к.т.н., старший научный сотрудник, центр «Сильный искусственный интеллект в промышленности, доцент ФТИИ</t>
  </si>
  <si>
    <t xml:space="preserve"> Практики выполнения заказных НИОКТР в сфере ИИ по заказу индустрии: трансформация в учебные кейсы на основе КРМ</t>
  </si>
  <si>
    <t xml:space="preserve">Иванов Сергей Владимирович
</t>
  </si>
  <si>
    <t>к.т.н., С.н.с., центр «Сильный искусственный интеллект в промышленности, доцент ФТИИ</t>
  </si>
  <si>
    <t xml:space="preserve"> ИИ-разработка ПО: основные подходы и доступный инструментарий -</t>
  </si>
  <si>
    <t xml:space="preserve">Ходненко Иван Владимирович
 </t>
  </si>
  <si>
    <t xml:space="preserve">к.т.н., старший научный сотрудник., «Национальный центр когнитивных разработок»,
старший преподаватель ФТИИ
</t>
  </si>
  <si>
    <t>ИИ-разработка ПО: применение в учебном процессе для подготовки ИИспециалистов -</t>
  </si>
  <si>
    <t>https://t.me/Ivan_hod</t>
  </si>
  <si>
    <t>Ревин Илья Евгеньевич</t>
  </si>
  <si>
    <t>к.т.н., Руководитель группы разработки, ООО «ИТМО.ИСКИН»</t>
  </si>
  <si>
    <t xml:space="preserve">
 Создание инфраструктуры для аппаратного воплощения ИИ</t>
  </si>
  <si>
    <t>Никитин Николай Олегович</t>
  </si>
  <si>
    <t>к.т.н., старший научный сотрудник, Исследовательский центр в сфере искусственного интеллекта «Сильный искусственный интеллект в промышленности, доцент ФТИИ</t>
  </si>
  <si>
    <t xml:space="preserve">
 Культура и экосистема отрытого кода в сфере ИИ в вузе</t>
  </si>
  <si>
    <t>https://t.me/nicl_nno</t>
  </si>
  <si>
    <t xml:space="preserve">Береснев Артем Дмитриевич
 </t>
  </si>
  <si>
    <t>к.т.н., Старший преподаватель, заместитель декана Факультета прикладной информатики (ФПИн)</t>
  </si>
  <si>
    <t>Особенности использования суперкомпьютерных, распределенных, облачных инфраструктур для обучения в сфере ИИ</t>
  </si>
  <si>
    <t xml:space="preserve">Борисова Юлия Ивановна
  </t>
  </si>
  <si>
    <t>к.т.н., Младший научный сотрудник, исследовательский центр “Сильный ИИ в пром-ти”, ассистент факультета технологий ИИ</t>
  </si>
  <si>
    <t>Организация молодежных учебно-научных лаборатории в сфере ИИ</t>
  </si>
  <si>
    <t>https://t.me/ChrisLisbon</t>
  </si>
  <si>
    <t xml:space="preserve">Борисова Юлия Ивановна, Климова Александра Сергеевна
</t>
  </si>
  <si>
    <t>Юлия - к.т.н., Младший научный сотрудник, исследовательский центр “Сильный ИИ в пром-ти”, ассистент факультета технологий ИИ; Александра - "к.т.н., Директор УМЦ Искусственный интеллект, Доцент ФТИИ	Университет ИТМО"</t>
  </si>
  <si>
    <t xml:space="preserve"> Вовлечение обучаемых в сфере ИИ в подготовку публикаций уровня А*/Q1</t>
  </si>
  <si>
    <r>
      <rPr>
        <u/>
        <sz val="10"/>
        <color rgb="FF0563C1"/>
        <rFont val="Arial"/>
        <family val="2"/>
      </rPr>
      <t>https://t.me/ChrisLisbon</t>
    </r>
    <r>
      <rPr>
        <sz val="10"/>
        <color rgb="FF1F1F1F"/>
        <rFont val="Arial"/>
        <family val="2"/>
      </rPr>
      <t xml:space="preserve">, </t>
    </r>
    <r>
      <rPr>
        <u/>
        <sz val="10"/>
        <color rgb="FF1155CC"/>
        <rFont val="Arial"/>
        <family val="2"/>
      </rPr>
      <t>https://t.me/caledonia_09</t>
    </r>
  </si>
  <si>
    <t xml:space="preserve">Толстиков
 </t>
  </si>
  <si>
    <t>Выездные мероприятия для обучаемых в сфере ИИ: конференции, школы, визиты к индустриальным партнерам</t>
  </si>
  <si>
    <t>Организация проектносоревновательной деятельности обучаемых в форме хакатонов</t>
  </si>
  <si>
    <t xml:space="preserve">Юрий Валентинович Визильтер
 </t>
  </si>
  <si>
    <t>д.ф.-м.н., Директор по направлению "Технологии искусственного интеллекта"	ГосНИИАС</t>
  </si>
  <si>
    <t>Ключевые направления и основные тренды развития ИИ</t>
  </si>
  <si>
    <t>Очно: Ломоносова
 Трансляция</t>
  </si>
  <si>
    <t>Д.т.н., научный руководитель исследовательского центра «Сильный ИИ в промышленности»
 Современный ИИ в образовании</t>
  </si>
  <si>
    <t>12:10 - 13:40</t>
  </si>
  <si>
    <t>Moodle Feedback: Обратная связь по четвертой неделе обучения | cmid 688 | feedbackid 12 | обновлено 2026-07-27 00:23:08</t>
  </si>
  <si>
    <t>Тип ответа</t>
  </si>
  <si>
    <t>Completed ID</t>
  </si>
  <si>
    <t>Номер анонимного ответа</t>
  </si>
  <si>
    <t>Дата изменения</t>
  </si>
  <si>
    <t>label</t>
  </si>
  <si>
    <t>1. Оцените по шкале 1–10 уровень организации программы</t>
  </si>
  <si>
    <t>2. Оцените по шкале 1–10 качество поддержки слушателей со стороны менеджеров</t>
  </si>
  <si>
    <t>3. Насколько по шкале 1–10 удобен формат реализации программы ДПО по подготовке ППС?</t>
  </si>
  <si>
    <t>4. Оцените качество лекции курса «Конструирование и разработка учебных дисциплин в сфере ИИ на основе КРМ» (лектор – Бухановский А.) по шкале 1–10</t>
  </si>
  <si>
    <t>5. Оцените качество лекции курса «Особенности организации программы ДПО» (лектор – Климова А.) по шкале 1–10</t>
  </si>
  <si>
    <t>6. Оцените качество лекции курса «Преподавание современного ИИ: архитектуры, математика, оптимизация» (лектор – Хватов А.) по шкале 1–10</t>
  </si>
  <si>
    <t>7. Оцените качество лекции курса «Преподавание современного ИИ: машинное обучение» (лектор – Гладилин П.) по шкале 1–10</t>
  </si>
  <si>
    <t>8. Оцените качество лекции курса «Преподавание современного ИИ: глубокое обучение» (лектор – Аммар А.) по шкале 1–10</t>
  </si>
  <si>
    <t>9. Оцените качество лекции курса «Преподавание современного ИИ: большие языковые модели, агенты и генеративный ИИ» (лектор – Калюжная А.) по шкале 1–10</t>
  </si>
  <si>
    <t>10. Оцените качество лекции курса «Практики создания учебно-методических материалов в сфере ИИ на основе КРМ с использованием агентных технологий ИИ» (лектор – Духанов А.) по шкале 1–10</t>
  </si>
  <si>
    <t>11. Оцените качество лекции курса «Разработка РПД и комплексного фонда оценочных средств на основе КРМ: установочная сессия» (лектор – Бухановский А.) по шкале 1–10</t>
  </si>
  <si>
    <t>12. Оцените по шкале 1–10 качество работы трекера команды</t>
  </si>
  <si>
    <t>13. Что конкретно вам понравилось в работе трекера?</t>
  </si>
  <si>
    <t>14. Что можно улучшить в работе трекера</t>
  </si>
  <si>
    <t>15. Оцените по шкале 1–10 доступность постановки практической задачи</t>
  </si>
  <si>
    <t>16. Оцените по шкале 1–10 удобство работы с платформой</t>
  </si>
  <si>
    <t>17. Что конкретно вам понравилось в работе платформы</t>
  </si>
  <si>
    <t>18. Что можно улучшить в работе платформы?</t>
  </si>
  <si>
    <t>Проверяемая команда</t>
  </si>
  <si>
    <t>Куратор проверяемой команды</t>
  </si>
  <si>
    <t>Статус формы</t>
  </si>
  <si>
    <t>Отзыв отправлен</t>
  </si>
  <si>
    <t>Сумма баллов</t>
  </si>
  <si>
    <t>Максимум баллов</t>
  </si>
  <si>
    <t>Результат, %</t>
  </si>
  <si>
    <t>1. Характеристики учебной дисциплины (оцениваются по рабочей программе дисциплины из Git-репозитория): Оригинальность: насколько необычной (редкой) является учебная дисциплина — Оценка (0–10)</t>
  </si>
  <si>
    <t>1. Характеристики учебной дисциплины (оцениваются по рабочей программе дисциплины из Git-репозитория): Оригинальность: насколько необычной (редкой) является учебная дисциплина — Комментарий</t>
  </si>
  <si>
    <t>2. Характеристики учебной дисциплины (оцениваются по рабочей программе дисциплины из Git-репозитория): Актуальность: насколько современным для выбранной области знания является содержание дисциплины — Оценка (0–10)</t>
  </si>
  <si>
    <t>2. Характеристики учебной дисциплины (оцениваются по рабочей программе дисциплины из Git-репозитория): Актуальность: насколько современным для выбранной области знания является содержание дисциплины — Комментарий</t>
  </si>
  <si>
    <t>3. Характеристики учебной дисциплины (оцениваются по рабочей программе дисциплины из Git-репозитория): Релевантность: насколько дисциплина соотносится с тематикой ИИ и ML — Оценка (0–10)</t>
  </si>
  <si>
    <t>3. Характеристики учебной дисциплины (оцениваются по рабочей программе дисциплины из Git-репозитория): Релевантность: насколько дисциплина соотносится с тематикой ИИ и ML — Комментарий</t>
  </si>
  <si>
    <t>4. Характеристики учебной дисциплины (оцениваются по рабочей программе дисциплины из Git-репозитория): Измеримость: насколько детализированы компетенции, индикаторы и уровни освоения, достаточны ли они для оценки результата обучения — Оценка (0–10)</t>
  </si>
  <si>
    <t>4. Характеристики учебной дисциплины (оцениваются по рабочей программе дисциплины из Git-репозитория): Измеримость: насколько детализированы компетенции, индикаторы и уровни освоения, достаточны ли они для оценки результата обучения — Комментарий</t>
  </si>
  <si>
    <t>5. Характеристики учебной дисциплины (оцениваются по рабочей программе дисциплины из Git-репозитория): Востребованность: насколько данная дисциплина востребована в отечественном образовательном ландшафте — Оценка (0–10)</t>
  </si>
  <si>
    <t>5. Характеристики учебной дисциплины (оцениваются по рабочей программе дисциплины из Git-репозитория): Востребованность: насколько данная дисциплина востребована в отечественном образовательном ландшафте — Комментарий</t>
  </si>
  <si>
    <t>6. Характеристики учебной дисциплины (оцениваются по рабочей программе дисциплины из Git-репозитория): Ресурсоемкость: насколько сложно найти компетентных преподавателей и обеспечить инфраструктуру для реализации дисциплины — Оценка (0–10)</t>
  </si>
  <si>
    <t>6. Характеристики учебной дисциплины (оцениваются по рабочей программе дисциплины из Git-репозитория): Ресурсоемкость: насколько сложно найти компетентных преподавателей и обеспечить инфраструктуру для реализации дисциплины — Комментарий</t>
  </si>
  <si>
    <t>7. Характеристики фонда оценочных средств (оцениваются по содержимому Git-репозитория): В какой мере предложенный ФОС покрывает результаты обучения по дисциплине — Оценка (0–10)</t>
  </si>
  <si>
    <t>7. Характеристики фонда оценочных средств (оцениваются по содержимому Git-репозитория): В какой мере предложенный ФОС покрывает результаты обучения по дисциплине — Комментарий</t>
  </si>
  <si>
    <t>8. Характеристики фонда оценочных средств (оцениваются по содержимому Git-репозитория): Насколько качественно проработана модель измерения уровня освоения компетенций в дисциплине — Оценка (0–10)</t>
  </si>
  <si>
    <t>8. Характеристики фонда оценочных средств (оцениваются по содержимому Git-репозитория): Насколько качественно проработана модель измерения уровня освоения компетенций в дисциплине — Комментарий</t>
  </si>
  <si>
    <t>9. Характеристики фонда оценочных средств (оцениваются по содержимому Git-репозитория): Насколько разнообразны виды контрольно-измерительных материалов в репозитории — Оценка (0–10)</t>
  </si>
  <si>
    <t>9. Характеристики фонда оценочных средств (оцениваются по содержимому Git-репозитория): Насколько разнообразны виды контрольно-измерительных материалов в репозитории — Комментарий</t>
  </si>
  <si>
    <t>10. Характеристики фонда оценочных средств (оцениваются по содержимому Git-репозитория): Возможно ли тиражирование контрольно-измерительных материалов на другие дисциплины в данной области знания — Оценка (0–10)</t>
  </si>
  <si>
    <t>10. Характеристики фонда оценочных средств (оцениваются по содержимому Git-репозитория): Возможно ли тиражирование контрольно-измерительных материалов на другие дисциплины в данной области знания — Комментарий</t>
  </si>
  <si>
    <t>11. Характеристики фонда оценочных средств (оцениваются по содержимому Git-репозитория): Насколько практико-ориентированными являются контрольно-измерительные материалы и ресурсы для них — Оценка (0–10)</t>
  </si>
  <si>
    <t>11. Характеристики фонда оценочных средств (оцениваются по содержимому Git-репозитория): Насколько практико-ориентированными являются контрольно-измерительные материалы и ресурсы для них — Комментарий</t>
  </si>
  <si>
    <t>12. Характеристики фонда оценочных средств (оцениваются по содержимому Git-репозитория): Насколько оригинальными видятся данные, содержащиеся в ресурсах ФОС (оценочное суждение) — Оценка (0–10)</t>
  </si>
  <si>
    <t>12. Характеристики фонда оценочных средств (оцениваются по содержимому Git-репозитория): Насколько оригинальными видятся данные, содержащиеся в ресурсах ФОС (оценочное суждение) — Комментарий</t>
  </si>
  <si>
    <t>13. Характеристики фонда оценочных средств (оцениваются по содержимому Git-репозитория): Насколько оригинальными видятся программные коды, содержащиеся в ресурсах ФОС (оценочное суждение) — Оценка (0–10)</t>
  </si>
  <si>
    <t>13. Характеристики фонда оценочных средств (оцениваются по содержимому Git-репозитория): Насколько оригинальными видятся программные коды, содержащиеся в ресурсах ФОС (оценочное суждение) — Комментарий</t>
  </si>
  <si>
    <t>14. Характеристики фонда оценочных средств (оцениваются по содержимому Git-репозитория): Насколько трудоемкой видится подготовка такого ФОС (оценочное суждение) — Оценка (0–10)</t>
  </si>
  <si>
    <t>14. Характеристики фонда оценочных средств (оцениваются по содержимому Git-репозитория): Насколько трудоемкой видится подготовка такого ФОС (оценочное суждение) — Комментарий</t>
  </si>
  <si>
    <t>15. Характеристики качества Git-репозитория: В репозитории наглядно представлено все содержимое, сделана удобная навигация — Оценка (0–10)</t>
  </si>
  <si>
    <t>15. Характеристики качества Git-репозитория: В репозитории наглядно представлено все содержимое, сделана удобная навигация — Комментарий</t>
  </si>
  <si>
    <t>16. Характеристики качества Git-репозитория: Контрольно-измерительные материалы и ресурсы ФОС хорошо документированы — Оценка (0–10)</t>
  </si>
  <si>
    <t>16. Характеристики качества Git-репозитория: Контрольно-измерительные материалы и ресурсы ФОС хорошо документированы — Комментарий</t>
  </si>
  <si>
    <t>17. Характеристики качества Git-репозитория: Методические указания по работе с ФОС для преподавателей информативны и полны — Оценка (0–10)</t>
  </si>
  <si>
    <t>17. Характеристики качества Git-репозитория: Методические указания по работе с ФОС для преподавателей информативны и полны — Комментарий</t>
  </si>
  <si>
    <t>18. Характеристики качества Git-репозитория: Методические указания по работе с ФОС для обучаемых информативны и полны — Оценка (0–10)</t>
  </si>
  <si>
    <t>18. Характеристики качества Git-репозитория: Методические указания по работе с ФОС для обучаемых информативны и полны — Комментарий</t>
  </si>
  <si>
    <t>19. Характеристики качества Git-репозитория: Репозиторий производит ощущение логичного и законченного цифрового продукта (оценочное суждение) — Оценка (0–10)</t>
  </si>
  <si>
    <t>19. Характеристики качества Git-репозитория: Репозиторий производит ощущение логичного и законченного цифрового продукта (оценочное суждение) — Комментарий</t>
  </si>
  <si>
    <t>20. Характеристики качества Git-репозитория: Репозиторий соответствует требованиям установочной сессии данного ДПО (см. презентацию по занятию) — Оценка (0–10)</t>
  </si>
  <si>
    <t>20. Характеристики качества Git-репозитория: Репозиторий соответствует требованиям установочной сессии данного ДПО (см. презентацию по занятию) — Комментарий</t>
  </si>
  <si>
    <t>21. Характеристики качества Git-репозитория: Я (мы) бы хотел использовать материалы из репозитория в своем вузе (вузах) — Оценка (0–10)</t>
  </si>
  <si>
    <t>21. Характеристики качества Git-репозитория: Я (мы) бы хотел использовать материалы из репозитория в своем вузе (вузах) — Комментарий</t>
  </si>
  <si>
    <t>Что хорошо</t>
  </si>
  <si>
    <t>Что плохо</t>
  </si>
  <si>
    <t>Что ещё можно исправить и как</t>
  </si>
  <si>
    <t>Группа 7</t>
  </si>
  <si>
    <t>Черновик</t>
  </si>
  <si>
    <t>Дисциплина «Прикладной искусственный интеллект для систем умного дома» — достаточно редкая и специфичная. Большинство курсов по ИИ носят общий характер, а здесь фокус на умном доме с привязкой к реальным сенсорам, Edge-устройствам и Home Assistant.</t>
  </si>
  <si>
    <t>Курс насыщен современным материалом: Edge AI, IoT-протоколы (MQTT, Zigbee), цифровые двойники, квантизация и pruning моделей, интеграция с Home Assistant. Всё это находится на переднем крае прикладного ИИ.</t>
  </si>
  <si>
    <t>Дисциплина напрямую связана с ИИ и ML и представляет собой полноценный прикладной ИИ-курс: используются модели машинного обучения, глубокое обучение, валидация, интеграция моделей в реальные системы.</t>
  </si>
  <si>
    <t>В репозитории представлена детальная модель измерения с указанием модулей, компетенций, индикаторов, уровней освоения, дескрипторов и форм контроля. Однако дескрипторы могли бы быть более гранулярными для каждого уровня освоения.</t>
  </si>
  <si>
    <t>Тематика умного дома и Edge AI востребована во многих вузах и программах ДПО. Курс имеет чёткую профориентационную направленность на роли ML Engineer, Data Engineer и AI Architect.</t>
  </si>
  <si>
    <t>Для реализации дисциплины требуется доступ к реальным сенсорам (DHT22, PIR), Edge-устройствам, Home Assistant, а также компетентным преподавателям в области IoT и Edge AI.</t>
  </si>
  <si>
    <t>ФОС покрывает все заявленные результаты обучения: от архитектурного кейса до защиты проекта. Каждый модуль имеет соответствующие оценочные средства, привязанные к компетенциям КРМ.</t>
  </si>
  <si>
    <t>Модель измерения проработана на уровне «модуль → компетенция → индикатор → уровень → дескриптор → форма контроля → КИМ → ресурсы». Присутствует чёткая связь с трудовыми функциями. Не хватает более детальных рубрик для каждого уровня освоения.</t>
  </si>
  <si>
    <t>Представлены разнообразные виды: архитектурный кейс, практические работы с сенсорными данными, практические работы с моделями ИИ, Edge AI и интеграция, peer-review, экзамен, защита проекта. Это покрывает разные форматы оценки.</t>
  </si>
  <si>
    <t>Материалы могут быть адаптированы для других дисциплин в области прикладного ИИ и IoT. Структура (модель измерения + КИМ + критерии) является хорошим шаблоном. Однако специфика умного дома требует доработки под другие домены.</t>
  </si>
  <si>
    <t>Все оценочные средства максимально приближены к реальной практике: работа с реальными сенсорами, интеграция с Home Assistant, развёртывание на Edge, анализ ошибок, документирование. Проект требует работающего прототипа полного цикла.</t>
  </si>
  <si>
    <t>В репозитории не представлены конкретные датасеты, но описаны требования к ним. Ожидается, что студенты будут работать с реальными сенсорными данными, что само по себе оригинально. Однако без примеров данных сложно оценить их уникальность.</t>
  </si>
  <si>
    <t>В репозитории нет готовых программных кодов, только требования и описания. Оригинальность будет определяться студенческими решениями. Сам подход к интеграции ИИ с Home Assistant и Edge является достаточно новаторским.</t>
  </si>
  <si>
    <t>Подготовка такого ФОС требует значительных усилий: нужно продумать интеграцию с реальным оборудованием, разработать критерии оценки для каждого этапа, подготовить шаблоны документации. Видно, что работа проделана большая.</t>
  </si>
  <si>
    <t>Репозиторий имеет чёткую структуру с быстрой навигацией по ключевым документам. Все файлы логично именованы и расположены. README на главной странице содержит всю необходимую информацию о дисциплине.</t>
  </si>
  <si>
    <t>Все оценочные средства описаны в ASSESSMENT_TOOLS.md с указанием проверяемых компетенций. Ресурсы перечислены, но не все имеют прямые ссылки на внешние материалы.</t>
  </si>
  <si>
    <t>PROJECT_REQUIREMENTS.md содержит детальные требования к проекту, включая функциональные и нефункциональные требования. Однако нет пошаговых инструкций по выполнению практических работ.</t>
  </si>
  <si>
    <t>Репозиторий производит впечатление законченного цифрового продукта: есть syllabus, информация о курсе, компетенции, трудовые функции, ФОС, требования к проекту, лицензия. Всё логически связано и образует единую систему.</t>
  </si>
  <si>
    <t>Репозиторий производит впечатление логичного и законченного цифрового продукта. Он структурирован, информативен, эстетичен и готов к практическому применению. Недостающие элементы (гайды, примеры, активные ссылки) носят скорее рекомендательный характер.</t>
  </si>
  <si>
    <t>Репозиторий полностью соответствует требованиям, предъявляемым к ФОС на установочной сессии. Он содержит все необходимые компоненты: РПД, развернутую модель измерения, КИМы по всем модулям, критерии оценивания и итоговую аттестацию.</t>
  </si>
  <si>
    <t>Материалы репозитория могут быть использованы в вузе с некоторой адаптацией под локальную инфраструктуру. Особенно ценна модель измерения и связь с компетенциями КРМ.</t>
  </si>
  <si>
    <t>− репозитории имеет чёткую, логичную структуру и удобную навигацию;
 − дисциплина очень актуальна и релевантна для области ИИ и ML, с фокусом на практическое применение в умном доме и Edge AI;
 − ФОС разнообразен и покрывает все заявленные компетенции;
 − присутствует детальная модель измерения с привязкой к трудовым функциям (ML Engineer, Data Engineer, AI Architect);
 − проектная работа требует создания работающего прототипа полного цикла, что обеспечивает высокую практико-ориентированность;
 − присутствует лицензия (MIT), что важно для открытого использования.</t>
  </si>
  <si>
    <t>–</t>
  </si>
  <si>
    <t>− добавить более детальные рубрики оценивания для каждого уровня освоения компетенций;
 − включить примеры датасетов или ссылки на открытые источники данных для умного дома;
 − добавить примеры программных кодов или шаблонов для практических работ;
 − разработать отдельное методическое руководство для преподавателя с пошаговыми инструкциями по проведению каждого вида оценки;
 − добавить больше методических указаний для студентов по выполнению практических работ;
 − убедиться, что все ссылки на внешние ресурсы работают.
 Для этого необходимо:
 − дополнить модель измерения конкретными рубриками для каждого уровня (пороговый, продвинутый, экспертный).
 − создать папку examples/ с примерами кода для работы с сенсорами и интеграции с Home Assistant.
 − написать TEACHER_GUIDE.md с подробными сценариями проведения занятий и критериями оценки.
 − добавить STUDENT_GUIDE.md с пошаговыми инструкциями по выполнению практических работ и проекта.
 − включить в репозиторий ссылки на открытые датасеты или сгенерировать синтетические данные для демонстрации.</t>
  </si>
  <si>
    <t>Фамилия</t>
  </si>
  <si>
    <t>Имя</t>
  </si>
  <si>
    <t>ID студента</t>
  </si>
  <si>
    <t>L (Прямой эфир)</t>
  </si>
  <si>
    <t>R (Запись)</t>
  </si>
  <si>
    <t>Не просмотрено</t>
  </si>
  <si>
    <t>Посещено</t>
  </si>
  <si>
    <t>Процент</t>
  </si>
  <si>
    <t>Прогресс</t>
  </si>
  <si>
    <t>Bermudez Soto</t>
  </si>
  <si>
    <t>Jose Gregorio</t>
  </si>
  <si>
    <t>LMS</t>
  </si>
  <si>
    <t>expert2025</t>
  </si>
  <si>
    <t>2025expert2025@mail.ru</t>
  </si>
  <si>
    <t>Succi</t>
  </si>
  <si>
    <t>Giancarlo</t>
  </si>
  <si>
    <t>tyukov</t>
  </si>
  <si>
    <t>Anton</t>
  </si>
  <si>
    <t>User</t>
  </si>
  <si>
    <t>Test</t>
  </si>
  <si>
    <t>Абрамович</t>
  </si>
  <si>
    <t>Александра</t>
  </si>
  <si>
    <t>Анна</t>
  </si>
  <si>
    <t>Агарева</t>
  </si>
  <si>
    <t>Ольга</t>
  </si>
  <si>
    <t>Акиньшина</t>
  </si>
  <si>
    <t>Вера</t>
  </si>
  <si>
    <t>Алексей</t>
  </si>
  <si>
    <t>Баев</t>
  </si>
  <si>
    <t>Баранчиков</t>
  </si>
  <si>
    <t>Али</t>
  </si>
  <si>
    <t>Бушра</t>
  </si>
  <si>
    <t>Амосова</t>
  </si>
  <si>
    <t>Светлана</t>
  </si>
  <si>
    <t>Анастасия</t>
  </si>
  <si>
    <t>Федоренко</t>
  </si>
  <si>
    <t>Андрей</t>
  </si>
  <si>
    <t>Тягунов</t>
  </si>
  <si>
    <t>Андриянов</t>
  </si>
  <si>
    <t>Никита</t>
  </si>
  <si>
    <t>Анисова</t>
  </si>
  <si>
    <t>Мария</t>
  </si>
  <si>
    <t>Артемова</t>
  </si>
  <si>
    <t>Максим</t>
  </si>
  <si>
    <t>Баглий</t>
  </si>
  <si>
    <t>Антон</t>
  </si>
  <si>
    <t>Багмутов</t>
  </si>
  <si>
    <t>Александр</t>
  </si>
  <si>
    <t>Бакнин</t>
  </si>
  <si>
    <t>Бакулев</t>
  </si>
  <si>
    <t>Бакулева</t>
  </si>
  <si>
    <t>Бартева</t>
  </si>
  <si>
    <t>Виктория</t>
  </si>
  <si>
    <t>Бастрычкин</t>
  </si>
  <si>
    <t>Башуров</t>
  </si>
  <si>
    <t>Вячеслав</t>
  </si>
  <si>
    <t>Безуглая</t>
  </si>
  <si>
    <t>Белов</t>
  </si>
  <si>
    <t>Владимир</t>
  </si>
  <si>
    <t>Белоусов</t>
  </si>
  <si>
    <t>Иван</t>
  </si>
  <si>
    <t>Белоцерковский</t>
  </si>
  <si>
    <t>Валерий</t>
  </si>
  <si>
    <t>Беляева</t>
  </si>
  <si>
    <t>Юлия</t>
  </si>
  <si>
    <t>Беспалов</t>
  </si>
  <si>
    <t>Сергей</t>
  </si>
  <si>
    <t>Бодур</t>
  </si>
  <si>
    <t>Айсу</t>
  </si>
  <si>
    <t>Бондарев</t>
  </si>
  <si>
    <t>Борель</t>
  </si>
  <si>
    <t>Лидия</t>
  </si>
  <si>
    <t>Борзин</t>
  </si>
  <si>
    <t>Роман</t>
  </si>
  <si>
    <t>Борисов</t>
  </si>
  <si>
    <t>Василий</t>
  </si>
  <si>
    <t>Бородин</t>
  </si>
  <si>
    <t>Брюховецкий</t>
  </si>
  <si>
    <t>Булычев</t>
  </si>
  <si>
    <t>Быков</t>
  </si>
  <si>
    <t>Денис</t>
  </si>
  <si>
    <t>Былков</t>
  </si>
  <si>
    <t>Вадим</t>
  </si>
  <si>
    <t>Пак</t>
  </si>
  <si>
    <t>Вассуф</t>
  </si>
  <si>
    <t>Язан</t>
  </si>
  <si>
    <t>Веденев</t>
  </si>
  <si>
    <t>Кирилл</t>
  </si>
  <si>
    <t>вербова</t>
  </si>
  <si>
    <t>наталья</t>
  </si>
  <si>
    <t>Ветошкин</t>
  </si>
  <si>
    <t>Артем</t>
  </si>
  <si>
    <t>Компаниец</t>
  </si>
  <si>
    <t>Владимирович</t>
  </si>
  <si>
    <t>Владова</t>
  </si>
  <si>
    <t>Алла</t>
  </si>
  <si>
    <t>Ворожцов</t>
  </si>
  <si>
    <t>Дмитрий</t>
  </si>
  <si>
    <t>Габдрахманова</t>
  </si>
  <si>
    <t>Наиля</t>
  </si>
  <si>
    <t>Гапоненко</t>
  </si>
  <si>
    <t>Гараев</t>
  </si>
  <si>
    <t>Гололобов</t>
  </si>
  <si>
    <t>Голубева</t>
  </si>
  <si>
    <t>Гонтарь</t>
  </si>
  <si>
    <t>Людмила</t>
  </si>
  <si>
    <t>Гончаров</t>
  </si>
  <si>
    <t>Горбунова</t>
  </si>
  <si>
    <t>Горемыкина</t>
  </si>
  <si>
    <t>Галина</t>
  </si>
  <si>
    <t>Городничев</t>
  </si>
  <si>
    <t>Михаил</t>
  </si>
  <si>
    <t>Горохова</t>
  </si>
  <si>
    <t>Римма</t>
  </si>
  <si>
    <t>Гостин</t>
  </si>
  <si>
    <t>Грибков</t>
  </si>
  <si>
    <t>Григорьев</t>
  </si>
  <si>
    <t>Грищенко</t>
  </si>
  <si>
    <t>Гузанов</t>
  </si>
  <si>
    <t>Данильченко</t>
  </si>
  <si>
    <t>Владислав</t>
  </si>
  <si>
    <t>Данько</t>
  </si>
  <si>
    <t>Данила</t>
  </si>
  <si>
    <t>Дашиева</t>
  </si>
  <si>
    <t>Баярма</t>
  </si>
  <si>
    <t>Дворецкая</t>
  </si>
  <si>
    <t>Ирина</t>
  </si>
  <si>
    <t>Девятовский</t>
  </si>
  <si>
    <t>Дедов</t>
  </si>
  <si>
    <t>Демидов</t>
  </si>
  <si>
    <t>Демидова</t>
  </si>
  <si>
    <t>Лилия</t>
  </si>
  <si>
    <t>Дмитриев</t>
  </si>
  <si>
    <t>Егор</t>
  </si>
  <si>
    <t>Добровольская</t>
  </si>
  <si>
    <t>Наталья</t>
  </si>
  <si>
    <t>Долганов</t>
  </si>
  <si>
    <t>Долженкова</t>
  </si>
  <si>
    <t>Доронина</t>
  </si>
  <si>
    <t>Драгныш</t>
  </si>
  <si>
    <t>Николай</t>
  </si>
  <si>
    <t>Драгунов</t>
  </si>
  <si>
    <t>Станислав</t>
  </si>
  <si>
    <t>Драников</t>
  </si>
  <si>
    <t>Илья</t>
  </si>
  <si>
    <t>Душкина</t>
  </si>
  <si>
    <t>Елена</t>
  </si>
  <si>
    <t>Егунов</t>
  </si>
  <si>
    <t>Еклашева</t>
  </si>
  <si>
    <t>Елсаков</t>
  </si>
  <si>
    <t>Емельянов</t>
  </si>
  <si>
    <t>Емельянова</t>
  </si>
  <si>
    <t>Наталия</t>
  </si>
  <si>
    <t>Ермолаева</t>
  </si>
  <si>
    <t>Жуйков</t>
  </si>
  <si>
    <t>Константин</t>
  </si>
  <si>
    <t>Жук</t>
  </si>
  <si>
    <t>Арсений</t>
  </si>
  <si>
    <t>Забашта</t>
  </si>
  <si>
    <t>Завьялов</t>
  </si>
  <si>
    <t>Загидуллин</t>
  </si>
  <si>
    <t>Артур</t>
  </si>
  <si>
    <t>Заликов</t>
  </si>
  <si>
    <t>Руслан</t>
  </si>
  <si>
    <t>Заморёнов</t>
  </si>
  <si>
    <t>Зенков</t>
  </si>
  <si>
    <t>Виктор</t>
  </si>
  <si>
    <t>Золотарев</t>
  </si>
  <si>
    <t>Зубков</t>
  </si>
  <si>
    <t>Евгений</t>
  </si>
  <si>
    <t>Иванов</t>
  </si>
  <si>
    <t>Иевлев</t>
  </si>
  <si>
    <t>Ипатов</t>
  </si>
  <si>
    <t>Юрий</t>
  </si>
  <si>
    <t>Александрова</t>
  </si>
  <si>
    <t>Исупова</t>
  </si>
  <si>
    <t>Татьяна</t>
  </si>
  <si>
    <t>Казаковцева</t>
  </si>
  <si>
    <t>Екатерина</t>
  </si>
  <si>
    <t>Калажоков</t>
  </si>
  <si>
    <t>Заур</t>
  </si>
  <si>
    <t>Калинин</t>
  </si>
  <si>
    <t>Калитвин</t>
  </si>
  <si>
    <t>Караваева</t>
  </si>
  <si>
    <t>Карпета</t>
  </si>
  <si>
    <t>Катаев</t>
  </si>
  <si>
    <t>Кесиян</t>
  </si>
  <si>
    <t>Грант</t>
  </si>
  <si>
    <t>Кизим</t>
  </si>
  <si>
    <t>Ким</t>
  </si>
  <si>
    <t>Киреев</t>
  </si>
  <si>
    <t>Кирпиченко</t>
  </si>
  <si>
    <t>Кирчанова</t>
  </si>
  <si>
    <t>Елизавета</t>
  </si>
  <si>
    <t>Кислицын</t>
  </si>
  <si>
    <t>Коваленко</t>
  </si>
  <si>
    <t>Козлов</t>
  </si>
  <si>
    <t>Козулин</t>
  </si>
  <si>
    <t>Игорь</t>
  </si>
  <si>
    <t>Колотий</t>
  </si>
  <si>
    <t>Колупаев</t>
  </si>
  <si>
    <t>Конченков</t>
  </si>
  <si>
    <t>Конюхов</t>
  </si>
  <si>
    <t>Корелин</t>
  </si>
  <si>
    <t>Коржавина</t>
  </si>
  <si>
    <t>Коробкин</t>
  </si>
  <si>
    <t>Коротеев</t>
  </si>
  <si>
    <t>Костюк</t>
  </si>
  <si>
    <t>Котельникова</t>
  </si>
  <si>
    <t>Кошелев</t>
  </si>
  <si>
    <t>Кравченя</t>
  </si>
  <si>
    <t>Павел</t>
  </si>
  <si>
    <t>Кревецкий</t>
  </si>
  <si>
    <t>Крид</t>
  </si>
  <si>
    <t>Крошилин</t>
  </si>
  <si>
    <t>Крошилина</t>
  </si>
  <si>
    <t>Круглов</t>
  </si>
  <si>
    <t>Георгий</t>
  </si>
  <si>
    <t>Кудинов</t>
  </si>
  <si>
    <t>Кузнецов</t>
  </si>
  <si>
    <t>Кукарцев</t>
  </si>
  <si>
    <t>Кулагин</t>
  </si>
  <si>
    <t>Кулиев</t>
  </si>
  <si>
    <t>Эльмар</t>
  </si>
  <si>
    <t>Курасов</t>
  </si>
  <si>
    <t>Курашкин</t>
  </si>
  <si>
    <t>Куренков</t>
  </si>
  <si>
    <t>Лаврова</t>
  </si>
  <si>
    <t>Дарья</t>
  </si>
  <si>
    <t>Лапшин</t>
  </si>
  <si>
    <t>Лащевский</t>
  </si>
  <si>
    <t>Левченко</t>
  </si>
  <si>
    <t>Лесников</t>
  </si>
  <si>
    <t>Лимар</t>
  </si>
  <si>
    <t>Ломакин</t>
  </si>
  <si>
    <t>Лут</t>
  </si>
  <si>
    <t>Макаров</t>
  </si>
  <si>
    <t>Макаровских</t>
  </si>
  <si>
    <t>Маковейчук</t>
  </si>
  <si>
    <t>Кристина</t>
  </si>
  <si>
    <t>маковейчук</t>
  </si>
  <si>
    <t>Ян</t>
  </si>
  <si>
    <t>Максименко</t>
  </si>
  <si>
    <t>Малов</t>
  </si>
  <si>
    <t>Манакова</t>
  </si>
  <si>
    <t>Ткаченко</t>
  </si>
  <si>
    <t>Маркина</t>
  </si>
  <si>
    <t>Мартюшев</t>
  </si>
  <si>
    <t>Матвеев</t>
  </si>
  <si>
    <t>Матохина</t>
  </si>
  <si>
    <t>Матюхин</t>
  </si>
  <si>
    <t>Мащенко</t>
  </si>
  <si>
    <t>Медведева</t>
  </si>
  <si>
    <t>Меерсон</t>
  </si>
  <si>
    <t>Мельцов</t>
  </si>
  <si>
    <t>Метелев</t>
  </si>
  <si>
    <t>Миронов</t>
  </si>
  <si>
    <t>Яков</t>
  </si>
  <si>
    <t>Мкртчян</t>
  </si>
  <si>
    <t>Грач</t>
  </si>
  <si>
    <t>Могилевская</t>
  </si>
  <si>
    <t>Надежда</t>
  </si>
  <si>
    <t>Моисеев</t>
  </si>
  <si>
    <t>Мокин</t>
  </si>
  <si>
    <t>Мосева</t>
  </si>
  <si>
    <t>Алеся</t>
  </si>
  <si>
    <t>Мосин</t>
  </si>
  <si>
    <t>Моторин</t>
  </si>
  <si>
    <t>Мочалина</t>
  </si>
  <si>
    <t>Муравьева</t>
  </si>
  <si>
    <t>Муратов</t>
  </si>
  <si>
    <t>Назаров</t>
  </si>
  <si>
    <t>Напеденина</t>
  </si>
  <si>
    <t>Невзоров</t>
  </si>
  <si>
    <t>Нехаев</t>
  </si>
  <si>
    <t>Соболев</t>
  </si>
  <si>
    <t>Новиков</t>
  </si>
  <si>
    <t>Анатолий</t>
  </si>
  <si>
    <t>Овчинников</t>
  </si>
  <si>
    <t>Овчинникова</t>
  </si>
  <si>
    <t>Окишев</t>
  </si>
  <si>
    <t>Окунева</t>
  </si>
  <si>
    <t>Эвелина</t>
  </si>
  <si>
    <t>Осипов</t>
  </si>
  <si>
    <t>Югай</t>
  </si>
  <si>
    <t>Павликов</t>
  </si>
  <si>
    <t>Паклин</t>
  </si>
  <si>
    <t>Парасич</t>
  </si>
  <si>
    <t>Паршукова</t>
  </si>
  <si>
    <t>Парыгин</t>
  </si>
  <si>
    <t>Пахомов</t>
  </si>
  <si>
    <t>Пелипенко</t>
  </si>
  <si>
    <t>Перевозчикова</t>
  </si>
  <si>
    <t>Перчихин</t>
  </si>
  <si>
    <t>Олег</t>
  </si>
  <si>
    <t>Петров</t>
  </si>
  <si>
    <t>Лев</t>
  </si>
  <si>
    <t>Петросян</t>
  </si>
  <si>
    <t>Письменский</t>
  </si>
  <si>
    <t>Подколзин</t>
  </si>
  <si>
    <t>Полетайкин</t>
  </si>
  <si>
    <t>Полупанов</t>
  </si>
  <si>
    <t>Полупанова</t>
  </si>
  <si>
    <t>Полянцева</t>
  </si>
  <si>
    <t>Ксения</t>
  </si>
  <si>
    <t>Пономарев</t>
  </si>
  <si>
    <t>Потапченко</t>
  </si>
  <si>
    <t>Тимур</t>
  </si>
  <si>
    <t>Правдин</t>
  </si>
  <si>
    <t>Прозоров</t>
  </si>
  <si>
    <t>Прутский</t>
  </si>
  <si>
    <t>Пустовалова</t>
  </si>
  <si>
    <t>Пушкарев</t>
  </si>
  <si>
    <t>Даниил</t>
  </si>
  <si>
    <t>Расин</t>
  </si>
  <si>
    <t>Раюшкин</t>
  </si>
  <si>
    <t>Эдуард</t>
  </si>
  <si>
    <t>Реза Каши Заде</t>
  </si>
  <si>
    <t>Казем</t>
  </si>
  <si>
    <t>Ржаникова</t>
  </si>
  <si>
    <t>Романова</t>
  </si>
  <si>
    <t>Ронкин</t>
  </si>
  <si>
    <t>Рословцев</t>
  </si>
  <si>
    <t>Рубцов</t>
  </si>
  <si>
    <t>Русинова</t>
  </si>
  <si>
    <t>Залина</t>
  </si>
  <si>
    <t>Рябов</t>
  </si>
  <si>
    <t>Ряскин</t>
  </si>
  <si>
    <t>Сафонова</t>
  </si>
  <si>
    <t>Сафроненкова</t>
  </si>
  <si>
    <t>Сахнов</t>
  </si>
  <si>
    <t>Свинцов</t>
  </si>
  <si>
    <t>Свиридов</t>
  </si>
  <si>
    <t>Семенова</t>
  </si>
  <si>
    <t>Софья</t>
  </si>
  <si>
    <t>Сергеев</t>
  </si>
  <si>
    <t>Сергеева</t>
  </si>
  <si>
    <t>Марвин</t>
  </si>
  <si>
    <t>Сердаков</t>
  </si>
  <si>
    <t>Леонид</t>
  </si>
  <si>
    <t>Силинская</t>
  </si>
  <si>
    <t>Симонов</t>
  </si>
  <si>
    <t>Синева</t>
  </si>
  <si>
    <t>Синица</t>
  </si>
  <si>
    <t>Скоробогатченко</t>
  </si>
  <si>
    <t>Сметанина</t>
  </si>
  <si>
    <t>Смирнов</t>
  </si>
  <si>
    <t>Собченко</t>
  </si>
  <si>
    <t>Соколов</t>
  </si>
  <si>
    <t>Соколова</t>
  </si>
  <si>
    <t>Солодушкин</t>
  </si>
  <si>
    <t>Святослав</t>
  </si>
  <si>
    <t>Сопов</t>
  </si>
  <si>
    <t>Сорока</t>
  </si>
  <si>
    <t>Сорокин</t>
  </si>
  <si>
    <t>Степанов</t>
  </si>
  <si>
    <t>Стругач</t>
  </si>
  <si>
    <t>Григорий</t>
  </si>
  <si>
    <t>Стягун</t>
  </si>
  <si>
    <t>Дина</t>
  </si>
  <si>
    <t>Суворова</t>
  </si>
  <si>
    <t>ТАТЬЯНА</t>
  </si>
  <si>
    <t>Сурин</t>
  </si>
  <si>
    <t>Сурина</t>
  </si>
  <si>
    <t>Альфия</t>
  </si>
  <si>
    <t>Сухов</t>
  </si>
  <si>
    <t>Сычев</t>
  </si>
  <si>
    <t>Табиева</t>
  </si>
  <si>
    <t>Арина</t>
  </si>
  <si>
    <t>Танрывердиев</t>
  </si>
  <si>
    <t>Тарасов</t>
  </si>
  <si>
    <t>Приходько</t>
  </si>
  <si>
    <t>Садыков</t>
  </si>
  <si>
    <t>Титов</t>
  </si>
  <si>
    <t>Титова</t>
  </si>
  <si>
    <t>Тихонов</t>
  </si>
  <si>
    <t>Трачева</t>
  </si>
  <si>
    <t>Трофимов</t>
  </si>
  <si>
    <t>Трубин</t>
  </si>
  <si>
    <t>Турлакова</t>
  </si>
  <si>
    <t>Тюжина</t>
  </si>
  <si>
    <t>Уколова</t>
  </si>
  <si>
    <t>Уразаева</t>
  </si>
  <si>
    <t>Усова</t>
  </si>
  <si>
    <t>Филиппов</t>
  </si>
  <si>
    <t>Фролов</t>
  </si>
  <si>
    <t>Харин</t>
  </si>
  <si>
    <t>Харина</t>
  </si>
  <si>
    <t>Харрасов</t>
  </si>
  <si>
    <t>Камиль</t>
  </si>
  <si>
    <t>Харченко</t>
  </si>
  <si>
    <t>Холматова</t>
  </si>
  <si>
    <t>Замира</t>
  </si>
  <si>
    <t>Холодов</t>
  </si>
  <si>
    <t>Ярослав</t>
  </si>
  <si>
    <t>Храмов</t>
  </si>
  <si>
    <t>Храмова</t>
  </si>
  <si>
    <t>Цофнас</t>
  </si>
  <si>
    <t>Чаленков</t>
  </si>
  <si>
    <t>Чапкин</t>
  </si>
  <si>
    <t>Ченгарь</t>
  </si>
  <si>
    <t>Чернышов</t>
  </si>
  <si>
    <t>Чероков</t>
  </si>
  <si>
    <t>Чеховской</t>
  </si>
  <si>
    <t>Чистяков</t>
  </si>
  <si>
    <t>Геннадий</t>
  </si>
  <si>
    <t>Чубырь</t>
  </si>
  <si>
    <t>Чупреева</t>
  </si>
  <si>
    <t>Алёна</t>
  </si>
  <si>
    <t>Шабалина</t>
  </si>
  <si>
    <t>Шалагинова</t>
  </si>
  <si>
    <t>Шевченко</t>
  </si>
  <si>
    <t>Шека</t>
  </si>
  <si>
    <t>Шенец</t>
  </si>
  <si>
    <t>Шереметьев</t>
  </si>
  <si>
    <t>Шибанов</t>
  </si>
  <si>
    <t>Шильников</t>
  </si>
  <si>
    <t>ШИТИКОВ</t>
  </si>
  <si>
    <t>СЕРГЕЙ</t>
  </si>
  <si>
    <t>Шишкин</t>
  </si>
  <si>
    <t>Шокин</t>
  </si>
  <si>
    <t>Штейнберг</t>
  </si>
  <si>
    <t>Борис</t>
  </si>
  <si>
    <t>Шумейко</t>
  </si>
  <si>
    <t>Щедрикова</t>
  </si>
  <si>
    <t>Злата</t>
  </si>
  <si>
    <t>Щукина</t>
  </si>
  <si>
    <t>Юманова</t>
  </si>
  <si>
    <t>Яновский</t>
  </si>
  <si>
    <t>L</t>
  </si>
  <si>
    <t>R</t>
  </si>
  <si>
    <t>тотал</t>
  </si>
  <si>
    <t>%</t>
  </si>
  <si>
    <t>6.07.2026 15.30 Все студенты</t>
  </si>
  <si>
    <t>7.07.2026 10.00 Все студенты</t>
  </si>
  <si>
    <t>7.07.2026 11.40 Все студенты</t>
  </si>
  <si>
    <t>8.07.2026 10.00 Все студенты</t>
  </si>
  <si>
    <t>8.07.2026 11.40 Все студенты</t>
  </si>
  <si>
    <t>9.07.2026 10.00 Все студенты</t>
  </si>
  <si>
    <t>13.07.2026 00.00 Все студенты</t>
  </si>
  <si>
    <t>13.07.2026 10.00 Все студенты</t>
  </si>
  <si>
    <t>13.07.2026 11.40 Все студенты</t>
  </si>
  <si>
    <t>14.07.2026 10.00 Все студенты</t>
  </si>
  <si>
    <t>16.07.2026 00.00 Все студенты</t>
  </si>
  <si>
    <t>16.07.2026 10.00 Все студенты</t>
  </si>
  <si>
    <t>16.07.2026 11.45 Все студенты</t>
  </si>
  <si>
    <t>17.07.2026 10.00 Все студенты</t>
  </si>
  <si>
    <t>20.07.2026 00.00 Все студенты</t>
  </si>
  <si>
    <t>20.07.2026 10.00 Все студенты</t>
  </si>
  <si>
    <t>20.07.2026 13.00 Все студенты</t>
  </si>
  <si>
    <t>21.07.2026 00.00 Все студенты</t>
  </si>
  <si>
    <t>21.07.2026 10.00 Все студенты</t>
  </si>
  <si>
    <t>21.07.2026 10.55 Все студенты</t>
  </si>
  <si>
    <t>22.07.2026 10.55 Все студенты</t>
  </si>
  <si>
    <t>23.07.2026 11.40 Все студенты</t>
  </si>
  <si>
    <t>L (1/1)</t>
  </si>
  <si>
    <t>R (1/1)</t>
  </si>
  <si>
    <t>?</t>
  </si>
  <si>
    <t>кирова</t>
  </si>
  <si>
    <t>валерия</t>
  </si>
  <si>
    <t>Лайф</t>
  </si>
  <si>
    <t>рекорд</t>
  </si>
  <si>
    <t>общее</t>
  </si>
  <si>
    <t xml:space="preserve">6.07.2026 15.30 </t>
  </si>
  <si>
    <t xml:space="preserve">7.07.2026 10.00 </t>
  </si>
  <si>
    <t xml:space="preserve">7.07.2026 11.40 </t>
  </si>
  <si>
    <t xml:space="preserve">8.07.2026 10.00 </t>
  </si>
  <si>
    <t xml:space="preserve">8.07.2026 11.40 </t>
  </si>
  <si>
    <t xml:space="preserve">9.07.2026 10.00 </t>
  </si>
  <si>
    <t xml:space="preserve">13.07.2026 00.00 </t>
  </si>
  <si>
    <t xml:space="preserve">13.07.2026 10.00 </t>
  </si>
  <si>
    <t xml:space="preserve">13.07.2026 11.40 </t>
  </si>
  <si>
    <t xml:space="preserve">14.07.2026 10.00 </t>
  </si>
  <si>
    <t xml:space="preserve">16.07.2026 00.00 </t>
  </si>
  <si>
    <t xml:space="preserve">16.07.2026 10.00 </t>
  </si>
  <si>
    <t xml:space="preserve">16.07.2026 11.45 </t>
  </si>
  <si>
    <t xml:space="preserve">17.07.2026 10.00 </t>
  </si>
  <si>
    <t xml:space="preserve">20.07.2026 00.00 </t>
  </si>
  <si>
    <t xml:space="preserve">20.07.2026 10.00 </t>
  </si>
  <si>
    <t xml:space="preserve">20.07.2026 13.00 </t>
  </si>
  <si>
    <t>Посещенные занятия</t>
  </si>
  <si>
    <t>TEST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</si>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</sst>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9" formatCode="dd\.mm\.yyyy"/>
    <numFmt numFmtId="170" formatCode="yyyy/m"/>
    <numFmt numFmtId="171" formatCode="yyyy\-mm\-dd\ h:mm:ss"/>
    <numFmt numFmtId="172" formatCode="dddd\,\ d\ mmmm\ yyyy\,\ h:mm"/>
  </numFmts>
  <fonts count="27">
    <font>
      <sz val="10"/>
      <color rgb="FF000000"/>
      <name val="Arial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  <scheme val="minor"/>
    </font>
    <font>
      <u/>
      <sz val="10"/>
      <color rgb="FF0563C1"/>
      <name val="Arial"/>
      <family val="2"/>
    </font>
    <font>
      <strike/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rgb="FFFF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0"/>
      <color rgb="FF0000FF"/>
      <name val="Arial"/>
      <family val="2"/>
      <scheme val="minor"/>
    </font>
    <font>
      <u/>
      <sz val="10"/>
      <color rgb="FF1155CC"/>
      <name val="Arial"/>
      <family val="2"/>
    </font>
    <font>
      <sz val="12"/>
      <color theme="1"/>
      <name val="Arial"/>
      <family val="2"/>
      <scheme val="minor"/>
    </font>
    <font>
      <sz val="10"/>
      <color rgb="FF000000"/>
      <name val="Calibri"/>
      <family val="2"/>
    </font>
    <font>
      <b/>
      <sz val="12"/>
      <color theme="1"/>
      <name val="Times New Roman"/>
      <family val="1"/>
    </font>
    <font>
      <b/>
      <sz val="8"/>
      <color theme="1"/>
      <name val="Arial"/>
      <family val="2"/>
    </font>
    <font>
      <sz val="12"/>
      <color theme="1"/>
      <name val="Times New Roman"/>
      <family val="1"/>
    </font>
    <font>
      <sz val="12"/>
      <color rgb="FF000000"/>
      <name val="Calibri, sans-serif"/>
      <charset val="134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1F1F1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EF1CC"/>
        <bgColor rgb="FFFEF1CC"/>
      </patternFill>
    </fill>
    <fill>
      <patternFill patternType="solid">
        <fgColor rgb="FFD9E6FC"/>
        <bgColor rgb="FFD9E6FC"/>
      </patternFill>
    </fill>
    <fill>
      <patternFill patternType="solid">
        <fgColor rgb="FFFEE1CC"/>
        <bgColor rgb="FFFEE1CC"/>
      </patternFill>
    </fill>
    <fill>
      <patternFill patternType="solid">
        <fgColor rgb="FFD2F1DA"/>
        <bgColor rgb="FFD2F1DA"/>
      </patternFill>
    </fill>
    <fill>
      <patternFill patternType="solid">
        <fgColor rgb="FFD9F1F3"/>
        <bgColor rgb="FFD9F1F3"/>
      </patternFill>
    </fill>
    <fill>
      <patternFill patternType="solid">
        <fgColor rgb="FF5B9BD5"/>
        <bgColor rgb="FF5B9BD5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10" fontId="1" fillId="0" borderId="0" xfId="0" applyNumberFormat="1" applyFont="1"/>
    <xf numFmtId="10" fontId="2" fillId="0" borderId="0" xfId="0" applyNumberFormat="1" applyFont="1"/>
    <xf numFmtId="0" fontId="3" fillId="0" borderId="0" xfId="0" applyFont="1"/>
    <xf numFmtId="10" fontId="3" fillId="3" borderId="0" xfId="0" applyNumberFormat="1" applyFont="1" applyFill="1"/>
    <xf numFmtId="10" fontId="3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/>
    <xf numFmtId="10" fontId="4" fillId="0" borderId="0" xfId="0" applyNumberFormat="1" applyFont="1"/>
    <xf numFmtId="0" fontId="0" fillId="4" borderId="0" xfId="0" applyFill="1"/>
    <xf numFmtId="0" fontId="5" fillId="2" borderId="1" xfId="0" applyFont="1" applyFill="1" applyBorder="1"/>
    <xf numFmtId="0" fontId="5" fillId="2" borderId="2" xfId="0" applyFont="1" applyFill="1" applyBorder="1"/>
    <xf numFmtId="0" fontId="6" fillId="5" borderId="0" xfId="0" applyFont="1" applyFill="1"/>
    <xf numFmtId="0" fontId="6" fillId="5" borderId="0" xfId="0" applyFont="1" applyFill="1" applyAlignment="1">
      <alignment horizontal="right"/>
    </xf>
    <xf numFmtId="0" fontId="6" fillId="5" borderId="3" xfId="0" applyFont="1" applyFill="1" applyBorder="1"/>
    <xf numFmtId="0" fontId="7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8" fillId="0" borderId="4" xfId="0" applyFont="1" applyBorder="1" applyAlignment="1">
      <alignment horizontal="center" vertical="center" wrapText="1"/>
    </xf>
    <xf numFmtId="169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9" fontId="11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0" fillId="2" borderId="0" xfId="0" applyFill="1"/>
    <xf numFmtId="0" fontId="3" fillId="6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6" fillId="0" borderId="0" xfId="0" applyFont="1"/>
    <xf numFmtId="0" fontId="3" fillId="7" borderId="0" xfId="0" applyFont="1" applyFill="1"/>
    <xf numFmtId="170" fontId="3" fillId="6" borderId="0" xfId="0" applyNumberFormat="1" applyFont="1" applyFill="1"/>
    <xf numFmtId="170" fontId="3" fillId="8" borderId="0" xfId="0" applyNumberFormat="1" applyFont="1" applyFill="1"/>
    <xf numFmtId="0" fontId="17" fillId="0" borderId="0" xfId="0" applyFont="1"/>
    <xf numFmtId="0" fontId="18" fillId="0" borderId="0" xfId="0" applyFont="1"/>
    <xf numFmtId="0" fontId="15" fillId="0" borderId="0" xfId="0" applyFont="1"/>
    <xf numFmtId="0" fontId="19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3" fillId="9" borderId="0" xfId="0" applyFont="1" applyFill="1"/>
    <xf numFmtId="0" fontId="15" fillId="10" borderId="0" xfId="0" applyFont="1" applyFill="1"/>
    <xf numFmtId="0" fontId="3" fillId="10" borderId="0" xfId="0" applyFont="1" applyFill="1"/>
    <xf numFmtId="0" fontId="19" fillId="0" borderId="0" xfId="0" applyFont="1"/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20" fillId="0" borderId="9" xfId="0" applyFont="1" applyBorder="1" applyAlignment="1">
      <alignment horizontal="center" wrapText="1"/>
    </xf>
    <xf numFmtId="0" fontId="21" fillId="0" borderId="9" xfId="0" applyFont="1" applyBorder="1" applyAlignment="1">
      <alignment horizontal="center" vertical="center" wrapText="1"/>
    </xf>
    <xf numFmtId="0" fontId="20" fillId="11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 wrapText="1"/>
    </xf>
    <xf numFmtId="0" fontId="20" fillId="11" borderId="11" xfId="0" applyFont="1" applyFill="1" applyBorder="1" applyAlignment="1">
      <alignment wrapText="1"/>
    </xf>
    <xf numFmtId="0" fontId="7" fillId="0" borderId="11" xfId="0" applyFont="1" applyBorder="1" applyAlignment="1">
      <alignment horizontal="center" vertical="center"/>
    </xf>
    <xf numFmtId="0" fontId="20" fillId="11" borderId="13" xfId="0" applyFont="1" applyFill="1" applyBorder="1" applyAlignment="1">
      <alignment horizontal="center" vertical="center"/>
    </xf>
    <xf numFmtId="0" fontId="22" fillId="11" borderId="14" xfId="0" applyFont="1" applyFill="1" applyBorder="1" applyAlignment="1">
      <alignment wrapText="1"/>
    </xf>
    <xf numFmtId="0" fontId="7" fillId="2" borderId="14" xfId="0" applyFont="1" applyFill="1" applyBorder="1" applyAlignment="1">
      <alignment horizontal="center" vertical="center"/>
    </xf>
    <xf numFmtId="0" fontId="22" fillId="11" borderId="11" xfId="0" applyFont="1" applyFill="1" applyBorder="1" applyAlignment="1">
      <alignment wrapText="1"/>
    </xf>
    <xf numFmtId="0" fontId="20" fillId="11" borderId="15" xfId="0" applyFont="1" applyFill="1" applyBorder="1" applyAlignment="1">
      <alignment horizontal="center" vertical="center"/>
    </xf>
    <xf numFmtId="0" fontId="20" fillId="11" borderId="15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20" fillId="11" borderId="14" xfId="0" applyFont="1" applyFill="1" applyBorder="1" applyAlignment="1">
      <alignment wrapText="1"/>
    </xf>
    <xf numFmtId="0" fontId="20" fillId="12" borderId="10" xfId="0" applyFont="1" applyFill="1" applyBorder="1" applyAlignment="1">
      <alignment horizontal="center" vertical="center"/>
    </xf>
    <xf numFmtId="0" fontId="20" fillId="12" borderId="10" xfId="0" applyFont="1" applyFill="1" applyBorder="1" applyAlignment="1">
      <alignment horizontal="center" vertical="center" wrapText="1"/>
    </xf>
    <xf numFmtId="0" fontId="22" fillId="12" borderId="11" xfId="0" applyFont="1" applyFill="1" applyBorder="1" applyAlignment="1">
      <alignment wrapText="1"/>
    </xf>
    <xf numFmtId="0" fontId="20" fillId="12" borderId="15" xfId="0" applyFont="1" applyFill="1" applyBorder="1" applyAlignment="1">
      <alignment horizontal="center" vertical="center"/>
    </xf>
    <xf numFmtId="0" fontId="20" fillId="12" borderId="15" xfId="0" applyFont="1" applyFill="1" applyBorder="1" applyAlignment="1">
      <alignment horizontal="center" vertical="center" wrapText="1"/>
    </xf>
    <xf numFmtId="0" fontId="22" fillId="12" borderId="14" xfId="0" applyFont="1" applyFill="1" applyBorder="1" applyAlignment="1">
      <alignment wrapText="1"/>
    </xf>
    <xf numFmtId="169" fontId="20" fillId="12" borderId="12" xfId="0" applyNumberFormat="1" applyFont="1" applyFill="1" applyBorder="1" applyAlignment="1">
      <alignment horizontal="center" vertical="center"/>
    </xf>
    <xf numFmtId="0" fontId="20" fillId="12" borderId="14" xfId="0" applyFont="1" applyFill="1" applyBorder="1" applyAlignment="1">
      <alignment wrapText="1"/>
    </xf>
    <xf numFmtId="0" fontId="20" fillId="13" borderId="4" xfId="0" applyFont="1" applyFill="1" applyBorder="1" applyAlignment="1">
      <alignment horizontal="center" vertical="center"/>
    </xf>
    <xf numFmtId="0" fontId="20" fillId="13" borderId="4" xfId="0" applyFont="1" applyFill="1" applyBorder="1" applyAlignment="1">
      <alignment horizontal="center" vertical="center" wrapText="1"/>
    </xf>
    <xf numFmtId="0" fontId="20" fillId="13" borderId="11" xfId="0" applyFont="1" applyFill="1" applyBorder="1" applyAlignment="1">
      <alignment wrapText="1"/>
    </xf>
    <xf numFmtId="0" fontId="20" fillId="13" borderId="10" xfId="0" applyFont="1" applyFill="1" applyBorder="1" applyAlignment="1">
      <alignment horizontal="center" vertical="center" wrapText="1"/>
    </xf>
    <xf numFmtId="0" fontId="20" fillId="13" borderId="15" xfId="0" applyFont="1" applyFill="1" applyBorder="1" applyAlignment="1">
      <alignment horizontal="center" vertical="center" wrapText="1"/>
    </xf>
    <xf numFmtId="0" fontId="20" fillId="13" borderId="14" xfId="0" applyFont="1" applyFill="1" applyBorder="1" applyAlignment="1">
      <alignment wrapText="1"/>
    </xf>
    <xf numFmtId="0" fontId="20" fillId="13" borderId="10" xfId="0" applyFont="1" applyFill="1" applyBorder="1" applyAlignment="1">
      <alignment horizontal="center" vertical="center"/>
    </xf>
    <xf numFmtId="169" fontId="20" fillId="12" borderId="15" xfId="0" applyNumberFormat="1" applyFont="1" applyFill="1" applyBorder="1" applyAlignment="1">
      <alignment horizontal="center" vertical="center"/>
    </xf>
    <xf numFmtId="169" fontId="20" fillId="12" borderId="10" xfId="0" applyNumberFormat="1" applyFont="1" applyFill="1" applyBorder="1" applyAlignment="1">
      <alignment horizontal="center" vertical="center"/>
    </xf>
    <xf numFmtId="0" fontId="20" fillId="12" borderId="11" xfId="0" applyFont="1" applyFill="1" applyBorder="1" applyAlignment="1">
      <alignment wrapText="1"/>
    </xf>
    <xf numFmtId="0" fontId="20" fillId="14" borderId="10" xfId="0" applyFont="1" applyFill="1" applyBorder="1" applyAlignment="1">
      <alignment horizontal="center" vertical="center"/>
    </xf>
    <xf numFmtId="0" fontId="20" fillId="14" borderId="10" xfId="0" applyFont="1" applyFill="1" applyBorder="1" applyAlignment="1">
      <alignment horizontal="center" vertical="center" wrapText="1"/>
    </xf>
    <xf numFmtId="0" fontId="22" fillId="14" borderId="11" xfId="0" applyFont="1" applyFill="1" applyBorder="1" applyAlignment="1">
      <alignment wrapText="1"/>
    </xf>
    <xf numFmtId="0" fontId="20" fillId="14" borderId="15" xfId="0" applyFont="1" applyFill="1" applyBorder="1" applyAlignment="1">
      <alignment horizontal="center" vertical="center" wrapText="1"/>
    </xf>
    <xf numFmtId="0" fontId="22" fillId="14" borderId="14" xfId="0" applyFont="1" applyFill="1" applyBorder="1" applyAlignment="1">
      <alignment wrapText="1"/>
    </xf>
    <xf numFmtId="0" fontId="20" fillId="14" borderId="11" xfId="0" applyFont="1" applyFill="1" applyBorder="1" applyAlignment="1">
      <alignment wrapText="1"/>
    </xf>
    <xf numFmtId="0" fontId="20" fillId="14" borderId="15" xfId="0" applyFont="1" applyFill="1" applyBorder="1" applyAlignment="1">
      <alignment horizontal="center" vertical="center"/>
    </xf>
    <xf numFmtId="0" fontId="20" fillId="15" borderId="10" xfId="0" applyFont="1" applyFill="1" applyBorder="1" applyAlignment="1">
      <alignment horizontal="center" vertical="center"/>
    </xf>
    <xf numFmtId="0" fontId="20" fillId="15" borderId="10" xfId="0" applyFont="1" applyFill="1" applyBorder="1" applyAlignment="1">
      <alignment horizontal="center" vertical="center" wrapText="1"/>
    </xf>
    <xf numFmtId="0" fontId="22" fillId="15" borderId="11" xfId="0" applyFont="1" applyFill="1" applyBorder="1" applyAlignment="1">
      <alignment wrapText="1"/>
    </xf>
    <xf numFmtId="0" fontId="20" fillId="15" borderId="15" xfId="0" applyFont="1" applyFill="1" applyBorder="1" applyAlignment="1">
      <alignment horizontal="center" vertical="center" wrapText="1"/>
    </xf>
    <xf numFmtId="0" fontId="22" fillId="15" borderId="14" xfId="0" applyFont="1" applyFill="1" applyBorder="1" applyAlignment="1">
      <alignment wrapText="1"/>
    </xf>
    <xf numFmtId="169" fontId="20" fillId="12" borderId="14" xfId="0" applyNumberFormat="1" applyFont="1" applyFill="1" applyBorder="1" applyAlignment="1">
      <alignment wrapText="1"/>
    </xf>
    <xf numFmtId="169" fontId="20" fillId="15" borderId="12" xfId="0" applyNumberFormat="1" applyFont="1" applyFill="1" applyBorder="1" applyAlignment="1">
      <alignment horizontal="center" vertical="center"/>
    </xf>
    <xf numFmtId="0" fontId="20" fillId="15" borderId="15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wrapText="1"/>
    </xf>
    <xf numFmtId="0" fontId="22" fillId="0" borderId="11" xfId="0" applyFont="1" applyBorder="1" applyAlignment="1">
      <alignment wrapText="1"/>
    </xf>
    <xf numFmtId="0" fontId="8" fillId="2" borderId="10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20" fillId="0" borderId="14" xfId="0" applyFont="1" applyBorder="1" applyAlignment="1">
      <alignment wrapText="1"/>
    </xf>
    <xf numFmtId="20" fontId="20" fillId="0" borderId="10" xfId="0" applyNumberFormat="1" applyFont="1" applyBorder="1" applyAlignment="1">
      <alignment horizontal="center" vertical="center"/>
    </xf>
    <xf numFmtId="20" fontId="20" fillId="0" borderId="15" xfId="0" applyNumberFormat="1" applyFont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20" fillId="2" borderId="14" xfId="0" applyFont="1" applyFill="1" applyBorder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1" fontId="3" fillId="0" borderId="0" xfId="0" applyNumberFormat="1" applyFont="1"/>
    <xf numFmtId="172" fontId="15" fillId="0" borderId="0" xfId="0" applyNumberFormat="1" applyFont="1"/>
    <xf numFmtId="172" fontId="3" fillId="0" borderId="0" xfId="0" applyNumberFormat="1" applyFont="1"/>
    <xf numFmtId="0" fontId="14" fillId="16" borderId="5" xfId="0" applyFont="1" applyFill="1" applyBorder="1" applyAlignment="1">
      <alignment horizontal="center" vertical="center"/>
    </xf>
    <xf numFmtId="0" fontId="14" fillId="16" borderId="5" xfId="0" applyFont="1" applyFill="1" applyBorder="1" applyAlignment="1">
      <alignment horizontal="center" vertical="center" wrapText="1"/>
    </xf>
    <xf numFmtId="0" fontId="14" fillId="16" borderId="4" xfId="0" applyFont="1" applyFill="1" applyBorder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9" borderId="0" xfId="0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/>
    </xf>
    <xf numFmtId="0" fontId="15" fillId="19" borderId="4" xfId="0" applyFont="1" applyFill="1" applyBorder="1" applyAlignment="1">
      <alignment horizontal="left" vertical="top"/>
    </xf>
    <xf numFmtId="0" fontId="3" fillId="17" borderId="4" xfId="0" applyFont="1" applyFill="1" applyBorder="1"/>
    <xf numFmtId="0" fontId="3" fillId="18" borderId="4" xfId="0" applyFont="1" applyFill="1" applyBorder="1"/>
    <xf numFmtId="0" fontId="3" fillId="5" borderId="4" xfId="0" applyFont="1" applyFill="1" applyBorder="1"/>
    <xf numFmtId="0" fontId="3" fillId="6" borderId="4" xfId="0" applyFont="1" applyFill="1" applyBorder="1"/>
    <xf numFmtId="0" fontId="3" fillId="10" borderId="4" xfId="0" applyFont="1" applyFill="1" applyBorder="1"/>
    <xf numFmtId="0" fontId="3" fillId="19" borderId="4" xfId="0" applyFont="1" applyFill="1" applyBorder="1"/>
    <xf numFmtId="0" fontId="3" fillId="0" borderId="4" xfId="0" applyFont="1" applyBorder="1"/>
    <xf numFmtId="0" fontId="14" fillId="2" borderId="4" xfId="0" applyFont="1" applyFill="1" applyBorder="1" applyAlignment="1">
      <alignment horizontal="left" vertical="top"/>
    </xf>
    <xf numFmtId="0" fontId="3" fillId="17" borderId="0" xfId="0" applyFont="1" applyFill="1"/>
    <xf numFmtId="0" fontId="3" fillId="18" borderId="0" xfId="0" applyFont="1" applyFill="1"/>
    <xf numFmtId="0" fontId="3" fillId="5" borderId="0" xfId="0" applyFont="1" applyFill="1"/>
    <xf numFmtId="0" fontId="3" fillId="19" borderId="0" xfId="0" applyFont="1" applyFill="1"/>
    <xf numFmtId="0" fontId="15" fillId="0" borderId="0" xfId="0" applyFont="1"/>
    <xf numFmtId="0" fontId="0" fillId="0" borderId="0" xfId="0"/>
    <xf numFmtId="169" fontId="20" fillId="11" borderId="7" xfId="0" applyNumberFormat="1" applyFont="1" applyFill="1" applyBorder="1" applyAlignment="1">
      <alignment horizontal="center" vertical="center"/>
    </xf>
    <xf numFmtId="0" fontId="9" fillId="0" borderId="7" xfId="0" applyFont="1" applyBorder="1"/>
    <xf numFmtId="0" fontId="9" fillId="0" borderId="12" xfId="0" applyFont="1" applyBorder="1"/>
    <xf numFmtId="169" fontId="20" fillId="12" borderId="7" xfId="0" applyNumberFormat="1" applyFont="1" applyFill="1" applyBorder="1" applyAlignment="1">
      <alignment horizontal="center" vertical="center"/>
    </xf>
    <xf numFmtId="169" fontId="20" fillId="13" borderId="7" xfId="0" applyNumberFormat="1" applyFont="1" applyFill="1" applyBorder="1" applyAlignment="1">
      <alignment horizontal="center" vertical="center"/>
    </xf>
    <xf numFmtId="169" fontId="20" fillId="14" borderId="7" xfId="0" applyNumberFormat="1" applyFont="1" applyFill="1" applyBorder="1" applyAlignment="1">
      <alignment horizontal="center" vertical="center"/>
    </xf>
    <xf numFmtId="169" fontId="20" fillId="15" borderId="7" xfId="0" applyNumberFormat="1" applyFont="1" applyFill="1" applyBorder="1" applyAlignment="1">
      <alignment horizontal="center" vertical="center"/>
    </xf>
    <xf numFmtId="169" fontId="20" fillId="0" borderId="7" xfId="0" applyNumberFormat="1" applyFont="1" applyBorder="1" applyAlignment="1">
      <alignment horizontal="center" vertical="center"/>
    </xf>
    <xf numFmtId="169" fontId="20" fillId="0" borderId="3" xfId="0" applyNumberFormat="1" applyFont="1" applyBorder="1" applyAlignment="1">
      <alignment horizontal="center" vertical="center"/>
    </xf>
    <xf numFmtId="0" fontId="9" fillId="0" borderId="3" xfId="0" applyFont="1" applyBorder="1"/>
    <xf numFmtId="0" fontId="9" fillId="0" borderId="15" xfId="0" applyFont="1" applyBorder="1"/>
    <xf numFmtId="0" fontId="7" fillId="0" borderId="0" xfId="0" applyFont="1" applyAlignment="1">
      <alignment horizontal="center" vertical="center"/>
    </xf>
    <xf numFmtId="0" fontId="9" fillId="0" borderId="14" xfId="0" applyFont="1" applyBorder="1"/>
    <xf numFmtId="0" fontId="3" fillId="2" borderId="0" xfId="0" applyFont="1" applyFill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/>
    <xf numFmtId="169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</cellXfs>
  <cellStyles count="1">
    <cellStyle name="Обычный" xfId="0" builtinId="0"/>
  </cellStyles>
  <dxfs count="8">
    <dxf>
      <font>
        <b val="0"/>
        <i val="0"/>
        <strike val="0"/>
        <u val="none"/>
        <sz val="10"/>
        <color rgb="FF000000"/>
        <name val="Arial"/>
        <charset val="134"/>
        <scheme val="none"/>
      </font>
    </dxf>
    <dxf>
      <font>
        <b val="0"/>
        <i val="0"/>
        <strike val="0"/>
        <u val="none"/>
        <sz val="10"/>
        <color rgb="FF000000"/>
        <name val="Arial"/>
        <charset val="134"/>
        <scheme val="none"/>
      </font>
    </dxf>
    <dxf>
      <font>
        <b val="0"/>
        <i val="0"/>
        <strike val="0"/>
        <u val="none"/>
        <sz val="10"/>
        <color rgb="FF000000"/>
        <name val="Arial"/>
        <charset val="134"/>
        <scheme val="none"/>
      </font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Отказы и замены-style" pivot="0" count="3" xr9:uid="{6A25E878-104C-453F-BFE4-32A5951D3491}">
      <tableStyleElement type="headerRow" dxfId="7"/>
      <tableStyleElement type="firstRowStripe" dxfId="6"/>
      <tableStyleElement type="secondRowStripe" dxfId="5"/>
    </tableStyle>
    <tableStyle name="Отказы и замены-style 2" pivot="0" count="2" xr9:uid="{72AE46D5-1AE4-4176-AA7F-5777A2C1BB06}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S1" headerRowCount="0">
  <tableColumns count="1">
    <tableColumn id="1" xr3:uid="{00000000-0010-0000-0000-000001000000}" name="Column1" dataDxfId="2"/>
  </tableColumns>
  <tableStyleInfo name="Отказы и замены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S4:T4" headerRowCount="0">
  <tableColumns count="2">
    <tableColumn id="1" xr3:uid="{00000000-0010-0000-0100-000001000000}" name="Column1" dataDxfId="1"/>
    <tableColumn id="2" xr3:uid="{00000000-0010-0000-0100-000002000000}" name="Column2" dataDxfId="0"/>
  </tableColumns>
  <tableStyleInfo name="Отказы и замены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itmo.ktalk.ru/tgu4qk52q0ww" TargetMode="External"/><Relationship Id="rId13" Type="http://schemas.openxmlformats.org/officeDocument/2006/relationships/hyperlink" Target="https://itmo.ktalk.ru/em8yolj5ysiw" TargetMode="External"/><Relationship Id="rId18" Type="http://schemas.openxmlformats.org/officeDocument/2006/relationships/hyperlink" Target="https://itmo.ktalk.ru/qadnah1l6cog" TargetMode="External"/><Relationship Id="rId3" Type="http://schemas.openxmlformats.org/officeDocument/2006/relationships/hyperlink" Target="https://itmo.ktalk.ru/nq2cy2g39qxx" TargetMode="External"/><Relationship Id="rId7" Type="http://schemas.openxmlformats.org/officeDocument/2006/relationships/hyperlink" Target="https://itmo.ktalk.ru/j0em6gr9pi2x" TargetMode="External"/><Relationship Id="rId12" Type="http://schemas.openxmlformats.org/officeDocument/2006/relationships/hyperlink" Target="https://itmo.ktalk.ru/xgms7jw2v2d6" TargetMode="External"/><Relationship Id="rId17" Type="http://schemas.openxmlformats.org/officeDocument/2006/relationships/hyperlink" Target="https://itmo.ktalk.ru/mll9gj2ploqd" TargetMode="External"/><Relationship Id="rId2" Type="http://schemas.openxmlformats.org/officeDocument/2006/relationships/hyperlink" Target="https://itmo.ktalk.ru/x0s9b05l71rw" TargetMode="External"/><Relationship Id="rId16" Type="http://schemas.openxmlformats.org/officeDocument/2006/relationships/hyperlink" Target="https://itmo.ktalk.ru/g2n1ajjgcmo8" TargetMode="External"/><Relationship Id="rId20" Type="http://schemas.openxmlformats.org/officeDocument/2006/relationships/hyperlink" Target="https://itmo.ktalk.ru/yudk74vchoqv" TargetMode="External"/><Relationship Id="rId1" Type="http://schemas.openxmlformats.org/officeDocument/2006/relationships/hyperlink" Target="https://itmo.ktalk.ru/vn8h7mt8m174" TargetMode="External"/><Relationship Id="rId6" Type="http://schemas.openxmlformats.org/officeDocument/2006/relationships/hyperlink" Target="https://itmo.ktalk.ru/wyhhoyid6wyg" TargetMode="External"/><Relationship Id="rId11" Type="http://schemas.openxmlformats.org/officeDocument/2006/relationships/hyperlink" Target="https://itmo.ktalk.ru/mtdrmok5cepk" TargetMode="External"/><Relationship Id="rId5" Type="http://schemas.openxmlformats.org/officeDocument/2006/relationships/hyperlink" Target="https://itmo.ktalk.ru/bevjuflkmffi" TargetMode="External"/><Relationship Id="rId15" Type="http://schemas.openxmlformats.org/officeDocument/2006/relationships/hyperlink" Target="https://itmo.ktalk.ru/gvrf909x1iti" TargetMode="External"/><Relationship Id="rId10" Type="http://schemas.openxmlformats.org/officeDocument/2006/relationships/hyperlink" Target="https://itmo.ktalk.ru/wc7d4c2adsgo" TargetMode="External"/><Relationship Id="rId19" Type="http://schemas.openxmlformats.org/officeDocument/2006/relationships/hyperlink" Target="https://itmo.ktalk.ru/it0t4l816cv1" TargetMode="External"/><Relationship Id="rId4" Type="http://schemas.openxmlformats.org/officeDocument/2006/relationships/hyperlink" Target="https://itmo.ktalk.ru/ufn5wfs8r22i" TargetMode="External"/><Relationship Id="rId9" Type="http://schemas.openxmlformats.org/officeDocument/2006/relationships/hyperlink" Target="https://itmo.ktalk.ru/o9p0mahrj6xe" TargetMode="External"/><Relationship Id="rId14" Type="http://schemas.openxmlformats.org/officeDocument/2006/relationships/hyperlink" Target="https://itmo.ktalk.ru/ecvk4d3diq1r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itmo.ktalk.ru/g2n1ajjgcmo8" TargetMode="External"/><Relationship Id="rId13" Type="http://schemas.openxmlformats.org/officeDocument/2006/relationships/hyperlink" Target="https://itmo.ktalk.ru/gvrf909x1iti" TargetMode="External"/><Relationship Id="rId3" Type="http://schemas.openxmlformats.org/officeDocument/2006/relationships/hyperlink" Target="https://itmo.ktalk.ru/ufn5wfs8r22i" TargetMode="External"/><Relationship Id="rId7" Type="http://schemas.openxmlformats.org/officeDocument/2006/relationships/hyperlink" Target="https://itmo.ktalk.ru/em8yolj5ysiw" TargetMode="External"/><Relationship Id="rId12" Type="http://schemas.openxmlformats.org/officeDocument/2006/relationships/hyperlink" Target="https://itmo.ktalk.ru/j0em6gr9pi2x" TargetMode="External"/><Relationship Id="rId17" Type="http://schemas.openxmlformats.org/officeDocument/2006/relationships/hyperlink" Target="https://itmo.ktalk.ru/mtdrmok5cepk" TargetMode="External"/><Relationship Id="rId2" Type="http://schemas.openxmlformats.org/officeDocument/2006/relationships/hyperlink" Target="https://itmo.ktalk.ru/x0s9b05l71rw" TargetMode="External"/><Relationship Id="rId16" Type="http://schemas.openxmlformats.org/officeDocument/2006/relationships/hyperlink" Target="https://itmo.ktalk.ru/wc7d4c2adsgo" TargetMode="External"/><Relationship Id="rId1" Type="http://schemas.openxmlformats.org/officeDocument/2006/relationships/hyperlink" Target="https://itmo.ktalk.ru/vn8h7mt8m174" TargetMode="External"/><Relationship Id="rId6" Type="http://schemas.openxmlformats.org/officeDocument/2006/relationships/hyperlink" Target="https://itmo.ktalk.ru/tgu4qk52q0ww" TargetMode="External"/><Relationship Id="rId11" Type="http://schemas.openxmlformats.org/officeDocument/2006/relationships/hyperlink" Target="https://itmo.ktalk.ru/it0t4l816cv1" TargetMode="External"/><Relationship Id="rId5" Type="http://schemas.openxmlformats.org/officeDocument/2006/relationships/hyperlink" Target="https://itmo.ktalk.ru/yudk74vchoqv" TargetMode="External"/><Relationship Id="rId15" Type="http://schemas.openxmlformats.org/officeDocument/2006/relationships/hyperlink" Target="https://itmo.ktalk.ru/o9p0mahrj6xe" TargetMode="External"/><Relationship Id="rId10" Type="http://schemas.openxmlformats.org/officeDocument/2006/relationships/hyperlink" Target="https://itmo.ktalk.ru/qadnah1l6cog" TargetMode="External"/><Relationship Id="rId4" Type="http://schemas.openxmlformats.org/officeDocument/2006/relationships/hyperlink" Target="https://itmo.ktalk.ru/wyhhoyid6wyg" TargetMode="External"/><Relationship Id="rId9" Type="http://schemas.openxmlformats.org/officeDocument/2006/relationships/hyperlink" Target="https://itmo.ktalk.ru/mll9gj2ploqd" TargetMode="External"/><Relationship Id="rId14" Type="http://schemas.openxmlformats.org/officeDocument/2006/relationships/hyperlink" Target="https://itmo.ktalk.ru/bevjuflkmffi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t.me/caledonia_09" TargetMode="External"/><Relationship Id="rId13" Type="http://schemas.openxmlformats.org/officeDocument/2006/relationships/hyperlink" Target="https://t.me/Meruyert_nurysheva" TargetMode="External"/><Relationship Id="rId3" Type="http://schemas.openxmlformats.org/officeDocument/2006/relationships/hyperlink" Target="https://t.me/thekon3232" TargetMode="External"/><Relationship Id="rId7" Type="http://schemas.openxmlformats.org/officeDocument/2006/relationships/hyperlink" Target="https://t.me/anna_lutsenko" TargetMode="External"/><Relationship Id="rId12" Type="http://schemas.openxmlformats.org/officeDocument/2006/relationships/hyperlink" Target="https://t.me/ChrisLisbon" TargetMode="External"/><Relationship Id="rId2" Type="http://schemas.openxmlformats.org/officeDocument/2006/relationships/hyperlink" Target="https://t.me/petrgl" TargetMode="External"/><Relationship Id="rId1" Type="http://schemas.openxmlformats.org/officeDocument/2006/relationships/hyperlink" Target="https://t.me/sasha_hvat" TargetMode="External"/><Relationship Id="rId6" Type="http://schemas.openxmlformats.org/officeDocument/2006/relationships/hyperlink" Target="https://t.me/Meruyert_nurysheva" TargetMode="External"/><Relationship Id="rId11" Type="http://schemas.openxmlformats.org/officeDocument/2006/relationships/hyperlink" Target="https://t.me/ChrisLisbon" TargetMode="External"/><Relationship Id="rId5" Type="http://schemas.openxmlformats.org/officeDocument/2006/relationships/hyperlink" Target="https://t.me/alexeid77" TargetMode="External"/><Relationship Id="rId10" Type="http://schemas.openxmlformats.org/officeDocument/2006/relationships/hyperlink" Target="https://t.me/nicl_nno" TargetMode="External"/><Relationship Id="rId4" Type="http://schemas.openxmlformats.org/officeDocument/2006/relationships/hyperlink" Target="https://t.me/kalyuzhnaya" TargetMode="External"/><Relationship Id="rId9" Type="http://schemas.openxmlformats.org/officeDocument/2006/relationships/hyperlink" Target="https://t.me/Ivan_h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5332"/>
  <sheetViews>
    <sheetView workbookViewId="0"/>
  </sheetViews>
  <sheetFormatPr baseColWidth="10" defaultColWidth="12.6640625" defaultRowHeight="15.75" customHeight="1"/>
  <cols>
    <col min="3" max="3" width="26.6640625" customWidth="1"/>
  </cols>
  <sheetData>
    <row r="1" spans="1:4" ht="15.75" customHeight="1">
      <c r="A1" s="7" t="s">
        <v>0</v>
      </c>
      <c r="B1" s="7" t="s">
        <v>1</v>
      </c>
      <c r="C1" s="7" t="s">
        <v>2</v>
      </c>
      <c r="D1" s="7" t="s">
        <v>3</v>
      </c>
    </row>
    <row r="2" spans="1:4" ht="15.75" hidden="1" customHeight="1">
      <c r="A2" s="7" t="s">
        <v>4</v>
      </c>
      <c r="B2" s="7" t="s">
        <v>5</v>
      </c>
      <c r="C2" s="7" t="s">
        <v>6</v>
      </c>
      <c r="D2" s="7" t="e">
        <f t="array" ref="D2">_xlfn.XLOOKUP(C2,#REF!,#REF!,0)</f>
        <v>#REF!</v>
      </c>
    </row>
    <row r="3" spans="1:4" ht="15.75" customHeight="1">
      <c r="A3" s="7" t="s">
        <v>7</v>
      </c>
      <c r="B3" s="7" t="s">
        <v>8</v>
      </c>
      <c r="C3" s="7" t="s">
        <v>9</v>
      </c>
      <c r="D3" s="7" t="e">
        <f t="array" ref="D3">_xlfn.XLOOKUP(C3,#REF!,#REF!,0)</f>
        <v>#REF!</v>
      </c>
    </row>
    <row r="4" spans="1:4" ht="15.75" hidden="1" customHeight="1">
      <c r="A4" s="7" t="s">
        <v>10</v>
      </c>
      <c r="B4" s="7" t="s">
        <v>11</v>
      </c>
      <c r="C4" s="7" t="s">
        <v>12</v>
      </c>
      <c r="D4" s="7" t="e">
        <f t="array" ref="D4">_xlfn.XLOOKUP(C4,#REF!,#REF!,0)</f>
        <v>#REF!</v>
      </c>
    </row>
    <row r="5" spans="1:4" ht="15.75" customHeight="1">
      <c r="A5" s="7" t="s">
        <v>13</v>
      </c>
      <c r="B5" s="7" t="s">
        <v>14</v>
      </c>
      <c r="C5" s="7" t="s">
        <v>14</v>
      </c>
      <c r="D5" s="7" t="e">
        <f t="array" ref="D5">_xlfn.XLOOKUP(C5,#REF!,#REF!,0)</f>
        <v>#REF!</v>
      </c>
    </row>
    <row r="6" spans="1:4" ht="15.75" customHeight="1">
      <c r="A6" s="7" t="s">
        <v>15</v>
      </c>
      <c r="B6" s="7" t="s">
        <v>16</v>
      </c>
      <c r="C6" s="7" t="s">
        <v>16</v>
      </c>
      <c r="D6" s="7" t="e">
        <f t="array" ref="D6">_xlfn.XLOOKUP(C6,#REF!,#REF!,0)</f>
        <v>#REF!</v>
      </c>
    </row>
    <row r="7" spans="1:4" ht="15.75" customHeight="1">
      <c r="A7" s="7" t="s">
        <v>17</v>
      </c>
      <c r="B7" s="7" t="s">
        <v>18</v>
      </c>
      <c r="C7" s="7" t="s">
        <v>19</v>
      </c>
      <c r="D7" s="7" t="e">
        <f t="array" ref="D7">_xlfn.XLOOKUP(C7,#REF!,#REF!,0)</f>
        <v>#REF!</v>
      </c>
    </row>
    <row r="8" spans="1:4" ht="15.75" customHeight="1">
      <c r="A8" s="7" t="s">
        <v>20</v>
      </c>
      <c r="B8" s="7" t="s">
        <v>21</v>
      </c>
      <c r="C8" s="7" t="s">
        <v>22</v>
      </c>
      <c r="D8" s="7" t="e">
        <f t="array" ref="D8">_xlfn.XLOOKUP(C8,#REF!,#REF!,0)</f>
        <v>#REF!</v>
      </c>
    </row>
    <row r="9" spans="1:4" ht="15.75" customHeight="1">
      <c r="A9" s="7" t="s">
        <v>23</v>
      </c>
      <c r="B9" s="7" t="s">
        <v>24</v>
      </c>
      <c r="C9" s="7" t="s">
        <v>24</v>
      </c>
      <c r="D9" s="7" t="e">
        <f t="array" ref="D9">_xlfn.XLOOKUP(C9,#REF!,#REF!,0)</f>
        <v>#REF!</v>
      </c>
    </row>
    <row r="10" spans="1:4" ht="15.75" customHeight="1">
      <c r="A10" s="7" t="s">
        <v>25</v>
      </c>
      <c r="B10" s="7" t="s">
        <v>26</v>
      </c>
      <c r="C10" s="7" t="s">
        <v>26</v>
      </c>
      <c r="D10" s="7" t="e">
        <f t="array" ref="D10">_xlfn.XLOOKUP(C10,#REF!,#REF!,0)</f>
        <v>#REF!</v>
      </c>
    </row>
    <row r="11" spans="1:4" ht="15.75" customHeight="1">
      <c r="A11" s="7" t="s">
        <v>27</v>
      </c>
      <c r="B11" s="7" t="s">
        <v>28</v>
      </c>
      <c r="C11" s="7" t="s">
        <v>28</v>
      </c>
      <c r="D11" s="7" t="e">
        <f t="array" ref="D11">_xlfn.XLOOKUP(C11,#REF!,#REF!,0)</f>
        <v>#REF!</v>
      </c>
    </row>
    <row r="12" spans="1:4" ht="15.75" hidden="1" customHeight="1">
      <c r="A12" s="7" t="s">
        <v>29</v>
      </c>
      <c r="B12" s="7" t="s">
        <v>30</v>
      </c>
      <c r="C12" s="7" t="s">
        <v>30</v>
      </c>
      <c r="D12" s="7" t="e">
        <f t="array" ref="D12">_xlfn.XLOOKUP(C12,#REF!,#REF!,0)</f>
        <v>#REF!</v>
      </c>
    </row>
    <row r="13" spans="1:4" ht="15.75" hidden="1" customHeight="1">
      <c r="A13" s="7" t="s">
        <v>31</v>
      </c>
      <c r="B13" s="7" t="s">
        <v>32</v>
      </c>
      <c r="C13" s="7" t="s">
        <v>32</v>
      </c>
      <c r="D13" s="7" t="e">
        <f t="array" ref="D13">_xlfn.XLOOKUP(C13,#REF!,#REF!,0)</f>
        <v>#REF!</v>
      </c>
    </row>
    <row r="14" spans="1:4" ht="15.75" customHeight="1">
      <c r="A14" s="7" t="s">
        <v>33</v>
      </c>
      <c r="B14" s="7" t="s">
        <v>34</v>
      </c>
      <c r="C14" s="7" t="s">
        <v>35</v>
      </c>
      <c r="D14" s="7" t="e">
        <f t="array" ref="D14">_xlfn.XLOOKUP(C14,#REF!,#REF!,0)</f>
        <v>#REF!</v>
      </c>
    </row>
    <row r="15" spans="1:4" ht="15.75" hidden="1" customHeight="1">
      <c r="A15" s="7" t="s">
        <v>36</v>
      </c>
      <c r="B15" s="7" t="s">
        <v>37</v>
      </c>
      <c r="C15" s="7" t="s">
        <v>38</v>
      </c>
      <c r="D15" s="7" t="e">
        <f t="array" ref="D15">_xlfn.XLOOKUP(C15,#REF!,#REF!,0)</f>
        <v>#REF!</v>
      </c>
    </row>
    <row r="16" spans="1:4" ht="15.75" customHeight="1">
      <c r="A16" s="7" t="s">
        <v>39</v>
      </c>
      <c r="B16" s="7" t="s">
        <v>40</v>
      </c>
      <c r="C16" s="7" t="s">
        <v>40</v>
      </c>
      <c r="D16" s="7" t="e">
        <f t="array" ref="D16">_xlfn.XLOOKUP(C16,#REF!,#REF!,0)</f>
        <v>#REF!</v>
      </c>
    </row>
    <row r="17" spans="1:4" ht="15.75" customHeight="1">
      <c r="A17" s="7" t="s">
        <v>41</v>
      </c>
      <c r="B17" s="7" t="s">
        <v>42</v>
      </c>
      <c r="C17" s="7" t="s">
        <v>43</v>
      </c>
      <c r="D17" s="7" t="e">
        <f t="array" ref="D17">_xlfn.XLOOKUP(C17,#REF!,#REF!,0)</f>
        <v>#REF!</v>
      </c>
    </row>
    <row r="18" spans="1:4" ht="15.75" hidden="1" customHeight="1">
      <c r="A18" s="7" t="s">
        <v>44</v>
      </c>
      <c r="B18" s="7" t="s">
        <v>45</v>
      </c>
      <c r="C18" s="7" t="s">
        <v>45</v>
      </c>
      <c r="D18" s="7" t="e">
        <f t="array" ref="D18">_xlfn.XLOOKUP(C18,#REF!,#REF!,0)</f>
        <v>#REF!</v>
      </c>
    </row>
    <row r="19" spans="1:4" ht="15.75" hidden="1" customHeight="1">
      <c r="A19" s="7" t="s">
        <v>46</v>
      </c>
      <c r="B19" s="7" t="s">
        <v>47</v>
      </c>
      <c r="C19" s="7" t="s">
        <v>47</v>
      </c>
      <c r="D19" s="7" t="e">
        <f t="array" ref="D19">_xlfn.XLOOKUP(C19,#REF!,#REF!,0)</f>
        <v>#REF!</v>
      </c>
    </row>
    <row r="20" spans="1:4" ht="15.75" customHeight="1">
      <c r="A20" s="7" t="s">
        <v>48</v>
      </c>
      <c r="B20" s="7" t="s">
        <v>49</v>
      </c>
      <c r="C20" s="7" t="s">
        <v>50</v>
      </c>
      <c r="D20" s="7" t="e">
        <f t="array" ref="D20">_xlfn.XLOOKUP(C20,#REF!,#REF!,0)</f>
        <v>#REF!</v>
      </c>
    </row>
    <row r="21" spans="1:4" ht="15.75" customHeight="1">
      <c r="A21" s="7" t="s">
        <v>51</v>
      </c>
      <c r="B21" s="7" t="s">
        <v>52</v>
      </c>
      <c r="C21" s="7" t="s">
        <v>53</v>
      </c>
      <c r="D21" s="7" t="e">
        <f t="array" ref="D21">_xlfn.XLOOKUP(C21,#REF!,#REF!,0)</f>
        <v>#REF!</v>
      </c>
    </row>
    <row r="22" spans="1:4" ht="15.75" customHeight="1">
      <c r="A22" s="7" t="s">
        <v>54</v>
      </c>
      <c r="B22" s="7" t="s">
        <v>55</v>
      </c>
      <c r="C22" s="7" t="s">
        <v>56</v>
      </c>
      <c r="D22" s="7" t="e">
        <f t="array" ref="D22">_xlfn.XLOOKUP(C22,#REF!,#REF!,0)</f>
        <v>#REF!</v>
      </c>
    </row>
    <row r="23" spans="1:4" ht="15.75" customHeight="1">
      <c r="A23" s="7" t="s">
        <v>57</v>
      </c>
      <c r="B23" s="7" t="s">
        <v>58</v>
      </c>
      <c r="C23" s="7" t="s">
        <v>59</v>
      </c>
      <c r="D23" s="7" t="e">
        <f t="array" ref="D23">_xlfn.XLOOKUP(C23,#REF!,#REF!,0)</f>
        <v>#REF!</v>
      </c>
    </row>
    <row r="24" spans="1:4" ht="15.75" customHeight="1">
      <c r="A24" s="7" t="s">
        <v>60</v>
      </c>
      <c r="B24" s="7" t="s">
        <v>61</v>
      </c>
      <c r="C24" s="7" t="s">
        <v>62</v>
      </c>
      <c r="D24" s="7" t="e">
        <f t="array" ref="D24">_xlfn.XLOOKUP(C24,#REF!,#REF!,0)</f>
        <v>#REF!</v>
      </c>
    </row>
    <row r="25" spans="1:4" ht="15.75" customHeight="1">
      <c r="A25" s="7" t="s">
        <v>63</v>
      </c>
      <c r="B25" s="7" t="s">
        <v>64</v>
      </c>
      <c r="C25" s="7" t="s">
        <v>64</v>
      </c>
      <c r="D25" s="7" t="e">
        <f t="array" ref="D25">_xlfn.XLOOKUP(C25,#REF!,#REF!,0)</f>
        <v>#REF!</v>
      </c>
    </row>
    <row r="26" spans="1:4" ht="15.75" customHeight="1">
      <c r="A26" s="7" t="s">
        <v>65</v>
      </c>
      <c r="B26" s="7" t="s">
        <v>66</v>
      </c>
      <c r="C26" s="7" t="s">
        <v>67</v>
      </c>
      <c r="D26" s="7" t="e">
        <f t="array" ref="D26">_xlfn.XLOOKUP(C26,#REF!,#REF!,0)</f>
        <v>#REF!</v>
      </c>
    </row>
    <row r="27" spans="1:4" ht="15.75" customHeight="1">
      <c r="A27" s="7" t="s">
        <v>68</v>
      </c>
      <c r="B27" s="7" t="s">
        <v>69</v>
      </c>
      <c r="C27" s="7" t="s">
        <v>70</v>
      </c>
      <c r="D27" s="7" t="e">
        <f t="array" ref="D27">_xlfn.XLOOKUP(C27,#REF!,#REF!,0)</f>
        <v>#REF!</v>
      </c>
    </row>
    <row r="28" spans="1:4" ht="15.75" customHeight="1">
      <c r="A28" s="7" t="s">
        <v>71</v>
      </c>
      <c r="B28" s="7" t="s">
        <v>72</v>
      </c>
      <c r="C28" s="7" t="s">
        <v>73</v>
      </c>
      <c r="D28" s="7" t="e">
        <f t="array" ref="D28">_xlfn.XLOOKUP(C28,#REF!,#REF!,0)</f>
        <v>#REF!</v>
      </c>
    </row>
    <row r="29" spans="1:4" ht="15.75" hidden="1" customHeight="1">
      <c r="A29" s="7" t="s">
        <v>74</v>
      </c>
      <c r="B29" s="7" t="s">
        <v>75</v>
      </c>
      <c r="C29" s="7" t="s">
        <v>75</v>
      </c>
      <c r="D29" s="7" t="e">
        <f t="array" ref="D29">_xlfn.XLOOKUP(C29,#REF!,#REF!,0)</f>
        <v>#REF!</v>
      </c>
    </row>
    <row r="30" spans="1:4" ht="15.75" customHeight="1">
      <c r="A30" s="7" t="s">
        <v>76</v>
      </c>
      <c r="B30" s="7" t="s">
        <v>77</v>
      </c>
      <c r="C30" s="7" t="s">
        <v>78</v>
      </c>
      <c r="D30" s="7" t="e">
        <f t="array" ref="D30">_xlfn.XLOOKUP(C30,#REF!,#REF!,0)</f>
        <v>#REF!</v>
      </c>
    </row>
    <row r="31" spans="1:4" ht="15.75" customHeight="1">
      <c r="A31" s="7" t="s">
        <v>79</v>
      </c>
      <c r="B31" s="7" t="s">
        <v>80</v>
      </c>
      <c r="C31" s="7" t="s">
        <v>80</v>
      </c>
      <c r="D31" s="7" t="e">
        <f t="array" ref="D31">_xlfn.XLOOKUP(C31,#REF!,#REF!,0)</f>
        <v>#REF!</v>
      </c>
    </row>
    <row r="32" spans="1:4" ht="15.75" customHeight="1">
      <c r="A32" s="7" t="s">
        <v>81</v>
      </c>
      <c r="B32" s="7" t="s">
        <v>82</v>
      </c>
      <c r="C32" s="7" t="s">
        <v>83</v>
      </c>
      <c r="D32" s="7" t="e">
        <f t="array" ref="D32">_xlfn.XLOOKUP(C32,#REF!,#REF!,0)</f>
        <v>#REF!</v>
      </c>
    </row>
    <row r="33" spans="1:4" ht="15.75" customHeight="1">
      <c r="A33" s="7" t="s">
        <v>84</v>
      </c>
      <c r="B33" s="7" t="s">
        <v>85</v>
      </c>
      <c r="C33" s="7" t="s">
        <v>85</v>
      </c>
      <c r="D33" s="7" t="e">
        <f t="array" ref="D33">_xlfn.XLOOKUP(C33,#REF!,#REF!,0)</f>
        <v>#REF!</v>
      </c>
    </row>
    <row r="34" spans="1:4" ht="15.75" hidden="1" customHeight="1">
      <c r="A34" s="7" t="s">
        <v>86</v>
      </c>
      <c r="B34" s="7" t="s">
        <v>87</v>
      </c>
      <c r="C34" s="7" t="s">
        <v>88</v>
      </c>
      <c r="D34" s="7" t="e">
        <f t="array" ref="D34">_xlfn.XLOOKUP(C34,#REF!,#REF!,0)</f>
        <v>#REF!</v>
      </c>
    </row>
    <row r="35" spans="1:4" ht="15.75" customHeight="1">
      <c r="A35" s="7" t="s">
        <v>89</v>
      </c>
      <c r="B35" s="7" t="s">
        <v>90</v>
      </c>
      <c r="C35" s="7" t="s">
        <v>91</v>
      </c>
      <c r="D35" s="7" t="e">
        <f t="array" ref="D35">_xlfn.XLOOKUP(C35,#REF!,#REF!,0)</f>
        <v>#REF!</v>
      </c>
    </row>
    <row r="36" spans="1:4" ht="15.75" customHeight="1">
      <c r="A36" s="7" t="s">
        <v>92</v>
      </c>
      <c r="B36" s="7" t="s">
        <v>93</v>
      </c>
      <c r="C36" s="7" t="s">
        <v>94</v>
      </c>
      <c r="D36" s="7" t="e">
        <f t="array" ref="D36">_xlfn.XLOOKUP(C36,#REF!,#REF!,0)</f>
        <v>#REF!</v>
      </c>
    </row>
    <row r="37" spans="1:4" ht="15.75" hidden="1" customHeight="1">
      <c r="A37" s="7" t="s">
        <v>95</v>
      </c>
      <c r="B37" s="7" t="s">
        <v>96</v>
      </c>
      <c r="C37" s="7" t="s">
        <v>96</v>
      </c>
      <c r="D37" s="7" t="e">
        <f t="array" ref="D37">_xlfn.XLOOKUP(C37,#REF!,#REF!,0)</f>
        <v>#REF!</v>
      </c>
    </row>
    <row r="38" spans="1:4" ht="15.75" customHeight="1">
      <c r="A38" s="7" t="s">
        <v>97</v>
      </c>
      <c r="B38" s="7" t="s">
        <v>98</v>
      </c>
      <c r="C38" s="7" t="s">
        <v>99</v>
      </c>
      <c r="D38" s="7" t="e">
        <f t="array" ref="D38">_xlfn.XLOOKUP(C38,#REF!,#REF!,0)</f>
        <v>#REF!</v>
      </c>
    </row>
    <row r="39" spans="1:4" ht="15.75" customHeight="1">
      <c r="A39" s="7" t="s">
        <v>100</v>
      </c>
      <c r="B39" s="7" t="s">
        <v>101</v>
      </c>
      <c r="C39" s="7" t="s">
        <v>102</v>
      </c>
      <c r="D39" s="7" t="e">
        <f t="array" ref="D39">_xlfn.XLOOKUP(C39,#REF!,#REF!,0)</f>
        <v>#REF!</v>
      </c>
    </row>
    <row r="40" spans="1:4" ht="15.75" customHeight="1">
      <c r="A40" s="7" t="s">
        <v>103</v>
      </c>
      <c r="B40" s="7" t="s">
        <v>104</v>
      </c>
      <c r="C40" s="7" t="s">
        <v>105</v>
      </c>
      <c r="D40" s="7" t="e">
        <f t="array" ref="D40">_xlfn.XLOOKUP(C40,#REF!,#REF!,0)</f>
        <v>#REF!</v>
      </c>
    </row>
    <row r="41" spans="1:4" ht="15.75" hidden="1" customHeight="1">
      <c r="A41" s="7" t="s">
        <v>106</v>
      </c>
      <c r="B41" s="7" t="s">
        <v>107</v>
      </c>
      <c r="C41" s="7" t="s">
        <v>108</v>
      </c>
      <c r="D41" s="7" t="e">
        <f t="array" ref="D41">_xlfn.XLOOKUP(C41,#REF!,#REF!,0)</f>
        <v>#REF!</v>
      </c>
    </row>
    <row r="42" spans="1:4" ht="15.75" hidden="1" customHeight="1">
      <c r="A42" s="7" t="s">
        <v>109</v>
      </c>
      <c r="B42" s="7" t="s">
        <v>110</v>
      </c>
      <c r="C42" s="7" t="s">
        <v>111</v>
      </c>
      <c r="D42" s="7" t="e">
        <f t="array" ref="D42">_xlfn.XLOOKUP(C42,#REF!,#REF!,0)</f>
        <v>#REF!</v>
      </c>
    </row>
    <row r="43" spans="1:4" ht="15.75" hidden="1" customHeight="1">
      <c r="A43" s="7" t="s">
        <v>112</v>
      </c>
      <c r="B43" s="7" t="s">
        <v>113</v>
      </c>
      <c r="C43" s="7" t="s">
        <v>114</v>
      </c>
      <c r="D43" s="7" t="e">
        <f t="array" ref="D43">_xlfn.XLOOKUP(C43,#REF!,#REF!,0)</f>
        <v>#REF!</v>
      </c>
    </row>
    <row r="44" spans="1:4" ht="15.75" hidden="1" customHeight="1">
      <c r="A44" s="7" t="s">
        <v>115</v>
      </c>
      <c r="B44" s="7" t="s">
        <v>116</v>
      </c>
      <c r="C44" s="7" t="s">
        <v>117</v>
      </c>
      <c r="D44" s="7" t="e">
        <f t="array" ref="D44">_xlfn.XLOOKUP(C44,#REF!,#REF!,0)</f>
        <v>#REF!</v>
      </c>
    </row>
    <row r="45" spans="1:4" ht="15.75" customHeight="1">
      <c r="A45" s="7" t="s">
        <v>118</v>
      </c>
      <c r="B45" s="7" t="s">
        <v>119</v>
      </c>
      <c r="C45" s="7" t="s">
        <v>120</v>
      </c>
      <c r="D45" s="7" t="e">
        <f t="array" ref="D45">_xlfn.XLOOKUP(C45,#REF!,#REF!,0)</f>
        <v>#REF!</v>
      </c>
    </row>
    <row r="46" spans="1:4" ht="15.75" customHeight="1">
      <c r="A46" s="7" t="s">
        <v>121</v>
      </c>
      <c r="B46" s="7" t="s">
        <v>122</v>
      </c>
      <c r="C46" s="7" t="s">
        <v>73</v>
      </c>
      <c r="D46" s="7" t="e">
        <f t="array" ref="D46">_xlfn.XLOOKUP(C46,#REF!,#REF!,0)</f>
        <v>#REF!</v>
      </c>
    </row>
    <row r="47" spans="1:4" ht="15.75" customHeight="1">
      <c r="A47" s="7" t="s">
        <v>123</v>
      </c>
      <c r="B47" s="7" t="s">
        <v>124</v>
      </c>
      <c r="C47" s="7" t="s">
        <v>124</v>
      </c>
      <c r="D47" s="7" t="e">
        <f t="array" ref="D47">_xlfn.XLOOKUP(C47,#REF!,#REF!,0)</f>
        <v>#REF!</v>
      </c>
    </row>
    <row r="48" spans="1:4" ht="15.75" hidden="1" customHeight="1">
      <c r="A48" s="7" t="s">
        <v>125</v>
      </c>
      <c r="B48" s="7" t="s">
        <v>126</v>
      </c>
      <c r="C48" s="7" t="s">
        <v>127</v>
      </c>
      <c r="D48" s="7" t="e">
        <f t="array" ref="D48">_xlfn.XLOOKUP(C48,#REF!,#REF!,0)</f>
        <v>#REF!</v>
      </c>
    </row>
    <row r="49" spans="1:4" ht="15.75" customHeight="1">
      <c r="A49" s="7" t="s">
        <v>128</v>
      </c>
      <c r="B49" s="7" t="s">
        <v>129</v>
      </c>
      <c r="C49" s="7" t="s">
        <v>130</v>
      </c>
      <c r="D49" s="7" t="e">
        <f t="array" ref="D49">_xlfn.XLOOKUP(C49,#REF!,#REF!,0)</f>
        <v>#REF!</v>
      </c>
    </row>
    <row r="50" spans="1:4" ht="15.75" hidden="1" customHeight="1">
      <c r="A50" s="7" t="s">
        <v>131</v>
      </c>
      <c r="B50" s="7" t="s">
        <v>132</v>
      </c>
      <c r="C50" s="7" t="s">
        <v>133</v>
      </c>
      <c r="D50" s="7" t="e">
        <f t="array" ref="D50">_xlfn.XLOOKUP(C50,#REF!,#REF!,0)</f>
        <v>#REF!</v>
      </c>
    </row>
    <row r="51" spans="1:4" ht="15.75" customHeight="1">
      <c r="A51" s="7" t="s">
        <v>134</v>
      </c>
      <c r="B51" s="7" t="s">
        <v>135</v>
      </c>
      <c r="C51" s="7" t="s">
        <v>136</v>
      </c>
      <c r="D51" s="7" t="e">
        <f t="array" ref="D51">_xlfn.XLOOKUP(C51,#REF!,#REF!,0)</f>
        <v>#REF!</v>
      </c>
    </row>
    <row r="52" spans="1:4" ht="15.75" hidden="1" customHeight="1">
      <c r="A52" s="7" t="s">
        <v>137</v>
      </c>
      <c r="B52" s="7" t="s">
        <v>138</v>
      </c>
      <c r="C52" s="7" t="s">
        <v>139</v>
      </c>
      <c r="D52" s="7" t="e">
        <f t="array" ref="D52">_xlfn.XLOOKUP(C52,#REF!,#REF!,0)</f>
        <v>#REF!</v>
      </c>
    </row>
    <row r="53" spans="1:4" ht="15.75" hidden="1" customHeight="1">
      <c r="A53" s="7" t="s">
        <v>140</v>
      </c>
      <c r="B53" s="7" t="s">
        <v>141</v>
      </c>
      <c r="C53" s="7" t="s">
        <v>142</v>
      </c>
      <c r="D53" s="7" t="e">
        <f t="array" ref="D53">_xlfn.XLOOKUP(C53,#REF!,#REF!,0)</f>
        <v>#REF!</v>
      </c>
    </row>
    <row r="54" spans="1:4" ht="15.75" customHeight="1">
      <c r="A54" s="7" t="s">
        <v>143</v>
      </c>
      <c r="B54" s="7" t="s">
        <v>144</v>
      </c>
      <c r="C54" s="7" t="s">
        <v>145</v>
      </c>
      <c r="D54" s="7" t="e">
        <f t="array" ref="D54">_xlfn.XLOOKUP(C54,#REF!,#REF!,0)</f>
        <v>#REF!</v>
      </c>
    </row>
    <row r="55" spans="1:4" ht="15.75" customHeight="1">
      <c r="A55" s="7" t="s">
        <v>146</v>
      </c>
      <c r="B55" s="7" t="s">
        <v>147</v>
      </c>
      <c r="C55" s="7" t="s">
        <v>148</v>
      </c>
      <c r="D55" s="7" t="e">
        <f t="array" ref="D55">_xlfn.XLOOKUP(C55,#REF!,#REF!,0)</f>
        <v>#REF!</v>
      </c>
    </row>
    <row r="56" spans="1:4" ht="15.75" customHeight="1">
      <c r="A56" s="7" t="s">
        <v>149</v>
      </c>
      <c r="B56" s="7" t="s">
        <v>150</v>
      </c>
      <c r="C56" s="7" t="s">
        <v>150</v>
      </c>
      <c r="D56" s="7" t="e">
        <f t="array" ref="D56">_xlfn.XLOOKUP(C56,#REF!,#REF!,0)</f>
        <v>#REF!</v>
      </c>
    </row>
    <row r="57" spans="1:4" ht="15.75" customHeight="1">
      <c r="A57" s="7" t="s">
        <v>151</v>
      </c>
      <c r="B57" s="7" t="s">
        <v>152</v>
      </c>
      <c r="C57" s="7" t="s">
        <v>152</v>
      </c>
      <c r="D57" s="7" t="e">
        <f t="array" ref="D57">_xlfn.XLOOKUP(C57,#REF!,#REF!,0)</f>
        <v>#REF!</v>
      </c>
    </row>
    <row r="58" spans="1:4" ht="15.75" customHeight="1">
      <c r="A58" s="7" t="s">
        <v>153</v>
      </c>
      <c r="B58" s="7" t="s">
        <v>154</v>
      </c>
      <c r="C58" s="7" t="s">
        <v>155</v>
      </c>
      <c r="D58" s="7" t="e">
        <f t="array" ref="D58">_xlfn.XLOOKUP(C58,#REF!,#REF!,0)</f>
        <v>#REF!</v>
      </c>
    </row>
    <row r="59" spans="1:4" ht="15.75" customHeight="1">
      <c r="A59" s="7" t="s">
        <v>156</v>
      </c>
      <c r="B59" s="7" t="s">
        <v>157</v>
      </c>
      <c r="C59" s="7" t="s">
        <v>158</v>
      </c>
      <c r="D59" s="7" t="e">
        <f t="array" ref="D59">_xlfn.XLOOKUP(C59,#REF!,#REF!,0)</f>
        <v>#REF!</v>
      </c>
    </row>
    <row r="60" spans="1:4" ht="15.75" customHeight="1">
      <c r="A60" s="7" t="s">
        <v>159</v>
      </c>
      <c r="B60" s="7" t="s">
        <v>160</v>
      </c>
      <c r="C60" s="7" t="s">
        <v>160</v>
      </c>
      <c r="D60" s="7" t="e">
        <f t="array" ref="D60">_xlfn.XLOOKUP(C60,#REF!,#REF!,0)</f>
        <v>#REF!</v>
      </c>
    </row>
    <row r="61" spans="1:4" ht="15.75" customHeight="1">
      <c r="A61" s="7" t="s">
        <v>161</v>
      </c>
      <c r="B61" s="7" t="s">
        <v>162</v>
      </c>
      <c r="C61" s="7" t="s">
        <v>163</v>
      </c>
      <c r="D61" s="7" t="e">
        <f t="array" ref="D61">_xlfn.XLOOKUP(C61,#REF!,#REF!,0)</f>
        <v>#REF!</v>
      </c>
    </row>
    <row r="62" spans="1:4" ht="15.75" customHeight="1">
      <c r="A62" s="7" t="s">
        <v>164</v>
      </c>
      <c r="B62" s="7" t="s">
        <v>165</v>
      </c>
      <c r="C62" s="7" t="s">
        <v>165</v>
      </c>
      <c r="D62" s="7" t="e">
        <f t="array" ref="D62">_xlfn.XLOOKUP(C62,#REF!,#REF!,0)</f>
        <v>#REF!</v>
      </c>
    </row>
    <row r="63" spans="1:4" ht="15.75" customHeight="1">
      <c r="A63" s="7" t="s">
        <v>166</v>
      </c>
      <c r="B63" s="7" t="s">
        <v>167</v>
      </c>
      <c r="C63" s="7" t="s">
        <v>168</v>
      </c>
      <c r="D63" s="7" t="e">
        <f t="array" ref="D63">_xlfn.XLOOKUP(C63,#REF!,#REF!,0)</f>
        <v>#REF!</v>
      </c>
    </row>
    <row r="64" spans="1:4" ht="15.75" customHeight="1">
      <c r="A64" s="7" t="s">
        <v>169</v>
      </c>
      <c r="B64" s="7" t="s">
        <v>170</v>
      </c>
      <c r="C64" s="7" t="s">
        <v>170</v>
      </c>
      <c r="D64" s="7" t="e">
        <f t="array" ref="D64">_xlfn.XLOOKUP(C64,#REF!,#REF!,0)</f>
        <v>#REF!</v>
      </c>
    </row>
    <row r="65" spans="1:4" ht="15.75" customHeight="1">
      <c r="A65" s="7" t="s">
        <v>171</v>
      </c>
      <c r="B65" s="7" t="s">
        <v>172</v>
      </c>
      <c r="C65" s="7" t="s">
        <v>173</v>
      </c>
      <c r="D65" s="7" t="e">
        <f t="array" ref="D65">_xlfn.XLOOKUP(C65,#REF!,#REF!,0)</f>
        <v>#REF!</v>
      </c>
    </row>
    <row r="66" spans="1:4" ht="15.75" customHeight="1">
      <c r="A66" s="7" t="s">
        <v>174</v>
      </c>
      <c r="B66" s="7" t="s">
        <v>175</v>
      </c>
      <c r="C66" s="7" t="s">
        <v>176</v>
      </c>
      <c r="D66" s="7" t="e">
        <f t="array" ref="D66">_xlfn.XLOOKUP(C66,#REF!,#REF!,0)</f>
        <v>#REF!</v>
      </c>
    </row>
    <row r="67" spans="1:4" ht="15.75" customHeight="1">
      <c r="A67" s="7" t="s">
        <v>177</v>
      </c>
      <c r="B67" s="7" t="s">
        <v>178</v>
      </c>
      <c r="C67" s="7" t="s">
        <v>179</v>
      </c>
      <c r="D67" s="7" t="e">
        <f t="array" ref="D67">_xlfn.XLOOKUP(C67,#REF!,#REF!,0)</f>
        <v>#REF!</v>
      </c>
    </row>
    <row r="68" spans="1:4" ht="15.75" customHeight="1">
      <c r="A68" s="7" t="s">
        <v>180</v>
      </c>
      <c r="B68" s="7" t="s">
        <v>181</v>
      </c>
      <c r="C68" s="7" t="s">
        <v>181</v>
      </c>
      <c r="D68" s="7" t="e">
        <f t="array" ref="D68">_xlfn.XLOOKUP(C68,#REF!,#REF!,0)</f>
        <v>#REF!</v>
      </c>
    </row>
    <row r="69" spans="1:4" ht="15.75" customHeight="1">
      <c r="A69" s="7" t="s">
        <v>182</v>
      </c>
      <c r="B69" s="7" t="s">
        <v>183</v>
      </c>
      <c r="C69" s="7" t="s">
        <v>184</v>
      </c>
      <c r="D69" s="7" t="e">
        <f t="array" ref="D69">_xlfn.XLOOKUP(C69,#REF!,#REF!,0)</f>
        <v>#REF!</v>
      </c>
    </row>
    <row r="70" spans="1:4" ht="15.75" customHeight="1">
      <c r="A70" s="7" t="s">
        <v>185</v>
      </c>
      <c r="B70" s="7" t="s">
        <v>186</v>
      </c>
      <c r="C70" s="7" t="s">
        <v>186</v>
      </c>
      <c r="D70" s="7" t="e">
        <f t="array" ref="D70">_xlfn.XLOOKUP(C70,#REF!,#REF!,0)</f>
        <v>#REF!</v>
      </c>
    </row>
    <row r="71" spans="1:4" ht="15.75" customHeight="1">
      <c r="A71" s="7" t="s">
        <v>187</v>
      </c>
      <c r="B71" s="7" t="s">
        <v>188</v>
      </c>
      <c r="C71" s="7" t="s">
        <v>189</v>
      </c>
      <c r="D71" s="7" t="e">
        <f t="array" ref="D71">_xlfn.XLOOKUP(C71,#REF!,#REF!,0)</f>
        <v>#REF!</v>
      </c>
    </row>
    <row r="72" spans="1:4" ht="15.75" customHeight="1">
      <c r="A72" s="7" t="s">
        <v>190</v>
      </c>
      <c r="B72" s="7" t="s">
        <v>191</v>
      </c>
      <c r="C72" s="7" t="s">
        <v>192</v>
      </c>
      <c r="D72" s="7" t="e">
        <f t="array" ref="D72">_xlfn.XLOOKUP(C72,#REF!,#REF!,0)</f>
        <v>#REF!</v>
      </c>
    </row>
    <row r="73" spans="1:4" ht="15.75" customHeight="1">
      <c r="A73" s="7" t="s">
        <v>193</v>
      </c>
      <c r="B73" s="7" t="s">
        <v>194</v>
      </c>
      <c r="C73" s="7" t="s">
        <v>195</v>
      </c>
      <c r="D73" s="7" t="e">
        <f t="array" ref="D73">_xlfn.XLOOKUP(C73,#REF!,#REF!,0)</f>
        <v>#REF!</v>
      </c>
    </row>
    <row r="74" spans="1:4" ht="15.75" customHeight="1">
      <c r="A74" s="7" t="s">
        <v>196</v>
      </c>
      <c r="B74" s="7" t="s">
        <v>197</v>
      </c>
      <c r="C74" s="7" t="s">
        <v>197</v>
      </c>
      <c r="D74" s="7" t="e">
        <f t="array" ref="D74">_xlfn.XLOOKUP(C74,#REF!,#REF!,0)</f>
        <v>#REF!</v>
      </c>
    </row>
    <row r="75" spans="1:4" ht="15.75" customHeight="1">
      <c r="A75" s="7" t="s">
        <v>198</v>
      </c>
      <c r="B75" s="7" t="s">
        <v>199</v>
      </c>
      <c r="C75" s="7" t="s">
        <v>199</v>
      </c>
      <c r="D75" s="7" t="e">
        <f t="array" ref="D75">_xlfn.XLOOKUP(C75,#REF!,#REF!,0)</f>
        <v>#REF!</v>
      </c>
    </row>
    <row r="76" spans="1:4" ht="15.75" customHeight="1">
      <c r="A76" s="7" t="s">
        <v>200</v>
      </c>
      <c r="B76" s="7" t="s">
        <v>201</v>
      </c>
      <c r="C76" s="7" t="s">
        <v>202</v>
      </c>
      <c r="D76" s="7" t="e">
        <f t="array" ref="D76">_xlfn.XLOOKUP(C76,#REF!,#REF!,0)</f>
        <v>#REF!</v>
      </c>
    </row>
    <row r="77" spans="1:4" ht="15.75" customHeight="1">
      <c r="A77" s="7" t="s">
        <v>203</v>
      </c>
      <c r="B77" s="7" t="s">
        <v>204</v>
      </c>
      <c r="C77" s="7" t="s">
        <v>204</v>
      </c>
      <c r="D77" s="7" t="e">
        <f t="array" ref="D77">_xlfn.XLOOKUP(C77,#REF!,#REF!,0)</f>
        <v>#REF!</v>
      </c>
    </row>
    <row r="78" spans="1:4" ht="15.75" hidden="1" customHeight="1">
      <c r="A78" s="7" t="s">
        <v>205</v>
      </c>
      <c r="B78" s="7" t="s">
        <v>206</v>
      </c>
      <c r="C78" s="7" t="s">
        <v>207</v>
      </c>
      <c r="D78" s="7" t="e">
        <f t="array" ref="D78">_xlfn.XLOOKUP(C78,#REF!,#REF!,0)</f>
        <v>#REF!</v>
      </c>
    </row>
    <row r="79" spans="1:4" ht="15.75" hidden="1" customHeight="1">
      <c r="A79" s="7" t="s">
        <v>208</v>
      </c>
      <c r="B79" s="7" t="s">
        <v>209</v>
      </c>
      <c r="C79" s="7" t="s">
        <v>209</v>
      </c>
      <c r="D79" s="7" t="e">
        <f t="array" ref="D79">_xlfn.XLOOKUP(C79,#REF!,#REF!,0)</f>
        <v>#REF!</v>
      </c>
    </row>
    <row r="80" spans="1:4" ht="15.75" hidden="1" customHeight="1">
      <c r="A80" s="7" t="s">
        <v>210</v>
      </c>
      <c r="B80" s="7" t="s">
        <v>211</v>
      </c>
      <c r="C80" s="7" t="s">
        <v>212</v>
      </c>
      <c r="D80" s="7" t="e">
        <f t="array" ref="D80">_xlfn.XLOOKUP(C80,#REF!,#REF!,0)</f>
        <v>#REF!</v>
      </c>
    </row>
    <row r="81" spans="1:4" ht="15.75" customHeight="1">
      <c r="A81" s="7" t="s">
        <v>213</v>
      </c>
      <c r="B81" s="7" t="s">
        <v>214</v>
      </c>
      <c r="C81" s="7" t="s">
        <v>214</v>
      </c>
      <c r="D81" s="7" t="e">
        <f t="array" ref="D81">_xlfn.XLOOKUP(C81,#REF!,#REF!,0)</f>
        <v>#REF!</v>
      </c>
    </row>
    <row r="82" spans="1:4" ht="15.75" hidden="1" customHeight="1">
      <c r="A82" s="7" t="s">
        <v>215</v>
      </c>
      <c r="B82" s="7" t="s">
        <v>216</v>
      </c>
      <c r="C82" s="7" t="s">
        <v>216</v>
      </c>
      <c r="D82" s="7" t="e">
        <f t="array" ref="D82">_xlfn.XLOOKUP(C82,#REF!,#REF!,0)</f>
        <v>#REF!</v>
      </c>
    </row>
    <row r="83" spans="1:4" ht="15.75" customHeight="1">
      <c r="A83" s="7" t="s">
        <v>217</v>
      </c>
      <c r="B83" s="7" t="s">
        <v>218</v>
      </c>
      <c r="C83" s="7" t="s">
        <v>218</v>
      </c>
      <c r="D83" s="7" t="e">
        <f t="array" ref="D83">_xlfn.XLOOKUP(C83,#REF!,#REF!,0)</f>
        <v>#REF!</v>
      </c>
    </row>
    <row r="84" spans="1:4" ht="15.75" customHeight="1">
      <c r="A84" s="7" t="s">
        <v>219</v>
      </c>
      <c r="B84" s="7" t="s">
        <v>220</v>
      </c>
      <c r="C84" s="7" t="s">
        <v>220</v>
      </c>
      <c r="D84" s="7" t="e">
        <f t="array" ref="D84">_xlfn.XLOOKUP(C84,#REF!,#REF!,0)</f>
        <v>#REF!</v>
      </c>
    </row>
    <row r="85" spans="1:4" ht="15.75" customHeight="1">
      <c r="A85" s="7" t="s">
        <v>221</v>
      </c>
      <c r="B85" s="7" t="s">
        <v>222</v>
      </c>
      <c r="C85" s="7" t="s">
        <v>222</v>
      </c>
      <c r="D85" s="7" t="e">
        <f t="array" ref="D85">_xlfn.XLOOKUP(C85,#REF!,#REF!,0)</f>
        <v>#REF!</v>
      </c>
    </row>
    <row r="86" spans="1:4" ht="15.75" hidden="1" customHeight="1">
      <c r="A86" s="7" t="s">
        <v>223</v>
      </c>
      <c r="B86" s="7" t="s">
        <v>224</v>
      </c>
      <c r="C86" s="7" t="s">
        <v>224</v>
      </c>
      <c r="D86" s="7" t="e">
        <f t="array" ref="D86">_xlfn.XLOOKUP(C86,#REF!,#REF!,0)</f>
        <v>#REF!</v>
      </c>
    </row>
    <row r="87" spans="1:4" ht="15.75" hidden="1" customHeight="1">
      <c r="A87" s="7" t="s">
        <v>225</v>
      </c>
      <c r="B87" s="7" t="s">
        <v>226</v>
      </c>
      <c r="C87" s="7" t="s">
        <v>226</v>
      </c>
      <c r="D87" s="7" t="e">
        <f t="array" ref="D87">_xlfn.XLOOKUP(C87,#REF!,#REF!,0)</f>
        <v>#REF!</v>
      </c>
    </row>
    <row r="88" spans="1:4" ht="15.75" hidden="1" customHeight="1">
      <c r="A88" s="7" t="s">
        <v>227</v>
      </c>
      <c r="B88" s="7" t="s">
        <v>228</v>
      </c>
      <c r="C88" s="7" t="s">
        <v>228</v>
      </c>
      <c r="D88" s="7" t="e">
        <f t="array" ref="D88">_xlfn.XLOOKUP(C88,#REF!,#REF!,0)</f>
        <v>#REF!</v>
      </c>
    </row>
    <row r="89" spans="1:4" ht="15.75" customHeight="1">
      <c r="A89" s="7" t="s">
        <v>229</v>
      </c>
      <c r="B89" s="7" t="s">
        <v>230</v>
      </c>
      <c r="C89" s="7" t="s">
        <v>231</v>
      </c>
      <c r="D89" s="7" t="e">
        <f t="array" ref="D89">_xlfn.XLOOKUP(C89,#REF!,#REF!,0)</f>
        <v>#REF!</v>
      </c>
    </row>
    <row r="90" spans="1:4" ht="15.75" hidden="1" customHeight="1">
      <c r="A90" s="7" t="s">
        <v>232</v>
      </c>
      <c r="B90" s="7" t="s">
        <v>233</v>
      </c>
      <c r="C90" s="7" t="s">
        <v>234</v>
      </c>
      <c r="D90" s="7" t="e">
        <f t="array" ref="D90">_xlfn.XLOOKUP(C90,#REF!,#REF!,0)</f>
        <v>#REF!</v>
      </c>
    </row>
    <row r="91" spans="1:4" ht="15.75" customHeight="1">
      <c r="A91" s="7" t="s">
        <v>235</v>
      </c>
      <c r="B91" s="7" t="s">
        <v>236</v>
      </c>
      <c r="C91" s="7" t="s">
        <v>236</v>
      </c>
      <c r="D91" s="7" t="e">
        <f t="array" ref="D91">_xlfn.XLOOKUP(C91,#REF!,#REF!,0)</f>
        <v>#REF!</v>
      </c>
    </row>
    <row r="92" spans="1:4" ht="15.75" hidden="1" customHeight="1">
      <c r="A92" s="7" t="s">
        <v>237</v>
      </c>
      <c r="B92" s="7" t="s">
        <v>238</v>
      </c>
      <c r="C92" s="7" t="s">
        <v>238</v>
      </c>
      <c r="D92" s="7" t="e">
        <f t="array" ref="D92">_xlfn.XLOOKUP(C92,#REF!,#REF!,0)</f>
        <v>#REF!</v>
      </c>
    </row>
    <row r="93" spans="1:4" ht="15.75" customHeight="1">
      <c r="A93" s="7" t="s">
        <v>239</v>
      </c>
      <c r="B93" s="7" t="s">
        <v>240</v>
      </c>
      <c r="C93" s="7" t="s">
        <v>241</v>
      </c>
      <c r="D93" s="7" t="e">
        <f t="array" ref="D93">_xlfn.XLOOKUP(C93,#REF!,#REF!,0)</f>
        <v>#REF!</v>
      </c>
    </row>
    <row r="94" spans="1:4" ht="15.75" customHeight="1">
      <c r="A94" s="7" t="s">
        <v>242</v>
      </c>
      <c r="B94" s="7" t="s">
        <v>243</v>
      </c>
      <c r="C94" s="7" t="s">
        <v>244</v>
      </c>
      <c r="D94" s="7" t="e">
        <f t="array" ref="D94">_xlfn.XLOOKUP(C94,#REF!,#REF!,0)</f>
        <v>#REF!</v>
      </c>
    </row>
    <row r="95" spans="1:4" ht="15.75" hidden="1" customHeight="1">
      <c r="A95" s="7" t="s">
        <v>245</v>
      </c>
      <c r="B95" s="7" t="s">
        <v>246</v>
      </c>
      <c r="C95" s="7" t="s">
        <v>246</v>
      </c>
      <c r="D95" s="7" t="e">
        <f t="array" ref="D95">_xlfn.XLOOKUP(C95,#REF!,#REF!,0)</f>
        <v>#REF!</v>
      </c>
    </row>
    <row r="96" spans="1:4" ht="15.75" customHeight="1">
      <c r="A96" s="7" t="s">
        <v>247</v>
      </c>
      <c r="B96" s="7" t="s">
        <v>248</v>
      </c>
      <c r="C96" s="7" t="s">
        <v>248</v>
      </c>
      <c r="D96" s="7" t="e">
        <f t="array" ref="D96">_xlfn.XLOOKUP(C96,#REF!,#REF!,0)</f>
        <v>#REF!</v>
      </c>
    </row>
    <row r="97" spans="1:4" ht="15.75" customHeight="1">
      <c r="A97" s="7" t="s">
        <v>249</v>
      </c>
      <c r="B97" s="7" t="s">
        <v>250</v>
      </c>
      <c r="C97" s="7" t="s">
        <v>250</v>
      </c>
      <c r="D97" s="7" t="e">
        <f t="array" ref="D97">_xlfn.XLOOKUP(C97,#REF!,#REF!,0)</f>
        <v>#REF!</v>
      </c>
    </row>
    <row r="98" spans="1:4" ht="15.75" customHeight="1">
      <c r="A98" s="7" t="s">
        <v>251</v>
      </c>
      <c r="B98" s="7" t="s">
        <v>252</v>
      </c>
      <c r="C98" s="7" t="s">
        <v>252</v>
      </c>
      <c r="D98" s="7" t="e">
        <f t="array" ref="D98">_xlfn.XLOOKUP(C98,#REF!,#REF!,0)</f>
        <v>#REF!</v>
      </c>
    </row>
    <row r="99" spans="1:4" ht="15.75" hidden="1" customHeight="1">
      <c r="A99" s="7" t="s">
        <v>253</v>
      </c>
      <c r="B99" s="7" t="s">
        <v>254</v>
      </c>
      <c r="C99" s="7" t="s">
        <v>255</v>
      </c>
      <c r="D99" s="7" t="e">
        <f t="array" ref="D99">_xlfn.XLOOKUP(C99,#REF!,#REF!,0)</f>
        <v>#REF!</v>
      </c>
    </row>
    <row r="100" spans="1:4" ht="15.75" customHeight="1">
      <c r="A100" s="7" t="s">
        <v>256</v>
      </c>
      <c r="B100" s="7" t="s">
        <v>257</v>
      </c>
      <c r="C100" s="7" t="s">
        <v>258</v>
      </c>
      <c r="D100" s="7" t="e">
        <f t="array" ref="D100">_xlfn.XLOOKUP(C100,#REF!,#REF!,0)</f>
        <v>#REF!</v>
      </c>
    </row>
    <row r="101" spans="1:4" ht="15.75" customHeight="1">
      <c r="A101" s="7" t="s">
        <v>259</v>
      </c>
      <c r="B101" s="7" t="s">
        <v>260</v>
      </c>
      <c r="C101" s="7" t="s">
        <v>261</v>
      </c>
      <c r="D101" s="7" t="e">
        <f t="array" ref="D101">_xlfn.XLOOKUP(C101,#REF!,#REF!,0)</f>
        <v>#REF!</v>
      </c>
    </row>
    <row r="102" spans="1:4" ht="15.75" hidden="1" customHeight="1">
      <c r="A102" s="7" t="s">
        <v>262</v>
      </c>
      <c r="B102" s="7" t="s">
        <v>263</v>
      </c>
      <c r="C102" s="7" t="s">
        <v>264</v>
      </c>
      <c r="D102" s="7" t="e">
        <f t="array" ref="D102">_xlfn.XLOOKUP(C102,#REF!,#REF!,0)</f>
        <v>#REF!</v>
      </c>
    </row>
    <row r="103" spans="1:4" ht="15.75" customHeight="1">
      <c r="A103" s="7" t="s">
        <v>265</v>
      </c>
      <c r="B103" s="7" t="s">
        <v>266</v>
      </c>
      <c r="C103" s="7" t="s">
        <v>267</v>
      </c>
      <c r="D103" s="7" t="e">
        <f t="array" ref="D103">_xlfn.XLOOKUP(C103,#REF!,#REF!,0)</f>
        <v>#REF!</v>
      </c>
    </row>
    <row r="104" spans="1:4" ht="15.75" customHeight="1">
      <c r="A104" s="7" t="s">
        <v>268</v>
      </c>
      <c r="B104" s="7" t="s">
        <v>269</v>
      </c>
      <c r="C104" s="7" t="s">
        <v>270</v>
      </c>
      <c r="D104" s="7" t="e">
        <f t="array" ref="D104">_xlfn.XLOOKUP(C104,#REF!,#REF!,0)</f>
        <v>#REF!</v>
      </c>
    </row>
    <row r="105" spans="1:4" ht="15.75" hidden="1" customHeight="1">
      <c r="A105" s="7" t="s">
        <v>271</v>
      </c>
      <c r="B105" s="7" t="s">
        <v>272</v>
      </c>
      <c r="C105" s="7" t="s">
        <v>273</v>
      </c>
      <c r="D105" s="7" t="e">
        <f t="array" ref="D105">_xlfn.XLOOKUP(C105,#REF!,#REF!,0)</f>
        <v>#REF!</v>
      </c>
    </row>
    <row r="106" spans="1:4" ht="15.75" customHeight="1">
      <c r="A106" s="7" t="s">
        <v>274</v>
      </c>
      <c r="B106" s="7" t="s">
        <v>275</v>
      </c>
      <c r="C106" s="7" t="s">
        <v>275</v>
      </c>
      <c r="D106" s="7" t="e">
        <f t="array" ref="D106">_xlfn.XLOOKUP(C106,#REF!,#REF!,0)</f>
        <v>#REF!</v>
      </c>
    </row>
    <row r="107" spans="1:4" ht="15.75" hidden="1" customHeight="1">
      <c r="A107" s="7" t="s">
        <v>276</v>
      </c>
      <c r="B107" s="7" t="s">
        <v>277</v>
      </c>
      <c r="C107" s="7" t="s">
        <v>278</v>
      </c>
      <c r="D107" s="7" t="e">
        <f t="array" ref="D107">_xlfn.XLOOKUP(C107,#REF!,#REF!,0)</f>
        <v>#REF!</v>
      </c>
    </row>
    <row r="108" spans="1:4" ht="15.75" customHeight="1">
      <c r="A108" s="7" t="s">
        <v>279</v>
      </c>
      <c r="B108" s="7" t="s">
        <v>280</v>
      </c>
      <c r="C108" s="7" t="s">
        <v>281</v>
      </c>
      <c r="D108" s="7" t="e">
        <f t="array" ref="D108">_xlfn.XLOOKUP(C108,#REF!,#REF!,0)</f>
        <v>#REF!</v>
      </c>
    </row>
    <row r="109" spans="1:4" ht="15.75" customHeight="1">
      <c r="A109" s="7" t="s">
        <v>282</v>
      </c>
      <c r="B109" s="7" t="s">
        <v>283</v>
      </c>
      <c r="C109" s="7" t="s">
        <v>284</v>
      </c>
      <c r="D109" s="7" t="e">
        <f t="array" ref="D109">_xlfn.XLOOKUP(C109,#REF!,#REF!,0)</f>
        <v>#REF!</v>
      </c>
    </row>
    <row r="110" spans="1:4" ht="15.75" customHeight="1">
      <c r="A110" s="7" t="s">
        <v>285</v>
      </c>
      <c r="B110" s="7" t="s">
        <v>286</v>
      </c>
      <c r="C110" s="7" t="s">
        <v>287</v>
      </c>
      <c r="D110" s="7" t="e">
        <f t="array" ref="D110">_xlfn.XLOOKUP(C110,#REF!,#REF!,0)</f>
        <v>#REF!</v>
      </c>
    </row>
    <row r="111" spans="1:4" ht="15.75" hidden="1" customHeight="1">
      <c r="A111" s="7" t="s">
        <v>288</v>
      </c>
      <c r="B111" s="7" t="s">
        <v>289</v>
      </c>
      <c r="C111" s="7" t="s">
        <v>290</v>
      </c>
      <c r="D111" s="7" t="e">
        <f t="array" ref="D111">_xlfn.XLOOKUP(C111,#REF!,#REF!,0)</f>
        <v>#REF!</v>
      </c>
    </row>
    <row r="112" spans="1:4" ht="15.75" hidden="1" customHeight="1">
      <c r="A112" s="7" t="s">
        <v>291</v>
      </c>
      <c r="B112" s="7" t="s">
        <v>292</v>
      </c>
      <c r="C112" s="7" t="s">
        <v>293</v>
      </c>
      <c r="D112" s="7" t="e">
        <f t="array" ref="D112">_xlfn.XLOOKUP(C112,#REF!,#REF!,0)</f>
        <v>#REF!</v>
      </c>
    </row>
    <row r="113" spans="1:4" ht="15.75" hidden="1" customHeight="1">
      <c r="A113" s="7" t="s">
        <v>294</v>
      </c>
      <c r="B113" s="7" t="s">
        <v>295</v>
      </c>
      <c r="C113" s="7" t="s">
        <v>296</v>
      </c>
      <c r="D113" s="7" t="e">
        <f t="array" ref="D113">_xlfn.XLOOKUP(C113,#REF!,#REF!,0)</f>
        <v>#REF!</v>
      </c>
    </row>
    <row r="114" spans="1:4" ht="15.75" customHeight="1">
      <c r="A114" s="7" t="s">
        <v>297</v>
      </c>
      <c r="B114" s="7" t="s">
        <v>298</v>
      </c>
      <c r="C114" s="7" t="s">
        <v>299</v>
      </c>
      <c r="D114" s="7" t="e">
        <f t="array" ref="D114">_xlfn.XLOOKUP(C114,#REF!,#REF!,0)</f>
        <v>#REF!</v>
      </c>
    </row>
    <row r="115" spans="1:4" ht="15.75" hidden="1" customHeight="1">
      <c r="A115" s="7" t="s">
        <v>300</v>
      </c>
      <c r="B115" s="7" t="s">
        <v>301</v>
      </c>
      <c r="C115" s="7" t="s">
        <v>302</v>
      </c>
      <c r="D115" s="7" t="e">
        <f t="array" ref="D115">_xlfn.XLOOKUP(C115,#REF!,#REF!,0)</f>
        <v>#REF!</v>
      </c>
    </row>
    <row r="116" spans="1:4" ht="15.75" customHeight="1">
      <c r="A116" s="7" t="s">
        <v>303</v>
      </c>
      <c r="B116" s="7" t="s">
        <v>304</v>
      </c>
      <c r="C116" s="7" t="s">
        <v>305</v>
      </c>
      <c r="D116" s="7" t="e">
        <f t="array" ref="D116">_xlfn.XLOOKUP(C116,#REF!,#REF!,0)</f>
        <v>#REF!</v>
      </c>
    </row>
    <row r="117" spans="1:4" ht="15.75" customHeight="1">
      <c r="A117" s="7" t="s">
        <v>306</v>
      </c>
      <c r="B117" s="7" t="s">
        <v>307</v>
      </c>
      <c r="C117" s="7" t="s">
        <v>308</v>
      </c>
      <c r="D117" s="7" t="e">
        <f t="array" ref="D117">_xlfn.XLOOKUP(C117,#REF!,#REF!,0)</f>
        <v>#REF!</v>
      </c>
    </row>
    <row r="118" spans="1:4" ht="15.75" customHeight="1">
      <c r="A118" s="7" t="s">
        <v>309</v>
      </c>
      <c r="B118" s="7" t="s">
        <v>310</v>
      </c>
      <c r="C118" s="7" t="s">
        <v>311</v>
      </c>
      <c r="D118" s="7" t="e">
        <f t="array" ref="D118">_xlfn.XLOOKUP(C118,#REF!,#REF!,0)</f>
        <v>#REF!</v>
      </c>
    </row>
    <row r="119" spans="1:4" ht="15.75" customHeight="1">
      <c r="A119" s="7" t="s">
        <v>312</v>
      </c>
      <c r="B119" s="7" t="s">
        <v>313</v>
      </c>
      <c r="C119" s="7" t="s">
        <v>314</v>
      </c>
      <c r="D119" s="7" t="e">
        <f t="array" ref="D119">_xlfn.XLOOKUP(C119,#REF!,#REF!,0)</f>
        <v>#REF!</v>
      </c>
    </row>
    <row r="120" spans="1:4" ht="15.75" customHeight="1">
      <c r="A120" s="7" t="s">
        <v>315</v>
      </c>
      <c r="B120" s="7" t="s">
        <v>316</v>
      </c>
      <c r="C120" s="7" t="s">
        <v>317</v>
      </c>
      <c r="D120" s="7" t="e">
        <f t="array" ref="D120">_xlfn.XLOOKUP(C120,#REF!,#REF!,0)</f>
        <v>#REF!</v>
      </c>
    </row>
    <row r="121" spans="1:4" ht="15.75" customHeight="1">
      <c r="A121" s="7" t="s">
        <v>318</v>
      </c>
      <c r="B121" s="7" t="s">
        <v>319</v>
      </c>
      <c r="C121" s="7" t="s">
        <v>320</v>
      </c>
      <c r="D121" s="7" t="e">
        <f t="array" ref="D121">_xlfn.XLOOKUP(C121,#REF!,#REF!,0)</f>
        <v>#REF!</v>
      </c>
    </row>
    <row r="122" spans="1:4" ht="15.75" customHeight="1">
      <c r="A122" s="7" t="s">
        <v>321</v>
      </c>
      <c r="B122" s="7" t="s">
        <v>322</v>
      </c>
      <c r="C122" s="7" t="s">
        <v>323</v>
      </c>
      <c r="D122" s="7" t="e">
        <f t="array" ref="D122">_xlfn.XLOOKUP(C122,#REF!,#REF!,0)</f>
        <v>#REF!</v>
      </c>
    </row>
    <row r="123" spans="1:4" ht="15.75" customHeight="1">
      <c r="A123" s="7" t="s">
        <v>324</v>
      </c>
      <c r="B123" s="7" t="s">
        <v>325</v>
      </c>
      <c r="C123" s="7" t="s">
        <v>326</v>
      </c>
      <c r="D123" s="7" t="e">
        <f t="array" ref="D123">_xlfn.XLOOKUP(C123,#REF!,#REF!,0)</f>
        <v>#REF!</v>
      </c>
    </row>
    <row r="124" spans="1:4" ht="15.75" customHeight="1">
      <c r="A124" s="7" t="s">
        <v>327</v>
      </c>
      <c r="B124" s="7" t="s">
        <v>328</v>
      </c>
      <c r="C124" s="7" t="s">
        <v>329</v>
      </c>
      <c r="D124" s="7" t="e">
        <f t="array" ref="D124">_xlfn.XLOOKUP(C124,#REF!,#REF!,0)</f>
        <v>#REF!</v>
      </c>
    </row>
    <row r="125" spans="1:4" ht="15.75" customHeight="1">
      <c r="A125" s="7" t="s">
        <v>330</v>
      </c>
      <c r="B125" s="7" t="s">
        <v>331</v>
      </c>
      <c r="C125" s="7" t="s">
        <v>332</v>
      </c>
      <c r="D125" s="7" t="e">
        <f t="array" ref="D125">_xlfn.XLOOKUP(C125,#REF!,#REF!,0)</f>
        <v>#REF!</v>
      </c>
    </row>
    <row r="126" spans="1:4" ht="15.75" customHeight="1">
      <c r="A126" s="7" t="s">
        <v>333</v>
      </c>
      <c r="B126" s="7" t="s">
        <v>334</v>
      </c>
      <c r="C126" s="7" t="s">
        <v>335</v>
      </c>
      <c r="D126" s="7" t="e">
        <f t="array" ref="D126">_xlfn.XLOOKUP(C126,#REF!,#REF!,0)</f>
        <v>#REF!</v>
      </c>
    </row>
    <row r="127" spans="1:4" ht="15.75" hidden="1" customHeight="1">
      <c r="A127" s="7" t="s">
        <v>336</v>
      </c>
      <c r="B127" s="7" t="s">
        <v>337</v>
      </c>
      <c r="C127" s="7" t="s">
        <v>338</v>
      </c>
      <c r="D127" s="7" t="e">
        <f t="array" ref="D127">_xlfn.XLOOKUP(C127,#REF!,#REF!,0)</f>
        <v>#REF!</v>
      </c>
    </row>
    <row r="128" spans="1:4" ht="15.75" hidden="1" customHeight="1">
      <c r="A128" s="7" t="s">
        <v>339</v>
      </c>
      <c r="B128" s="7" t="s">
        <v>340</v>
      </c>
      <c r="C128" s="7" t="s">
        <v>341</v>
      </c>
      <c r="D128" s="7" t="e">
        <f t="array" ref="D128">_xlfn.XLOOKUP(C128,#REF!,#REF!,0)</f>
        <v>#REF!</v>
      </c>
    </row>
    <row r="129" spans="1:4" ht="15.75" hidden="1" customHeight="1">
      <c r="A129" s="7" t="s">
        <v>342</v>
      </c>
      <c r="B129" s="7" t="s">
        <v>343</v>
      </c>
      <c r="C129" s="7" t="s">
        <v>344</v>
      </c>
      <c r="D129" s="7" t="e">
        <f t="array" ref="D129">_xlfn.XLOOKUP(C129,#REF!,#REF!,0)</f>
        <v>#REF!</v>
      </c>
    </row>
    <row r="130" spans="1:4" ht="15.75" customHeight="1">
      <c r="A130" s="7" t="s">
        <v>345</v>
      </c>
      <c r="B130" s="7" t="s">
        <v>346</v>
      </c>
      <c r="C130" s="7" t="s">
        <v>347</v>
      </c>
      <c r="D130" s="7" t="e">
        <f t="array" ref="D130">_xlfn.XLOOKUP(C130,#REF!,#REF!,0)</f>
        <v>#REF!</v>
      </c>
    </row>
    <row r="131" spans="1:4" ht="15.75" hidden="1" customHeight="1">
      <c r="A131" s="7" t="s">
        <v>348</v>
      </c>
      <c r="B131" s="7" t="s">
        <v>349</v>
      </c>
      <c r="C131" s="7" t="s">
        <v>350</v>
      </c>
      <c r="D131" s="7" t="e">
        <f t="array" ref="D131">_xlfn.XLOOKUP(C131,#REF!,#REF!,0)</f>
        <v>#REF!</v>
      </c>
    </row>
    <row r="132" spans="1:4" ht="15.75" customHeight="1">
      <c r="A132" s="7" t="s">
        <v>351</v>
      </c>
      <c r="B132" s="7" t="s">
        <v>352</v>
      </c>
      <c r="C132" s="7" t="s">
        <v>353</v>
      </c>
      <c r="D132" s="7" t="e">
        <f t="array" ref="D132">_xlfn.XLOOKUP(C132,#REF!,#REF!,0)</f>
        <v>#REF!</v>
      </c>
    </row>
    <row r="133" spans="1:4" ht="15.75" hidden="1" customHeight="1">
      <c r="A133" s="7" t="s">
        <v>354</v>
      </c>
      <c r="B133" s="7" t="s">
        <v>355</v>
      </c>
      <c r="C133" s="7" t="s">
        <v>355</v>
      </c>
      <c r="D133" s="7" t="e">
        <f t="array" ref="D133">_xlfn.XLOOKUP(C133,#REF!,#REF!,0)</f>
        <v>#REF!</v>
      </c>
    </row>
    <row r="134" spans="1:4" ht="15.75" customHeight="1">
      <c r="A134" s="7" t="s">
        <v>356</v>
      </c>
      <c r="B134" s="7" t="s">
        <v>357</v>
      </c>
      <c r="C134" s="7" t="s">
        <v>357</v>
      </c>
      <c r="D134" s="7" t="e">
        <f t="array" ref="D134">_xlfn.XLOOKUP(C134,#REF!,#REF!,0)</f>
        <v>#REF!</v>
      </c>
    </row>
    <row r="135" spans="1:4" ht="15.75" customHeight="1">
      <c r="A135" s="7" t="s">
        <v>358</v>
      </c>
      <c r="B135" s="7" t="s">
        <v>359</v>
      </c>
      <c r="C135" s="7" t="s">
        <v>359</v>
      </c>
      <c r="D135" s="7" t="e">
        <f t="array" ref="D135">_xlfn.XLOOKUP(C135,#REF!,#REF!,0)</f>
        <v>#REF!</v>
      </c>
    </row>
    <row r="136" spans="1:4" ht="15.75" hidden="1" customHeight="1">
      <c r="A136" s="7" t="s">
        <v>360</v>
      </c>
      <c r="B136" s="7" t="s">
        <v>361</v>
      </c>
      <c r="C136" s="7" t="s">
        <v>362</v>
      </c>
      <c r="D136" s="7" t="e">
        <f t="array" ref="D136">_xlfn.XLOOKUP(C136,#REF!,#REF!,0)</f>
        <v>#REF!</v>
      </c>
    </row>
    <row r="137" spans="1:4" ht="15.75" customHeight="1">
      <c r="A137" s="7" t="s">
        <v>363</v>
      </c>
      <c r="B137" s="7" t="s">
        <v>364</v>
      </c>
      <c r="C137" s="7" t="s">
        <v>364</v>
      </c>
      <c r="D137" s="7" t="e">
        <f t="array" ref="D137">_xlfn.XLOOKUP(C137,#REF!,#REF!,0)</f>
        <v>#REF!</v>
      </c>
    </row>
    <row r="138" spans="1:4" ht="15.75" hidden="1" customHeight="1">
      <c r="A138" s="7" t="s">
        <v>365</v>
      </c>
      <c r="B138" s="7" t="s">
        <v>366</v>
      </c>
      <c r="C138" s="7" t="s">
        <v>366</v>
      </c>
      <c r="D138" s="7" t="e">
        <f t="array" ref="D138">_xlfn.XLOOKUP(C138,#REF!,#REF!,0)</f>
        <v>#REF!</v>
      </c>
    </row>
    <row r="139" spans="1:4" ht="15.75" customHeight="1">
      <c r="A139" s="7" t="s">
        <v>367</v>
      </c>
      <c r="B139" s="7" t="s">
        <v>368</v>
      </c>
      <c r="C139" s="7" t="s">
        <v>368</v>
      </c>
      <c r="D139" s="7" t="e">
        <f t="array" ref="D139">_xlfn.XLOOKUP(C139,#REF!,#REF!,0)</f>
        <v>#REF!</v>
      </c>
    </row>
    <row r="140" spans="1:4" ht="15.75" hidden="1" customHeight="1">
      <c r="A140" s="7" t="s">
        <v>369</v>
      </c>
      <c r="B140" s="7" t="s">
        <v>370</v>
      </c>
      <c r="C140" s="7" t="s">
        <v>370</v>
      </c>
      <c r="D140" s="7" t="e">
        <f t="array" ref="D140">_xlfn.XLOOKUP(C140,#REF!,#REF!,0)</f>
        <v>#REF!</v>
      </c>
    </row>
    <row r="141" spans="1:4" ht="15.75" hidden="1" customHeight="1">
      <c r="A141" s="7" t="s">
        <v>371</v>
      </c>
      <c r="B141" s="7" t="s">
        <v>372</v>
      </c>
      <c r="C141" s="7" t="s">
        <v>372</v>
      </c>
      <c r="D141" s="7" t="e">
        <f t="array" ref="D141">_xlfn.XLOOKUP(C141,#REF!,#REF!,0)</f>
        <v>#REF!</v>
      </c>
    </row>
    <row r="142" spans="1:4" ht="15.75" hidden="1" customHeight="1">
      <c r="A142" s="7" t="s">
        <v>373</v>
      </c>
      <c r="B142" s="7" t="s">
        <v>374</v>
      </c>
      <c r="C142" s="7" t="s">
        <v>375</v>
      </c>
      <c r="D142" s="7" t="e">
        <f t="array" ref="D142">_xlfn.XLOOKUP(C142,#REF!,#REF!,0)</f>
        <v>#REF!</v>
      </c>
    </row>
    <row r="143" spans="1:4" ht="15.75" hidden="1" customHeight="1">
      <c r="A143" s="7" t="s">
        <v>376</v>
      </c>
      <c r="B143" s="7" t="s">
        <v>377</v>
      </c>
      <c r="C143" s="7" t="s">
        <v>377</v>
      </c>
      <c r="D143" s="7" t="e">
        <f t="array" ref="D143">_xlfn.XLOOKUP(C143,#REF!,#REF!,0)</f>
        <v>#REF!</v>
      </c>
    </row>
    <row r="144" spans="1:4" ht="15.75" hidden="1" customHeight="1">
      <c r="A144" s="7" t="s">
        <v>378</v>
      </c>
      <c r="B144" s="7" t="s">
        <v>379</v>
      </c>
      <c r="C144" s="7" t="s">
        <v>379</v>
      </c>
      <c r="D144" s="7" t="e">
        <f t="array" ref="D144">_xlfn.XLOOKUP(C144,#REF!,#REF!,0)</f>
        <v>#REF!</v>
      </c>
    </row>
    <row r="145" spans="1:4" ht="15.75" hidden="1" customHeight="1">
      <c r="A145" s="7" t="s">
        <v>380</v>
      </c>
      <c r="B145" s="7" t="s">
        <v>381</v>
      </c>
      <c r="C145" s="7" t="s">
        <v>381</v>
      </c>
      <c r="D145" s="7" t="e">
        <f t="array" ref="D145">_xlfn.XLOOKUP(C145,#REF!,#REF!,0)</f>
        <v>#REF!</v>
      </c>
    </row>
    <row r="146" spans="1:4" ht="15.75" hidden="1" customHeight="1">
      <c r="A146" s="7" t="s">
        <v>382</v>
      </c>
      <c r="B146" s="7" t="s">
        <v>383</v>
      </c>
      <c r="C146" s="7" t="s">
        <v>383</v>
      </c>
      <c r="D146" s="7" t="e">
        <f t="array" ref="D146">_xlfn.XLOOKUP(C146,#REF!,#REF!,0)</f>
        <v>#REF!</v>
      </c>
    </row>
    <row r="147" spans="1:4" ht="15.75" hidden="1" customHeight="1">
      <c r="A147" s="7" t="s">
        <v>384</v>
      </c>
      <c r="B147" s="7" t="s">
        <v>385</v>
      </c>
      <c r="C147" s="7" t="s">
        <v>385</v>
      </c>
      <c r="D147" s="7" t="e">
        <f t="array" ref="D147">_xlfn.XLOOKUP(C147,#REF!,#REF!,0)</f>
        <v>#REF!</v>
      </c>
    </row>
    <row r="148" spans="1:4" ht="15.75" customHeight="1">
      <c r="A148" s="7" t="s">
        <v>386</v>
      </c>
      <c r="B148" s="7" t="s">
        <v>387</v>
      </c>
      <c r="C148" s="7" t="s">
        <v>387</v>
      </c>
      <c r="D148" s="7" t="e">
        <f t="array" ref="D148">_xlfn.XLOOKUP(C148,#REF!,#REF!,0)</f>
        <v>#REF!</v>
      </c>
    </row>
    <row r="149" spans="1:4" ht="15.75" hidden="1" customHeight="1">
      <c r="A149" s="7" t="s">
        <v>388</v>
      </c>
      <c r="B149" s="7" t="s">
        <v>389</v>
      </c>
      <c r="C149" s="7" t="s">
        <v>389</v>
      </c>
      <c r="D149" s="7" t="e">
        <f t="array" ref="D149">_xlfn.XLOOKUP(C149,#REF!,#REF!,0)</f>
        <v>#REF!</v>
      </c>
    </row>
    <row r="150" spans="1:4" ht="15.75" customHeight="1">
      <c r="A150" s="7" t="s">
        <v>390</v>
      </c>
      <c r="B150" s="7" t="s">
        <v>391</v>
      </c>
      <c r="C150" s="7" t="s">
        <v>391</v>
      </c>
      <c r="D150" s="7" t="e">
        <f t="array" ref="D150">_xlfn.XLOOKUP(C150,#REF!,#REF!,0)</f>
        <v>#REF!</v>
      </c>
    </row>
    <row r="151" spans="1:4" ht="15.75" customHeight="1">
      <c r="A151" s="7" t="s">
        <v>392</v>
      </c>
      <c r="B151" s="7" t="s">
        <v>393</v>
      </c>
      <c r="C151" s="7" t="s">
        <v>393</v>
      </c>
      <c r="D151" s="7" t="e">
        <f t="array" ref="D151">_xlfn.XLOOKUP(C151,#REF!,#REF!,0)</f>
        <v>#REF!</v>
      </c>
    </row>
    <row r="152" spans="1:4" ht="15.75" customHeight="1">
      <c r="A152" s="7" t="s">
        <v>394</v>
      </c>
      <c r="B152" s="7" t="s">
        <v>395</v>
      </c>
      <c r="C152" s="7" t="s">
        <v>395</v>
      </c>
      <c r="D152" s="7" t="e">
        <f t="array" ref="D152">_xlfn.XLOOKUP(C152,#REF!,#REF!,0)</f>
        <v>#REF!</v>
      </c>
    </row>
    <row r="153" spans="1:4" ht="15.75" hidden="1" customHeight="1">
      <c r="A153" s="7" t="s">
        <v>396</v>
      </c>
      <c r="B153" s="7" t="s">
        <v>397</v>
      </c>
      <c r="C153" s="7" t="s">
        <v>397</v>
      </c>
      <c r="D153" s="7" t="e">
        <f t="array" ref="D153">_xlfn.XLOOKUP(C153,#REF!,#REF!,0)</f>
        <v>#REF!</v>
      </c>
    </row>
    <row r="154" spans="1:4" ht="15.75" hidden="1" customHeight="1">
      <c r="A154" s="7" t="s">
        <v>398</v>
      </c>
      <c r="B154" s="7" t="s">
        <v>399</v>
      </c>
      <c r="C154" s="7" t="s">
        <v>399</v>
      </c>
      <c r="D154" s="7" t="e">
        <f t="array" ref="D154">_xlfn.XLOOKUP(C154,#REF!,#REF!,0)</f>
        <v>#REF!</v>
      </c>
    </row>
    <row r="155" spans="1:4" ht="15.75" customHeight="1">
      <c r="A155" s="7" t="s">
        <v>400</v>
      </c>
      <c r="B155" s="7" t="s">
        <v>401</v>
      </c>
      <c r="C155" s="7" t="s">
        <v>401</v>
      </c>
      <c r="D155" s="7" t="e">
        <f t="array" ref="D155">_xlfn.XLOOKUP(C155,#REF!,#REF!,0)</f>
        <v>#REF!</v>
      </c>
    </row>
    <row r="156" spans="1:4" ht="15.75" customHeight="1">
      <c r="A156" s="7" t="s">
        <v>402</v>
      </c>
      <c r="B156" s="7" t="s">
        <v>403</v>
      </c>
      <c r="C156" s="7" t="s">
        <v>403</v>
      </c>
      <c r="D156" s="7" t="e">
        <f t="array" ref="D156">_xlfn.XLOOKUP(C156,#REF!,#REF!,0)</f>
        <v>#REF!</v>
      </c>
    </row>
    <row r="157" spans="1:4" ht="15.75" customHeight="1">
      <c r="A157" s="7" t="s">
        <v>404</v>
      </c>
      <c r="B157" s="7" t="s">
        <v>405</v>
      </c>
      <c r="C157" s="7" t="s">
        <v>405</v>
      </c>
      <c r="D157" s="7" t="e">
        <f t="array" ref="D157">_xlfn.XLOOKUP(C157,#REF!,#REF!,0)</f>
        <v>#REF!</v>
      </c>
    </row>
    <row r="158" spans="1:4" ht="15.75" hidden="1" customHeight="1">
      <c r="A158" s="7" t="s">
        <v>406</v>
      </c>
      <c r="B158" s="7" t="s">
        <v>407</v>
      </c>
      <c r="C158" s="7" t="s">
        <v>407</v>
      </c>
      <c r="D158" s="7" t="e">
        <f t="array" ref="D158">_xlfn.XLOOKUP(C158,#REF!,#REF!,0)</f>
        <v>#REF!</v>
      </c>
    </row>
    <row r="159" spans="1:4" ht="15.75" hidden="1" customHeight="1">
      <c r="A159" s="7" t="s">
        <v>408</v>
      </c>
      <c r="B159" s="7" t="s">
        <v>409</v>
      </c>
      <c r="C159" s="7" t="s">
        <v>409</v>
      </c>
      <c r="D159" s="7" t="e">
        <f t="array" ref="D159">_xlfn.XLOOKUP(C159,#REF!,#REF!,0)</f>
        <v>#REF!</v>
      </c>
    </row>
    <row r="160" spans="1:4" ht="15.75" hidden="1" customHeight="1">
      <c r="A160" s="7" t="s">
        <v>410</v>
      </c>
      <c r="B160" s="7" t="s">
        <v>411</v>
      </c>
      <c r="C160" s="7" t="s">
        <v>411</v>
      </c>
      <c r="D160" s="7" t="e">
        <f t="array" ref="D160">_xlfn.XLOOKUP(C160,#REF!,#REF!,0)</f>
        <v>#REF!</v>
      </c>
    </row>
    <row r="161" spans="1:4" ht="15.75" hidden="1" customHeight="1">
      <c r="A161" s="7" t="s">
        <v>412</v>
      </c>
      <c r="B161" s="7" t="s">
        <v>413</v>
      </c>
      <c r="C161" s="7" t="s">
        <v>413</v>
      </c>
      <c r="D161" s="7" t="e">
        <f t="array" ref="D161">_xlfn.XLOOKUP(C161,#REF!,#REF!,0)</f>
        <v>#REF!</v>
      </c>
    </row>
    <row r="162" spans="1:4" ht="15.75" hidden="1" customHeight="1">
      <c r="A162" s="7" t="s">
        <v>414</v>
      </c>
      <c r="B162" s="7" t="s">
        <v>415</v>
      </c>
      <c r="C162" s="7" t="s">
        <v>415</v>
      </c>
      <c r="D162" s="7" t="e">
        <f t="array" ref="D162">_xlfn.XLOOKUP(C162,#REF!,#REF!,0)</f>
        <v>#REF!</v>
      </c>
    </row>
    <row r="163" spans="1:4" ht="15.75" hidden="1" customHeight="1">
      <c r="A163" s="7" t="s">
        <v>416</v>
      </c>
      <c r="B163" s="7" t="s">
        <v>417</v>
      </c>
      <c r="C163" s="7" t="s">
        <v>417</v>
      </c>
      <c r="D163" s="7" t="e">
        <f t="array" ref="D163">_xlfn.XLOOKUP(C163,#REF!,#REF!,0)</f>
        <v>#REF!</v>
      </c>
    </row>
    <row r="164" spans="1:4" ht="15.75" hidden="1" customHeight="1">
      <c r="A164" s="7" t="s">
        <v>418</v>
      </c>
      <c r="B164" s="7" t="s">
        <v>419</v>
      </c>
      <c r="C164" s="7" t="s">
        <v>419</v>
      </c>
      <c r="D164" s="7" t="e">
        <f t="array" ref="D164">_xlfn.XLOOKUP(C164,#REF!,#REF!,0)</f>
        <v>#REF!</v>
      </c>
    </row>
    <row r="165" spans="1:4" ht="15.75" hidden="1" customHeight="1">
      <c r="A165" s="7" t="s">
        <v>420</v>
      </c>
      <c r="B165" s="7" t="s">
        <v>421</v>
      </c>
      <c r="C165" s="7" t="s">
        <v>421</v>
      </c>
      <c r="D165" s="7" t="e">
        <f t="array" ref="D165">_xlfn.XLOOKUP(C165,#REF!,#REF!,0)</f>
        <v>#REF!</v>
      </c>
    </row>
    <row r="166" spans="1:4" ht="15.75" hidden="1" customHeight="1">
      <c r="A166" s="7" t="s">
        <v>422</v>
      </c>
      <c r="B166" s="7" t="s">
        <v>423</v>
      </c>
      <c r="C166" s="7" t="s">
        <v>423</v>
      </c>
      <c r="D166" s="7" t="e">
        <f t="array" ref="D166">_xlfn.XLOOKUP(C166,#REF!,#REF!,0)</f>
        <v>#REF!</v>
      </c>
    </row>
    <row r="167" spans="1:4" ht="15.75" customHeight="1">
      <c r="A167" s="7" t="s">
        <v>424</v>
      </c>
      <c r="B167" s="7" t="s">
        <v>425</v>
      </c>
      <c r="C167" s="7" t="s">
        <v>426</v>
      </c>
      <c r="D167" s="7" t="e">
        <f t="array" ref="D167">_xlfn.XLOOKUP(C167,#REF!,#REF!,0)</f>
        <v>#REF!</v>
      </c>
    </row>
    <row r="168" spans="1:4" ht="15.75" hidden="1" customHeight="1">
      <c r="A168" s="7" t="s">
        <v>427</v>
      </c>
      <c r="B168" s="7" t="s">
        <v>428</v>
      </c>
      <c r="C168" s="7" t="s">
        <v>428</v>
      </c>
      <c r="D168" s="7" t="e">
        <f t="array" ref="D168">_xlfn.XLOOKUP(C168,#REF!,#REF!,0)</f>
        <v>#REF!</v>
      </c>
    </row>
    <row r="169" spans="1:4" ht="15.75" customHeight="1">
      <c r="A169" s="7" t="s">
        <v>429</v>
      </c>
      <c r="B169" s="7" t="s">
        <v>430</v>
      </c>
      <c r="C169" s="7" t="s">
        <v>431</v>
      </c>
      <c r="D169" s="7" t="e">
        <f t="array" ref="D169">_xlfn.XLOOKUP(C169,#REF!,#REF!,0)</f>
        <v>#REF!</v>
      </c>
    </row>
    <row r="170" spans="1:4" ht="15.75" customHeight="1">
      <c r="A170" s="7" t="s">
        <v>432</v>
      </c>
      <c r="B170" s="7" t="s">
        <v>433</v>
      </c>
      <c r="C170" s="7" t="s">
        <v>433</v>
      </c>
      <c r="D170" s="7" t="e">
        <f t="array" ref="D170">_xlfn.XLOOKUP(C170,#REF!,#REF!,0)</f>
        <v>#REF!</v>
      </c>
    </row>
    <row r="171" spans="1:4" ht="15.75" customHeight="1">
      <c r="A171" s="7" t="s">
        <v>434</v>
      </c>
      <c r="B171" s="7" t="s">
        <v>435</v>
      </c>
      <c r="C171" s="7" t="s">
        <v>435</v>
      </c>
      <c r="D171" s="7" t="e">
        <f t="array" ref="D171">_xlfn.XLOOKUP(C171,#REF!,#REF!,0)</f>
        <v>#REF!</v>
      </c>
    </row>
    <row r="172" spans="1:4" ht="15.75" hidden="1" customHeight="1">
      <c r="A172" s="7" t="s">
        <v>436</v>
      </c>
      <c r="B172" s="7" t="s">
        <v>437</v>
      </c>
      <c r="C172" s="7" t="s">
        <v>437</v>
      </c>
      <c r="D172" s="7" t="e">
        <f t="array" ref="D172">_xlfn.XLOOKUP(C172,#REF!,#REF!,0)</f>
        <v>#REF!</v>
      </c>
    </row>
    <row r="173" spans="1:4" ht="15.75" hidden="1" customHeight="1">
      <c r="A173" s="7" t="s">
        <v>438</v>
      </c>
      <c r="B173" s="7" t="s">
        <v>439</v>
      </c>
      <c r="C173" s="7" t="s">
        <v>439</v>
      </c>
      <c r="D173" s="7" t="e">
        <f t="array" ref="D173">_xlfn.XLOOKUP(C173,#REF!,#REF!,0)</f>
        <v>#REF!</v>
      </c>
    </row>
    <row r="174" spans="1:4" ht="15.75" hidden="1" customHeight="1">
      <c r="A174" s="7" t="s">
        <v>440</v>
      </c>
      <c r="B174" s="7" t="s">
        <v>441</v>
      </c>
      <c r="C174" s="7" t="s">
        <v>442</v>
      </c>
      <c r="D174" s="7" t="e">
        <f t="array" ref="D174">_xlfn.XLOOKUP(C174,#REF!,#REF!,0)</f>
        <v>#REF!</v>
      </c>
    </row>
    <row r="175" spans="1:4" ht="15.75" hidden="1" customHeight="1">
      <c r="A175" s="7" t="s">
        <v>443</v>
      </c>
      <c r="B175" s="7" t="s">
        <v>444</v>
      </c>
      <c r="C175" s="7" t="s">
        <v>444</v>
      </c>
      <c r="D175" s="7" t="e">
        <f t="array" ref="D175">_xlfn.XLOOKUP(C175,#REF!,#REF!,0)</f>
        <v>#REF!</v>
      </c>
    </row>
    <row r="176" spans="1:4" ht="15.75" customHeight="1">
      <c r="A176" s="7" t="s">
        <v>445</v>
      </c>
      <c r="B176" s="7" t="s">
        <v>446</v>
      </c>
      <c r="C176" s="7" t="s">
        <v>446</v>
      </c>
      <c r="D176" s="7" t="e">
        <f t="array" ref="D176">_xlfn.XLOOKUP(C176,#REF!,#REF!,0)</f>
        <v>#REF!</v>
      </c>
    </row>
    <row r="177" spans="1:4" ht="15.75" customHeight="1">
      <c r="A177" s="7" t="s">
        <v>447</v>
      </c>
      <c r="B177" s="7" t="s">
        <v>448</v>
      </c>
      <c r="C177" s="7" t="s">
        <v>448</v>
      </c>
      <c r="D177" s="7" t="e">
        <f t="array" ref="D177">_xlfn.XLOOKUP(C177,#REF!,#REF!,0)</f>
        <v>#REF!</v>
      </c>
    </row>
    <row r="178" spans="1:4" ht="15.75" customHeight="1">
      <c r="A178" s="7" t="s">
        <v>449</v>
      </c>
      <c r="B178" s="7" t="s">
        <v>450</v>
      </c>
      <c r="C178" s="7" t="s">
        <v>451</v>
      </c>
      <c r="D178" s="7" t="e">
        <f t="array" ref="D178">_xlfn.XLOOKUP(C178,#REF!,#REF!,0)</f>
        <v>#REF!</v>
      </c>
    </row>
    <row r="179" spans="1:4" ht="15.75" customHeight="1">
      <c r="A179" s="7" t="s">
        <v>452</v>
      </c>
      <c r="B179" s="7" t="s">
        <v>453</v>
      </c>
      <c r="C179" s="7" t="s">
        <v>454</v>
      </c>
      <c r="D179" s="7" t="e">
        <f t="array" ref="D179">_xlfn.XLOOKUP(C179,#REF!,#REF!,0)</f>
        <v>#REF!</v>
      </c>
    </row>
    <row r="180" spans="1:4" ht="15.75" customHeight="1">
      <c r="A180" s="7" t="s">
        <v>455</v>
      </c>
      <c r="B180" s="7" t="s">
        <v>456</v>
      </c>
      <c r="C180" s="7" t="s">
        <v>457</v>
      </c>
      <c r="D180" s="7" t="e">
        <f t="array" ref="D180">_xlfn.XLOOKUP(C180,#REF!,#REF!,0)</f>
        <v>#REF!</v>
      </c>
    </row>
    <row r="181" spans="1:4" ht="15.75" customHeight="1">
      <c r="A181" s="7" t="s">
        <v>458</v>
      </c>
      <c r="B181" s="7" t="s">
        <v>459</v>
      </c>
      <c r="C181" s="7" t="s">
        <v>459</v>
      </c>
      <c r="D181" s="7" t="e">
        <f t="array" ref="D181">_xlfn.XLOOKUP(C181,#REF!,#REF!,0)</f>
        <v>#REF!</v>
      </c>
    </row>
    <row r="182" spans="1:4" ht="15.75" customHeight="1">
      <c r="A182" s="7" t="s">
        <v>460</v>
      </c>
      <c r="B182" s="7" t="s">
        <v>461</v>
      </c>
      <c r="C182" s="7" t="s">
        <v>462</v>
      </c>
      <c r="D182" s="7" t="e">
        <f t="array" ref="D182">_xlfn.XLOOKUP(C182,#REF!,#REF!,0)</f>
        <v>#REF!</v>
      </c>
    </row>
    <row r="183" spans="1:4" ht="15.75" hidden="1" customHeight="1">
      <c r="A183" s="7" t="s">
        <v>463</v>
      </c>
      <c r="B183" s="7" t="s">
        <v>464</v>
      </c>
      <c r="C183" s="7" t="s">
        <v>464</v>
      </c>
      <c r="D183" s="7" t="e">
        <f t="array" ref="D183">_xlfn.XLOOKUP(C183,#REF!,#REF!,0)</f>
        <v>#REF!</v>
      </c>
    </row>
    <row r="184" spans="1:4" ht="15.75" customHeight="1">
      <c r="A184" s="7" t="s">
        <v>465</v>
      </c>
      <c r="B184" s="7" t="s">
        <v>466</v>
      </c>
      <c r="C184" s="7" t="s">
        <v>466</v>
      </c>
      <c r="D184" s="7" t="e">
        <f t="array" ref="D184">_xlfn.XLOOKUP(C184,#REF!,#REF!,0)</f>
        <v>#REF!</v>
      </c>
    </row>
    <row r="185" spans="1:4" ht="15.75" customHeight="1">
      <c r="A185" s="7" t="s">
        <v>467</v>
      </c>
      <c r="B185" s="7" t="s">
        <v>468</v>
      </c>
      <c r="C185" s="7" t="s">
        <v>468</v>
      </c>
      <c r="D185" s="7" t="e">
        <f t="array" ref="D185">_xlfn.XLOOKUP(C185,#REF!,#REF!,0)</f>
        <v>#REF!</v>
      </c>
    </row>
    <row r="186" spans="1:4" ht="15.75" hidden="1" customHeight="1">
      <c r="A186" s="7" t="s">
        <v>469</v>
      </c>
      <c r="B186" s="7" t="s">
        <v>470</v>
      </c>
      <c r="C186" s="7" t="s">
        <v>470</v>
      </c>
      <c r="D186" s="7" t="e">
        <f t="array" ref="D186">_xlfn.XLOOKUP(C186,#REF!,#REF!,0)</f>
        <v>#REF!</v>
      </c>
    </row>
    <row r="187" spans="1:4" ht="15.75" customHeight="1">
      <c r="A187" s="7" t="s">
        <v>471</v>
      </c>
      <c r="B187" s="7" t="s">
        <v>472</v>
      </c>
      <c r="C187" s="7" t="s">
        <v>472</v>
      </c>
      <c r="D187" s="7" t="e">
        <f t="array" ref="D187">_xlfn.XLOOKUP(C187,#REF!,#REF!,0)</f>
        <v>#REF!</v>
      </c>
    </row>
    <row r="188" spans="1:4" ht="15.75" hidden="1" customHeight="1">
      <c r="A188" s="7" t="s">
        <v>473</v>
      </c>
      <c r="B188" s="7" t="s">
        <v>474</v>
      </c>
      <c r="C188" s="7" t="s">
        <v>474</v>
      </c>
      <c r="D188" s="7" t="e">
        <f t="array" ref="D188">_xlfn.XLOOKUP(C188,#REF!,#REF!,0)</f>
        <v>#REF!</v>
      </c>
    </row>
    <row r="189" spans="1:4" ht="15.75" hidden="1" customHeight="1">
      <c r="A189" s="7" t="s">
        <v>475</v>
      </c>
      <c r="B189" s="7" t="s">
        <v>476</v>
      </c>
      <c r="C189" s="7" t="s">
        <v>476</v>
      </c>
      <c r="D189" s="7" t="e">
        <f t="array" ref="D189">_xlfn.XLOOKUP(C189,#REF!,#REF!,0)</f>
        <v>#REF!</v>
      </c>
    </row>
    <row r="190" spans="1:4" ht="15.75" hidden="1" customHeight="1">
      <c r="A190" s="7" t="s">
        <v>477</v>
      </c>
      <c r="B190" s="7" t="s">
        <v>478</v>
      </c>
      <c r="C190" s="7" t="s">
        <v>478</v>
      </c>
      <c r="D190" s="7" t="e">
        <f t="array" ref="D190">_xlfn.XLOOKUP(C190,#REF!,#REF!,0)</f>
        <v>#REF!</v>
      </c>
    </row>
    <row r="191" spans="1:4" ht="15.75" hidden="1" customHeight="1">
      <c r="A191" s="7" t="s">
        <v>479</v>
      </c>
      <c r="B191" s="7" t="s">
        <v>480</v>
      </c>
      <c r="C191" s="7" t="s">
        <v>480</v>
      </c>
      <c r="D191" s="7" t="e">
        <f t="array" ref="D191">_xlfn.XLOOKUP(C191,#REF!,#REF!,0)</f>
        <v>#REF!</v>
      </c>
    </row>
    <row r="192" spans="1:4" ht="15.75" customHeight="1">
      <c r="A192" s="7" t="s">
        <v>481</v>
      </c>
      <c r="B192" s="7" t="s">
        <v>482</v>
      </c>
      <c r="C192" s="7" t="s">
        <v>482</v>
      </c>
      <c r="D192" s="7" t="e">
        <f t="array" ref="D192">_xlfn.XLOOKUP(C192,#REF!,#REF!,0)</f>
        <v>#REF!</v>
      </c>
    </row>
    <row r="193" spans="1:4" ht="15.75" customHeight="1">
      <c r="A193" s="7" t="s">
        <v>483</v>
      </c>
      <c r="B193" s="7" t="s">
        <v>484</v>
      </c>
      <c r="C193" s="7" t="s">
        <v>484</v>
      </c>
      <c r="D193" s="7" t="e">
        <f t="array" ref="D193">_xlfn.XLOOKUP(C193,#REF!,#REF!,0)</f>
        <v>#REF!</v>
      </c>
    </row>
    <row r="194" spans="1:4" ht="15.75" customHeight="1">
      <c r="A194" s="7" t="s">
        <v>485</v>
      </c>
      <c r="B194" s="7" t="s">
        <v>486</v>
      </c>
      <c r="C194" s="7" t="s">
        <v>486</v>
      </c>
      <c r="D194" s="7" t="e">
        <f t="array" ref="D194">_xlfn.XLOOKUP(C194,#REF!,#REF!,0)</f>
        <v>#REF!</v>
      </c>
    </row>
    <row r="195" spans="1:4" ht="15.75" hidden="1" customHeight="1">
      <c r="A195" s="7" t="s">
        <v>487</v>
      </c>
      <c r="B195" s="7" t="s">
        <v>488</v>
      </c>
      <c r="C195" s="7" t="s">
        <v>489</v>
      </c>
      <c r="D195" s="7" t="e">
        <f t="array" ref="D195">_xlfn.XLOOKUP(C195,#REF!,#REF!,0)</f>
        <v>#REF!</v>
      </c>
    </row>
    <row r="196" spans="1:4" ht="15.75" customHeight="1">
      <c r="A196" s="7" t="s">
        <v>490</v>
      </c>
      <c r="B196" s="7" t="s">
        <v>491</v>
      </c>
      <c r="C196" s="7" t="s">
        <v>491</v>
      </c>
      <c r="D196" s="7" t="e">
        <f t="array" ref="D196">_xlfn.XLOOKUP(C196,#REF!,#REF!,0)</f>
        <v>#REF!</v>
      </c>
    </row>
    <row r="197" spans="1:4" ht="15.75" customHeight="1">
      <c r="A197" s="7" t="s">
        <v>492</v>
      </c>
      <c r="B197" s="7" t="s">
        <v>493</v>
      </c>
      <c r="C197" s="7" t="s">
        <v>493</v>
      </c>
      <c r="D197" s="7" t="e">
        <f t="array" ref="D197">_xlfn.XLOOKUP(C197,#REF!,#REF!,0)</f>
        <v>#REF!</v>
      </c>
    </row>
    <row r="198" spans="1:4" ht="15.75" hidden="1" customHeight="1">
      <c r="A198" s="7" t="s">
        <v>494</v>
      </c>
      <c r="B198" s="7" t="s">
        <v>495</v>
      </c>
      <c r="C198" s="7" t="s">
        <v>495</v>
      </c>
      <c r="D198" s="7" t="e">
        <f t="array" ref="D198">_xlfn.XLOOKUP(C198,#REF!,#REF!,0)</f>
        <v>#REF!</v>
      </c>
    </row>
    <row r="199" spans="1:4" ht="15.75" hidden="1" customHeight="1">
      <c r="A199" s="7" t="s">
        <v>496</v>
      </c>
      <c r="B199" s="7" t="s">
        <v>497</v>
      </c>
      <c r="C199" s="7" t="s">
        <v>497</v>
      </c>
      <c r="D199" s="7" t="e">
        <f t="array" ref="D199">_xlfn.XLOOKUP(C199,#REF!,#REF!,0)</f>
        <v>#REF!</v>
      </c>
    </row>
    <row r="200" spans="1:4" ht="15.75" customHeight="1">
      <c r="A200" s="7" t="s">
        <v>498</v>
      </c>
      <c r="B200" s="7" t="s">
        <v>499</v>
      </c>
      <c r="C200" s="7" t="s">
        <v>499</v>
      </c>
      <c r="D200" s="7" t="e">
        <f t="array" ref="D200">_xlfn.XLOOKUP(C200,#REF!,#REF!,0)</f>
        <v>#REF!</v>
      </c>
    </row>
    <row r="201" spans="1:4" ht="15.75" customHeight="1">
      <c r="A201" s="7" t="s">
        <v>500</v>
      </c>
      <c r="B201" s="7" t="s">
        <v>501</v>
      </c>
      <c r="C201" s="7" t="s">
        <v>502</v>
      </c>
      <c r="D201" s="7" t="e">
        <f t="array" ref="D201">_xlfn.XLOOKUP(C201,#REF!,#REF!,0)</f>
        <v>#REF!</v>
      </c>
    </row>
    <row r="202" spans="1:4" ht="15.75" hidden="1" customHeight="1">
      <c r="A202" s="7" t="s">
        <v>503</v>
      </c>
      <c r="B202" s="7" t="s">
        <v>504</v>
      </c>
      <c r="C202" s="7" t="s">
        <v>505</v>
      </c>
      <c r="D202" s="7" t="e">
        <f t="array" ref="D202">_xlfn.XLOOKUP(C202,#REF!,#REF!,0)</f>
        <v>#REF!</v>
      </c>
    </row>
    <row r="203" spans="1:4" ht="15.75" customHeight="1">
      <c r="A203" s="7" t="s">
        <v>506</v>
      </c>
      <c r="B203" s="7" t="s">
        <v>507</v>
      </c>
      <c r="C203" s="7" t="s">
        <v>508</v>
      </c>
      <c r="D203" s="7" t="e">
        <f t="array" ref="D203">_xlfn.XLOOKUP(C203,#REF!,#REF!,0)</f>
        <v>#REF!</v>
      </c>
    </row>
    <row r="204" spans="1:4" ht="15.75" customHeight="1">
      <c r="A204" s="7" t="s">
        <v>509</v>
      </c>
      <c r="B204" s="7" t="s">
        <v>510</v>
      </c>
      <c r="C204" s="7" t="s">
        <v>510</v>
      </c>
      <c r="D204" s="7" t="e">
        <f t="array" ref="D204">_xlfn.XLOOKUP(C204,#REF!,#REF!,0)</f>
        <v>#REF!</v>
      </c>
    </row>
    <row r="205" spans="1:4" ht="15.75" customHeight="1">
      <c r="A205" s="7" t="s">
        <v>511</v>
      </c>
      <c r="B205" s="7" t="s">
        <v>512</v>
      </c>
      <c r="C205" s="7" t="s">
        <v>512</v>
      </c>
      <c r="D205" s="7" t="e">
        <f t="array" ref="D205">_xlfn.XLOOKUP(C205,#REF!,#REF!,0)</f>
        <v>#REF!</v>
      </c>
    </row>
    <row r="206" spans="1:4" ht="15.75" hidden="1" customHeight="1">
      <c r="A206" s="7" t="s">
        <v>513</v>
      </c>
      <c r="B206" s="7" t="s">
        <v>514</v>
      </c>
      <c r="C206" s="7" t="s">
        <v>515</v>
      </c>
      <c r="D206" s="7" t="e">
        <f t="array" ref="D206">_xlfn.XLOOKUP(C206,#REF!,#REF!,0)</f>
        <v>#REF!</v>
      </c>
    </row>
    <row r="207" spans="1:4" ht="15.75" hidden="1" customHeight="1">
      <c r="A207" s="7" t="s">
        <v>516</v>
      </c>
      <c r="B207" s="7" t="s">
        <v>517</v>
      </c>
      <c r="C207" s="7" t="s">
        <v>517</v>
      </c>
      <c r="D207" s="7" t="e">
        <f t="array" ref="D207">_xlfn.XLOOKUP(C207,#REF!,#REF!,0)</f>
        <v>#REF!</v>
      </c>
    </row>
    <row r="208" spans="1:4" ht="15.75" hidden="1" customHeight="1">
      <c r="A208" s="7" t="s">
        <v>518</v>
      </c>
      <c r="B208" s="7" t="s">
        <v>519</v>
      </c>
      <c r="C208" s="7" t="s">
        <v>520</v>
      </c>
      <c r="D208" s="7" t="e">
        <f t="array" ref="D208">_xlfn.XLOOKUP(C208,#REF!,#REF!,0)</f>
        <v>#REF!</v>
      </c>
    </row>
    <row r="209" spans="1:4" ht="15.75" customHeight="1">
      <c r="A209" s="7" t="s">
        <v>521</v>
      </c>
      <c r="B209" s="7" t="s">
        <v>522</v>
      </c>
      <c r="C209" s="7" t="s">
        <v>522</v>
      </c>
      <c r="D209" s="7" t="e">
        <f t="array" ref="D209">_xlfn.XLOOKUP(C209,#REF!,#REF!,0)</f>
        <v>#REF!</v>
      </c>
    </row>
    <row r="210" spans="1:4" ht="15.75" hidden="1" customHeight="1">
      <c r="A210" s="7" t="s">
        <v>523</v>
      </c>
      <c r="B210" s="7" t="s">
        <v>524</v>
      </c>
      <c r="C210" s="7" t="s">
        <v>525</v>
      </c>
      <c r="D210" s="7" t="e">
        <f t="array" ref="D210">_xlfn.XLOOKUP(C210,#REF!,#REF!,0)</f>
        <v>#REF!</v>
      </c>
    </row>
    <row r="211" spans="1:4" ht="15.75" hidden="1" customHeight="1">
      <c r="A211" s="7" t="s">
        <v>526</v>
      </c>
      <c r="B211" s="7" t="s">
        <v>527</v>
      </c>
      <c r="C211" s="7" t="s">
        <v>528</v>
      </c>
      <c r="D211" s="7" t="e">
        <f t="array" ref="D211">_xlfn.XLOOKUP(C211,#REF!,#REF!,0)</f>
        <v>#REF!</v>
      </c>
    </row>
    <row r="212" spans="1:4" ht="15.75" hidden="1" customHeight="1">
      <c r="A212" s="7" t="s">
        <v>529</v>
      </c>
      <c r="B212" s="7" t="s">
        <v>530</v>
      </c>
      <c r="C212" s="7" t="s">
        <v>531</v>
      </c>
      <c r="D212" s="7" t="e">
        <f t="array" ref="D212">_xlfn.XLOOKUP(C212,#REF!,#REF!,0)</f>
        <v>#REF!</v>
      </c>
    </row>
    <row r="213" spans="1:4" ht="15.75" hidden="1" customHeight="1">
      <c r="A213" s="7" t="s">
        <v>532</v>
      </c>
      <c r="B213" s="7" t="s">
        <v>533</v>
      </c>
      <c r="C213" s="7" t="s">
        <v>534</v>
      </c>
      <c r="D213" s="7" t="e">
        <f t="array" ref="D213">_xlfn.XLOOKUP(C213,#REF!,#REF!,0)</f>
        <v>#REF!</v>
      </c>
    </row>
    <row r="214" spans="1:4" ht="15.75" hidden="1" customHeight="1">
      <c r="A214" s="7" t="s">
        <v>535</v>
      </c>
      <c r="B214" s="7" t="s">
        <v>536</v>
      </c>
      <c r="C214" s="7" t="s">
        <v>537</v>
      </c>
      <c r="D214" s="7" t="e">
        <f t="array" ref="D214">_xlfn.XLOOKUP(C214,#REF!,#REF!,0)</f>
        <v>#REF!</v>
      </c>
    </row>
    <row r="215" spans="1:4" ht="15.75" hidden="1" customHeight="1">
      <c r="A215" s="7" t="s">
        <v>538</v>
      </c>
      <c r="B215" s="7" t="s">
        <v>539</v>
      </c>
      <c r="C215" s="7" t="s">
        <v>540</v>
      </c>
      <c r="D215" s="7" t="e">
        <f t="array" ref="D215">_xlfn.XLOOKUP(C215,#REF!,#REF!,0)</f>
        <v>#REF!</v>
      </c>
    </row>
    <row r="216" spans="1:4" ht="15.75" hidden="1" customHeight="1">
      <c r="A216" s="7" t="s">
        <v>541</v>
      </c>
      <c r="B216" s="7" t="s">
        <v>542</v>
      </c>
      <c r="C216" s="7" t="s">
        <v>542</v>
      </c>
      <c r="D216" s="7" t="e">
        <f t="array" ref="D216">_xlfn.XLOOKUP(C216,#REF!,#REF!,0)</f>
        <v>#REF!</v>
      </c>
    </row>
    <row r="217" spans="1:4" ht="15.75" hidden="1" customHeight="1">
      <c r="A217" s="7" t="s">
        <v>543</v>
      </c>
      <c r="B217" s="7" t="s">
        <v>544</v>
      </c>
      <c r="C217" s="7" t="s">
        <v>544</v>
      </c>
      <c r="D217" s="7" t="e">
        <f t="array" ref="D217">_xlfn.XLOOKUP(C217,#REF!,#REF!,0)</f>
        <v>#REF!</v>
      </c>
    </row>
    <row r="218" spans="1:4" ht="15.75" customHeight="1">
      <c r="A218" s="7" t="s">
        <v>545</v>
      </c>
      <c r="B218" s="7" t="s">
        <v>546</v>
      </c>
      <c r="C218" s="7" t="s">
        <v>546</v>
      </c>
      <c r="D218" s="7" t="e">
        <f t="array" ref="D218">_xlfn.XLOOKUP(C218,#REF!,#REF!,0)</f>
        <v>#REF!</v>
      </c>
    </row>
    <row r="219" spans="1:4" ht="15.75" hidden="1" customHeight="1">
      <c r="A219" s="7" t="s">
        <v>547</v>
      </c>
      <c r="B219" s="7" t="s">
        <v>548</v>
      </c>
      <c r="C219" s="7" t="s">
        <v>548</v>
      </c>
      <c r="D219" s="7" t="e">
        <f t="array" ref="D219">_xlfn.XLOOKUP(C219,#REF!,#REF!,0)</f>
        <v>#REF!</v>
      </c>
    </row>
    <row r="220" spans="1:4" ht="15.75" hidden="1" customHeight="1">
      <c r="A220" s="7" t="s">
        <v>549</v>
      </c>
      <c r="B220" s="7" t="s">
        <v>550</v>
      </c>
      <c r="C220" s="7" t="s">
        <v>550</v>
      </c>
      <c r="D220" s="7" t="e">
        <f t="array" ref="D220">_xlfn.XLOOKUP(C220,#REF!,#REF!,0)</f>
        <v>#REF!</v>
      </c>
    </row>
    <row r="221" spans="1:4" ht="15.75" hidden="1" customHeight="1">
      <c r="A221" s="7" t="s">
        <v>551</v>
      </c>
      <c r="B221" s="7" t="s">
        <v>552</v>
      </c>
      <c r="C221" s="7" t="s">
        <v>552</v>
      </c>
      <c r="D221" s="7" t="e">
        <f t="array" ref="D221">_xlfn.XLOOKUP(C221,#REF!,#REF!,0)</f>
        <v>#REF!</v>
      </c>
    </row>
    <row r="222" spans="1:4" ht="15.75" hidden="1" customHeight="1">
      <c r="A222" s="7" t="s">
        <v>553</v>
      </c>
      <c r="B222" s="7" t="s">
        <v>554</v>
      </c>
      <c r="C222" s="7" t="s">
        <v>555</v>
      </c>
      <c r="D222" s="7" t="e">
        <f t="array" ref="D222">_xlfn.XLOOKUP(C222,#REF!,#REF!,0)</f>
        <v>#REF!</v>
      </c>
    </row>
    <row r="223" spans="1:4" ht="15.75" customHeight="1">
      <c r="A223" s="7" t="s">
        <v>556</v>
      </c>
      <c r="B223" s="7" t="s">
        <v>557</v>
      </c>
      <c r="C223" s="7" t="s">
        <v>557</v>
      </c>
      <c r="D223" s="7" t="e">
        <f t="array" ref="D223">_xlfn.XLOOKUP(C223,#REF!,#REF!,0)</f>
        <v>#REF!</v>
      </c>
    </row>
    <row r="224" spans="1:4" ht="15.75" hidden="1" customHeight="1">
      <c r="A224" s="7" t="s">
        <v>558</v>
      </c>
      <c r="B224" s="7" t="s">
        <v>559</v>
      </c>
      <c r="C224" s="7" t="s">
        <v>560</v>
      </c>
      <c r="D224" s="7" t="e">
        <f t="array" ref="D224">_xlfn.XLOOKUP(C224,#REF!,#REF!,0)</f>
        <v>#REF!</v>
      </c>
    </row>
    <row r="225" spans="1:4" ht="15.75" hidden="1" customHeight="1">
      <c r="A225" s="7" t="s">
        <v>561</v>
      </c>
      <c r="B225" s="7" t="s">
        <v>562</v>
      </c>
      <c r="C225" s="7" t="s">
        <v>563</v>
      </c>
      <c r="D225" s="7" t="e">
        <f t="array" ref="D225">_xlfn.XLOOKUP(C225,#REF!,#REF!,0)</f>
        <v>#REF!</v>
      </c>
    </row>
    <row r="226" spans="1:4" ht="15.75" hidden="1" customHeight="1">
      <c r="A226" s="7" t="s">
        <v>564</v>
      </c>
      <c r="B226" s="7" t="s">
        <v>565</v>
      </c>
      <c r="C226" s="7" t="s">
        <v>566</v>
      </c>
      <c r="D226" s="7" t="e">
        <f t="array" ref="D226">_xlfn.XLOOKUP(C226,#REF!,#REF!,0)</f>
        <v>#REF!</v>
      </c>
    </row>
    <row r="227" spans="1:4" ht="15.75" hidden="1" customHeight="1">
      <c r="A227" s="7" t="s">
        <v>567</v>
      </c>
      <c r="B227" s="7" t="s">
        <v>568</v>
      </c>
      <c r="C227" s="7" t="s">
        <v>568</v>
      </c>
      <c r="D227" s="7" t="e">
        <f t="array" ref="D227">_xlfn.XLOOKUP(C227,#REF!,#REF!,0)</f>
        <v>#REF!</v>
      </c>
    </row>
    <row r="228" spans="1:4" ht="15.75" hidden="1" customHeight="1">
      <c r="A228" s="7" t="s">
        <v>569</v>
      </c>
      <c r="B228" s="7" t="s">
        <v>570</v>
      </c>
      <c r="C228" s="7" t="s">
        <v>570</v>
      </c>
      <c r="D228" s="7" t="e">
        <f t="array" ref="D228">_xlfn.XLOOKUP(C228,#REF!,#REF!,0)</f>
        <v>#REF!</v>
      </c>
    </row>
    <row r="229" spans="1:4" ht="15.75" hidden="1" customHeight="1">
      <c r="A229" s="7" t="s">
        <v>571</v>
      </c>
      <c r="B229" s="7" t="s">
        <v>572</v>
      </c>
      <c r="C229" s="7" t="s">
        <v>572</v>
      </c>
      <c r="D229" s="7" t="e">
        <f t="array" ref="D229">_xlfn.XLOOKUP(C229,#REF!,#REF!,0)</f>
        <v>#REF!</v>
      </c>
    </row>
    <row r="230" spans="1:4" ht="15.75" customHeight="1">
      <c r="A230" s="7" t="s">
        <v>573</v>
      </c>
      <c r="B230" s="7" t="s">
        <v>574</v>
      </c>
      <c r="C230" s="7" t="s">
        <v>574</v>
      </c>
      <c r="D230" s="7" t="e">
        <f t="array" ref="D230">_xlfn.XLOOKUP(C230,#REF!,#REF!,0)</f>
        <v>#REF!</v>
      </c>
    </row>
    <row r="231" spans="1:4" ht="15.75" customHeight="1">
      <c r="A231" s="7" t="s">
        <v>575</v>
      </c>
      <c r="B231" s="7" t="s">
        <v>576</v>
      </c>
      <c r="C231" s="7" t="s">
        <v>576</v>
      </c>
      <c r="D231" s="7" t="e">
        <f t="array" ref="D231">_xlfn.XLOOKUP(C231,#REF!,#REF!,0)</f>
        <v>#REF!</v>
      </c>
    </row>
    <row r="232" spans="1:4" ht="15.75" hidden="1" customHeight="1">
      <c r="A232" s="7" t="s">
        <v>577</v>
      </c>
      <c r="B232" s="7" t="s">
        <v>578</v>
      </c>
      <c r="C232" s="7" t="s">
        <v>579</v>
      </c>
      <c r="D232" s="7" t="e">
        <f t="array" ref="D232">_xlfn.XLOOKUP(C232,#REF!,#REF!,0)</f>
        <v>#REF!</v>
      </c>
    </row>
    <row r="233" spans="1:4" ht="15.75" customHeight="1">
      <c r="A233" s="7" t="s">
        <v>580</v>
      </c>
      <c r="B233" s="7" t="s">
        <v>581</v>
      </c>
      <c r="C233" s="7" t="s">
        <v>581</v>
      </c>
      <c r="D233" s="7" t="e">
        <f t="array" ref="D233">_xlfn.XLOOKUP(C233,#REF!,#REF!,0)</f>
        <v>#REF!</v>
      </c>
    </row>
    <row r="234" spans="1:4" ht="15.75" customHeight="1">
      <c r="A234" s="7" t="s">
        <v>582</v>
      </c>
      <c r="B234" s="7" t="s">
        <v>583</v>
      </c>
      <c r="C234" s="7" t="s">
        <v>583</v>
      </c>
      <c r="D234" s="7" t="e">
        <f t="array" ref="D234">_xlfn.XLOOKUP(C234,#REF!,#REF!,0)</f>
        <v>#REF!</v>
      </c>
    </row>
    <row r="235" spans="1:4" ht="15.75" hidden="1" customHeight="1">
      <c r="A235" s="7" t="s">
        <v>584</v>
      </c>
      <c r="B235" s="7" t="s">
        <v>585</v>
      </c>
      <c r="C235" s="7" t="s">
        <v>585</v>
      </c>
      <c r="D235" s="7" t="e">
        <f t="array" ref="D235">_xlfn.XLOOKUP(C235,#REF!,#REF!,0)</f>
        <v>#REF!</v>
      </c>
    </row>
    <row r="236" spans="1:4" ht="15.75" hidden="1" customHeight="1">
      <c r="A236" s="7" t="s">
        <v>586</v>
      </c>
      <c r="B236" s="7" t="s">
        <v>587</v>
      </c>
      <c r="C236" s="7" t="s">
        <v>587</v>
      </c>
      <c r="D236" s="7" t="e">
        <f t="array" ref="D236">_xlfn.XLOOKUP(C236,#REF!,#REF!,0)</f>
        <v>#REF!</v>
      </c>
    </row>
    <row r="237" spans="1:4" ht="15.75" customHeight="1">
      <c r="A237" s="7" t="s">
        <v>588</v>
      </c>
      <c r="B237" s="7" t="s">
        <v>589</v>
      </c>
      <c r="C237" s="7" t="s">
        <v>589</v>
      </c>
      <c r="D237" s="7" t="e">
        <f t="array" ref="D237">_xlfn.XLOOKUP(C237,#REF!,#REF!,0)</f>
        <v>#REF!</v>
      </c>
    </row>
    <row r="238" spans="1:4" ht="15.75" hidden="1" customHeight="1">
      <c r="A238" s="7" t="s">
        <v>590</v>
      </c>
      <c r="B238" s="7" t="s">
        <v>591</v>
      </c>
      <c r="C238" s="7" t="s">
        <v>591</v>
      </c>
      <c r="D238" s="7" t="e">
        <f t="array" ref="D238">_xlfn.XLOOKUP(C238,#REF!,#REF!,0)</f>
        <v>#REF!</v>
      </c>
    </row>
    <row r="239" spans="1:4" ht="15.75" hidden="1" customHeight="1">
      <c r="A239" s="7" t="s">
        <v>592</v>
      </c>
      <c r="B239" s="7" t="s">
        <v>593</v>
      </c>
      <c r="C239" s="7" t="s">
        <v>593</v>
      </c>
      <c r="D239" s="7" t="e">
        <f t="array" ref="D239">_xlfn.XLOOKUP(C239,#REF!,#REF!,0)</f>
        <v>#REF!</v>
      </c>
    </row>
    <row r="240" spans="1:4" ht="15.75" hidden="1" customHeight="1">
      <c r="A240" s="7" t="s">
        <v>594</v>
      </c>
      <c r="B240" s="7" t="s">
        <v>595</v>
      </c>
      <c r="C240" s="7" t="s">
        <v>595</v>
      </c>
      <c r="D240" s="7" t="e">
        <f t="array" ref="D240">_xlfn.XLOOKUP(C240,#REF!,#REF!,0)</f>
        <v>#REF!</v>
      </c>
    </row>
    <row r="241" spans="1:4" ht="15.75" customHeight="1">
      <c r="A241" s="7" t="s">
        <v>596</v>
      </c>
      <c r="B241" s="7" t="s">
        <v>597</v>
      </c>
      <c r="C241" s="7" t="s">
        <v>597</v>
      </c>
      <c r="D241" s="7" t="e">
        <f t="array" ref="D241">_xlfn.XLOOKUP(C241,#REF!,#REF!,0)</f>
        <v>#REF!</v>
      </c>
    </row>
    <row r="242" spans="1:4" ht="15.75" customHeight="1">
      <c r="A242" s="7" t="s">
        <v>598</v>
      </c>
      <c r="B242" s="7" t="s">
        <v>599</v>
      </c>
      <c r="C242" s="7" t="s">
        <v>599</v>
      </c>
      <c r="D242" s="7" t="e">
        <f t="array" ref="D242">_xlfn.XLOOKUP(C242,#REF!,#REF!,0)</f>
        <v>#REF!</v>
      </c>
    </row>
    <row r="243" spans="1:4" ht="15.75" customHeight="1">
      <c r="A243" s="7" t="s">
        <v>600</v>
      </c>
      <c r="B243" s="7" t="s">
        <v>601</v>
      </c>
      <c r="C243" s="7" t="s">
        <v>601</v>
      </c>
      <c r="D243" s="7" t="e">
        <f t="array" ref="D243">_xlfn.XLOOKUP(C243,#REF!,#REF!,0)</f>
        <v>#REF!</v>
      </c>
    </row>
    <row r="244" spans="1:4" ht="15.75" hidden="1" customHeight="1">
      <c r="A244" s="7" t="s">
        <v>602</v>
      </c>
      <c r="B244" s="7" t="s">
        <v>603</v>
      </c>
      <c r="C244" s="7" t="s">
        <v>603</v>
      </c>
      <c r="D244" s="7" t="e">
        <f t="array" ref="D244">_xlfn.XLOOKUP(C244,#REF!,#REF!,0)</f>
        <v>#REF!</v>
      </c>
    </row>
    <row r="245" spans="1:4" ht="15.75" hidden="1" customHeight="1">
      <c r="A245" s="7" t="s">
        <v>604</v>
      </c>
      <c r="B245" s="7" t="s">
        <v>605</v>
      </c>
      <c r="C245" s="7" t="s">
        <v>605</v>
      </c>
      <c r="D245" s="7" t="e">
        <f t="array" ref="D245">_xlfn.XLOOKUP(C245,#REF!,#REF!,0)</f>
        <v>#REF!</v>
      </c>
    </row>
    <row r="246" spans="1:4" ht="15.75" hidden="1" customHeight="1">
      <c r="A246" s="7" t="s">
        <v>606</v>
      </c>
      <c r="B246" s="7" t="s">
        <v>607</v>
      </c>
      <c r="C246" s="7" t="s">
        <v>607</v>
      </c>
      <c r="D246" s="7" t="e">
        <f t="array" ref="D246">_xlfn.XLOOKUP(C246,#REF!,#REF!,0)</f>
        <v>#REF!</v>
      </c>
    </row>
    <row r="247" spans="1:4" ht="15.75" hidden="1" customHeight="1">
      <c r="A247" s="7" t="s">
        <v>608</v>
      </c>
      <c r="B247" s="7" t="s">
        <v>609</v>
      </c>
      <c r="C247" s="7" t="s">
        <v>609</v>
      </c>
      <c r="D247" s="7" t="e">
        <f t="array" ref="D247">_xlfn.XLOOKUP(C247,#REF!,#REF!,0)</f>
        <v>#REF!</v>
      </c>
    </row>
    <row r="248" spans="1:4" ht="15.75" customHeight="1">
      <c r="A248" s="7" t="s">
        <v>610</v>
      </c>
      <c r="B248" s="7" t="s">
        <v>611</v>
      </c>
      <c r="C248" s="7" t="s">
        <v>612</v>
      </c>
      <c r="D248" s="7" t="e">
        <f t="array" ref="D248">_xlfn.XLOOKUP(C248,#REF!,#REF!,0)</f>
        <v>#REF!</v>
      </c>
    </row>
    <row r="249" spans="1:4" ht="15.75" hidden="1" customHeight="1">
      <c r="A249" s="7" t="s">
        <v>613</v>
      </c>
      <c r="B249" s="7" t="s">
        <v>614</v>
      </c>
      <c r="C249" s="7" t="s">
        <v>615</v>
      </c>
      <c r="D249" s="7" t="e">
        <f t="array" ref="D249">_xlfn.XLOOKUP(C249,#REF!,#REF!,0)</f>
        <v>#REF!</v>
      </c>
    </row>
    <row r="250" spans="1:4" ht="15.75" hidden="1" customHeight="1">
      <c r="A250" s="7" t="s">
        <v>616</v>
      </c>
      <c r="B250" s="7" t="s">
        <v>617</v>
      </c>
      <c r="C250" s="7" t="s">
        <v>618</v>
      </c>
      <c r="D250" s="7" t="e">
        <f t="array" ref="D250">_xlfn.XLOOKUP(C250,#REF!,#REF!,0)</f>
        <v>#REF!</v>
      </c>
    </row>
    <row r="251" spans="1:4" ht="15.75" customHeight="1">
      <c r="A251" s="7" t="s">
        <v>619</v>
      </c>
      <c r="B251" s="7" t="s">
        <v>620</v>
      </c>
      <c r="C251" s="7" t="s">
        <v>620</v>
      </c>
      <c r="D251" s="7" t="e">
        <f t="array" ref="D251">_xlfn.XLOOKUP(C251,#REF!,#REF!,0)</f>
        <v>#REF!</v>
      </c>
    </row>
    <row r="252" spans="1:4" ht="15.75" customHeight="1">
      <c r="A252" s="7" t="s">
        <v>621</v>
      </c>
      <c r="B252" s="7" t="s">
        <v>622</v>
      </c>
      <c r="C252" s="7" t="s">
        <v>622</v>
      </c>
      <c r="D252" s="7" t="e">
        <f t="array" ref="D252">_xlfn.XLOOKUP(C252,#REF!,#REF!,0)</f>
        <v>#REF!</v>
      </c>
    </row>
    <row r="253" spans="1:4" ht="15.75" hidden="1" customHeight="1">
      <c r="A253" s="7" t="s">
        <v>623</v>
      </c>
      <c r="B253" s="7" t="s">
        <v>624</v>
      </c>
      <c r="C253" s="7" t="s">
        <v>624</v>
      </c>
      <c r="D253" s="7" t="e">
        <f t="array" ref="D253">_xlfn.XLOOKUP(C253,#REF!,#REF!,0)</f>
        <v>#REF!</v>
      </c>
    </row>
    <row r="254" spans="1:4" ht="15.75" customHeight="1">
      <c r="A254" s="7" t="s">
        <v>625</v>
      </c>
      <c r="B254" s="7" t="s">
        <v>626</v>
      </c>
      <c r="C254" s="7" t="s">
        <v>626</v>
      </c>
      <c r="D254" s="7" t="e">
        <f t="array" ref="D254">_xlfn.XLOOKUP(C254,#REF!,#REF!,0)</f>
        <v>#REF!</v>
      </c>
    </row>
    <row r="255" spans="1:4" ht="15.75" customHeight="1">
      <c r="A255" s="7" t="s">
        <v>627</v>
      </c>
      <c r="B255" s="7" t="s">
        <v>628</v>
      </c>
      <c r="C255" s="7" t="s">
        <v>628</v>
      </c>
      <c r="D255" s="7" t="e">
        <f t="array" ref="D255">_xlfn.XLOOKUP(C255,#REF!,#REF!,0)</f>
        <v>#REF!</v>
      </c>
    </row>
    <row r="256" spans="1:4" ht="15.75" hidden="1" customHeight="1">
      <c r="A256" s="7" t="s">
        <v>629</v>
      </c>
      <c r="B256" s="7" t="s">
        <v>630</v>
      </c>
      <c r="C256" s="7" t="s">
        <v>630</v>
      </c>
      <c r="D256" s="7" t="e">
        <f t="array" ref="D256">_xlfn.XLOOKUP(C256,#REF!,#REF!,0)</f>
        <v>#REF!</v>
      </c>
    </row>
    <row r="257" spans="1:4" ht="15.75" hidden="1" customHeight="1">
      <c r="A257" s="7" t="s">
        <v>631</v>
      </c>
      <c r="B257" s="7" t="s">
        <v>632</v>
      </c>
      <c r="C257" s="7" t="s">
        <v>633</v>
      </c>
      <c r="D257" s="7" t="e">
        <f t="array" ref="D257">_xlfn.XLOOKUP(C257,#REF!,#REF!,0)</f>
        <v>#REF!</v>
      </c>
    </row>
    <row r="258" spans="1:4" ht="15.75" hidden="1" customHeight="1">
      <c r="A258" s="7" t="s">
        <v>634</v>
      </c>
      <c r="B258" s="7" t="s">
        <v>635</v>
      </c>
      <c r="C258" s="7" t="s">
        <v>635</v>
      </c>
      <c r="D258" s="7" t="e">
        <f t="array" ref="D258">_xlfn.XLOOKUP(C258,#REF!,#REF!,0)</f>
        <v>#REF!</v>
      </c>
    </row>
    <row r="259" spans="1:4" ht="15.75" hidden="1" customHeight="1">
      <c r="A259" s="7" t="s">
        <v>636</v>
      </c>
      <c r="B259" s="7" t="s">
        <v>637</v>
      </c>
      <c r="C259" s="7" t="s">
        <v>638</v>
      </c>
      <c r="D259" s="7" t="e">
        <f t="array" ref="D259">_xlfn.XLOOKUP(C259,#REF!,#REF!,0)</f>
        <v>#REF!</v>
      </c>
    </row>
    <row r="260" spans="1:4" ht="15.75" customHeight="1">
      <c r="A260" s="7" t="s">
        <v>639</v>
      </c>
      <c r="B260" s="7" t="s">
        <v>640</v>
      </c>
      <c r="C260" s="7" t="s">
        <v>640</v>
      </c>
      <c r="D260" s="7" t="e">
        <f t="array" ref="D260">_xlfn.XLOOKUP(C260,#REF!,#REF!,0)</f>
        <v>#REF!</v>
      </c>
    </row>
    <row r="261" spans="1:4" ht="15.75" customHeight="1">
      <c r="A261" s="7" t="s">
        <v>641</v>
      </c>
      <c r="B261" s="7" t="s">
        <v>642</v>
      </c>
      <c r="C261" s="7" t="s">
        <v>642</v>
      </c>
      <c r="D261" s="7" t="e">
        <f t="array" ref="D261">_xlfn.XLOOKUP(C261,#REF!,#REF!,0)</f>
        <v>#REF!</v>
      </c>
    </row>
    <row r="262" spans="1:4" ht="15.75" hidden="1" customHeight="1">
      <c r="A262" s="7" t="s">
        <v>643</v>
      </c>
      <c r="B262" s="7" t="s">
        <v>644</v>
      </c>
      <c r="C262" s="7" t="s">
        <v>644</v>
      </c>
      <c r="D262" s="7" t="e">
        <f t="array" ref="D262">_xlfn.XLOOKUP(C262,#REF!,#REF!,0)</f>
        <v>#REF!</v>
      </c>
    </row>
    <row r="263" spans="1:4" ht="15.75" hidden="1" customHeight="1">
      <c r="A263" s="7" t="s">
        <v>645</v>
      </c>
      <c r="B263" s="7" t="s">
        <v>646</v>
      </c>
      <c r="C263" s="7" t="s">
        <v>647</v>
      </c>
      <c r="D263" s="7" t="e">
        <f t="array" ref="D263">_xlfn.XLOOKUP(C263,#REF!,#REF!,0)</f>
        <v>#REF!</v>
      </c>
    </row>
    <row r="264" spans="1:4" ht="15.75" hidden="1" customHeight="1">
      <c r="A264" s="7" t="s">
        <v>648</v>
      </c>
      <c r="B264" s="7" t="s">
        <v>649</v>
      </c>
      <c r="C264" s="7" t="s">
        <v>649</v>
      </c>
      <c r="D264" s="7" t="e">
        <f t="array" ref="D264">_xlfn.XLOOKUP(C264,#REF!,#REF!,0)</f>
        <v>#REF!</v>
      </c>
    </row>
    <row r="265" spans="1:4" ht="15.75" customHeight="1">
      <c r="A265" s="7" t="s">
        <v>650</v>
      </c>
      <c r="B265" s="7" t="s">
        <v>651</v>
      </c>
      <c r="C265" s="7" t="s">
        <v>651</v>
      </c>
      <c r="D265" s="7" t="e">
        <f t="array" ref="D265">_xlfn.XLOOKUP(C265,#REF!,#REF!,0)</f>
        <v>#REF!</v>
      </c>
    </row>
    <row r="266" spans="1:4" ht="15.75" customHeight="1">
      <c r="A266" s="7" t="s">
        <v>652</v>
      </c>
      <c r="B266" s="7" t="s">
        <v>653</v>
      </c>
      <c r="C266" s="7" t="s">
        <v>653</v>
      </c>
      <c r="D266" s="7" t="e">
        <f t="array" ref="D266">_xlfn.XLOOKUP(C266,#REF!,#REF!,0)</f>
        <v>#REF!</v>
      </c>
    </row>
    <row r="267" spans="1:4" ht="15.75" hidden="1" customHeight="1">
      <c r="A267" s="7" t="s">
        <v>654</v>
      </c>
      <c r="B267" s="7" t="s">
        <v>655</v>
      </c>
      <c r="C267" s="7" t="s">
        <v>656</v>
      </c>
      <c r="D267" s="7" t="e">
        <f t="array" ref="D267">_xlfn.XLOOKUP(C267,#REF!,#REF!,0)</f>
        <v>#REF!</v>
      </c>
    </row>
    <row r="268" spans="1:4" ht="15.75" customHeight="1">
      <c r="A268" s="7" t="s">
        <v>657</v>
      </c>
      <c r="B268" s="7" t="s">
        <v>658</v>
      </c>
      <c r="C268" s="7" t="s">
        <v>658</v>
      </c>
      <c r="D268" s="7" t="e">
        <f t="array" ref="D268">_xlfn.XLOOKUP(C268,#REF!,#REF!,0)</f>
        <v>#REF!</v>
      </c>
    </row>
    <row r="269" spans="1:4" ht="15.75" customHeight="1">
      <c r="A269" s="7" t="s">
        <v>659</v>
      </c>
      <c r="B269" s="7" t="s">
        <v>660</v>
      </c>
      <c r="C269" s="7" t="s">
        <v>661</v>
      </c>
      <c r="D269" s="7" t="e">
        <f t="array" ref="D269">_xlfn.XLOOKUP(C269,#REF!,#REF!,0)</f>
        <v>#REF!</v>
      </c>
    </row>
    <row r="270" spans="1:4" ht="15.75" hidden="1" customHeight="1">
      <c r="A270" s="7" t="s">
        <v>662</v>
      </c>
      <c r="B270" s="7" t="s">
        <v>663</v>
      </c>
      <c r="C270" s="7" t="s">
        <v>663</v>
      </c>
      <c r="D270" s="7" t="e">
        <f t="array" ref="D270">_xlfn.XLOOKUP(C270,#REF!,#REF!,0)</f>
        <v>#REF!</v>
      </c>
    </row>
    <row r="271" spans="1:4" ht="15.75" customHeight="1">
      <c r="A271" s="7" t="s">
        <v>664</v>
      </c>
      <c r="B271" s="7" t="s">
        <v>665</v>
      </c>
      <c r="C271" s="7" t="s">
        <v>665</v>
      </c>
      <c r="D271" s="7" t="e">
        <f t="array" ref="D271">_xlfn.XLOOKUP(C271,#REF!,#REF!,0)</f>
        <v>#REF!</v>
      </c>
    </row>
    <row r="272" spans="1:4" ht="15.75" hidden="1" customHeight="1">
      <c r="A272" s="7" t="s">
        <v>666</v>
      </c>
      <c r="B272" s="7" t="s">
        <v>667</v>
      </c>
      <c r="C272" s="7" t="s">
        <v>668</v>
      </c>
      <c r="D272" s="7" t="e">
        <f t="array" ref="D272">_xlfn.XLOOKUP(C272,#REF!,#REF!,0)</f>
        <v>#REF!</v>
      </c>
    </row>
    <row r="273" spans="1:4" ht="15.75" hidden="1" customHeight="1">
      <c r="A273" s="7" t="s">
        <v>669</v>
      </c>
      <c r="B273" s="7" t="s">
        <v>670</v>
      </c>
      <c r="C273" s="7" t="s">
        <v>670</v>
      </c>
      <c r="D273" s="7" t="e">
        <f t="array" ref="D273">_xlfn.XLOOKUP(C273,#REF!,#REF!,0)</f>
        <v>#REF!</v>
      </c>
    </row>
    <row r="274" spans="1:4" ht="15.75" hidden="1" customHeight="1">
      <c r="A274" s="7" t="s">
        <v>671</v>
      </c>
      <c r="B274" s="7" t="s">
        <v>672</v>
      </c>
      <c r="C274" s="7" t="s">
        <v>672</v>
      </c>
      <c r="D274" s="7" t="e">
        <f t="array" ref="D274">_xlfn.XLOOKUP(C274,#REF!,#REF!,0)</f>
        <v>#REF!</v>
      </c>
    </row>
    <row r="275" spans="1:4" ht="15.75" customHeight="1">
      <c r="A275" s="7" t="s">
        <v>673</v>
      </c>
      <c r="B275" s="7" t="s">
        <v>674</v>
      </c>
      <c r="C275" s="7" t="s">
        <v>675</v>
      </c>
      <c r="D275" s="7" t="e">
        <f t="array" ref="D275">_xlfn.XLOOKUP(C275,#REF!,#REF!,0)</f>
        <v>#REF!</v>
      </c>
    </row>
    <row r="276" spans="1:4" ht="15.75" customHeight="1">
      <c r="A276" s="7" t="s">
        <v>676</v>
      </c>
      <c r="B276" s="7" t="s">
        <v>677</v>
      </c>
      <c r="C276" s="7" t="s">
        <v>678</v>
      </c>
      <c r="D276" s="7" t="e">
        <f t="array" ref="D276">_xlfn.XLOOKUP(C276,#REF!,#REF!,0)</f>
        <v>#REF!</v>
      </c>
    </row>
    <row r="277" spans="1:4" ht="15.75" customHeight="1">
      <c r="A277" s="7" t="s">
        <v>679</v>
      </c>
      <c r="B277" s="7" t="s">
        <v>680</v>
      </c>
      <c r="C277" s="7" t="s">
        <v>681</v>
      </c>
      <c r="D277" s="7" t="e">
        <f t="array" ref="D277">_xlfn.XLOOKUP(C277,#REF!,#REF!,0)</f>
        <v>#REF!</v>
      </c>
    </row>
    <row r="278" spans="1:4" ht="15.75" hidden="1" customHeight="1">
      <c r="A278" s="7" t="s">
        <v>682</v>
      </c>
      <c r="B278" s="7" t="s">
        <v>683</v>
      </c>
      <c r="C278" s="7" t="s">
        <v>684</v>
      </c>
      <c r="D278" s="7" t="e">
        <f t="array" ref="D278">_xlfn.XLOOKUP(C278,#REF!,#REF!,0)</f>
        <v>#REF!</v>
      </c>
    </row>
    <row r="279" spans="1:4" ht="15.75" hidden="1" customHeight="1">
      <c r="A279" s="7" t="s">
        <v>685</v>
      </c>
      <c r="B279" s="7" t="s">
        <v>686</v>
      </c>
      <c r="C279" s="7" t="s">
        <v>686</v>
      </c>
      <c r="D279" s="7" t="e">
        <f t="array" ref="D279">_xlfn.XLOOKUP(C279,#REF!,#REF!,0)</f>
        <v>#REF!</v>
      </c>
    </row>
    <row r="280" spans="1:4" ht="15.75" hidden="1" customHeight="1">
      <c r="A280" s="7" t="s">
        <v>687</v>
      </c>
      <c r="B280" s="7" t="s">
        <v>688</v>
      </c>
      <c r="C280" s="7" t="s">
        <v>688</v>
      </c>
      <c r="D280" s="7" t="e">
        <f t="array" ref="D280">_xlfn.XLOOKUP(C280,#REF!,#REF!,0)</f>
        <v>#REF!</v>
      </c>
    </row>
    <row r="281" spans="1:4" ht="15.75" customHeight="1">
      <c r="A281" s="7" t="s">
        <v>689</v>
      </c>
      <c r="B281" s="7" t="s">
        <v>690</v>
      </c>
      <c r="C281" s="7" t="s">
        <v>690</v>
      </c>
      <c r="D281" s="7" t="e">
        <f t="array" ref="D281">_xlfn.XLOOKUP(C281,#REF!,#REF!,0)</f>
        <v>#REF!</v>
      </c>
    </row>
    <row r="282" spans="1:4" ht="15.75" hidden="1" customHeight="1">
      <c r="A282" s="7" t="s">
        <v>691</v>
      </c>
      <c r="B282" s="7" t="s">
        <v>692</v>
      </c>
      <c r="C282" s="7" t="s">
        <v>692</v>
      </c>
      <c r="D282" s="7" t="e">
        <f t="array" ref="D282">_xlfn.XLOOKUP(C282,#REF!,#REF!,0)</f>
        <v>#REF!</v>
      </c>
    </row>
    <row r="283" spans="1:4" ht="15.75" customHeight="1">
      <c r="A283" s="7" t="s">
        <v>693</v>
      </c>
      <c r="B283" s="7" t="s">
        <v>694</v>
      </c>
      <c r="C283" s="7" t="s">
        <v>694</v>
      </c>
      <c r="D283" s="7" t="e">
        <f t="array" ref="D283">_xlfn.XLOOKUP(C283,#REF!,#REF!,0)</f>
        <v>#REF!</v>
      </c>
    </row>
    <row r="284" spans="1:4" ht="15.75" customHeight="1">
      <c r="A284" s="7" t="s">
        <v>695</v>
      </c>
      <c r="B284" s="7" t="s">
        <v>696</v>
      </c>
      <c r="C284" s="7" t="s">
        <v>696</v>
      </c>
      <c r="D284" s="7" t="e">
        <f t="array" ref="D284">_xlfn.XLOOKUP(C284,#REF!,#REF!,0)</f>
        <v>#REF!</v>
      </c>
    </row>
    <row r="285" spans="1:4" ht="15.75" hidden="1" customHeight="1">
      <c r="A285" s="7" t="s">
        <v>697</v>
      </c>
      <c r="B285" s="7" t="s">
        <v>698</v>
      </c>
      <c r="C285" s="7" t="s">
        <v>698</v>
      </c>
      <c r="D285" s="7" t="e">
        <f t="array" ref="D285">_xlfn.XLOOKUP(C285,#REF!,#REF!,0)</f>
        <v>#REF!</v>
      </c>
    </row>
    <row r="286" spans="1:4" ht="15.75" hidden="1" customHeight="1">
      <c r="A286" s="7" t="s">
        <v>699</v>
      </c>
      <c r="B286" s="7" t="s">
        <v>700</v>
      </c>
      <c r="C286" s="7" t="s">
        <v>701</v>
      </c>
      <c r="D286" s="7" t="e">
        <f t="array" ref="D286">_xlfn.XLOOKUP(C286,#REF!,#REF!,0)</f>
        <v>#REF!</v>
      </c>
    </row>
    <row r="287" spans="1:4" ht="15.75" hidden="1" customHeight="1">
      <c r="A287" s="7" t="s">
        <v>702</v>
      </c>
      <c r="B287" s="7" t="s">
        <v>703</v>
      </c>
      <c r="C287" s="7" t="s">
        <v>704</v>
      </c>
      <c r="D287" s="7" t="e">
        <f t="array" ref="D287">_xlfn.XLOOKUP(C287,#REF!,#REF!,0)</f>
        <v>#REF!</v>
      </c>
    </row>
    <row r="288" spans="1:4" ht="15.75" hidden="1" customHeight="1">
      <c r="A288" s="7" t="s">
        <v>705</v>
      </c>
      <c r="B288" s="7" t="s">
        <v>706</v>
      </c>
      <c r="C288" s="7" t="s">
        <v>707</v>
      </c>
      <c r="D288" s="7" t="e">
        <f t="array" ref="D288">_xlfn.XLOOKUP(C288,#REF!,#REF!,0)</f>
        <v>#REF!</v>
      </c>
    </row>
    <row r="289" spans="1:4" ht="15.75" hidden="1" customHeight="1">
      <c r="A289" s="7" t="s">
        <v>708</v>
      </c>
      <c r="B289" s="7" t="s">
        <v>709</v>
      </c>
      <c r="C289" s="7" t="s">
        <v>710</v>
      </c>
      <c r="D289" s="7" t="e">
        <f t="array" ref="D289">_xlfn.XLOOKUP(C289,#REF!,#REF!,0)</f>
        <v>#REF!</v>
      </c>
    </row>
    <row r="290" spans="1:4" ht="15.75" hidden="1" customHeight="1">
      <c r="A290" s="7" t="s">
        <v>711</v>
      </c>
      <c r="B290" s="7" t="s">
        <v>712</v>
      </c>
      <c r="C290" s="7" t="s">
        <v>712</v>
      </c>
      <c r="D290" s="7" t="e">
        <f t="array" ref="D290">_xlfn.XLOOKUP(C290,#REF!,#REF!,0)</f>
        <v>#REF!</v>
      </c>
    </row>
    <row r="291" spans="1:4" ht="15.75" customHeight="1">
      <c r="A291" s="7" t="s">
        <v>713</v>
      </c>
      <c r="B291" s="7" t="s">
        <v>714</v>
      </c>
      <c r="C291" s="7" t="s">
        <v>714</v>
      </c>
      <c r="D291" s="7" t="e">
        <f t="array" ref="D291">_xlfn.XLOOKUP(C291,#REF!,#REF!,0)</f>
        <v>#REF!</v>
      </c>
    </row>
    <row r="292" spans="1:4" ht="15.75" customHeight="1">
      <c r="A292" s="7" t="s">
        <v>715</v>
      </c>
      <c r="B292" s="7" t="s">
        <v>716</v>
      </c>
      <c r="C292" s="7" t="s">
        <v>716</v>
      </c>
      <c r="D292" s="7" t="e">
        <f t="array" ref="D292">_xlfn.XLOOKUP(C292,#REF!,#REF!,0)</f>
        <v>#REF!</v>
      </c>
    </row>
    <row r="293" spans="1:4" ht="15.75" customHeight="1">
      <c r="A293" s="7" t="s">
        <v>717</v>
      </c>
      <c r="B293" s="7" t="s">
        <v>718</v>
      </c>
      <c r="C293" s="7" t="s">
        <v>719</v>
      </c>
      <c r="D293" s="7" t="e">
        <f t="array" ref="D293">_xlfn.XLOOKUP(C293,#REF!,#REF!,0)</f>
        <v>#REF!</v>
      </c>
    </row>
    <row r="294" spans="1:4" ht="15.75" hidden="1" customHeight="1">
      <c r="A294" s="7" t="s">
        <v>720</v>
      </c>
      <c r="B294" s="7" t="s">
        <v>721</v>
      </c>
      <c r="C294" s="7" t="s">
        <v>722</v>
      </c>
      <c r="D294" s="7" t="e">
        <f t="array" ref="D294">_xlfn.XLOOKUP(C294,#REF!,#REF!,0)</f>
        <v>#REF!</v>
      </c>
    </row>
    <row r="295" spans="1:4" ht="15.75" customHeight="1">
      <c r="A295" s="7" t="s">
        <v>723</v>
      </c>
      <c r="B295" s="7" t="s">
        <v>724</v>
      </c>
      <c r="C295" s="7" t="s">
        <v>724</v>
      </c>
      <c r="D295" s="7" t="e">
        <f t="array" ref="D295">_xlfn.XLOOKUP(C295,#REF!,#REF!,0)</f>
        <v>#REF!</v>
      </c>
    </row>
    <row r="296" spans="1:4" ht="15.75" customHeight="1">
      <c r="A296" s="7" t="s">
        <v>725</v>
      </c>
      <c r="B296" s="7" t="s">
        <v>726</v>
      </c>
      <c r="C296" s="7" t="s">
        <v>727</v>
      </c>
      <c r="D296" s="7" t="e">
        <f t="array" ref="D296">_xlfn.XLOOKUP(C296,#REF!,#REF!,0)</f>
        <v>#REF!</v>
      </c>
    </row>
    <row r="297" spans="1:4" ht="15.75" customHeight="1">
      <c r="A297" s="7" t="s">
        <v>728</v>
      </c>
      <c r="B297" s="7" t="s">
        <v>729</v>
      </c>
      <c r="C297" s="7" t="s">
        <v>730</v>
      </c>
      <c r="D297" s="7" t="e">
        <f t="array" ref="D297">_xlfn.XLOOKUP(C297,#REF!,#REF!,0)</f>
        <v>#REF!</v>
      </c>
    </row>
    <row r="298" spans="1:4" ht="15.75" hidden="1" customHeight="1">
      <c r="A298" s="7" t="s">
        <v>731</v>
      </c>
      <c r="B298" s="7" t="s">
        <v>732</v>
      </c>
      <c r="C298" s="7" t="s">
        <v>732</v>
      </c>
      <c r="D298" s="7" t="e">
        <f t="array" ref="D298">_xlfn.XLOOKUP(C298,#REF!,#REF!,0)</f>
        <v>#REF!</v>
      </c>
    </row>
    <row r="299" spans="1:4" ht="15.75" customHeight="1">
      <c r="A299" s="7" t="s">
        <v>733</v>
      </c>
      <c r="B299" s="7" t="s">
        <v>734</v>
      </c>
      <c r="C299" s="7" t="s">
        <v>734</v>
      </c>
      <c r="D299" s="7" t="e">
        <f t="array" ref="D299">_xlfn.XLOOKUP(C299,#REF!,#REF!,0)</f>
        <v>#REF!</v>
      </c>
    </row>
    <row r="300" spans="1:4" ht="15.75" hidden="1" customHeight="1">
      <c r="A300" s="7" t="s">
        <v>735</v>
      </c>
      <c r="B300" s="7" t="s">
        <v>736</v>
      </c>
      <c r="C300" s="7" t="s">
        <v>736</v>
      </c>
      <c r="D300" s="7" t="e">
        <f t="array" ref="D300">_xlfn.XLOOKUP(C300,#REF!,#REF!,0)</f>
        <v>#REF!</v>
      </c>
    </row>
    <row r="301" spans="1:4" ht="15.75" customHeight="1">
      <c r="A301" s="7" t="s">
        <v>737</v>
      </c>
      <c r="B301" s="7" t="s">
        <v>738</v>
      </c>
      <c r="C301" s="7" t="s">
        <v>738</v>
      </c>
      <c r="D301" s="7" t="e">
        <f t="array" ref="D301">_xlfn.XLOOKUP(C301,#REF!,#REF!,0)</f>
        <v>#REF!</v>
      </c>
    </row>
    <row r="302" spans="1:4" ht="15.75" customHeight="1">
      <c r="A302" s="7" t="s">
        <v>739</v>
      </c>
      <c r="B302" s="7" t="s">
        <v>740</v>
      </c>
      <c r="C302" s="7" t="s">
        <v>740</v>
      </c>
      <c r="D302" s="7" t="e">
        <f t="array" ref="D302">_xlfn.XLOOKUP(C302,#REF!,#REF!,0)</f>
        <v>#REF!</v>
      </c>
    </row>
    <row r="303" spans="1:4" ht="15.75" hidden="1" customHeight="1">
      <c r="A303" s="7" t="s">
        <v>741</v>
      </c>
      <c r="B303" s="7" t="s">
        <v>742</v>
      </c>
      <c r="C303" s="7" t="s">
        <v>742</v>
      </c>
      <c r="D303" s="7" t="e">
        <f t="array" ref="D303">_xlfn.XLOOKUP(C303,#REF!,#REF!,0)</f>
        <v>#REF!</v>
      </c>
    </row>
    <row r="304" spans="1:4" ht="15.75" hidden="1" customHeight="1">
      <c r="A304" s="7" t="s">
        <v>743</v>
      </c>
      <c r="B304" s="7" t="s">
        <v>744</v>
      </c>
      <c r="C304" s="7" t="s">
        <v>745</v>
      </c>
      <c r="D304" s="7" t="e">
        <f t="array" ref="D304">_xlfn.XLOOKUP(C304,#REF!,#REF!,0)</f>
        <v>#REF!</v>
      </c>
    </row>
    <row r="305" spans="1:4" ht="15.75" customHeight="1">
      <c r="A305" s="7" t="s">
        <v>746</v>
      </c>
      <c r="B305" s="7" t="s">
        <v>747</v>
      </c>
      <c r="C305" s="7" t="s">
        <v>747</v>
      </c>
      <c r="D305" s="7" t="e">
        <f t="array" ref="D305">_xlfn.XLOOKUP(C305,#REF!,#REF!,0)</f>
        <v>#REF!</v>
      </c>
    </row>
    <row r="306" spans="1:4" ht="15.75" hidden="1" customHeight="1">
      <c r="A306" s="7" t="s">
        <v>748</v>
      </c>
      <c r="B306" s="7" t="s">
        <v>749</v>
      </c>
      <c r="C306" s="7" t="s">
        <v>749</v>
      </c>
      <c r="D306" s="7" t="e">
        <f t="array" ref="D306">_xlfn.XLOOKUP(C306,#REF!,#REF!,0)</f>
        <v>#REF!</v>
      </c>
    </row>
    <row r="307" spans="1:4" ht="15.75" customHeight="1">
      <c r="A307" s="7" t="s">
        <v>750</v>
      </c>
      <c r="B307" s="7" t="s">
        <v>751</v>
      </c>
      <c r="C307" s="7" t="s">
        <v>752</v>
      </c>
      <c r="D307" s="7" t="e">
        <f t="array" ref="D307">_xlfn.XLOOKUP(C307,#REF!,#REF!,0)</f>
        <v>#REF!</v>
      </c>
    </row>
    <row r="308" spans="1:4" ht="15.75" customHeight="1">
      <c r="A308" s="7" t="s">
        <v>753</v>
      </c>
      <c r="B308" s="7" t="s">
        <v>754</v>
      </c>
      <c r="C308" s="7" t="s">
        <v>754</v>
      </c>
      <c r="D308" s="7" t="e">
        <f t="array" ref="D308">_xlfn.XLOOKUP(C308,#REF!,#REF!,0)</f>
        <v>#REF!</v>
      </c>
    </row>
    <row r="309" spans="1:4" ht="15.75" hidden="1" customHeight="1">
      <c r="A309" s="7" t="s">
        <v>755</v>
      </c>
      <c r="B309" s="7" t="s">
        <v>756</v>
      </c>
      <c r="C309" s="7" t="s">
        <v>756</v>
      </c>
      <c r="D309" s="7" t="e">
        <f t="array" ref="D309">_xlfn.XLOOKUP(C309,#REF!,#REF!,0)</f>
        <v>#REF!</v>
      </c>
    </row>
    <row r="310" spans="1:4" ht="15.75" customHeight="1">
      <c r="A310" s="7" t="s">
        <v>757</v>
      </c>
      <c r="B310" s="7" t="s">
        <v>758</v>
      </c>
      <c r="C310" s="7" t="s">
        <v>758</v>
      </c>
      <c r="D310" s="7" t="e">
        <f t="array" ref="D310">_xlfn.XLOOKUP(C310,#REF!,#REF!,0)</f>
        <v>#REF!</v>
      </c>
    </row>
    <row r="311" spans="1:4" ht="15.75" hidden="1" customHeight="1">
      <c r="A311" s="7" t="s">
        <v>759</v>
      </c>
      <c r="B311" s="7" t="s">
        <v>760</v>
      </c>
      <c r="C311" s="7" t="s">
        <v>761</v>
      </c>
      <c r="D311" s="7" t="e">
        <f t="array" ref="D311">_xlfn.XLOOKUP(C311,#REF!,#REF!,0)</f>
        <v>#REF!</v>
      </c>
    </row>
    <row r="312" spans="1:4" ht="15.75" hidden="1" customHeight="1">
      <c r="A312" s="7" t="s">
        <v>762</v>
      </c>
      <c r="B312" s="7" t="s">
        <v>763</v>
      </c>
      <c r="C312" s="7" t="s">
        <v>764</v>
      </c>
      <c r="D312" s="7" t="e">
        <f t="array" ref="D312">_xlfn.XLOOKUP(C312,#REF!,#REF!,0)</f>
        <v>#REF!</v>
      </c>
    </row>
    <row r="313" spans="1:4" ht="15.75" hidden="1" customHeight="1">
      <c r="A313" s="7" t="s">
        <v>765</v>
      </c>
      <c r="B313" s="7" t="s">
        <v>766</v>
      </c>
      <c r="C313" s="7" t="s">
        <v>767</v>
      </c>
      <c r="D313" s="7" t="e">
        <f t="array" ref="D313">_xlfn.XLOOKUP(C313,#REF!,#REF!,0)</f>
        <v>#REF!</v>
      </c>
    </row>
    <row r="314" spans="1:4" ht="15.75" customHeight="1">
      <c r="A314" s="7" t="s">
        <v>768</v>
      </c>
      <c r="B314" s="7" t="s">
        <v>769</v>
      </c>
      <c r="C314" s="7" t="s">
        <v>769</v>
      </c>
      <c r="D314" s="7" t="e">
        <f t="array" ref="D314">_xlfn.XLOOKUP(C314,#REF!,#REF!,0)</f>
        <v>#REF!</v>
      </c>
    </row>
    <row r="315" spans="1:4" ht="15.75" customHeight="1">
      <c r="A315" s="7" t="s">
        <v>770</v>
      </c>
      <c r="B315" s="7" t="s">
        <v>771</v>
      </c>
      <c r="C315" s="7" t="s">
        <v>771</v>
      </c>
      <c r="D315" s="7" t="e">
        <f t="array" ref="D315">_xlfn.XLOOKUP(C315,#REF!,#REF!,0)</f>
        <v>#REF!</v>
      </c>
    </row>
    <row r="316" spans="1:4" ht="15.75" hidden="1" customHeight="1">
      <c r="A316" s="7" t="s">
        <v>772</v>
      </c>
      <c r="B316" s="7" t="s">
        <v>773</v>
      </c>
      <c r="C316" s="7" t="s">
        <v>774</v>
      </c>
      <c r="D316" s="7" t="e">
        <f t="array" ref="D316">_xlfn.XLOOKUP(C316,#REF!,#REF!,0)</f>
        <v>#REF!</v>
      </c>
    </row>
    <row r="317" spans="1:4" ht="15.75" customHeight="1">
      <c r="A317" s="7" t="s">
        <v>775</v>
      </c>
      <c r="B317" s="7" t="s">
        <v>776</v>
      </c>
      <c r="C317" s="7" t="s">
        <v>776</v>
      </c>
      <c r="D317" s="7" t="e">
        <f t="array" ref="D317">_xlfn.XLOOKUP(C317,#REF!,#REF!,0)</f>
        <v>#REF!</v>
      </c>
    </row>
    <row r="318" spans="1:4" ht="15.75" hidden="1" customHeight="1">
      <c r="A318" s="7" t="s">
        <v>777</v>
      </c>
      <c r="B318" s="7" t="s">
        <v>778</v>
      </c>
      <c r="C318" s="7" t="s">
        <v>778</v>
      </c>
      <c r="D318" s="7" t="e">
        <f t="array" ref="D318">_xlfn.XLOOKUP(C318,#REF!,#REF!,0)</f>
        <v>#REF!</v>
      </c>
    </row>
    <row r="319" spans="1:4" ht="15.75" customHeight="1">
      <c r="A319" s="7" t="s">
        <v>779</v>
      </c>
      <c r="B319" s="7" t="s">
        <v>780</v>
      </c>
      <c r="C319" s="7" t="s">
        <v>780</v>
      </c>
      <c r="D319" s="7" t="e">
        <f t="array" ref="D319">_xlfn.XLOOKUP(C319,#REF!,#REF!,0)</f>
        <v>#REF!</v>
      </c>
    </row>
    <row r="320" spans="1:4" ht="15.75" customHeight="1">
      <c r="A320" s="7" t="s">
        <v>781</v>
      </c>
      <c r="B320" s="7" t="s">
        <v>782</v>
      </c>
      <c r="C320" s="7" t="s">
        <v>782</v>
      </c>
      <c r="D320" s="7" t="e">
        <f t="array" ref="D320">_xlfn.XLOOKUP(C320,#REF!,#REF!,0)</f>
        <v>#REF!</v>
      </c>
    </row>
    <row r="321" spans="1:4" ht="15.75" customHeight="1">
      <c r="A321" s="7" t="s">
        <v>783</v>
      </c>
      <c r="B321" s="7" t="s">
        <v>784</v>
      </c>
      <c r="C321" s="7" t="s">
        <v>785</v>
      </c>
      <c r="D321" s="7" t="e">
        <f t="array" ref="D321">_xlfn.XLOOKUP(C321,#REF!,#REF!,0)</f>
        <v>#REF!</v>
      </c>
    </row>
    <row r="322" spans="1:4" ht="15.75" hidden="1" customHeight="1">
      <c r="A322" s="7" t="s">
        <v>786</v>
      </c>
      <c r="B322" s="7" t="s">
        <v>787</v>
      </c>
      <c r="C322" s="7" t="s">
        <v>787</v>
      </c>
      <c r="D322" s="7" t="e">
        <f t="array" ref="D322">_xlfn.XLOOKUP(C322,#REF!,#REF!,0)</f>
        <v>#REF!</v>
      </c>
    </row>
    <row r="323" spans="1:4" ht="15.75" hidden="1" customHeight="1">
      <c r="A323" s="7" t="s">
        <v>788</v>
      </c>
      <c r="B323" s="7" t="s">
        <v>789</v>
      </c>
      <c r="C323" s="7" t="s">
        <v>789</v>
      </c>
      <c r="D323" s="7" t="e">
        <f t="array" ref="D323">_xlfn.XLOOKUP(C323,#REF!,#REF!,0)</f>
        <v>#REF!</v>
      </c>
    </row>
    <row r="324" spans="1:4" ht="15.75" hidden="1" customHeight="1">
      <c r="A324" s="7" t="s">
        <v>790</v>
      </c>
      <c r="B324" s="7" t="s">
        <v>791</v>
      </c>
      <c r="C324" s="7" t="s">
        <v>791</v>
      </c>
      <c r="D324" s="7" t="e">
        <f t="array" ref="D324">_xlfn.XLOOKUP(C324,#REF!,#REF!,0)</f>
        <v>#REF!</v>
      </c>
    </row>
    <row r="325" spans="1:4" ht="15.75" hidden="1" customHeight="1">
      <c r="A325" s="7" t="s">
        <v>792</v>
      </c>
      <c r="B325" s="7" t="s">
        <v>793</v>
      </c>
      <c r="C325" s="7" t="s">
        <v>793</v>
      </c>
      <c r="D325" s="7" t="e">
        <f t="array" ref="D325">_xlfn.XLOOKUP(C325,#REF!,#REF!,0)</f>
        <v>#REF!</v>
      </c>
    </row>
    <row r="326" spans="1:4" ht="15.75" customHeight="1">
      <c r="A326" s="7" t="s">
        <v>794</v>
      </c>
      <c r="B326" s="7" t="s">
        <v>795</v>
      </c>
      <c r="C326" s="7" t="s">
        <v>796</v>
      </c>
      <c r="D326" s="7" t="e">
        <f t="array" ref="D326">_xlfn.XLOOKUP(C326,#REF!,#REF!,0)</f>
        <v>#REF!</v>
      </c>
    </row>
    <row r="327" spans="1:4" ht="15.75" hidden="1" customHeight="1">
      <c r="A327" s="7" t="s">
        <v>797</v>
      </c>
      <c r="B327" s="7" t="s">
        <v>798</v>
      </c>
      <c r="C327" s="7" t="s">
        <v>799</v>
      </c>
      <c r="D327" s="7" t="e">
        <f t="array" ref="D327">_xlfn.XLOOKUP(C327,#REF!,#REF!,0)</f>
        <v>#REF!</v>
      </c>
    </row>
    <row r="328" spans="1:4" ht="15.75" hidden="1" customHeight="1">
      <c r="A328" s="7" t="s">
        <v>800</v>
      </c>
      <c r="B328" s="7" t="s">
        <v>801</v>
      </c>
      <c r="C328" s="7" t="s">
        <v>802</v>
      </c>
      <c r="D328" s="7" t="e">
        <f t="array" ref="D328">_xlfn.XLOOKUP(C328,#REF!,#REF!,0)</f>
        <v>#REF!</v>
      </c>
    </row>
    <row r="329" spans="1:4" ht="15.75" customHeight="1">
      <c r="A329" s="7" t="s">
        <v>803</v>
      </c>
      <c r="B329" s="7" t="s">
        <v>804</v>
      </c>
      <c r="C329" s="7" t="s">
        <v>804</v>
      </c>
      <c r="D329" s="7" t="e">
        <f t="array" ref="D329">_xlfn.XLOOKUP(C329,#REF!,#REF!,0)</f>
        <v>#REF!</v>
      </c>
    </row>
    <row r="330" spans="1:4" ht="15.75" customHeight="1">
      <c r="A330" s="7" t="s">
        <v>805</v>
      </c>
      <c r="B330" s="7" t="s">
        <v>806</v>
      </c>
      <c r="C330" s="7" t="s">
        <v>807</v>
      </c>
      <c r="D330" s="7" t="e">
        <f t="array" ref="D330">_xlfn.XLOOKUP(C330,#REF!,#REF!,0)</f>
        <v>#REF!</v>
      </c>
    </row>
    <row r="331" spans="1:4" ht="15.75" customHeight="1">
      <c r="A331" s="7" t="s">
        <v>808</v>
      </c>
      <c r="B331" s="7" t="s">
        <v>809</v>
      </c>
      <c r="C331" s="7" t="s">
        <v>809</v>
      </c>
      <c r="D331" s="7" t="e">
        <f t="array" ref="D331">_xlfn.XLOOKUP(C331,#REF!,#REF!,0)</f>
        <v>#REF!</v>
      </c>
    </row>
    <row r="332" spans="1:4" ht="15.75" customHeight="1">
      <c r="A332" s="7" t="s">
        <v>810</v>
      </c>
      <c r="B332" s="7" t="s">
        <v>811</v>
      </c>
      <c r="C332" s="7" t="s">
        <v>812</v>
      </c>
      <c r="D332" s="7" t="e">
        <f t="array" ref="D332">_xlfn.XLOOKUP(C332,#REF!,#REF!,0)</f>
        <v>#REF!</v>
      </c>
    </row>
    <row r="333" spans="1:4" ht="15.75" hidden="1" customHeight="1"/>
    <row r="334" spans="1:4" ht="15.75" hidden="1" customHeight="1"/>
    <row r="335" spans="1:4" ht="15.75" hidden="1" customHeight="1"/>
    <row r="336" spans="1:4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.75" hidden="1" customHeight="1"/>
    <row r="1004" ht="15.75" hidden="1" customHeight="1"/>
    <row r="1005" ht="15.75" hidden="1" customHeight="1"/>
    <row r="1006" ht="15.75" hidden="1" customHeight="1"/>
    <row r="1007" ht="15.75" hidden="1" customHeight="1"/>
    <row r="1008" ht="15.75" hidden="1" customHeight="1"/>
    <row r="1009" ht="15.75" hidden="1" customHeight="1"/>
    <row r="1010" ht="15.75" hidden="1" customHeight="1"/>
    <row r="1011" ht="15.75" hidden="1" customHeight="1"/>
    <row r="1012" ht="15.75" hidden="1" customHeight="1"/>
    <row r="1013" ht="15.75" hidden="1" customHeight="1"/>
    <row r="1014" ht="15.75" hidden="1" customHeight="1"/>
    <row r="1015" ht="15.75" hidden="1" customHeight="1"/>
    <row r="1016" ht="15.75" hidden="1" customHeight="1"/>
    <row r="1017" ht="15.75" hidden="1" customHeight="1"/>
    <row r="1018" ht="15.75" hidden="1" customHeight="1"/>
    <row r="1019" ht="15.75" hidden="1" customHeight="1"/>
    <row r="1020" ht="15.75" hidden="1" customHeight="1"/>
    <row r="1021" ht="15.75" hidden="1" customHeight="1"/>
    <row r="1022" ht="15.75" hidden="1" customHeight="1"/>
    <row r="1023" ht="15.75" hidden="1" customHeight="1"/>
    <row r="1024" ht="15.75" hidden="1" customHeight="1"/>
    <row r="1025" ht="15.75" hidden="1" customHeight="1"/>
    <row r="1026" ht="15.75" hidden="1" customHeight="1"/>
    <row r="1027" ht="15.75" hidden="1" customHeight="1"/>
    <row r="1028" ht="15.75" hidden="1" customHeight="1"/>
    <row r="1029" ht="15.75" hidden="1" customHeight="1"/>
    <row r="1030" ht="15.75" hidden="1" customHeight="1"/>
    <row r="1031" ht="15.75" hidden="1" customHeight="1"/>
    <row r="1032" ht="15.75" hidden="1" customHeight="1"/>
    <row r="1033" ht="15.75" hidden="1" customHeight="1"/>
    <row r="1034" ht="15.75" hidden="1" customHeight="1"/>
    <row r="1035" ht="15.75" hidden="1" customHeight="1"/>
    <row r="1036" ht="15.75" hidden="1" customHeight="1"/>
    <row r="1037" ht="15.75" hidden="1" customHeight="1"/>
    <row r="1038" ht="15.75" hidden="1" customHeight="1"/>
    <row r="1039" ht="15.75" hidden="1" customHeight="1"/>
    <row r="1040" ht="15.75" hidden="1" customHeight="1"/>
    <row r="1041" ht="15.75" hidden="1" customHeight="1"/>
    <row r="1042" ht="15.75" hidden="1" customHeight="1"/>
    <row r="1043" ht="15.75" hidden="1" customHeight="1"/>
    <row r="1044" ht="15.75" hidden="1" customHeight="1"/>
    <row r="1045" ht="15.75" hidden="1" customHeight="1"/>
    <row r="1046" ht="15.75" hidden="1" customHeight="1"/>
    <row r="1047" ht="15.75" hidden="1" customHeight="1"/>
    <row r="1048" ht="15.75" hidden="1" customHeight="1"/>
    <row r="1049" ht="15.75" hidden="1" customHeight="1"/>
    <row r="1050" ht="15.75" hidden="1" customHeight="1"/>
    <row r="1051" ht="15.75" hidden="1" customHeight="1"/>
    <row r="1052" ht="15.75" hidden="1" customHeight="1"/>
    <row r="1053" ht="15.75" hidden="1" customHeight="1"/>
    <row r="1054" ht="15.75" hidden="1" customHeight="1"/>
    <row r="1055" ht="15.75" hidden="1" customHeight="1"/>
    <row r="1056" ht="15.75" hidden="1" customHeight="1"/>
    <row r="1057" ht="15.75" hidden="1" customHeight="1"/>
    <row r="1058" ht="15.75" hidden="1" customHeight="1"/>
    <row r="1059" ht="15.75" hidden="1" customHeight="1"/>
    <row r="1060" ht="15.75" hidden="1" customHeight="1"/>
    <row r="1061" ht="15.75" hidden="1" customHeight="1"/>
    <row r="1062" ht="15.75" hidden="1" customHeight="1"/>
    <row r="1063" ht="15.75" hidden="1" customHeight="1"/>
    <row r="1064" ht="15.75" hidden="1" customHeight="1"/>
    <row r="1065" ht="15.75" hidden="1" customHeight="1"/>
    <row r="1066" ht="15.75" hidden="1" customHeight="1"/>
    <row r="1067" ht="15.75" hidden="1" customHeight="1"/>
    <row r="1068" ht="15.75" hidden="1" customHeight="1"/>
    <row r="1069" ht="15.75" hidden="1" customHeight="1"/>
    <row r="1070" ht="15.75" hidden="1" customHeight="1"/>
    <row r="1071" ht="15.75" hidden="1" customHeight="1"/>
    <row r="1072" ht="15.75" hidden="1" customHeight="1"/>
    <row r="1073" ht="15.75" hidden="1" customHeight="1"/>
    <row r="1074" ht="15.75" hidden="1" customHeight="1"/>
    <row r="1075" ht="15.75" hidden="1" customHeight="1"/>
    <row r="1076" ht="15.75" hidden="1" customHeight="1"/>
    <row r="1077" ht="15.75" hidden="1" customHeight="1"/>
    <row r="1078" ht="15.75" hidden="1" customHeight="1"/>
    <row r="1079" ht="15.75" hidden="1" customHeight="1"/>
    <row r="1080" ht="15.75" hidden="1" customHeight="1"/>
    <row r="1081" ht="15.75" hidden="1" customHeight="1"/>
    <row r="1082" ht="15.75" hidden="1" customHeight="1"/>
    <row r="1083" ht="15.75" hidden="1" customHeight="1"/>
    <row r="1084" ht="15.75" hidden="1" customHeight="1"/>
    <row r="1085" ht="15.75" hidden="1" customHeight="1"/>
    <row r="1086" ht="15.75" hidden="1" customHeight="1"/>
    <row r="1087" ht="15.75" hidden="1" customHeight="1"/>
    <row r="1088" ht="15.75" hidden="1" customHeight="1"/>
    <row r="1089" ht="15.75" hidden="1" customHeight="1"/>
    <row r="1090" ht="15.75" hidden="1" customHeight="1"/>
    <row r="1091" ht="15.75" hidden="1" customHeight="1"/>
    <row r="1092" ht="15.75" hidden="1" customHeight="1"/>
    <row r="1093" ht="15.75" hidden="1" customHeight="1"/>
    <row r="1094" ht="15.75" hidden="1" customHeight="1"/>
    <row r="1095" ht="15.75" hidden="1" customHeight="1"/>
    <row r="1096" ht="15.75" hidden="1" customHeight="1"/>
    <row r="1097" ht="15.75" hidden="1" customHeight="1"/>
    <row r="1098" ht="15.75" hidden="1" customHeight="1"/>
    <row r="1099" ht="15.75" hidden="1" customHeight="1"/>
    <row r="1100" ht="15.75" hidden="1" customHeight="1"/>
    <row r="1101" ht="15.75" hidden="1" customHeight="1"/>
    <row r="1102" ht="15.75" hidden="1" customHeight="1"/>
    <row r="1103" ht="15.75" hidden="1" customHeight="1"/>
    <row r="1104" ht="15.75" hidden="1" customHeight="1"/>
    <row r="1105" ht="15.75" hidden="1" customHeight="1"/>
    <row r="1106" ht="15.75" hidden="1" customHeight="1"/>
    <row r="1107" ht="15.75" hidden="1" customHeight="1"/>
    <row r="1108" ht="15.75" hidden="1" customHeight="1"/>
    <row r="1109" ht="15.75" hidden="1" customHeight="1"/>
    <row r="1110" ht="15.75" hidden="1" customHeight="1"/>
    <row r="1111" ht="15.75" hidden="1" customHeight="1"/>
    <row r="1112" ht="15.75" hidden="1" customHeight="1"/>
    <row r="1113" ht="15.75" hidden="1" customHeight="1"/>
    <row r="1114" ht="15.75" hidden="1" customHeight="1"/>
    <row r="1115" ht="15.75" hidden="1" customHeight="1"/>
    <row r="1116" ht="15.75" hidden="1" customHeight="1"/>
    <row r="1117" ht="15.75" hidden="1" customHeight="1"/>
    <row r="1118" ht="15.75" hidden="1" customHeight="1"/>
    <row r="1119" ht="15.75" hidden="1" customHeight="1"/>
    <row r="1120" ht="15.75" hidden="1" customHeight="1"/>
    <row r="1121" ht="15.75" hidden="1" customHeight="1"/>
    <row r="1122" ht="15.75" hidden="1" customHeight="1"/>
    <row r="1123" ht="15.75" hidden="1" customHeight="1"/>
    <row r="1124" ht="15.75" hidden="1" customHeight="1"/>
    <row r="1125" ht="15.75" hidden="1" customHeight="1"/>
    <row r="1126" ht="15.75" hidden="1" customHeight="1"/>
    <row r="1127" ht="15.75" hidden="1" customHeight="1"/>
    <row r="1128" ht="15.75" hidden="1" customHeight="1"/>
    <row r="1129" ht="15.75" hidden="1" customHeight="1"/>
    <row r="1130" ht="15.75" hidden="1" customHeight="1"/>
    <row r="1131" ht="15.75" hidden="1" customHeight="1"/>
    <row r="1132" ht="15.75" hidden="1" customHeight="1"/>
    <row r="1133" ht="15.75" hidden="1" customHeight="1"/>
    <row r="1134" ht="15.75" hidden="1" customHeight="1"/>
    <row r="1135" ht="15.75" hidden="1" customHeight="1"/>
    <row r="1136" ht="15.75" hidden="1" customHeight="1"/>
    <row r="1137" ht="15.75" hidden="1" customHeight="1"/>
    <row r="1138" ht="15.75" hidden="1" customHeight="1"/>
    <row r="1139" ht="15.75" hidden="1" customHeight="1"/>
    <row r="1140" ht="15.75" hidden="1" customHeight="1"/>
    <row r="1141" ht="15.75" hidden="1" customHeight="1"/>
    <row r="1142" ht="15.75" hidden="1" customHeight="1"/>
    <row r="1143" ht="15.75" hidden="1" customHeight="1"/>
    <row r="1144" ht="15.75" hidden="1" customHeight="1"/>
    <row r="1145" ht="15.75" hidden="1" customHeight="1"/>
    <row r="1146" ht="15.75" hidden="1" customHeight="1"/>
    <row r="1147" ht="15.75" hidden="1" customHeight="1"/>
    <row r="1148" ht="15.75" hidden="1" customHeight="1"/>
    <row r="1149" ht="15.75" hidden="1" customHeight="1"/>
    <row r="1150" ht="15.75" hidden="1" customHeight="1"/>
    <row r="1151" ht="15.75" hidden="1" customHeight="1"/>
    <row r="1152" ht="15.75" hidden="1" customHeight="1"/>
    <row r="1153" ht="15.75" hidden="1" customHeight="1"/>
    <row r="1154" ht="15.75" hidden="1" customHeight="1"/>
    <row r="1155" ht="15.75" hidden="1" customHeight="1"/>
    <row r="1156" ht="15.75" hidden="1" customHeight="1"/>
    <row r="1157" ht="15.75" hidden="1" customHeight="1"/>
    <row r="1158" ht="15.75" hidden="1" customHeight="1"/>
    <row r="1159" ht="15.75" hidden="1" customHeight="1"/>
    <row r="1160" ht="15.75" hidden="1" customHeight="1"/>
    <row r="1161" ht="15.75" hidden="1" customHeight="1"/>
    <row r="1162" ht="15.75" hidden="1" customHeight="1"/>
    <row r="1163" ht="15.75" hidden="1" customHeight="1"/>
    <row r="1164" ht="15.75" hidden="1" customHeight="1"/>
    <row r="1165" ht="15.75" hidden="1" customHeight="1"/>
    <row r="1166" ht="15.75" hidden="1" customHeight="1"/>
    <row r="1167" ht="15.75" hidden="1" customHeight="1"/>
    <row r="1168" ht="15.75" hidden="1" customHeight="1"/>
    <row r="1169" ht="15.75" hidden="1" customHeight="1"/>
    <row r="1170" ht="15.75" hidden="1" customHeight="1"/>
    <row r="1171" ht="15.75" hidden="1" customHeight="1"/>
    <row r="1172" ht="15.75" hidden="1" customHeight="1"/>
    <row r="1173" ht="15.75" hidden="1" customHeight="1"/>
    <row r="1174" ht="15.75" hidden="1" customHeight="1"/>
    <row r="1175" ht="15.75" hidden="1" customHeight="1"/>
    <row r="1176" ht="15.75" hidden="1" customHeight="1"/>
    <row r="1177" ht="15.75" hidden="1" customHeight="1"/>
    <row r="1178" ht="15.75" hidden="1" customHeight="1"/>
    <row r="1179" ht="15.75" hidden="1" customHeight="1"/>
    <row r="1180" ht="15.75" hidden="1" customHeight="1"/>
    <row r="1181" ht="15.75" hidden="1" customHeight="1"/>
    <row r="1182" ht="15.75" hidden="1" customHeight="1"/>
    <row r="1183" ht="15.75" hidden="1" customHeight="1"/>
    <row r="1184" ht="15.75" hidden="1" customHeight="1"/>
    <row r="1185" ht="15.75" hidden="1" customHeight="1"/>
    <row r="1186" ht="15.75" hidden="1" customHeight="1"/>
    <row r="1187" ht="15.75" hidden="1" customHeight="1"/>
    <row r="1188" ht="15.75" hidden="1" customHeight="1"/>
    <row r="1189" ht="15.75" hidden="1" customHeight="1"/>
    <row r="1190" ht="15.75" hidden="1" customHeight="1"/>
    <row r="1191" ht="15.75" hidden="1" customHeight="1"/>
    <row r="1192" ht="15.75" hidden="1" customHeight="1"/>
    <row r="1193" ht="15.75" hidden="1" customHeight="1"/>
    <row r="1194" ht="15.75" hidden="1" customHeight="1"/>
    <row r="1195" ht="15.75" hidden="1" customHeight="1"/>
    <row r="1196" ht="15.75" hidden="1" customHeight="1"/>
    <row r="1197" ht="15.75" hidden="1" customHeight="1"/>
    <row r="1198" ht="15.75" hidden="1" customHeight="1"/>
    <row r="1199" ht="15.75" hidden="1" customHeight="1"/>
    <row r="1200" ht="15.75" hidden="1" customHeight="1"/>
    <row r="1201" ht="15.75" hidden="1" customHeight="1"/>
    <row r="1202" ht="15.75" hidden="1" customHeight="1"/>
    <row r="1203" ht="15.75" hidden="1" customHeight="1"/>
    <row r="1204" ht="15.75" hidden="1" customHeight="1"/>
    <row r="1205" ht="15.75" hidden="1" customHeight="1"/>
    <row r="1206" ht="15.75" hidden="1" customHeight="1"/>
    <row r="1207" ht="15.75" hidden="1" customHeight="1"/>
    <row r="1208" ht="15.75" hidden="1" customHeight="1"/>
    <row r="1209" ht="15.75" hidden="1" customHeight="1"/>
    <row r="1210" ht="15.75" hidden="1" customHeight="1"/>
    <row r="1211" ht="15.75" hidden="1" customHeight="1"/>
    <row r="1212" ht="15.75" hidden="1" customHeight="1"/>
    <row r="1213" ht="15.75" hidden="1" customHeight="1"/>
    <row r="1214" ht="15.75" hidden="1" customHeight="1"/>
    <row r="1215" ht="15.75" hidden="1" customHeight="1"/>
    <row r="1216" ht="15.75" hidden="1" customHeight="1"/>
    <row r="1217" ht="15.75" hidden="1" customHeight="1"/>
    <row r="1218" ht="15.75" hidden="1" customHeight="1"/>
    <row r="1219" ht="15.75" hidden="1" customHeight="1"/>
    <row r="1220" ht="15.75" hidden="1" customHeight="1"/>
    <row r="1221" ht="15.75" hidden="1" customHeight="1"/>
    <row r="1222" ht="15.75" hidden="1" customHeight="1"/>
    <row r="1223" ht="15.75" hidden="1" customHeight="1"/>
    <row r="1224" ht="15.75" hidden="1" customHeight="1"/>
    <row r="1225" ht="15.75" hidden="1" customHeight="1"/>
    <row r="1226" ht="15.75" hidden="1" customHeight="1"/>
    <row r="1227" ht="15.75" hidden="1" customHeight="1"/>
    <row r="1228" ht="15.75" hidden="1" customHeight="1"/>
    <row r="1229" ht="15.75" hidden="1" customHeight="1"/>
    <row r="1230" ht="15.75" hidden="1" customHeight="1"/>
    <row r="1231" ht="15.75" hidden="1" customHeight="1"/>
    <row r="1232" ht="15.75" hidden="1" customHeight="1"/>
    <row r="1233" ht="15.75" hidden="1" customHeight="1"/>
    <row r="1234" ht="15.75" hidden="1" customHeight="1"/>
    <row r="1235" ht="15.75" hidden="1" customHeight="1"/>
    <row r="1236" ht="15.75" hidden="1" customHeight="1"/>
    <row r="1237" ht="15.75" hidden="1" customHeight="1"/>
    <row r="1238" ht="15.75" hidden="1" customHeight="1"/>
    <row r="1239" ht="15.75" hidden="1" customHeight="1"/>
    <row r="1240" ht="15.75" hidden="1" customHeight="1"/>
    <row r="1241" ht="15.75" hidden="1" customHeight="1"/>
    <row r="1242" ht="15.75" hidden="1" customHeight="1"/>
    <row r="1243" ht="15.75" hidden="1" customHeight="1"/>
    <row r="1244" ht="15.75" hidden="1" customHeight="1"/>
    <row r="1245" ht="15.75" hidden="1" customHeight="1"/>
    <row r="1246" ht="15.75" hidden="1" customHeight="1"/>
    <row r="1247" ht="15.75" hidden="1" customHeight="1"/>
    <row r="1248" ht="15.75" hidden="1" customHeight="1"/>
    <row r="1249" ht="15.75" hidden="1" customHeight="1"/>
    <row r="1250" ht="15.75" hidden="1" customHeight="1"/>
    <row r="1251" ht="15.75" hidden="1" customHeight="1"/>
    <row r="1252" ht="15.75" hidden="1" customHeight="1"/>
    <row r="1253" ht="15.75" hidden="1" customHeight="1"/>
    <row r="1254" ht="15.75" hidden="1" customHeight="1"/>
    <row r="1255" ht="15.75" hidden="1" customHeight="1"/>
    <row r="1256" ht="15.75" hidden="1" customHeight="1"/>
    <row r="1257" ht="15.75" hidden="1" customHeight="1"/>
    <row r="1258" ht="15.75" hidden="1" customHeight="1"/>
    <row r="1259" ht="15.75" hidden="1" customHeight="1"/>
    <row r="1260" ht="15.75" hidden="1" customHeight="1"/>
    <row r="1261" ht="15.75" hidden="1" customHeight="1"/>
    <row r="1262" ht="15.75" hidden="1" customHeight="1"/>
    <row r="1263" ht="15.75" hidden="1" customHeight="1"/>
    <row r="1264" ht="15.75" hidden="1" customHeight="1"/>
    <row r="1265" ht="15.75" hidden="1" customHeight="1"/>
    <row r="1266" ht="15.75" hidden="1" customHeight="1"/>
    <row r="1267" ht="15.75" hidden="1" customHeight="1"/>
    <row r="1268" ht="15.75" hidden="1" customHeight="1"/>
    <row r="1269" ht="15.75" hidden="1" customHeight="1"/>
    <row r="1270" ht="15.75" hidden="1" customHeight="1"/>
    <row r="1271" ht="15.75" hidden="1" customHeight="1"/>
    <row r="1272" ht="15.75" hidden="1" customHeight="1"/>
    <row r="1273" ht="15.75" hidden="1" customHeight="1"/>
    <row r="1274" ht="15.75" hidden="1" customHeight="1"/>
    <row r="1275" ht="15.75" hidden="1" customHeight="1"/>
    <row r="1276" ht="15.75" hidden="1" customHeight="1"/>
    <row r="1277" ht="15.75" hidden="1" customHeight="1"/>
    <row r="1278" ht="15.75" hidden="1" customHeight="1"/>
    <row r="1279" ht="15.75" hidden="1" customHeight="1"/>
    <row r="1280" ht="15.75" hidden="1" customHeight="1"/>
    <row r="1281" ht="15.75" hidden="1" customHeight="1"/>
    <row r="1282" ht="15.75" hidden="1" customHeight="1"/>
    <row r="1283" ht="15.75" hidden="1" customHeight="1"/>
    <row r="1284" ht="15.75" hidden="1" customHeight="1"/>
    <row r="1285" ht="15.75" hidden="1" customHeight="1"/>
    <row r="1286" ht="15.75" hidden="1" customHeight="1"/>
    <row r="1287" ht="15.75" hidden="1" customHeight="1"/>
    <row r="1288" ht="15.75" hidden="1" customHeight="1"/>
    <row r="1289" ht="15.75" hidden="1" customHeight="1"/>
    <row r="1290" ht="15.75" hidden="1" customHeight="1"/>
    <row r="1291" ht="15.75" hidden="1" customHeight="1"/>
    <row r="1292" ht="15.75" hidden="1" customHeight="1"/>
    <row r="1293" ht="15.75" hidden="1" customHeight="1"/>
    <row r="1294" ht="15.75" hidden="1" customHeight="1"/>
    <row r="1295" ht="15.75" hidden="1" customHeight="1"/>
    <row r="1296" ht="15.75" hidden="1" customHeight="1"/>
    <row r="1297" ht="15.75" hidden="1" customHeight="1"/>
    <row r="1298" ht="15.75" hidden="1" customHeight="1"/>
    <row r="1299" ht="15.75" hidden="1" customHeight="1"/>
    <row r="1300" ht="15.75" hidden="1" customHeight="1"/>
    <row r="1301" ht="15.75" hidden="1" customHeight="1"/>
    <row r="1302" ht="15.75" hidden="1" customHeight="1"/>
    <row r="1303" ht="15.75" hidden="1" customHeight="1"/>
    <row r="1304" ht="15.75" hidden="1" customHeight="1"/>
    <row r="1305" ht="15.75" hidden="1" customHeight="1"/>
    <row r="1306" ht="15.75" hidden="1" customHeight="1"/>
    <row r="1307" ht="15.75" hidden="1" customHeight="1"/>
    <row r="1308" ht="15.75" hidden="1" customHeight="1"/>
    <row r="1309" ht="15.75" hidden="1" customHeight="1"/>
    <row r="1310" ht="15.75" hidden="1" customHeight="1"/>
    <row r="1311" ht="15.75" hidden="1" customHeight="1"/>
    <row r="1312" ht="15.75" hidden="1" customHeight="1"/>
    <row r="1313" ht="15.75" hidden="1" customHeight="1"/>
    <row r="1314" ht="15.75" hidden="1" customHeight="1"/>
    <row r="1315" ht="15.75" hidden="1" customHeight="1"/>
    <row r="1316" ht="15.75" hidden="1" customHeight="1"/>
    <row r="1317" ht="15.75" hidden="1" customHeight="1"/>
    <row r="1318" ht="15.75" hidden="1" customHeight="1"/>
    <row r="1319" ht="15.75" hidden="1" customHeight="1"/>
    <row r="1320" ht="15.75" hidden="1" customHeight="1"/>
    <row r="1321" ht="15.75" hidden="1" customHeight="1"/>
    <row r="1322" ht="15.75" hidden="1" customHeight="1"/>
    <row r="1323" ht="15.75" hidden="1" customHeight="1"/>
    <row r="1324" ht="15.75" hidden="1" customHeight="1"/>
    <row r="1325" ht="15.75" hidden="1" customHeight="1"/>
    <row r="1326" ht="15.75" hidden="1" customHeight="1"/>
    <row r="1327" ht="15.75" hidden="1" customHeight="1"/>
    <row r="1328" ht="15.75" hidden="1" customHeight="1"/>
    <row r="1329" ht="15.75" hidden="1" customHeight="1"/>
    <row r="1330" ht="15.75" hidden="1" customHeight="1"/>
    <row r="1331" ht="15.75" hidden="1" customHeight="1"/>
    <row r="1332" ht="15.75" hidden="1" customHeight="1"/>
    <row r="1333" ht="15.75" hidden="1" customHeight="1"/>
    <row r="1334" ht="15.75" hidden="1" customHeight="1"/>
    <row r="1335" ht="15.75" hidden="1" customHeight="1"/>
    <row r="1336" ht="15.75" hidden="1" customHeight="1"/>
    <row r="1337" ht="15.75" hidden="1" customHeight="1"/>
    <row r="1338" ht="15.75" hidden="1" customHeight="1"/>
    <row r="1339" ht="15.75" hidden="1" customHeight="1"/>
    <row r="1340" ht="15.75" hidden="1" customHeight="1"/>
    <row r="1341" ht="15.75" hidden="1" customHeight="1"/>
    <row r="1342" ht="15.75" hidden="1" customHeight="1"/>
    <row r="1343" ht="15.75" hidden="1" customHeight="1"/>
    <row r="1344" ht="15.75" hidden="1" customHeight="1"/>
    <row r="1345" ht="15.75" hidden="1" customHeight="1"/>
    <row r="1346" ht="15.75" hidden="1" customHeight="1"/>
    <row r="1347" ht="15.75" hidden="1" customHeight="1"/>
    <row r="1348" ht="15.75" hidden="1" customHeight="1"/>
    <row r="1349" ht="15.75" hidden="1" customHeight="1"/>
    <row r="1350" ht="15.75" hidden="1" customHeight="1"/>
    <row r="1351" ht="15.75" hidden="1" customHeight="1"/>
    <row r="1352" ht="15.75" hidden="1" customHeight="1"/>
    <row r="1353" ht="15.75" hidden="1" customHeight="1"/>
    <row r="1354" ht="15.75" hidden="1" customHeight="1"/>
    <row r="1355" ht="15.75" hidden="1" customHeight="1"/>
    <row r="1356" ht="15.75" hidden="1" customHeight="1"/>
    <row r="1357" ht="15.75" hidden="1" customHeight="1"/>
    <row r="1358" ht="15.75" hidden="1" customHeight="1"/>
    <row r="1359" ht="15.75" hidden="1" customHeight="1"/>
    <row r="1360" ht="15.75" hidden="1" customHeight="1"/>
    <row r="1361" ht="15.75" hidden="1" customHeight="1"/>
    <row r="1362" ht="15.75" hidden="1" customHeight="1"/>
    <row r="1363" ht="15.75" hidden="1" customHeight="1"/>
    <row r="1364" ht="15.75" hidden="1" customHeight="1"/>
    <row r="1365" ht="15.75" hidden="1" customHeight="1"/>
    <row r="1366" ht="15.75" hidden="1" customHeight="1"/>
    <row r="1367" ht="15.75" hidden="1" customHeight="1"/>
    <row r="1368" ht="15.75" hidden="1" customHeight="1"/>
    <row r="1369" ht="15.75" hidden="1" customHeight="1"/>
    <row r="1370" ht="15.75" hidden="1" customHeight="1"/>
    <row r="1371" ht="15.75" hidden="1" customHeight="1"/>
    <row r="1372" ht="15.75" hidden="1" customHeight="1"/>
    <row r="1373" ht="15.75" hidden="1" customHeight="1"/>
    <row r="1374" ht="15.75" hidden="1" customHeight="1"/>
    <row r="1375" ht="15.75" hidden="1" customHeight="1"/>
    <row r="1376" ht="15.75" hidden="1" customHeight="1"/>
    <row r="1377" ht="15.75" hidden="1" customHeight="1"/>
    <row r="1378" ht="15.75" hidden="1" customHeight="1"/>
    <row r="1379" ht="15.75" hidden="1" customHeight="1"/>
    <row r="1380" ht="15.75" hidden="1" customHeight="1"/>
    <row r="1381" ht="15.75" hidden="1" customHeight="1"/>
    <row r="1382" ht="15.75" hidden="1" customHeight="1"/>
    <row r="1383" ht="15.75" hidden="1" customHeight="1"/>
    <row r="1384" ht="15.75" hidden="1" customHeight="1"/>
    <row r="1385" ht="15.75" hidden="1" customHeight="1"/>
    <row r="1386" ht="15.75" hidden="1" customHeight="1"/>
    <row r="1387" ht="15.75" hidden="1" customHeight="1"/>
    <row r="1388" ht="15.75" hidden="1" customHeight="1"/>
    <row r="1389" ht="15.75" hidden="1" customHeight="1"/>
    <row r="1390" ht="15.75" hidden="1" customHeight="1"/>
    <row r="1391" ht="15.75" hidden="1" customHeight="1"/>
    <row r="1392" ht="15.75" hidden="1" customHeight="1"/>
    <row r="1393" ht="15.75" hidden="1" customHeight="1"/>
    <row r="1394" ht="15.75" hidden="1" customHeight="1"/>
    <row r="1395" ht="15.75" hidden="1" customHeight="1"/>
    <row r="1396" ht="15.75" hidden="1" customHeight="1"/>
    <row r="1397" ht="15.75" hidden="1" customHeight="1"/>
    <row r="1398" ht="15.75" hidden="1" customHeight="1"/>
    <row r="1399" ht="15.75" hidden="1" customHeight="1"/>
    <row r="1400" ht="15.75" hidden="1" customHeight="1"/>
    <row r="1401" ht="15.75" hidden="1" customHeight="1"/>
    <row r="1402" ht="15.75" hidden="1" customHeight="1"/>
    <row r="1403" ht="15.75" hidden="1" customHeight="1"/>
    <row r="1404" ht="15.75" hidden="1" customHeight="1"/>
    <row r="1405" ht="15.75" hidden="1" customHeight="1"/>
    <row r="1406" ht="15.75" hidden="1" customHeight="1"/>
    <row r="1407" ht="15.75" hidden="1" customHeight="1"/>
    <row r="1408" ht="15.75" hidden="1" customHeight="1"/>
    <row r="1409" ht="15.75" hidden="1" customHeight="1"/>
    <row r="1410" ht="15.75" hidden="1" customHeight="1"/>
    <row r="1411" ht="15.75" hidden="1" customHeight="1"/>
    <row r="1412" ht="15.75" hidden="1" customHeight="1"/>
    <row r="1413" ht="15.75" hidden="1" customHeight="1"/>
    <row r="1414" ht="15.75" hidden="1" customHeight="1"/>
    <row r="1415" ht="15.75" hidden="1" customHeight="1"/>
    <row r="1416" ht="15.75" hidden="1" customHeight="1"/>
    <row r="1417" ht="15.75" hidden="1" customHeight="1"/>
    <row r="1418" ht="15.75" hidden="1" customHeight="1"/>
    <row r="1419" ht="15.75" hidden="1" customHeight="1"/>
    <row r="1420" ht="15.75" hidden="1" customHeight="1"/>
    <row r="1421" ht="15.75" hidden="1" customHeight="1"/>
    <row r="1422" ht="15.75" hidden="1" customHeight="1"/>
    <row r="1423" ht="15.75" hidden="1" customHeight="1"/>
    <row r="1424" ht="15.75" hidden="1" customHeight="1"/>
    <row r="1425" ht="15.75" hidden="1" customHeight="1"/>
    <row r="1426" ht="15.75" hidden="1" customHeight="1"/>
    <row r="1427" ht="15.75" hidden="1" customHeight="1"/>
    <row r="1428" ht="15.75" hidden="1" customHeight="1"/>
    <row r="1429" ht="15.75" hidden="1" customHeight="1"/>
    <row r="1430" ht="15.75" hidden="1" customHeight="1"/>
    <row r="1431" ht="15.75" hidden="1" customHeight="1"/>
    <row r="1432" ht="15.75" hidden="1" customHeight="1"/>
    <row r="1433" ht="15.75" hidden="1" customHeight="1"/>
    <row r="1434" ht="15.75" hidden="1" customHeight="1"/>
    <row r="1435" ht="15.75" hidden="1" customHeight="1"/>
    <row r="1436" ht="15.75" hidden="1" customHeight="1"/>
    <row r="1437" ht="15.75" hidden="1" customHeight="1"/>
    <row r="1438" ht="15.75" hidden="1" customHeight="1"/>
    <row r="1439" ht="15.75" hidden="1" customHeight="1"/>
    <row r="1440" ht="15.75" hidden="1" customHeight="1"/>
    <row r="1441" ht="15.75" hidden="1" customHeight="1"/>
    <row r="1442" ht="15.75" hidden="1" customHeight="1"/>
    <row r="1443" ht="15.75" hidden="1" customHeight="1"/>
    <row r="1444" ht="15.75" hidden="1" customHeight="1"/>
    <row r="1445" ht="15.75" hidden="1" customHeight="1"/>
    <row r="1446" ht="15.75" hidden="1" customHeight="1"/>
    <row r="1447" ht="15.75" hidden="1" customHeight="1"/>
    <row r="1448" ht="15.75" hidden="1" customHeight="1"/>
    <row r="1449" ht="15.75" hidden="1" customHeight="1"/>
    <row r="1450" ht="15.75" hidden="1" customHeight="1"/>
    <row r="1451" ht="15.75" hidden="1" customHeight="1"/>
    <row r="1452" ht="15.75" hidden="1" customHeight="1"/>
    <row r="1453" ht="15.75" hidden="1" customHeight="1"/>
    <row r="1454" ht="15.75" hidden="1" customHeight="1"/>
    <row r="1455" ht="15.75" hidden="1" customHeight="1"/>
    <row r="1456" ht="15.75" hidden="1" customHeight="1"/>
    <row r="1457" ht="15.75" hidden="1" customHeight="1"/>
    <row r="1458" ht="15.75" hidden="1" customHeight="1"/>
    <row r="1459" ht="15.75" hidden="1" customHeight="1"/>
    <row r="1460" ht="15.75" hidden="1" customHeight="1"/>
    <row r="1461" ht="15.75" hidden="1" customHeight="1"/>
    <row r="1462" ht="15.75" hidden="1" customHeight="1"/>
    <row r="1463" ht="15.75" hidden="1" customHeight="1"/>
    <row r="1464" ht="15.75" hidden="1" customHeight="1"/>
    <row r="1465" ht="15.75" hidden="1" customHeight="1"/>
    <row r="1466" ht="15.75" hidden="1" customHeight="1"/>
    <row r="1467" ht="15.75" hidden="1" customHeight="1"/>
    <row r="1468" ht="15.75" hidden="1" customHeight="1"/>
    <row r="1469" ht="15.75" hidden="1" customHeight="1"/>
    <row r="1470" ht="15.75" hidden="1" customHeight="1"/>
    <row r="1471" ht="15.75" hidden="1" customHeight="1"/>
    <row r="1472" ht="15.75" hidden="1" customHeight="1"/>
    <row r="1473" ht="15.75" hidden="1" customHeight="1"/>
    <row r="1474" ht="15.75" hidden="1" customHeight="1"/>
    <row r="1475" ht="15.75" hidden="1" customHeight="1"/>
    <row r="1476" ht="15.75" hidden="1" customHeight="1"/>
    <row r="1477" ht="15.75" hidden="1" customHeight="1"/>
    <row r="1478" ht="15.75" hidden="1" customHeight="1"/>
    <row r="1479" ht="15.75" hidden="1" customHeight="1"/>
    <row r="1480" ht="15.75" hidden="1" customHeight="1"/>
    <row r="1481" ht="15.75" hidden="1" customHeight="1"/>
    <row r="1482" ht="15.75" hidden="1" customHeight="1"/>
    <row r="1483" ht="15.75" hidden="1" customHeight="1"/>
    <row r="1484" ht="15.75" hidden="1" customHeight="1"/>
    <row r="1485" ht="15.75" hidden="1" customHeight="1"/>
    <row r="1486" ht="15.75" hidden="1" customHeight="1"/>
    <row r="1487" ht="15.75" hidden="1" customHeight="1"/>
    <row r="1488" ht="15.75" hidden="1" customHeight="1"/>
    <row r="1489" ht="15.75" hidden="1" customHeight="1"/>
    <row r="1490" ht="15.75" hidden="1" customHeight="1"/>
    <row r="1491" ht="15.75" hidden="1" customHeight="1"/>
    <row r="1492" ht="15.75" hidden="1" customHeight="1"/>
    <row r="1493" ht="15.75" hidden="1" customHeight="1"/>
    <row r="1494" ht="15.75" hidden="1" customHeight="1"/>
    <row r="1495" ht="15.75" hidden="1" customHeight="1"/>
    <row r="1496" ht="15.75" hidden="1" customHeight="1"/>
    <row r="1497" ht="15.75" hidden="1" customHeight="1"/>
    <row r="1498" ht="15.75" hidden="1" customHeight="1"/>
    <row r="1499" ht="15.75" hidden="1" customHeight="1"/>
    <row r="1500" ht="15.75" hidden="1" customHeight="1"/>
    <row r="1501" ht="15.75" hidden="1" customHeight="1"/>
    <row r="1502" ht="15.75" hidden="1" customHeight="1"/>
    <row r="1503" ht="15.75" hidden="1" customHeight="1"/>
    <row r="1504" ht="15.75" hidden="1" customHeight="1"/>
    <row r="1505" ht="15.75" hidden="1" customHeight="1"/>
    <row r="1506" ht="15.75" hidden="1" customHeight="1"/>
    <row r="1507" ht="15.75" hidden="1" customHeight="1"/>
    <row r="1508" ht="15.75" hidden="1" customHeight="1"/>
    <row r="1509" ht="15.75" hidden="1" customHeight="1"/>
    <row r="1510" ht="15.75" hidden="1" customHeight="1"/>
    <row r="1511" ht="15.75" hidden="1" customHeight="1"/>
    <row r="1512" ht="15.75" hidden="1" customHeight="1"/>
    <row r="1513" ht="15.75" hidden="1" customHeight="1"/>
    <row r="1514" ht="15.75" hidden="1" customHeight="1"/>
    <row r="1515" ht="15.75" hidden="1" customHeight="1"/>
    <row r="1516" ht="15.75" hidden="1" customHeight="1"/>
    <row r="1517" ht="15.75" hidden="1" customHeight="1"/>
    <row r="1518" ht="15.75" hidden="1" customHeight="1"/>
    <row r="1519" ht="15.75" hidden="1" customHeight="1"/>
    <row r="1520" ht="15.75" hidden="1" customHeight="1"/>
    <row r="1521" ht="15.75" hidden="1" customHeight="1"/>
    <row r="1522" ht="15.75" hidden="1" customHeight="1"/>
    <row r="1523" ht="15.75" hidden="1" customHeight="1"/>
    <row r="1524" ht="15.75" hidden="1" customHeight="1"/>
    <row r="1525" ht="15.75" hidden="1" customHeight="1"/>
    <row r="1526" ht="15.75" hidden="1" customHeight="1"/>
    <row r="1527" ht="15.75" hidden="1" customHeight="1"/>
    <row r="1528" ht="15.75" hidden="1" customHeight="1"/>
    <row r="1529" ht="15.75" hidden="1" customHeight="1"/>
    <row r="1530" ht="15.75" hidden="1" customHeight="1"/>
    <row r="1531" ht="15.75" hidden="1" customHeight="1"/>
    <row r="1532" ht="15.75" hidden="1" customHeight="1"/>
    <row r="1533" ht="15.75" hidden="1" customHeight="1"/>
    <row r="1534" ht="15.75" hidden="1" customHeight="1"/>
    <row r="1535" ht="15.75" hidden="1" customHeight="1"/>
    <row r="1536" ht="15.75" hidden="1" customHeight="1"/>
    <row r="1537" ht="15.75" hidden="1" customHeight="1"/>
    <row r="1538" ht="15.75" hidden="1" customHeight="1"/>
    <row r="1539" ht="15.75" hidden="1" customHeight="1"/>
    <row r="1540" ht="15.75" hidden="1" customHeight="1"/>
    <row r="1541" ht="15.75" hidden="1" customHeight="1"/>
    <row r="1542" ht="15.75" hidden="1" customHeight="1"/>
    <row r="1543" ht="15.75" hidden="1" customHeight="1"/>
    <row r="1544" ht="15.75" hidden="1" customHeight="1"/>
    <row r="1545" ht="15.75" hidden="1" customHeight="1"/>
    <row r="1546" ht="15.75" hidden="1" customHeight="1"/>
    <row r="1547" ht="15.75" hidden="1" customHeight="1"/>
    <row r="1548" ht="15.75" hidden="1" customHeight="1"/>
    <row r="1549" ht="15.75" hidden="1" customHeight="1"/>
    <row r="1550" ht="15.75" hidden="1" customHeight="1"/>
    <row r="1551" ht="15.75" hidden="1" customHeight="1"/>
    <row r="1552" ht="15.75" hidden="1" customHeight="1"/>
    <row r="1553" ht="15.75" hidden="1" customHeight="1"/>
    <row r="1554" ht="15.75" hidden="1" customHeight="1"/>
    <row r="1555" ht="15.75" hidden="1" customHeight="1"/>
    <row r="1556" ht="15.75" hidden="1" customHeight="1"/>
    <row r="1557" ht="15.75" hidden="1" customHeight="1"/>
    <row r="1558" ht="15.75" hidden="1" customHeight="1"/>
    <row r="1559" ht="15.75" hidden="1" customHeight="1"/>
    <row r="1560" ht="15.75" hidden="1" customHeight="1"/>
    <row r="1561" ht="15.75" hidden="1" customHeight="1"/>
    <row r="1562" ht="15.75" hidden="1" customHeight="1"/>
    <row r="1563" ht="15.75" hidden="1" customHeight="1"/>
    <row r="1564" ht="15.75" hidden="1" customHeight="1"/>
    <row r="1565" ht="15.75" hidden="1" customHeight="1"/>
    <row r="1566" ht="15.75" hidden="1" customHeight="1"/>
    <row r="1567" ht="15.75" hidden="1" customHeight="1"/>
    <row r="1568" ht="15.75" hidden="1" customHeight="1"/>
    <row r="1569" ht="15.75" hidden="1" customHeight="1"/>
    <row r="1570" ht="15.75" hidden="1" customHeight="1"/>
    <row r="1571" ht="15.75" hidden="1" customHeight="1"/>
    <row r="1572" ht="15.75" hidden="1" customHeight="1"/>
    <row r="1573" ht="15.75" hidden="1" customHeight="1"/>
    <row r="1574" ht="15.75" hidden="1" customHeight="1"/>
    <row r="1575" ht="15.75" hidden="1" customHeight="1"/>
    <row r="1576" ht="15.75" hidden="1" customHeight="1"/>
    <row r="1577" ht="15.75" hidden="1" customHeight="1"/>
    <row r="1578" ht="15.75" hidden="1" customHeight="1"/>
    <row r="1579" ht="15.75" hidden="1" customHeight="1"/>
    <row r="1580" ht="15.75" hidden="1" customHeight="1"/>
    <row r="1581" ht="15.75" hidden="1" customHeight="1"/>
    <row r="1582" ht="15.75" hidden="1" customHeight="1"/>
    <row r="1583" ht="15.75" hidden="1" customHeight="1"/>
    <row r="1584" ht="15.75" hidden="1" customHeight="1"/>
    <row r="1585" ht="15.75" hidden="1" customHeight="1"/>
    <row r="1586" ht="15.75" hidden="1" customHeight="1"/>
    <row r="1587" ht="15.75" hidden="1" customHeight="1"/>
    <row r="1588" ht="15.75" hidden="1" customHeight="1"/>
    <row r="1589" ht="15.75" hidden="1" customHeight="1"/>
    <row r="1590" ht="15.75" hidden="1" customHeight="1"/>
    <row r="1591" ht="15.75" hidden="1" customHeight="1"/>
    <row r="1592" ht="15.75" hidden="1" customHeight="1"/>
    <row r="1593" ht="15.75" hidden="1" customHeight="1"/>
    <row r="1594" ht="15.75" hidden="1" customHeight="1"/>
    <row r="1595" ht="15.75" hidden="1" customHeight="1"/>
    <row r="1596" ht="15.75" hidden="1" customHeight="1"/>
    <row r="1597" ht="15.75" hidden="1" customHeight="1"/>
    <row r="1598" ht="15.75" hidden="1" customHeight="1"/>
    <row r="1599" ht="15.75" hidden="1" customHeight="1"/>
    <row r="1600" ht="15.75" hidden="1" customHeight="1"/>
    <row r="1601" ht="15.75" hidden="1" customHeight="1"/>
    <row r="1602" ht="15.75" hidden="1" customHeight="1"/>
    <row r="1603" ht="15.75" hidden="1" customHeight="1"/>
    <row r="1604" ht="15.75" hidden="1" customHeight="1"/>
    <row r="1605" ht="15.75" hidden="1" customHeight="1"/>
    <row r="1606" ht="15.75" hidden="1" customHeight="1"/>
    <row r="1607" ht="15.75" hidden="1" customHeight="1"/>
    <row r="1608" ht="15.75" hidden="1" customHeight="1"/>
    <row r="1609" ht="15.75" hidden="1" customHeight="1"/>
    <row r="1610" ht="15.75" hidden="1" customHeight="1"/>
    <row r="1611" ht="15.75" hidden="1" customHeight="1"/>
    <row r="1612" ht="15.75" hidden="1" customHeight="1"/>
    <row r="1613" ht="15.75" hidden="1" customHeight="1"/>
    <row r="1614" ht="15.75" hidden="1" customHeight="1"/>
    <row r="1615" ht="15.75" hidden="1" customHeight="1"/>
    <row r="1616" ht="15.75" hidden="1" customHeight="1"/>
    <row r="1617" ht="15.75" hidden="1" customHeight="1"/>
    <row r="1618" ht="15.75" hidden="1" customHeight="1"/>
    <row r="1619" ht="15.75" hidden="1" customHeight="1"/>
    <row r="1620" ht="15.75" hidden="1" customHeight="1"/>
    <row r="1621" ht="15.75" hidden="1" customHeight="1"/>
    <row r="1622" ht="15.75" hidden="1" customHeight="1"/>
    <row r="1623" ht="15.75" hidden="1" customHeight="1"/>
    <row r="1624" ht="15.75" hidden="1" customHeight="1"/>
    <row r="1625" ht="15.75" hidden="1" customHeight="1"/>
    <row r="1626" ht="15.75" hidden="1" customHeight="1"/>
    <row r="1627" ht="15.75" hidden="1" customHeight="1"/>
    <row r="1628" ht="15.75" hidden="1" customHeight="1"/>
    <row r="1629" ht="15.75" hidden="1" customHeight="1"/>
    <row r="1630" ht="15.75" hidden="1" customHeight="1"/>
    <row r="1631" ht="15.75" hidden="1" customHeight="1"/>
    <row r="1632" ht="15.75" hidden="1" customHeight="1"/>
    <row r="1633" ht="15.75" hidden="1" customHeight="1"/>
    <row r="1634" ht="15.75" hidden="1" customHeight="1"/>
    <row r="1635" ht="15.75" hidden="1" customHeight="1"/>
    <row r="1636" ht="15.75" hidden="1" customHeight="1"/>
    <row r="1637" ht="15.75" hidden="1" customHeight="1"/>
    <row r="1638" ht="15.75" hidden="1" customHeight="1"/>
    <row r="1639" ht="15.75" hidden="1" customHeight="1"/>
    <row r="1640" ht="15.75" hidden="1" customHeight="1"/>
    <row r="1641" ht="15.75" hidden="1" customHeight="1"/>
    <row r="1642" ht="15.75" hidden="1" customHeight="1"/>
    <row r="1643" ht="15.75" hidden="1" customHeight="1"/>
    <row r="1644" ht="15.75" hidden="1" customHeight="1"/>
    <row r="1645" ht="15.75" hidden="1" customHeight="1"/>
    <row r="1646" ht="15.75" hidden="1" customHeight="1"/>
    <row r="1647" ht="15.75" hidden="1" customHeight="1"/>
    <row r="1648" ht="15.75" hidden="1" customHeight="1"/>
    <row r="1649" ht="15.75" hidden="1" customHeight="1"/>
    <row r="1650" ht="15.75" hidden="1" customHeight="1"/>
    <row r="1651" ht="15.75" hidden="1" customHeight="1"/>
    <row r="1652" ht="15.75" hidden="1" customHeight="1"/>
    <row r="1653" ht="15.75" hidden="1" customHeight="1"/>
    <row r="1654" ht="15.75" hidden="1" customHeight="1"/>
    <row r="1655" ht="15.75" hidden="1" customHeight="1"/>
    <row r="1656" ht="15.75" hidden="1" customHeight="1"/>
    <row r="1657" ht="15.75" hidden="1" customHeight="1"/>
    <row r="1658" ht="15.75" hidden="1" customHeight="1"/>
    <row r="1659" ht="15.75" hidden="1" customHeight="1"/>
    <row r="1660" ht="15.75" hidden="1" customHeight="1"/>
    <row r="1661" ht="15.75" hidden="1" customHeight="1"/>
    <row r="1662" ht="15.75" hidden="1" customHeight="1"/>
    <row r="1663" ht="15.75" hidden="1" customHeight="1"/>
    <row r="1664" ht="15.75" hidden="1" customHeight="1"/>
    <row r="1665" ht="15.75" hidden="1" customHeight="1"/>
    <row r="1666" ht="15.75" hidden="1" customHeight="1"/>
    <row r="1667" ht="15.75" hidden="1" customHeight="1"/>
    <row r="1668" ht="15.75" hidden="1" customHeight="1"/>
    <row r="1669" ht="15.75" hidden="1" customHeight="1"/>
    <row r="1670" ht="15.75" hidden="1" customHeight="1"/>
    <row r="1671" ht="15.75" hidden="1" customHeight="1"/>
    <row r="1672" ht="15.75" hidden="1" customHeight="1"/>
    <row r="1673" ht="15.75" hidden="1" customHeight="1"/>
    <row r="1674" ht="15.75" hidden="1" customHeight="1"/>
    <row r="1675" ht="15.75" hidden="1" customHeight="1"/>
    <row r="1676" ht="15.75" hidden="1" customHeight="1"/>
    <row r="1677" ht="15.75" hidden="1" customHeight="1"/>
    <row r="1678" ht="15.75" hidden="1" customHeight="1"/>
    <row r="1679" ht="15.75" hidden="1" customHeight="1"/>
    <row r="1680" ht="15.75" hidden="1" customHeight="1"/>
    <row r="1681" ht="15.75" hidden="1" customHeight="1"/>
    <row r="1682" ht="15.75" hidden="1" customHeight="1"/>
    <row r="1683" ht="15.75" hidden="1" customHeight="1"/>
    <row r="1684" ht="15.75" hidden="1" customHeight="1"/>
    <row r="1685" ht="15.75" hidden="1" customHeight="1"/>
    <row r="1686" ht="15.75" hidden="1" customHeight="1"/>
    <row r="1687" ht="15.75" hidden="1" customHeight="1"/>
    <row r="1688" ht="15.75" hidden="1" customHeight="1"/>
    <row r="1689" ht="15.75" hidden="1" customHeight="1"/>
    <row r="1690" ht="15.75" hidden="1" customHeight="1"/>
    <row r="1691" ht="15.75" hidden="1" customHeight="1"/>
    <row r="1692" ht="15.75" hidden="1" customHeight="1"/>
    <row r="1693" ht="15.75" hidden="1" customHeight="1"/>
    <row r="1694" ht="15.75" hidden="1" customHeight="1"/>
    <row r="1695" ht="15.75" hidden="1" customHeight="1"/>
    <row r="1696" ht="15.75" hidden="1" customHeight="1"/>
    <row r="1697" ht="15.75" hidden="1" customHeight="1"/>
    <row r="1698" ht="15.75" hidden="1" customHeight="1"/>
    <row r="1699" ht="15.75" hidden="1" customHeight="1"/>
    <row r="1700" ht="15.75" hidden="1" customHeight="1"/>
    <row r="1701" ht="15.75" hidden="1" customHeight="1"/>
    <row r="1702" ht="15.75" hidden="1" customHeight="1"/>
    <row r="1703" ht="15.75" hidden="1" customHeight="1"/>
    <row r="1704" ht="15.75" hidden="1" customHeight="1"/>
    <row r="1705" ht="15.75" hidden="1" customHeight="1"/>
    <row r="1706" ht="15.75" hidden="1" customHeight="1"/>
    <row r="1707" ht="15.75" hidden="1" customHeight="1"/>
    <row r="1708" ht="15.75" hidden="1" customHeight="1"/>
    <row r="1709" ht="15.75" hidden="1" customHeight="1"/>
    <row r="1710" ht="15.75" hidden="1" customHeight="1"/>
    <row r="1711" ht="15.75" hidden="1" customHeight="1"/>
    <row r="1712" ht="15.75" hidden="1" customHeight="1"/>
    <row r="1713" ht="15.75" hidden="1" customHeight="1"/>
    <row r="1714" ht="15.75" hidden="1" customHeight="1"/>
    <row r="1715" ht="15.75" hidden="1" customHeight="1"/>
    <row r="1716" ht="15.75" hidden="1" customHeight="1"/>
    <row r="1717" ht="15.75" hidden="1" customHeight="1"/>
    <row r="1718" ht="15.75" hidden="1" customHeight="1"/>
    <row r="1719" ht="15.75" hidden="1" customHeight="1"/>
    <row r="1720" ht="15.75" hidden="1" customHeight="1"/>
    <row r="1721" ht="15.75" hidden="1" customHeight="1"/>
    <row r="1722" ht="15.75" hidden="1" customHeight="1"/>
    <row r="1723" ht="15.75" hidden="1" customHeight="1"/>
    <row r="1724" ht="15.75" hidden="1" customHeight="1"/>
    <row r="1725" ht="15.75" hidden="1" customHeight="1"/>
    <row r="1726" ht="15.75" hidden="1" customHeight="1"/>
    <row r="1727" ht="15.75" hidden="1" customHeight="1"/>
    <row r="1728" ht="15.75" hidden="1" customHeight="1"/>
    <row r="1729" ht="15.75" hidden="1" customHeight="1"/>
    <row r="1730" ht="15.75" hidden="1" customHeight="1"/>
    <row r="1731" ht="15.75" hidden="1" customHeight="1"/>
    <row r="1732" ht="15.75" hidden="1" customHeight="1"/>
    <row r="1733" ht="15.75" hidden="1" customHeight="1"/>
    <row r="1734" ht="15.75" hidden="1" customHeight="1"/>
    <row r="1735" ht="15.75" hidden="1" customHeight="1"/>
    <row r="1736" ht="15.75" hidden="1" customHeight="1"/>
    <row r="1737" ht="15.75" hidden="1" customHeight="1"/>
    <row r="1738" ht="15.75" hidden="1" customHeight="1"/>
    <row r="1739" ht="15.75" hidden="1" customHeight="1"/>
    <row r="1740" ht="15.75" hidden="1" customHeight="1"/>
    <row r="1741" ht="15.75" hidden="1" customHeight="1"/>
    <row r="1742" ht="15.75" hidden="1" customHeight="1"/>
    <row r="1743" ht="15.75" hidden="1" customHeight="1"/>
    <row r="1744" ht="15.75" hidden="1" customHeight="1"/>
    <row r="1745" ht="15.75" hidden="1" customHeight="1"/>
    <row r="1746" ht="15.75" hidden="1" customHeight="1"/>
    <row r="1747" ht="15.75" hidden="1" customHeight="1"/>
    <row r="1748" ht="15.75" hidden="1" customHeight="1"/>
    <row r="1749" ht="15.75" hidden="1" customHeight="1"/>
    <row r="1750" ht="15.75" hidden="1" customHeight="1"/>
    <row r="1751" ht="15.75" hidden="1" customHeight="1"/>
    <row r="1752" ht="15.75" hidden="1" customHeight="1"/>
    <row r="1753" ht="15.75" hidden="1" customHeight="1"/>
    <row r="1754" ht="15.75" hidden="1" customHeight="1"/>
    <row r="1755" ht="15.75" hidden="1" customHeight="1"/>
    <row r="1756" ht="15.75" hidden="1" customHeight="1"/>
    <row r="1757" ht="15.75" hidden="1" customHeight="1"/>
    <row r="1758" ht="15.75" hidden="1" customHeight="1"/>
    <row r="1759" ht="15.75" hidden="1" customHeight="1"/>
    <row r="1760" ht="15.75" hidden="1" customHeight="1"/>
    <row r="1761" ht="15.75" hidden="1" customHeight="1"/>
    <row r="1762" ht="15.75" hidden="1" customHeight="1"/>
    <row r="1763" ht="15.75" hidden="1" customHeight="1"/>
    <row r="1764" ht="15.75" hidden="1" customHeight="1"/>
    <row r="1765" ht="15.75" hidden="1" customHeight="1"/>
    <row r="1766" ht="15.75" hidden="1" customHeight="1"/>
    <row r="1767" ht="15.75" hidden="1" customHeight="1"/>
    <row r="1768" ht="15.75" hidden="1" customHeight="1"/>
    <row r="1769" ht="15.75" hidden="1" customHeight="1"/>
    <row r="1770" ht="15.75" hidden="1" customHeight="1"/>
    <row r="1771" ht="15.75" hidden="1" customHeight="1"/>
    <row r="1772" ht="15.75" hidden="1" customHeight="1"/>
    <row r="1773" ht="15.75" hidden="1" customHeight="1"/>
    <row r="1774" ht="15.75" hidden="1" customHeight="1"/>
    <row r="1775" ht="15.75" hidden="1" customHeight="1"/>
    <row r="1776" ht="15.75" hidden="1" customHeight="1"/>
    <row r="1777" ht="15.75" hidden="1" customHeight="1"/>
    <row r="1778" ht="15.75" hidden="1" customHeight="1"/>
    <row r="1779" ht="15.75" hidden="1" customHeight="1"/>
    <row r="1780" ht="15.75" hidden="1" customHeight="1"/>
    <row r="1781" ht="15.75" hidden="1" customHeight="1"/>
    <row r="1782" ht="15.75" hidden="1" customHeight="1"/>
    <row r="1783" ht="15.75" hidden="1" customHeight="1"/>
    <row r="1784" ht="15.75" hidden="1" customHeight="1"/>
    <row r="1785" ht="15.75" hidden="1" customHeight="1"/>
    <row r="1786" ht="15.75" hidden="1" customHeight="1"/>
    <row r="1787" ht="15.75" hidden="1" customHeight="1"/>
    <row r="1788" ht="15.75" hidden="1" customHeight="1"/>
    <row r="1789" ht="15.75" hidden="1" customHeight="1"/>
    <row r="1790" ht="15.75" hidden="1" customHeight="1"/>
    <row r="1791" ht="15.75" hidden="1" customHeight="1"/>
    <row r="1792" ht="15.75" hidden="1" customHeight="1"/>
    <row r="1793" ht="15.75" hidden="1" customHeight="1"/>
    <row r="1794" ht="15.75" hidden="1" customHeight="1"/>
    <row r="1795" ht="15.75" hidden="1" customHeight="1"/>
    <row r="1796" ht="15.75" hidden="1" customHeight="1"/>
    <row r="1797" ht="15.75" hidden="1" customHeight="1"/>
    <row r="1798" ht="15.75" hidden="1" customHeight="1"/>
    <row r="1799" ht="15.75" hidden="1" customHeight="1"/>
    <row r="1800" ht="15.75" hidden="1" customHeight="1"/>
    <row r="1801" ht="15.75" hidden="1" customHeight="1"/>
    <row r="1802" ht="15.75" hidden="1" customHeight="1"/>
    <row r="1803" ht="15.75" hidden="1" customHeight="1"/>
    <row r="1804" ht="15.75" hidden="1" customHeight="1"/>
    <row r="1805" ht="15.75" hidden="1" customHeight="1"/>
    <row r="1806" ht="15.75" hidden="1" customHeight="1"/>
    <row r="1807" ht="15.75" hidden="1" customHeight="1"/>
    <row r="1808" ht="15.75" hidden="1" customHeight="1"/>
    <row r="1809" ht="15.75" hidden="1" customHeight="1"/>
    <row r="1810" ht="15.75" hidden="1" customHeight="1"/>
    <row r="1811" ht="15.75" hidden="1" customHeight="1"/>
    <row r="1812" ht="15.75" hidden="1" customHeight="1"/>
    <row r="1813" ht="15.75" hidden="1" customHeight="1"/>
    <row r="1814" ht="15.75" hidden="1" customHeight="1"/>
    <row r="1815" ht="15.75" hidden="1" customHeight="1"/>
    <row r="1816" ht="15.75" hidden="1" customHeight="1"/>
    <row r="1817" ht="15.75" hidden="1" customHeight="1"/>
    <row r="1818" ht="15.75" hidden="1" customHeight="1"/>
    <row r="1819" ht="15.75" hidden="1" customHeight="1"/>
    <row r="1820" ht="15.75" hidden="1" customHeight="1"/>
    <row r="1821" ht="15.75" hidden="1" customHeight="1"/>
    <row r="1822" ht="15.75" hidden="1" customHeight="1"/>
    <row r="1823" ht="15.75" hidden="1" customHeight="1"/>
    <row r="1824" ht="15.75" hidden="1" customHeight="1"/>
    <row r="1825" ht="15.75" hidden="1" customHeight="1"/>
    <row r="1826" ht="15.75" hidden="1" customHeight="1"/>
    <row r="1827" ht="15.75" hidden="1" customHeight="1"/>
    <row r="1828" ht="15.75" hidden="1" customHeight="1"/>
    <row r="1829" ht="15.75" hidden="1" customHeight="1"/>
    <row r="1830" ht="15.75" hidden="1" customHeight="1"/>
    <row r="1831" ht="15.75" hidden="1" customHeight="1"/>
    <row r="1832" ht="15.75" hidden="1" customHeight="1"/>
    <row r="1833" ht="15.75" hidden="1" customHeight="1"/>
    <row r="1834" ht="15.75" hidden="1" customHeight="1"/>
    <row r="1835" ht="15.75" hidden="1" customHeight="1"/>
    <row r="1836" ht="15.75" hidden="1" customHeight="1"/>
    <row r="1837" ht="15.75" hidden="1" customHeight="1"/>
    <row r="1838" ht="15.75" hidden="1" customHeight="1"/>
    <row r="1839" ht="15.75" hidden="1" customHeight="1"/>
    <row r="1840" ht="15.75" hidden="1" customHeight="1"/>
    <row r="1841" ht="15.75" hidden="1" customHeight="1"/>
    <row r="1842" ht="15.75" hidden="1" customHeight="1"/>
    <row r="1843" ht="15.75" hidden="1" customHeight="1"/>
    <row r="1844" ht="15.75" hidden="1" customHeight="1"/>
    <row r="1845" ht="15.75" hidden="1" customHeight="1"/>
    <row r="1846" ht="15.75" hidden="1" customHeight="1"/>
    <row r="1847" ht="15.75" hidden="1" customHeight="1"/>
    <row r="1848" ht="15.75" hidden="1" customHeight="1"/>
    <row r="1849" ht="15.75" hidden="1" customHeight="1"/>
    <row r="1850" ht="15.75" hidden="1" customHeight="1"/>
    <row r="1851" ht="15.75" hidden="1" customHeight="1"/>
    <row r="1852" ht="15.75" hidden="1" customHeight="1"/>
    <row r="1853" ht="15.75" hidden="1" customHeight="1"/>
    <row r="1854" ht="15.75" hidden="1" customHeight="1"/>
    <row r="1855" ht="15.75" hidden="1" customHeight="1"/>
    <row r="1856" ht="15.75" hidden="1" customHeight="1"/>
    <row r="1857" ht="15.75" hidden="1" customHeight="1"/>
    <row r="1858" ht="15.75" hidden="1" customHeight="1"/>
    <row r="1859" ht="15.75" hidden="1" customHeight="1"/>
    <row r="1860" ht="15.75" hidden="1" customHeight="1"/>
    <row r="1861" ht="15.75" hidden="1" customHeight="1"/>
    <row r="1862" ht="15.75" hidden="1" customHeight="1"/>
    <row r="1863" ht="15.75" hidden="1" customHeight="1"/>
    <row r="1864" ht="15.75" hidden="1" customHeight="1"/>
    <row r="1865" ht="15.75" hidden="1" customHeight="1"/>
    <row r="1866" ht="15.75" hidden="1" customHeight="1"/>
    <row r="1867" ht="15.75" hidden="1" customHeight="1"/>
    <row r="1868" ht="15.75" hidden="1" customHeight="1"/>
    <row r="1869" ht="15.75" hidden="1" customHeight="1"/>
    <row r="1870" ht="15.75" hidden="1" customHeight="1"/>
    <row r="1871" ht="15.75" hidden="1" customHeight="1"/>
    <row r="1872" ht="15.75" hidden="1" customHeight="1"/>
    <row r="1873" ht="15.75" hidden="1" customHeight="1"/>
    <row r="1874" ht="15.75" hidden="1" customHeight="1"/>
    <row r="1875" ht="15.75" hidden="1" customHeight="1"/>
    <row r="1876" ht="15.75" hidden="1" customHeight="1"/>
    <row r="1877" ht="15.75" hidden="1" customHeight="1"/>
    <row r="1878" ht="15.75" hidden="1" customHeight="1"/>
    <row r="1879" ht="15.75" hidden="1" customHeight="1"/>
    <row r="1880" ht="15.75" hidden="1" customHeight="1"/>
    <row r="1881" ht="15.75" hidden="1" customHeight="1"/>
    <row r="1882" ht="15.75" hidden="1" customHeight="1"/>
    <row r="1883" ht="15.75" hidden="1" customHeight="1"/>
    <row r="1884" ht="15.75" hidden="1" customHeight="1"/>
    <row r="1885" ht="15.75" hidden="1" customHeight="1"/>
    <row r="1886" ht="15.75" hidden="1" customHeight="1"/>
    <row r="1887" ht="15.75" hidden="1" customHeight="1"/>
    <row r="1888" ht="15.75" hidden="1" customHeight="1"/>
    <row r="1889" ht="15.75" hidden="1" customHeight="1"/>
    <row r="1890" ht="15.75" hidden="1" customHeight="1"/>
    <row r="1891" ht="15.75" hidden="1" customHeight="1"/>
    <row r="1892" ht="15.75" hidden="1" customHeight="1"/>
    <row r="1893" ht="15.75" hidden="1" customHeight="1"/>
    <row r="1894" ht="15.75" hidden="1" customHeight="1"/>
    <row r="1895" ht="15.75" hidden="1" customHeight="1"/>
    <row r="1896" ht="15.75" hidden="1" customHeight="1"/>
    <row r="1897" ht="15.75" hidden="1" customHeight="1"/>
    <row r="1898" ht="15.75" hidden="1" customHeight="1"/>
    <row r="1899" ht="15.75" hidden="1" customHeight="1"/>
    <row r="1900" ht="15.75" hidden="1" customHeight="1"/>
    <row r="1901" ht="15.75" hidden="1" customHeight="1"/>
    <row r="1902" ht="15.75" hidden="1" customHeight="1"/>
    <row r="1903" ht="15.75" hidden="1" customHeight="1"/>
    <row r="1904" ht="15.75" hidden="1" customHeight="1"/>
    <row r="1905" ht="15.75" hidden="1" customHeight="1"/>
    <row r="1906" ht="15.75" hidden="1" customHeight="1"/>
    <row r="1907" ht="15.75" hidden="1" customHeight="1"/>
    <row r="1908" ht="15.75" hidden="1" customHeight="1"/>
    <row r="1909" ht="15.75" hidden="1" customHeight="1"/>
    <row r="1910" ht="15.75" hidden="1" customHeight="1"/>
    <row r="1911" ht="15.75" hidden="1" customHeight="1"/>
    <row r="1912" ht="15.75" hidden="1" customHeight="1"/>
    <row r="1913" ht="15.75" hidden="1" customHeight="1"/>
    <row r="1914" ht="15.75" hidden="1" customHeight="1"/>
    <row r="1915" ht="15.75" hidden="1" customHeight="1"/>
    <row r="1916" ht="15.75" hidden="1" customHeight="1"/>
    <row r="1917" ht="15.75" hidden="1" customHeight="1"/>
    <row r="1918" ht="15.75" hidden="1" customHeight="1"/>
    <row r="1919" ht="15.75" hidden="1" customHeight="1"/>
    <row r="1920" ht="15.75" hidden="1" customHeight="1"/>
    <row r="1921" ht="15.75" hidden="1" customHeight="1"/>
    <row r="1922" ht="15.75" hidden="1" customHeight="1"/>
    <row r="1923" ht="15.75" hidden="1" customHeight="1"/>
    <row r="1924" ht="15.75" hidden="1" customHeight="1"/>
    <row r="1925" ht="15.75" hidden="1" customHeight="1"/>
    <row r="1926" ht="15.75" hidden="1" customHeight="1"/>
    <row r="1927" ht="15.75" hidden="1" customHeight="1"/>
    <row r="1928" ht="15.75" hidden="1" customHeight="1"/>
    <row r="1929" ht="15.75" hidden="1" customHeight="1"/>
    <row r="1930" ht="15.75" hidden="1" customHeight="1"/>
    <row r="1931" ht="15.75" hidden="1" customHeight="1"/>
    <row r="1932" ht="15.75" hidden="1" customHeight="1"/>
    <row r="1933" ht="15.75" hidden="1" customHeight="1"/>
    <row r="1934" ht="15.75" hidden="1" customHeight="1"/>
    <row r="1935" ht="15.75" hidden="1" customHeight="1"/>
    <row r="1936" ht="15.75" hidden="1" customHeight="1"/>
    <row r="1937" ht="15.75" hidden="1" customHeight="1"/>
    <row r="1938" ht="15.75" hidden="1" customHeight="1"/>
    <row r="1939" ht="15.75" hidden="1" customHeight="1"/>
    <row r="1940" ht="15.75" hidden="1" customHeight="1"/>
    <row r="1941" ht="15.75" hidden="1" customHeight="1"/>
    <row r="1942" ht="15.75" hidden="1" customHeight="1"/>
    <row r="1943" ht="15.75" hidden="1" customHeight="1"/>
    <row r="1944" ht="15.75" hidden="1" customHeight="1"/>
    <row r="1945" ht="15.75" hidden="1" customHeight="1"/>
    <row r="1946" ht="15.75" hidden="1" customHeight="1"/>
    <row r="1947" ht="15.75" hidden="1" customHeight="1"/>
    <row r="1948" ht="15.75" hidden="1" customHeight="1"/>
    <row r="1949" ht="15.75" hidden="1" customHeight="1"/>
    <row r="1950" ht="15.75" hidden="1" customHeight="1"/>
    <row r="1951" ht="15.75" hidden="1" customHeight="1"/>
    <row r="1952" ht="15.75" hidden="1" customHeight="1"/>
    <row r="1953" ht="15.75" hidden="1" customHeight="1"/>
    <row r="1954" ht="15.75" hidden="1" customHeight="1"/>
    <row r="1955" ht="15.75" hidden="1" customHeight="1"/>
    <row r="1956" ht="15.75" hidden="1" customHeight="1"/>
    <row r="1957" ht="15.75" hidden="1" customHeight="1"/>
    <row r="1958" ht="15.75" hidden="1" customHeight="1"/>
    <row r="1959" ht="15.75" hidden="1" customHeight="1"/>
    <row r="1960" ht="15.75" hidden="1" customHeight="1"/>
    <row r="1961" ht="15.75" hidden="1" customHeight="1"/>
    <row r="1962" ht="15.75" hidden="1" customHeight="1"/>
    <row r="1963" ht="15.75" hidden="1" customHeight="1"/>
    <row r="1964" ht="15.75" hidden="1" customHeight="1"/>
    <row r="1965" ht="15.75" hidden="1" customHeight="1"/>
    <row r="1966" ht="15.75" hidden="1" customHeight="1"/>
    <row r="1967" ht="15.75" hidden="1" customHeight="1"/>
    <row r="1968" ht="15.75" hidden="1" customHeight="1"/>
    <row r="1969" ht="15.75" hidden="1" customHeight="1"/>
    <row r="1970" ht="15.75" hidden="1" customHeight="1"/>
    <row r="1971" ht="15.75" hidden="1" customHeight="1"/>
    <row r="1972" ht="15.75" hidden="1" customHeight="1"/>
    <row r="1973" ht="15.75" hidden="1" customHeight="1"/>
    <row r="1974" ht="15.75" hidden="1" customHeight="1"/>
    <row r="1975" ht="15.75" hidden="1" customHeight="1"/>
    <row r="1976" ht="15.75" hidden="1" customHeight="1"/>
    <row r="1977" ht="15.75" hidden="1" customHeight="1"/>
    <row r="1978" ht="15.75" hidden="1" customHeight="1"/>
    <row r="1979" ht="15.75" hidden="1" customHeight="1"/>
    <row r="1980" ht="15.75" hidden="1" customHeight="1"/>
    <row r="1981" ht="15.75" hidden="1" customHeight="1"/>
    <row r="1982" ht="15.75" hidden="1" customHeight="1"/>
    <row r="1983" ht="15.75" hidden="1" customHeight="1"/>
    <row r="1984" ht="15.75" hidden="1" customHeight="1"/>
    <row r="1985" ht="15.75" hidden="1" customHeight="1"/>
    <row r="1986" ht="15.75" hidden="1" customHeight="1"/>
    <row r="1987" ht="15.75" hidden="1" customHeight="1"/>
    <row r="1988" ht="15.75" hidden="1" customHeight="1"/>
    <row r="1989" ht="15.75" hidden="1" customHeight="1"/>
    <row r="1990" ht="15.75" hidden="1" customHeight="1"/>
    <row r="1991" ht="15.75" hidden="1" customHeight="1"/>
    <row r="1992" ht="15.75" hidden="1" customHeight="1"/>
    <row r="1993" ht="15.75" hidden="1" customHeight="1"/>
    <row r="1994" ht="15.75" hidden="1" customHeight="1"/>
    <row r="1995" ht="15.75" hidden="1" customHeight="1"/>
    <row r="1996" ht="15.75" hidden="1" customHeight="1"/>
    <row r="1997" ht="15.75" hidden="1" customHeight="1"/>
    <row r="1998" ht="15.75" hidden="1" customHeight="1"/>
    <row r="1999" ht="15.75" hidden="1" customHeight="1"/>
    <row r="2000" ht="15.75" hidden="1" customHeight="1"/>
    <row r="2001" ht="15.75" hidden="1" customHeight="1"/>
    <row r="2002" ht="15.75" hidden="1" customHeight="1"/>
    <row r="2003" ht="15.75" hidden="1" customHeight="1"/>
    <row r="2004" ht="15.75" hidden="1" customHeight="1"/>
    <row r="2005" ht="15.75" hidden="1" customHeight="1"/>
    <row r="2006" ht="15.75" hidden="1" customHeight="1"/>
    <row r="2007" ht="15.75" hidden="1" customHeight="1"/>
    <row r="2008" ht="15.75" hidden="1" customHeight="1"/>
    <row r="2009" ht="15.75" hidden="1" customHeight="1"/>
    <row r="2010" ht="15.75" hidden="1" customHeight="1"/>
    <row r="2011" ht="15.75" hidden="1" customHeight="1"/>
    <row r="2012" ht="15.75" hidden="1" customHeight="1"/>
    <row r="2013" ht="15.75" hidden="1" customHeight="1"/>
    <row r="2014" ht="15.75" hidden="1" customHeight="1"/>
    <row r="2015" ht="15.75" hidden="1" customHeight="1"/>
    <row r="2016" ht="15.75" hidden="1" customHeight="1"/>
    <row r="2017" ht="15.75" hidden="1" customHeight="1"/>
    <row r="2018" ht="15.75" hidden="1" customHeight="1"/>
    <row r="2019" ht="15.75" hidden="1" customHeight="1"/>
    <row r="2020" ht="15.75" hidden="1" customHeight="1"/>
    <row r="2021" ht="15.75" hidden="1" customHeight="1"/>
    <row r="2022" ht="15.75" hidden="1" customHeight="1"/>
    <row r="2023" ht="15.75" hidden="1" customHeight="1"/>
    <row r="2024" ht="15.75" hidden="1" customHeight="1"/>
    <row r="2025" ht="15.75" hidden="1" customHeight="1"/>
    <row r="2026" ht="15.75" hidden="1" customHeight="1"/>
    <row r="2027" ht="15.75" hidden="1" customHeight="1"/>
    <row r="2028" ht="15.75" hidden="1" customHeight="1"/>
    <row r="2029" ht="15.75" hidden="1" customHeight="1"/>
    <row r="2030" ht="15.75" hidden="1" customHeight="1"/>
    <row r="2031" ht="15.75" hidden="1" customHeight="1"/>
    <row r="2032" ht="15.75" hidden="1" customHeight="1"/>
    <row r="2033" ht="15.75" hidden="1" customHeight="1"/>
    <row r="2034" ht="15.75" hidden="1" customHeight="1"/>
    <row r="2035" ht="15.75" hidden="1" customHeight="1"/>
    <row r="2036" ht="15.75" hidden="1" customHeight="1"/>
    <row r="2037" ht="15.75" hidden="1" customHeight="1"/>
    <row r="2038" ht="15.75" hidden="1" customHeight="1"/>
    <row r="2039" ht="15.75" hidden="1" customHeight="1"/>
    <row r="2040" ht="15.75" hidden="1" customHeight="1"/>
    <row r="2041" ht="15.75" hidden="1" customHeight="1"/>
    <row r="2042" ht="15.75" hidden="1" customHeight="1"/>
    <row r="2043" ht="15.75" hidden="1" customHeight="1"/>
    <row r="2044" ht="15.75" hidden="1" customHeight="1"/>
    <row r="2045" ht="15.75" hidden="1" customHeight="1"/>
    <row r="2046" ht="15.75" hidden="1" customHeight="1"/>
    <row r="2047" ht="15.75" hidden="1" customHeight="1"/>
    <row r="2048" ht="15.75" hidden="1" customHeight="1"/>
    <row r="2049" ht="15.75" hidden="1" customHeight="1"/>
    <row r="2050" ht="15.75" hidden="1" customHeight="1"/>
    <row r="2051" ht="15.75" hidden="1" customHeight="1"/>
    <row r="2052" ht="15.75" hidden="1" customHeight="1"/>
    <row r="2053" ht="15.75" hidden="1" customHeight="1"/>
    <row r="2054" ht="15.75" hidden="1" customHeight="1"/>
    <row r="2055" ht="15.75" hidden="1" customHeight="1"/>
    <row r="2056" ht="15.75" hidden="1" customHeight="1"/>
    <row r="2057" ht="15.75" hidden="1" customHeight="1"/>
    <row r="2058" ht="15.75" hidden="1" customHeight="1"/>
    <row r="2059" ht="15.75" hidden="1" customHeight="1"/>
    <row r="2060" ht="15.75" hidden="1" customHeight="1"/>
    <row r="2061" ht="15.75" hidden="1" customHeight="1"/>
    <row r="2062" ht="15.75" hidden="1" customHeight="1"/>
    <row r="2063" ht="15.75" hidden="1" customHeight="1"/>
    <row r="2064" ht="15.75" hidden="1" customHeight="1"/>
    <row r="2065" ht="15.75" hidden="1" customHeight="1"/>
    <row r="2066" ht="15.75" hidden="1" customHeight="1"/>
    <row r="2067" ht="15.75" hidden="1" customHeight="1"/>
    <row r="2068" ht="15.75" hidden="1" customHeight="1"/>
    <row r="2069" ht="15.75" hidden="1" customHeight="1"/>
    <row r="2070" ht="15.75" hidden="1" customHeight="1"/>
    <row r="2071" ht="15.75" hidden="1" customHeight="1"/>
    <row r="2072" ht="15.75" hidden="1" customHeight="1"/>
    <row r="2073" ht="15.75" hidden="1" customHeight="1"/>
    <row r="2074" ht="15.75" hidden="1" customHeight="1"/>
    <row r="2075" ht="15.75" hidden="1" customHeight="1"/>
    <row r="2076" ht="15.75" hidden="1" customHeight="1"/>
    <row r="2077" ht="15.75" hidden="1" customHeight="1"/>
    <row r="2078" ht="15.75" hidden="1" customHeight="1"/>
    <row r="2079" ht="15.75" hidden="1" customHeight="1"/>
    <row r="2080" ht="15.75" hidden="1" customHeight="1"/>
    <row r="2081" ht="15.75" hidden="1" customHeight="1"/>
    <row r="2082" ht="15.75" hidden="1" customHeight="1"/>
    <row r="2083" ht="15.75" hidden="1" customHeight="1"/>
    <row r="2084" ht="15.75" hidden="1" customHeight="1"/>
    <row r="2085" ht="15.75" hidden="1" customHeight="1"/>
    <row r="2086" ht="15.75" hidden="1" customHeight="1"/>
    <row r="2087" ht="15.75" hidden="1" customHeight="1"/>
    <row r="2088" ht="15.75" hidden="1" customHeight="1"/>
    <row r="2089" ht="15.75" hidden="1" customHeight="1"/>
    <row r="2090" ht="15.75" hidden="1" customHeight="1"/>
    <row r="2091" ht="15.75" hidden="1" customHeight="1"/>
    <row r="2092" ht="15.75" hidden="1" customHeight="1"/>
    <row r="2093" ht="15.75" hidden="1" customHeight="1"/>
    <row r="2094" ht="15.75" hidden="1" customHeight="1"/>
    <row r="2095" ht="15.75" hidden="1" customHeight="1"/>
    <row r="2096" ht="15.75" hidden="1" customHeight="1"/>
    <row r="2097" ht="15.75" hidden="1" customHeight="1"/>
    <row r="2098" ht="15.75" hidden="1" customHeight="1"/>
    <row r="2099" ht="15.75" hidden="1" customHeight="1"/>
    <row r="2100" ht="15.75" hidden="1" customHeight="1"/>
    <row r="2101" ht="15.75" hidden="1" customHeight="1"/>
    <row r="2102" ht="15.75" hidden="1" customHeight="1"/>
    <row r="2103" ht="15.75" hidden="1" customHeight="1"/>
    <row r="2104" ht="15.75" hidden="1" customHeight="1"/>
    <row r="2105" ht="15.75" hidden="1" customHeight="1"/>
    <row r="2106" ht="15.75" hidden="1" customHeight="1"/>
    <row r="2107" ht="15.75" hidden="1" customHeight="1"/>
    <row r="2108" ht="15.75" hidden="1" customHeight="1"/>
    <row r="2109" ht="15.75" hidden="1" customHeight="1"/>
    <row r="2110" ht="15.75" hidden="1" customHeight="1"/>
    <row r="2111" ht="15.75" hidden="1" customHeight="1"/>
    <row r="2112" ht="15.75" hidden="1" customHeight="1"/>
    <row r="2113" ht="15.75" hidden="1" customHeight="1"/>
    <row r="2114" ht="15.75" hidden="1" customHeight="1"/>
    <row r="2115" ht="15.75" hidden="1" customHeight="1"/>
    <row r="2116" ht="15.75" hidden="1" customHeight="1"/>
    <row r="2117" ht="15.75" hidden="1" customHeight="1"/>
    <row r="2118" ht="15.75" hidden="1" customHeight="1"/>
    <row r="2119" ht="15.75" hidden="1" customHeight="1"/>
    <row r="2120" ht="15.75" hidden="1" customHeight="1"/>
    <row r="2121" ht="15.75" hidden="1" customHeight="1"/>
    <row r="2122" ht="15.75" hidden="1" customHeight="1"/>
    <row r="2123" ht="15.75" hidden="1" customHeight="1"/>
    <row r="2124" ht="15.75" hidden="1" customHeight="1"/>
    <row r="2125" ht="15.75" hidden="1" customHeight="1"/>
    <row r="2126" ht="15.75" hidden="1" customHeight="1"/>
    <row r="2127" ht="15.75" hidden="1" customHeight="1"/>
    <row r="2128" ht="15.75" hidden="1" customHeight="1"/>
    <row r="2129" ht="15.75" hidden="1" customHeight="1"/>
    <row r="2130" ht="15.75" hidden="1" customHeight="1"/>
    <row r="2131" ht="15.75" hidden="1" customHeight="1"/>
    <row r="2132" ht="15.75" hidden="1" customHeight="1"/>
    <row r="2133" ht="15.75" hidden="1" customHeight="1"/>
    <row r="2134" ht="15.75" hidden="1" customHeight="1"/>
    <row r="2135" ht="15.75" hidden="1" customHeight="1"/>
    <row r="2136" ht="15.75" hidden="1" customHeight="1"/>
    <row r="2137" ht="15.75" hidden="1" customHeight="1"/>
    <row r="2138" ht="15.75" hidden="1" customHeight="1"/>
    <row r="2139" ht="15.75" hidden="1" customHeight="1"/>
    <row r="2140" ht="15.75" hidden="1" customHeight="1"/>
    <row r="2141" ht="15.75" hidden="1" customHeight="1"/>
    <row r="2142" ht="15.75" hidden="1" customHeight="1"/>
    <row r="2143" ht="15.75" hidden="1" customHeight="1"/>
    <row r="2144" ht="15.75" hidden="1" customHeight="1"/>
    <row r="2145" ht="15.75" hidden="1" customHeight="1"/>
    <row r="2146" ht="15.75" hidden="1" customHeight="1"/>
    <row r="2147" ht="15.75" hidden="1" customHeight="1"/>
    <row r="2148" ht="15.75" hidden="1" customHeight="1"/>
    <row r="2149" ht="15.75" hidden="1" customHeight="1"/>
    <row r="2150" ht="15.75" hidden="1" customHeight="1"/>
    <row r="2151" ht="15.75" hidden="1" customHeight="1"/>
    <row r="2152" ht="15.75" hidden="1" customHeight="1"/>
    <row r="2153" ht="15.75" hidden="1" customHeight="1"/>
    <row r="2154" ht="15.75" hidden="1" customHeight="1"/>
    <row r="2155" ht="15.75" hidden="1" customHeight="1"/>
    <row r="2156" ht="15.75" hidden="1" customHeight="1"/>
    <row r="2157" ht="15.75" hidden="1" customHeight="1"/>
    <row r="2158" ht="15.75" hidden="1" customHeight="1"/>
    <row r="2159" ht="15.75" hidden="1" customHeight="1"/>
    <row r="2160" ht="15.75" hidden="1" customHeight="1"/>
    <row r="2161" ht="15.75" hidden="1" customHeight="1"/>
    <row r="2162" ht="15.75" hidden="1" customHeight="1"/>
    <row r="2163" ht="15.75" hidden="1" customHeight="1"/>
    <row r="2164" ht="15.75" hidden="1" customHeight="1"/>
    <row r="2165" ht="15.75" hidden="1" customHeight="1"/>
    <row r="2166" ht="15.75" hidden="1" customHeight="1"/>
    <row r="2167" ht="15.75" hidden="1" customHeight="1"/>
    <row r="2168" ht="15.75" hidden="1" customHeight="1"/>
    <row r="2169" ht="15.75" hidden="1" customHeight="1"/>
    <row r="2170" ht="15.75" hidden="1" customHeight="1"/>
    <row r="2171" ht="15.75" hidden="1" customHeight="1"/>
    <row r="2172" ht="15.75" hidden="1" customHeight="1"/>
    <row r="2173" ht="15.75" hidden="1" customHeight="1"/>
    <row r="2174" ht="15.75" hidden="1" customHeight="1"/>
    <row r="2175" ht="15.75" hidden="1" customHeight="1"/>
    <row r="2176" ht="15.75" hidden="1" customHeight="1"/>
    <row r="2177" ht="15.75" hidden="1" customHeight="1"/>
    <row r="2178" ht="15.75" hidden="1" customHeight="1"/>
    <row r="2179" ht="15.75" hidden="1" customHeight="1"/>
    <row r="2180" ht="15.75" hidden="1" customHeight="1"/>
    <row r="2181" ht="15.75" hidden="1" customHeight="1"/>
    <row r="2182" ht="15.75" hidden="1" customHeight="1"/>
    <row r="2183" ht="15.75" hidden="1" customHeight="1"/>
    <row r="2184" ht="15.75" hidden="1" customHeight="1"/>
    <row r="2185" ht="15.75" hidden="1" customHeight="1"/>
    <row r="2186" ht="15.75" hidden="1" customHeight="1"/>
    <row r="2187" ht="15.75" hidden="1" customHeight="1"/>
    <row r="2188" ht="15.75" hidden="1" customHeight="1"/>
    <row r="2189" ht="15.75" hidden="1" customHeight="1"/>
    <row r="2190" ht="15.75" hidden="1" customHeight="1"/>
    <row r="2191" ht="15.75" hidden="1" customHeight="1"/>
    <row r="2192" ht="15.75" hidden="1" customHeight="1"/>
    <row r="2193" ht="15.75" hidden="1" customHeight="1"/>
    <row r="2194" ht="15.75" hidden="1" customHeight="1"/>
    <row r="2195" ht="15.75" hidden="1" customHeight="1"/>
    <row r="2196" ht="15.75" hidden="1" customHeight="1"/>
    <row r="2197" ht="15.75" hidden="1" customHeight="1"/>
    <row r="2198" ht="15.75" hidden="1" customHeight="1"/>
    <row r="2199" ht="15.75" hidden="1" customHeight="1"/>
    <row r="2200" ht="15.75" hidden="1" customHeight="1"/>
    <row r="2201" ht="15.75" hidden="1" customHeight="1"/>
    <row r="2202" ht="15.75" hidden="1" customHeight="1"/>
    <row r="2203" ht="15.75" hidden="1" customHeight="1"/>
    <row r="2204" ht="15.75" hidden="1" customHeight="1"/>
    <row r="2205" ht="15.75" hidden="1" customHeight="1"/>
    <row r="2206" ht="15.75" hidden="1" customHeight="1"/>
    <row r="2207" ht="15.75" hidden="1" customHeight="1"/>
    <row r="2208" ht="15.75" hidden="1" customHeight="1"/>
    <row r="2209" ht="15.75" hidden="1" customHeight="1"/>
    <row r="2210" ht="15.75" hidden="1" customHeight="1"/>
    <row r="2211" ht="15.75" hidden="1" customHeight="1"/>
    <row r="2212" ht="15.75" hidden="1" customHeight="1"/>
    <row r="2213" ht="15.75" hidden="1" customHeight="1"/>
    <row r="2214" ht="15.75" hidden="1" customHeight="1"/>
    <row r="2215" ht="15.75" hidden="1" customHeight="1"/>
    <row r="2216" ht="15.75" hidden="1" customHeight="1"/>
    <row r="2217" ht="15.75" hidden="1" customHeight="1"/>
    <row r="2218" ht="15.75" hidden="1" customHeight="1"/>
    <row r="2219" ht="15.75" hidden="1" customHeight="1"/>
    <row r="2220" ht="15.75" hidden="1" customHeight="1"/>
    <row r="2221" ht="15.75" hidden="1" customHeight="1"/>
    <row r="2222" ht="15.75" hidden="1" customHeight="1"/>
    <row r="2223" ht="15.75" hidden="1" customHeight="1"/>
    <row r="2224" ht="15.75" hidden="1" customHeight="1"/>
    <row r="2225" ht="15.75" hidden="1" customHeight="1"/>
    <row r="2226" ht="15.75" hidden="1" customHeight="1"/>
    <row r="2227" ht="15.75" hidden="1" customHeight="1"/>
    <row r="2228" ht="15.75" hidden="1" customHeight="1"/>
    <row r="2229" ht="15.75" hidden="1" customHeight="1"/>
    <row r="2230" ht="15.75" hidden="1" customHeight="1"/>
    <row r="2231" ht="15.75" hidden="1" customHeight="1"/>
    <row r="2232" ht="15.75" hidden="1" customHeight="1"/>
    <row r="2233" ht="15.75" hidden="1" customHeight="1"/>
    <row r="2234" ht="15.75" hidden="1" customHeight="1"/>
    <row r="2235" ht="15.75" hidden="1" customHeight="1"/>
    <row r="2236" ht="15.75" hidden="1" customHeight="1"/>
    <row r="2237" ht="15.75" hidden="1" customHeight="1"/>
    <row r="2238" ht="15.75" hidden="1" customHeight="1"/>
    <row r="2239" ht="15.75" hidden="1" customHeight="1"/>
    <row r="2240" ht="15.75" hidden="1" customHeight="1"/>
    <row r="2241" ht="15.75" hidden="1" customHeight="1"/>
    <row r="2242" ht="15.75" hidden="1" customHeight="1"/>
    <row r="2243" ht="15.75" hidden="1" customHeight="1"/>
    <row r="2244" ht="15.75" hidden="1" customHeight="1"/>
    <row r="2245" ht="15.75" hidden="1" customHeight="1"/>
    <row r="2246" ht="15.75" hidden="1" customHeight="1"/>
    <row r="2247" ht="15.75" hidden="1" customHeight="1"/>
    <row r="2248" ht="15.75" hidden="1" customHeight="1"/>
    <row r="2249" ht="15.75" hidden="1" customHeight="1"/>
    <row r="2250" ht="15.75" hidden="1" customHeight="1"/>
    <row r="2251" ht="15.75" hidden="1" customHeight="1"/>
    <row r="2252" ht="15.75" hidden="1" customHeight="1"/>
    <row r="2253" ht="15.75" hidden="1" customHeight="1"/>
    <row r="2254" ht="15.75" hidden="1" customHeight="1"/>
    <row r="2255" ht="15.75" hidden="1" customHeight="1"/>
    <row r="2256" ht="15.75" hidden="1" customHeight="1"/>
    <row r="2257" ht="15.75" hidden="1" customHeight="1"/>
    <row r="2258" ht="15.75" hidden="1" customHeight="1"/>
    <row r="2259" ht="15.75" hidden="1" customHeight="1"/>
    <row r="2260" ht="15.75" hidden="1" customHeight="1"/>
    <row r="2261" ht="15.75" hidden="1" customHeight="1"/>
    <row r="2262" ht="15.75" hidden="1" customHeight="1"/>
    <row r="2263" ht="15.75" hidden="1" customHeight="1"/>
    <row r="2264" ht="15.75" hidden="1" customHeight="1"/>
    <row r="2265" ht="15.75" hidden="1" customHeight="1"/>
    <row r="2266" ht="15.75" hidden="1" customHeight="1"/>
    <row r="2267" ht="15.75" hidden="1" customHeight="1"/>
    <row r="2268" ht="15.75" hidden="1" customHeight="1"/>
    <row r="2269" ht="15.75" hidden="1" customHeight="1"/>
    <row r="2270" ht="15.75" hidden="1" customHeight="1"/>
    <row r="2271" ht="15.75" hidden="1" customHeight="1"/>
    <row r="2272" ht="15.75" hidden="1" customHeight="1"/>
    <row r="2273" ht="15.75" hidden="1" customHeight="1"/>
    <row r="2274" ht="15.75" hidden="1" customHeight="1"/>
    <row r="2275" ht="15.75" hidden="1" customHeight="1"/>
    <row r="2276" ht="15.75" hidden="1" customHeight="1"/>
    <row r="2277" ht="15.75" hidden="1" customHeight="1"/>
    <row r="2278" ht="15.75" hidden="1" customHeight="1"/>
    <row r="2279" ht="15.75" hidden="1" customHeight="1"/>
    <row r="2280" ht="15.75" hidden="1" customHeight="1"/>
    <row r="2281" ht="15.75" hidden="1" customHeight="1"/>
    <row r="2282" ht="15.75" hidden="1" customHeight="1"/>
    <row r="2283" ht="15.75" hidden="1" customHeight="1"/>
    <row r="2284" ht="15.75" hidden="1" customHeight="1"/>
    <row r="2285" ht="15.75" hidden="1" customHeight="1"/>
    <row r="2286" ht="15.75" hidden="1" customHeight="1"/>
    <row r="2287" ht="15.75" hidden="1" customHeight="1"/>
    <row r="2288" ht="15.75" hidden="1" customHeight="1"/>
    <row r="2289" ht="15.75" hidden="1" customHeight="1"/>
    <row r="2290" ht="15.75" hidden="1" customHeight="1"/>
    <row r="2291" ht="15.75" hidden="1" customHeight="1"/>
    <row r="2292" ht="15.75" hidden="1" customHeight="1"/>
    <row r="2293" ht="15.75" hidden="1" customHeight="1"/>
    <row r="2294" ht="15.75" hidden="1" customHeight="1"/>
    <row r="2295" ht="15.75" hidden="1" customHeight="1"/>
    <row r="2296" ht="15.75" hidden="1" customHeight="1"/>
    <row r="2297" ht="15.75" hidden="1" customHeight="1"/>
    <row r="2298" ht="15.75" hidden="1" customHeight="1"/>
    <row r="2299" ht="15.75" hidden="1" customHeight="1"/>
    <row r="2300" ht="15.75" hidden="1" customHeight="1"/>
    <row r="2301" ht="15.75" hidden="1" customHeight="1"/>
    <row r="2302" ht="15.75" hidden="1" customHeight="1"/>
    <row r="2303" ht="15.75" hidden="1" customHeight="1"/>
    <row r="2304" ht="15.75" hidden="1" customHeight="1"/>
    <row r="2305" ht="15.75" hidden="1" customHeight="1"/>
    <row r="2306" ht="15.75" hidden="1" customHeight="1"/>
    <row r="2307" ht="15.75" hidden="1" customHeight="1"/>
    <row r="2308" ht="15.75" hidden="1" customHeight="1"/>
    <row r="2309" ht="15.75" hidden="1" customHeight="1"/>
    <row r="2310" ht="15.75" hidden="1" customHeight="1"/>
    <row r="2311" ht="15.75" hidden="1" customHeight="1"/>
    <row r="2312" ht="15.75" hidden="1" customHeight="1"/>
    <row r="2313" ht="15.75" hidden="1" customHeight="1"/>
    <row r="2314" ht="15.75" hidden="1" customHeight="1"/>
    <row r="2315" ht="15.75" hidden="1" customHeight="1"/>
    <row r="2316" ht="15.75" hidden="1" customHeight="1"/>
    <row r="2317" ht="15.75" hidden="1" customHeight="1"/>
    <row r="2318" ht="15.75" hidden="1" customHeight="1"/>
    <row r="2319" ht="15.75" hidden="1" customHeight="1"/>
    <row r="2320" ht="15.75" hidden="1" customHeight="1"/>
    <row r="2321" ht="15.75" hidden="1" customHeight="1"/>
    <row r="2322" ht="15.75" hidden="1" customHeight="1"/>
    <row r="2323" ht="15.75" hidden="1" customHeight="1"/>
    <row r="2324" ht="15.75" hidden="1" customHeight="1"/>
    <row r="2325" ht="15.75" hidden="1" customHeight="1"/>
    <row r="2326" ht="15.75" hidden="1" customHeight="1"/>
    <row r="2327" ht="15.75" hidden="1" customHeight="1"/>
    <row r="2328" ht="15.75" hidden="1" customHeight="1"/>
    <row r="2329" ht="15.75" hidden="1" customHeight="1"/>
    <row r="2330" ht="15.75" hidden="1" customHeight="1"/>
    <row r="2331" ht="15.75" hidden="1" customHeight="1"/>
    <row r="2332" ht="15.75" hidden="1" customHeight="1"/>
    <row r="2333" ht="15.75" hidden="1" customHeight="1"/>
    <row r="2334" ht="15.75" hidden="1" customHeight="1"/>
    <row r="2335" ht="15.75" hidden="1" customHeight="1"/>
    <row r="2336" ht="15.75" hidden="1" customHeight="1"/>
    <row r="2337" ht="15.75" hidden="1" customHeight="1"/>
    <row r="2338" ht="15.75" hidden="1" customHeight="1"/>
    <row r="2339" ht="15.75" hidden="1" customHeight="1"/>
    <row r="2340" ht="15.75" hidden="1" customHeight="1"/>
    <row r="2341" ht="15.75" hidden="1" customHeight="1"/>
    <row r="2342" ht="15.75" hidden="1" customHeight="1"/>
    <row r="2343" ht="15.75" hidden="1" customHeight="1"/>
    <row r="2344" ht="15.75" hidden="1" customHeight="1"/>
    <row r="2345" ht="15.75" hidden="1" customHeight="1"/>
    <row r="2346" ht="15.75" hidden="1" customHeight="1"/>
    <row r="2347" ht="15.75" hidden="1" customHeight="1"/>
    <row r="2348" ht="15.75" hidden="1" customHeight="1"/>
    <row r="2349" ht="15.75" hidden="1" customHeight="1"/>
    <row r="2350" ht="15.75" hidden="1" customHeight="1"/>
    <row r="2351" ht="15.75" hidden="1" customHeight="1"/>
    <row r="2352" ht="15.75" hidden="1" customHeight="1"/>
    <row r="2353" ht="15.75" hidden="1" customHeight="1"/>
    <row r="2354" ht="15.75" hidden="1" customHeight="1"/>
    <row r="2355" ht="15.75" hidden="1" customHeight="1"/>
    <row r="2356" ht="15.75" hidden="1" customHeight="1"/>
    <row r="2357" ht="15.75" hidden="1" customHeight="1"/>
    <row r="2358" ht="15.75" hidden="1" customHeight="1"/>
    <row r="2359" ht="15.75" hidden="1" customHeight="1"/>
    <row r="2360" ht="15.75" hidden="1" customHeight="1"/>
    <row r="2361" ht="15.75" hidden="1" customHeight="1"/>
    <row r="2362" ht="15.75" hidden="1" customHeight="1"/>
    <row r="2363" ht="15.75" hidden="1" customHeight="1"/>
    <row r="2364" ht="15.75" hidden="1" customHeight="1"/>
    <row r="2365" ht="15.75" hidden="1" customHeight="1"/>
    <row r="2366" ht="15.75" hidden="1" customHeight="1"/>
    <row r="2367" ht="15.75" hidden="1" customHeight="1"/>
    <row r="2368" ht="15.75" hidden="1" customHeight="1"/>
    <row r="2369" ht="15.75" hidden="1" customHeight="1"/>
    <row r="2370" ht="15.75" hidden="1" customHeight="1"/>
    <row r="2371" ht="15.75" hidden="1" customHeight="1"/>
    <row r="2372" ht="15.75" hidden="1" customHeight="1"/>
    <row r="2373" ht="15.75" hidden="1" customHeight="1"/>
    <row r="2374" ht="15.75" hidden="1" customHeight="1"/>
    <row r="2375" ht="15.75" hidden="1" customHeight="1"/>
    <row r="2376" ht="15.75" hidden="1" customHeight="1"/>
    <row r="2377" ht="15.75" hidden="1" customHeight="1"/>
    <row r="2378" ht="15.75" hidden="1" customHeight="1"/>
    <row r="2379" ht="15.75" hidden="1" customHeight="1"/>
    <row r="2380" ht="15.75" hidden="1" customHeight="1"/>
    <row r="2381" ht="15.75" hidden="1" customHeight="1"/>
    <row r="2382" ht="15.75" hidden="1" customHeight="1"/>
    <row r="2383" ht="15.75" hidden="1" customHeight="1"/>
    <row r="2384" ht="15.75" hidden="1" customHeight="1"/>
    <row r="2385" ht="15.75" hidden="1" customHeight="1"/>
    <row r="2386" ht="15.75" hidden="1" customHeight="1"/>
    <row r="2387" ht="15.75" hidden="1" customHeight="1"/>
    <row r="2388" ht="15.75" hidden="1" customHeight="1"/>
    <row r="2389" ht="15.75" hidden="1" customHeight="1"/>
    <row r="2390" ht="15.75" hidden="1" customHeight="1"/>
    <row r="2391" ht="15.75" hidden="1" customHeight="1"/>
    <row r="2392" ht="15.75" hidden="1" customHeight="1"/>
    <row r="2393" ht="15.75" hidden="1" customHeight="1"/>
    <row r="2394" ht="15.75" hidden="1" customHeight="1"/>
    <row r="2395" ht="15.75" hidden="1" customHeight="1"/>
    <row r="2396" ht="15.75" hidden="1" customHeight="1"/>
    <row r="2397" ht="15.75" hidden="1" customHeight="1"/>
    <row r="2398" ht="15.75" hidden="1" customHeight="1"/>
    <row r="2399" ht="15.75" hidden="1" customHeight="1"/>
    <row r="2400" ht="15.75" hidden="1" customHeight="1"/>
    <row r="2401" ht="15.75" hidden="1" customHeight="1"/>
    <row r="2402" ht="15.75" hidden="1" customHeight="1"/>
    <row r="2403" ht="15.75" hidden="1" customHeight="1"/>
    <row r="2404" ht="15.75" hidden="1" customHeight="1"/>
    <row r="2405" ht="15.75" hidden="1" customHeight="1"/>
    <row r="2406" ht="15.75" hidden="1" customHeight="1"/>
    <row r="2407" ht="15.75" hidden="1" customHeight="1"/>
    <row r="2408" ht="15.75" hidden="1" customHeight="1"/>
    <row r="2409" ht="15.75" hidden="1" customHeight="1"/>
    <row r="2410" ht="15.75" hidden="1" customHeight="1"/>
    <row r="2411" ht="15.75" hidden="1" customHeight="1"/>
    <row r="2412" ht="15.75" hidden="1" customHeight="1"/>
    <row r="2413" ht="15.75" hidden="1" customHeight="1"/>
    <row r="2414" ht="15.75" hidden="1" customHeight="1"/>
    <row r="2415" ht="15.75" hidden="1" customHeight="1"/>
    <row r="2416" ht="15.75" hidden="1" customHeight="1"/>
    <row r="2417" ht="15.75" hidden="1" customHeight="1"/>
    <row r="2418" ht="15.75" hidden="1" customHeight="1"/>
    <row r="2419" ht="15.75" hidden="1" customHeight="1"/>
    <row r="2420" ht="15.75" hidden="1" customHeight="1"/>
    <row r="2421" ht="15.75" hidden="1" customHeight="1"/>
    <row r="2422" ht="15.75" hidden="1" customHeight="1"/>
    <row r="2423" ht="15.75" hidden="1" customHeight="1"/>
    <row r="2424" ht="15.75" hidden="1" customHeight="1"/>
    <row r="2425" ht="15.75" hidden="1" customHeight="1"/>
    <row r="2426" ht="15.75" hidden="1" customHeight="1"/>
    <row r="2427" ht="15.75" hidden="1" customHeight="1"/>
    <row r="2428" ht="15.75" hidden="1" customHeight="1"/>
    <row r="2429" ht="15.75" hidden="1" customHeight="1"/>
    <row r="2430" ht="15.75" hidden="1" customHeight="1"/>
    <row r="2431" ht="15.75" hidden="1" customHeight="1"/>
    <row r="2432" ht="15.75" hidden="1" customHeight="1"/>
    <row r="2433" ht="15.75" hidden="1" customHeight="1"/>
    <row r="2434" ht="15.75" hidden="1" customHeight="1"/>
    <row r="2435" ht="15.75" hidden="1" customHeight="1"/>
    <row r="2436" ht="15.75" hidden="1" customHeight="1"/>
    <row r="2437" ht="15.75" hidden="1" customHeight="1"/>
    <row r="2438" ht="15.75" hidden="1" customHeight="1"/>
    <row r="2439" ht="15.75" hidden="1" customHeight="1"/>
    <row r="2440" ht="15.75" hidden="1" customHeight="1"/>
    <row r="2441" ht="15.75" hidden="1" customHeight="1"/>
    <row r="2442" ht="15.75" hidden="1" customHeight="1"/>
    <row r="2443" ht="15.75" hidden="1" customHeight="1"/>
    <row r="2444" ht="15.75" hidden="1" customHeight="1"/>
    <row r="2445" ht="15.75" hidden="1" customHeight="1"/>
    <row r="2446" ht="15.75" hidden="1" customHeight="1"/>
    <row r="2447" ht="15.75" hidden="1" customHeight="1"/>
    <row r="2448" ht="15.75" hidden="1" customHeight="1"/>
    <row r="2449" ht="15.75" hidden="1" customHeight="1"/>
    <row r="2450" ht="15.75" hidden="1" customHeight="1"/>
    <row r="2451" ht="15.75" hidden="1" customHeight="1"/>
    <row r="2452" ht="15.75" hidden="1" customHeight="1"/>
    <row r="2453" ht="15.75" hidden="1" customHeight="1"/>
    <row r="2454" ht="15.75" hidden="1" customHeight="1"/>
    <row r="2455" ht="15.75" hidden="1" customHeight="1"/>
    <row r="2456" ht="15.75" hidden="1" customHeight="1"/>
    <row r="2457" ht="15.75" hidden="1" customHeight="1"/>
    <row r="2458" ht="15.75" hidden="1" customHeight="1"/>
    <row r="2459" ht="15.75" hidden="1" customHeight="1"/>
    <row r="2460" ht="15.75" hidden="1" customHeight="1"/>
    <row r="2461" ht="15.75" hidden="1" customHeight="1"/>
    <row r="2462" ht="15.75" hidden="1" customHeight="1"/>
    <row r="2463" ht="15.75" hidden="1" customHeight="1"/>
    <row r="2464" ht="15.75" hidden="1" customHeight="1"/>
    <row r="2465" ht="15.75" hidden="1" customHeight="1"/>
    <row r="2466" ht="15.75" hidden="1" customHeight="1"/>
    <row r="2467" ht="15.75" hidden="1" customHeight="1"/>
    <row r="2468" ht="15.75" hidden="1" customHeight="1"/>
    <row r="2469" ht="15.75" hidden="1" customHeight="1"/>
    <row r="2470" ht="15.75" hidden="1" customHeight="1"/>
    <row r="2471" ht="15.75" hidden="1" customHeight="1"/>
    <row r="2472" ht="15.75" hidden="1" customHeight="1"/>
    <row r="2473" ht="15.75" hidden="1" customHeight="1"/>
    <row r="2474" ht="15.75" hidden="1" customHeight="1"/>
    <row r="2475" ht="15.75" hidden="1" customHeight="1"/>
    <row r="2476" ht="15.75" hidden="1" customHeight="1"/>
    <row r="2477" ht="15.75" hidden="1" customHeight="1"/>
    <row r="2478" ht="15.75" hidden="1" customHeight="1"/>
    <row r="2479" ht="15.75" hidden="1" customHeight="1"/>
    <row r="2480" ht="15.75" hidden="1" customHeight="1"/>
    <row r="2481" ht="15.75" hidden="1" customHeight="1"/>
    <row r="2482" ht="15.75" hidden="1" customHeight="1"/>
    <row r="2483" ht="15.75" hidden="1" customHeight="1"/>
    <row r="2484" ht="15.75" hidden="1" customHeight="1"/>
    <row r="2485" ht="15.75" hidden="1" customHeight="1"/>
    <row r="2486" ht="15.75" hidden="1" customHeight="1"/>
    <row r="2487" ht="15.75" hidden="1" customHeight="1"/>
    <row r="2488" ht="15.75" hidden="1" customHeight="1"/>
    <row r="2489" ht="15.75" hidden="1" customHeight="1"/>
    <row r="2490" ht="15.75" hidden="1" customHeight="1"/>
    <row r="2491" ht="15.75" hidden="1" customHeight="1"/>
    <row r="2492" ht="15.75" hidden="1" customHeight="1"/>
    <row r="2493" ht="15.75" hidden="1" customHeight="1"/>
    <row r="2494" ht="15.75" hidden="1" customHeight="1"/>
    <row r="2495" ht="15.75" hidden="1" customHeight="1"/>
    <row r="2496" ht="15.75" hidden="1" customHeight="1"/>
    <row r="2497" ht="15.75" hidden="1" customHeight="1"/>
    <row r="2498" ht="15.75" hidden="1" customHeight="1"/>
    <row r="2499" ht="15.75" hidden="1" customHeight="1"/>
    <row r="2500" ht="15.75" hidden="1" customHeight="1"/>
    <row r="2501" ht="15.75" hidden="1" customHeight="1"/>
    <row r="2502" ht="15.75" hidden="1" customHeight="1"/>
    <row r="2503" ht="15.75" hidden="1" customHeight="1"/>
    <row r="2504" ht="15.75" hidden="1" customHeight="1"/>
    <row r="2505" ht="15.75" hidden="1" customHeight="1"/>
    <row r="2506" ht="15.75" hidden="1" customHeight="1"/>
    <row r="2507" ht="15.75" hidden="1" customHeight="1"/>
    <row r="2508" ht="15.75" hidden="1" customHeight="1"/>
    <row r="2509" ht="15.75" hidden="1" customHeight="1"/>
    <row r="2510" ht="15.75" hidden="1" customHeight="1"/>
    <row r="2511" ht="15.75" hidden="1" customHeight="1"/>
    <row r="2512" ht="15.75" hidden="1" customHeight="1"/>
    <row r="2513" ht="15.75" hidden="1" customHeight="1"/>
    <row r="2514" ht="15.75" hidden="1" customHeight="1"/>
    <row r="2515" ht="15.75" hidden="1" customHeight="1"/>
    <row r="2516" ht="15.75" hidden="1" customHeight="1"/>
    <row r="2517" ht="15.75" hidden="1" customHeight="1"/>
    <row r="2518" ht="15.75" hidden="1" customHeight="1"/>
    <row r="2519" ht="15.75" hidden="1" customHeight="1"/>
    <row r="2520" ht="15.75" hidden="1" customHeight="1"/>
    <row r="2521" ht="15.75" hidden="1" customHeight="1"/>
    <row r="2522" ht="15.75" hidden="1" customHeight="1"/>
    <row r="2523" ht="15.75" hidden="1" customHeight="1"/>
    <row r="2524" ht="15.75" hidden="1" customHeight="1"/>
    <row r="2525" ht="15.75" hidden="1" customHeight="1"/>
    <row r="2526" ht="15.75" hidden="1" customHeight="1"/>
    <row r="2527" ht="15.75" hidden="1" customHeight="1"/>
    <row r="2528" ht="15.75" hidden="1" customHeight="1"/>
    <row r="2529" ht="15.75" hidden="1" customHeight="1"/>
    <row r="2530" ht="15.75" hidden="1" customHeight="1"/>
    <row r="2531" ht="15.75" hidden="1" customHeight="1"/>
    <row r="2532" ht="15.75" hidden="1" customHeight="1"/>
    <row r="2533" ht="15.75" hidden="1" customHeight="1"/>
    <row r="2534" ht="15.75" hidden="1" customHeight="1"/>
    <row r="2535" ht="15.75" hidden="1" customHeight="1"/>
    <row r="2536" ht="15.75" hidden="1" customHeight="1"/>
    <row r="2537" ht="15.75" hidden="1" customHeight="1"/>
    <row r="2538" ht="15.75" hidden="1" customHeight="1"/>
    <row r="2539" ht="15.75" hidden="1" customHeight="1"/>
    <row r="2540" ht="15.75" hidden="1" customHeight="1"/>
    <row r="2541" ht="15.75" hidden="1" customHeight="1"/>
    <row r="2542" ht="15.75" hidden="1" customHeight="1"/>
    <row r="2543" ht="15.75" hidden="1" customHeight="1"/>
    <row r="2544" ht="15.75" hidden="1" customHeight="1"/>
    <row r="2545" ht="15.75" hidden="1" customHeight="1"/>
    <row r="2546" ht="15.75" hidden="1" customHeight="1"/>
    <row r="2547" ht="15.75" hidden="1" customHeight="1"/>
    <row r="2548" ht="15.75" hidden="1" customHeight="1"/>
    <row r="2549" ht="15.75" hidden="1" customHeight="1"/>
    <row r="2550" ht="15.75" hidden="1" customHeight="1"/>
    <row r="2551" ht="15.75" hidden="1" customHeight="1"/>
    <row r="2552" ht="15.75" hidden="1" customHeight="1"/>
    <row r="2553" ht="15.75" hidden="1" customHeight="1"/>
    <row r="2554" ht="15.75" hidden="1" customHeight="1"/>
    <row r="2555" ht="15.75" hidden="1" customHeight="1"/>
    <row r="2556" ht="15.75" hidden="1" customHeight="1"/>
    <row r="2557" ht="15.75" hidden="1" customHeight="1"/>
    <row r="2558" ht="15.75" hidden="1" customHeight="1"/>
    <row r="2559" ht="15.75" hidden="1" customHeight="1"/>
    <row r="2560" ht="15.75" hidden="1" customHeight="1"/>
    <row r="2561" ht="15.75" hidden="1" customHeight="1"/>
    <row r="2562" ht="15.75" hidden="1" customHeight="1"/>
    <row r="2563" ht="15.75" hidden="1" customHeight="1"/>
    <row r="2564" ht="15.75" hidden="1" customHeight="1"/>
    <row r="2565" ht="15.75" hidden="1" customHeight="1"/>
    <row r="2566" ht="15.75" hidden="1" customHeight="1"/>
    <row r="2567" ht="15.75" hidden="1" customHeight="1"/>
    <row r="2568" ht="15.75" hidden="1" customHeight="1"/>
    <row r="2569" ht="15.75" hidden="1" customHeight="1"/>
    <row r="2570" ht="15.75" hidden="1" customHeight="1"/>
    <row r="2571" ht="15.75" hidden="1" customHeight="1"/>
    <row r="2572" ht="15.75" hidden="1" customHeight="1"/>
    <row r="2573" ht="15.75" hidden="1" customHeight="1"/>
    <row r="2574" ht="15.75" hidden="1" customHeight="1"/>
    <row r="2575" ht="15.75" hidden="1" customHeight="1"/>
    <row r="2576" ht="15.75" hidden="1" customHeight="1"/>
    <row r="2577" ht="15.75" hidden="1" customHeight="1"/>
    <row r="2578" ht="15.75" hidden="1" customHeight="1"/>
    <row r="2579" ht="15.75" hidden="1" customHeight="1"/>
    <row r="2580" ht="15.75" hidden="1" customHeight="1"/>
    <row r="2581" ht="15.75" hidden="1" customHeight="1"/>
    <row r="2582" ht="15.75" hidden="1" customHeight="1"/>
    <row r="2583" ht="15.75" hidden="1" customHeight="1"/>
    <row r="2584" ht="15.75" hidden="1" customHeight="1"/>
    <row r="2585" ht="15.75" hidden="1" customHeight="1"/>
    <row r="2586" ht="15.75" hidden="1" customHeight="1"/>
    <row r="2587" ht="15.75" hidden="1" customHeight="1"/>
    <row r="2588" ht="15.75" hidden="1" customHeight="1"/>
    <row r="2589" ht="15.75" hidden="1" customHeight="1"/>
    <row r="2590" ht="15.75" hidden="1" customHeight="1"/>
    <row r="2591" ht="15.75" hidden="1" customHeight="1"/>
    <row r="2592" ht="15.75" hidden="1" customHeight="1"/>
    <row r="2593" ht="15.75" hidden="1" customHeight="1"/>
    <row r="2594" ht="15.75" hidden="1" customHeight="1"/>
    <row r="2595" ht="15.75" hidden="1" customHeight="1"/>
    <row r="2596" ht="15.75" hidden="1" customHeight="1"/>
    <row r="2597" ht="15.75" hidden="1" customHeight="1"/>
    <row r="2598" ht="15.75" hidden="1" customHeight="1"/>
    <row r="2599" ht="15.75" hidden="1" customHeight="1"/>
    <row r="2600" ht="15.75" hidden="1" customHeight="1"/>
    <row r="2601" ht="15.75" hidden="1" customHeight="1"/>
    <row r="2602" ht="15.75" hidden="1" customHeight="1"/>
    <row r="2603" ht="15.75" hidden="1" customHeight="1"/>
    <row r="2604" ht="15.75" hidden="1" customHeight="1"/>
    <row r="2605" ht="15.75" hidden="1" customHeight="1"/>
    <row r="2606" ht="15.75" hidden="1" customHeight="1"/>
    <row r="2607" ht="15.75" hidden="1" customHeight="1"/>
    <row r="2608" ht="15.75" hidden="1" customHeight="1"/>
    <row r="2609" ht="15.75" hidden="1" customHeight="1"/>
    <row r="2610" ht="15.75" hidden="1" customHeight="1"/>
    <row r="2611" ht="15.75" hidden="1" customHeight="1"/>
    <row r="2612" ht="15.75" hidden="1" customHeight="1"/>
    <row r="2613" ht="15.75" hidden="1" customHeight="1"/>
    <row r="2614" ht="15.75" hidden="1" customHeight="1"/>
    <row r="2615" ht="15.75" hidden="1" customHeight="1"/>
    <row r="2616" ht="15.75" hidden="1" customHeight="1"/>
    <row r="2617" ht="15.75" hidden="1" customHeight="1"/>
    <row r="2618" ht="15.75" hidden="1" customHeight="1"/>
    <row r="2619" ht="15.75" hidden="1" customHeight="1"/>
    <row r="2620" ht="15.75" hidden="1" customHeight="1"/>
    <row r="2621" ht="15.75" hidden="1" customHeight="1"/>
    <row r="2622" ht="15.75" hidden="1" customHeight="1"/>
    <row r="2623" ht="15.75" hidden="1" customHeight="1"/>
    <row r="2624" ht="15.75" hidden="1" customHeight="1"/>
    <row r="2625" ht="15.75" hidden="1" customHeight="1"/>
    <row r="2626" ht="15.75" hidden="1" customHeight="1"/>
    <row r="2627" ht="15.75" hidden="1" customHeight="1"/>
    <row r="2628" ht="15.75" hidden="1" customHeight="1"/>
    <row r="2629" ht="15.75" hidden="1" customHeight="1"/>
    <row r="2630" ht="15.75" hidden="1" customHeight="1"/>
    <row r="2631" ht="15.75" hidden="1" customHeight="1"/>
    <row r="2632" ht="15.75" hidden="1" customHeight="1"/>
    <row r="2633" ht="15.75" hidden="1" customHeight="1"/>
    <row r="2634" ht="15.75" hidden="1" customHeight="1"/>
    <row r="2635" ht="15.75" hidden="1" customHeight="1"/>
    <row r="2636" ht="15.75" hidden="1" customHeight="1"/>
    <row r="2637" ht="15.75" hidden="1" customHeight="1"/>
    <row r="2638" ht="15.75" hidden="1" customHeight="1"/>
    <row r="2639" ht="15.75" hidden="1" customHeight="1"/>
    <row r="2640" ht="15.75" hidden="1" customHeight="1"/>
    <row r="2641" ht="15.75" hidden="1" customHeight="1"/>
    <row r="2642" ht="15.75" hidden="1" customHeight="1"/>
    <row r="2643" ht="15.75" hidden="1" customHeight="1"/>
    <row r="2644" ht="15.75" hidden="1" customHeight="1"/>
    <row r="2645" ht="15.75" hidden="1" customHeight="1"/>
    <row r="2646" ht="15.75" hidden="1" customHeight="1"/>
    <row r="2647" ht="15.75" hidden="1" customHeight="1"/>
    <row r="2648" ht="15.75" hidden="1" customHeight="1"/>
    <row r="2649" ht="15.75" hidden="1" customHeight="1"/>
    <row r="2650" ht="15.75" hidden="1" customHeight="1"/>
    <row r="2651" ht="15.75" hidden="1" customHeight="1"/>
    <row r="2652" ht="15.75" hidden="1" customHeight="1"/>
    <row r="2653" ht="15.75" hidden="1" customHeight="1"/>
    <row r="2654" ht="15.75" hidden="1" customHeight="1"/>
    <row r="2655" ht="15.75" hidden="1" customHeight="1"/>
    <row r="2656" ht="15.75" hidden="1" customHeight="1"/>
    <row r="2657" ht="15.75" hidden="1" customHeight="1"/>
    <row r="2658" ht="15.75" hidden="1" customHeight="1"/>
    <row r="2659" ht="15.75" hidden="1" customHeight="1"/>
    <row r="2660" ht="15.75" hidden="1" customHeight="1"/>
    <row r="2661" ht="15.75" hidden="1" customHeight="1"/>
    <row r="2662" ht="15.75" hidden="1" customHeight="1"/>
    <row r="2663" ht="15.75" hidden="1" customHeight="1"/>
    <row r="2664" ht="15.75" hidden="1" customHeight="1"/>
    <row r="2665" ht="15.75" hidden="1" customHeight="1"/>
    <row r="2666" ht="15.75" hidden="1" customHeight="1"/>
    <row r="2667" ht="15.75" hidden="1" customHeight="1"/>
    <row r="2668" ht="15.75" hidden="1" customHeight="1"/>
    <row r="2669" ht="15.75" hidden="1" customHeight="1"/>
    <row r="2670" ht="15.75" hidden="1" customHeight="1"/>
    <row r="2671" ht="15.75" hidden="1" customHeight="1"/>
    <row r="2672" ht="15.75" hidden="1" customHeight="1"/>
    <row r="2673" ht="15.75" hidden="1" customHeight="1"/>
    <row r="2674" ht="15.75" hidden="1" customHeight="1"/>
    <row r="2675" ht="15.75" hidden="1" customHeight="1"/>
    <row r="2676" ht="15.75" hidden="1" customHeight="1"/>
    <row r="2677" ht="15.75" hidden="1" customHeight="1"/>
    <row r="2678" ht="15.75" hidden="1" customHeight="1"/>
    <row r="2679" ht="15.75" hidden="1" customHeight="1"/>
    <row r="2680" ht="15.75" hidden="1" customHeight="1"/>
    <row r="2681" ht="15.75" hidden="1" customHeight="1"/>
    <row r="2682" ht="15.75" hidden="1" customHeight="1"/>
    <row r="2683" ht="15.75" hidden="1" customHeight="1"/>
    <row r="2684" ht="15.75" hidden="1" customHeight="1"/>
    <row r="2685" ht="15.75" hidden="1" customHeight="1"/>
    <row r="2686" ht="15.75" hidden="1" customHeight="1"/>
    <row r="2687" ht="15.75" hidden="1" customHeight="1"/>
    <row r="2688" ht="15.75" hidden="1" customHeight="1"/>
    <row r="2689" ht="15.75" hidden="1" customHeight="1"/>
    <row r="2690" ht="15.75" hidden="1" customHeight="1"/>
    <row r="2691" ht="15.75" hidden="1" customHeight="1"/>
    <row r="2692" ht="15.75" hidden="1" customHeight="1"/>
    <row r="2693" ht="15.75" hidden="1" customHeight="1"/>
    <row r="2694" ht="15.75" hidden="1" customHeight="1"/>
    <row r="2695" ht="15.75" hidden="1" customHeight="1"/>
    <row r="2696" ht="15.75" hidden="1" customHeight="1"/>
    <row r="2697" ht="15.75" hidden="1" customHeight="1"/>
    <row r="2698" ht="15.75" hidden="1" customHeight="1"/>
    <row r="2699" ht="15.75" hidden="1" customHeight="1"/>
    <row r="2700" ht="15.75" hidden="1" customHeight="1"/>
    <row r="2701" ht="15.75" hidden="1" customHeight="1"/>
    <row r="2702" ht="15.75" hidden="1" customHeight="1"/>
    <row r="2703" ht="15.75" hidden="1" customHeight="1"/>
    <row r="2704" ht="15.75" hidden="1" customHeight="1"/>
    <row r="2705" ht="15.75" hidden="1" customHeight="1"/>
    <row r="2706" ht="15.75" hidden="1" customHeight="1"/>
    <row r="2707" ht="15.75" hidden="1" customHeight="1"/>
    <row r="2708" ht="15.75" hidden="1" customHeight="1"/>
    <row r="2709" ht="15.75" hidden="1" customHeight="1"/>
    <row r="2710" ht="15.75" hidden="1" customHeight="1"/>
    <row r="2711" ht="15.75" hidden="1" customHeight="1"/>
    <row r="2712" ht="15.75" hidden="1" customHeight="1"/>
    <row r="2713" ht="15.75" hidden="1" customHeight="1"/>
    <row r="2714" ht="15.75" hidden="1" customHeight="1"/>
    <row r="2715" ht="15.75" hidden="1" customHeight="1"/>
    <row r="2716" ht="15.75" hidden="1" customHeight="1"/>
    <row r="2717" ht="15.75" hidden="1" customHeight="1"/>
    <row r="2718" ht="15.75" hidden="1" customHeight="1"/>
    <row r="2719" ht="15.75" hidden="1" customHeight="1"/>
    <row r="2720" ht="15.75" hidden="1" customHeight="1"/>
    <row r="2721" ht="15.75" hidden="1" customHeight="1"/>
    <row r="2722" ht="15.75" hidden="1" customHeight="1"/>
    <row r="2723" ht="15.75" hidden="1" customHeight="1"/>
    <row r="2724" ht="15.75" hidden="1" customHeight="1"/>
    <row r="2725" ht="15.75" hidden="1" customHeight="1"/>
    <row r="2726" ht="15.75" hidden="1" customHeight="1"/>
    <row r="2727" ht="15.75" hidden="1" customHeight="1"/>
    <row r="2728" ht="15.75" hidden="1" customHeight="1"/>
    <row r="2729" ht="15.75" hidden="1" customHeight="1"/>
    <row r="2730" ht="15.75" hidden="1" customHeight="1"/>
    <row r="2731" ht="15.75" hidden="1" customHeight="1"/>
    <row r="2732" ht="15.75" hidden="1" customHeight="1"/>
    <row r="2733" ht="15.75" hidden="1" customHeight="1"/>
    <row r="2734" ht="15.75" hidden="1" customHeight="1"/>
    <row r="2735" ht="15.75" hidden="1" customHeight="1"/>
    <row r="2736" ht="15.75" hidden="1" customHeight="1"/>
    <row r="2737" ht="15.75" hidden="1" customHeight="1"/>
    <row r="2738" ht="15.75" hidden="1" customHeight="1"/>
    <row r="2739" ht="15.75" hidden="1" customHeight="1"/>
    <row r="2740" ht="15.75" hidden="1" customHeight="1"/>
    <row r="2741" ht="15.75" hidden="1" customHeight="1"/>
    <row r="2742" ht="15.75" hidden="1" customHeight="1"/>
    <row r="2743" ht="15.75" hidden="1" customHeight="1"/>
    <row r="2744" ht="15.75" hidden="1" customHeight="1"/>
    <row r="2745" ht="15.75" hidden="1" customHeight="1"/>
    <row r="2746" ht="15.75" hidden="1" customHeight="1"/>
    <row r="2747" ht="15.75" hidden="1" customHeight="1"/>
    <row r="2748" ht="15.75" hidden="1" customHeight="1"/>
    <row r="2749" ht="15.75" hidden="1" customHeight="1"/>
    <row r="2750" ht="15.75" hidden="1" customHeight="1"/>
    <row r="2751" ht="15.75" hidden="1" customHeight="1"/>
    <row r="2752" ht="15.75" hidden="1" customHeight="1"/>
    <row r="2753" ht="15.75" hidden="1" customHeight="1"/>
    <row r="2754" ht="15.75" hidden="1" customHeight="1"/>
    <row r="2755" ht="15.75" hidden="1" customHeight="1"/>
    <row r="2756" ht="15.75" hidden="1" customHeight="1"/>
    <row r="2757" ht="15.75" hidden="1" customHeight="1"/>
    <row r="2758" ht="15.75" hidden="1" customHeight="1"/>
    <row r="2759" ht="15.75" hidden="1" customHeight="1"/>
    <row r="2760" ht="15.75" hidden="1" customHeight="1"/>
    <row r="2761" ht="15.75" hidden="1" customHeight="1"/>
    <row r="2762" ht="15.75" hidden="1" customHeight="1"/>
    <row r="2763" ht="15.75" hidden="1" customHeight="1"/>
    <row r="2764" ht="15.75" hidden="1" customHeight="1"/>
    <row r="2765" ht="15.75" hidden="1" customHeight="1"/>
    <row r="2766" ht="15.75" hidden="1" customHeight="1"/>
    <row r="2767" ht="15.75" hidden="1" customHeight="1"/>
    <row r="2768" ht="15.75" hidden="1" customHeight="1"/>
    <row r="2769" ht="15.75" hidden="1" customHeight="1"/>
    <row r="2770" ht="15.75" hidden="1" customHeight="1"/>
    <row r="2771" ht="15.75" hidden="1" customHeight="1"/>
    <row r="2772" ht="15.75" hidden="1" customHeight="1"/>
    <row r="2773" ht="15.75" hidden="1" customHeight="1"/>
    <row r="2774" ht="15.75" hidden="1" customHeight="1"/>
    <row r="2775" ht="15.75" hidden="1" customHeight="1"/>
    <row r="2776" ht="15.75" hidden="1" customHeight="1"/>
    <row r="2777" ht="15.75" hidden="1" customHeight="1"/>
    <row r="2778" ht="15.75" hidden="1" customHeight="1"/>
    <row r="2779" ht="15.75" hidden="1" customHeight="1"/>
    <row r="2780" ht="15.75" hidden="1" customHeight="1"/>
    <row r="2781" ht="15.75" hidden="1" customHeight="1"/>
    <row r="2782" ht="15.75" hidden="1" customHeight="1"/>
    <row r="2783" ht="15.75" hidden="1" customHeight="1"/>
    <row r="2784" ht="15.75" hidden="1" customHeight="1"/>
    <row r="2785" ht="15.75" hidden="1" customHeight="1"/>
    <row r="2786" ht="15.75" hidden="1" customHeight="1"/>
    <row r="2787" ht="15.75" hidden="1" customHeight="1"/>
    <row r="2788" ht="15.75" hidden="1" customHeight="1"/>
    <row r="2789" ht="15.75" hidden="1" customHeight="1"/>
    <row r="2790" ht="15.75" hidden="1" customHeight="1"/>
    <row r="2791" ht="15.75" hidden="1" customHeight="1"/>
    <row r="2792" ht="15.75" hidden="1" customHeight="1"/>
    <row r="2793" ht="15.75" hidden="1" customHeight="1"/>
    <row r="2794" ht="15.75" hidden="1" customHeight="1"/>
    <row r="2795" ht="15.75" hidden="1" customHeight="1"/>
    <row r="2796" ht="15.75" hidden="1" customHeight="1"/>
    <row r="2797" ht="15.75" hidden="1" customHeight="1"/>
    <row r="2798" ht="15.75" hidden="1" customHeight="1"/>
    <row r="2799" ht="15.75" hidden="1" customHeight="1"/>
    <row r="2800" ht="15.75" hidden="1" customHeight="1"/>
    <row r="2801" ht="15.75" hidden="1" customHeight="1"/>
    <row r="2802" ht="15.75" hidden="1" customHeight="1"/>
    <row r="2803" ht="15.75" hidden="1" customHeight="1"/>
    <row r="2804" ht="15.75" hidden="1" customHeight="1"/>
    <row r="2805" ht="15.75" hidden="1" customHeight="1"/>
    <row r="2806" ht="15.75" hidden="1" customHeight="1"/>
    <row r="2807" ht="15.75" hidden="1" customHeight="1"/>
    <row r="2808" ht="15.75" hidden="1" customHeight="1"/>
    <row r="2809" ht="15.75" hidden="1" customHeight="1"/>
    <row r="2810" ht="15.75" hidden="1" customHeight="1"/>
    <row r="2811" ht="15.75" hidden="1" customHeight="1"/>
    <row r="2812" ht="15.75" hidden="1" customHeight="1"/>
    <row r="2813" ht="15.75" hidden="1" customHeight="1"/>
    <row r="2814" ht="15.75" hidden="1" customHeight="1"/>
    <row r="2815" ht="15.75" hidden="1" customHeight="1"/>
    <row r="2816" ht="15.75" hidden="1" customHeight="1"/>
    <row r="2817" ht="15.75" hidden="1" customHeight="1"/>
    <row r="2818" ht="15.75" hidden="1" customHeight="1"/>
    <row r="2819" ht="15.75" hidden="1" customHeight="1"/>
    <row r="2820" ht="15.75" hidden="1" customHeight="1"/>
    <row r="2821" ht="15.75" hidden="1" customHeight="1"/>
    <row r="2822" ht="15.75" hidden="1" customHeight="1"/>
    <row r="2823" ht="15.75" hidden="1" customHeight="1"/>
    <row r="2824" ht="15.75" hidden="1" customHeight="1"/>
    <row r="2825" ht="15.75" hidden="1" customHeight="1"/>
    <row r="2826" ht="15.75" hidden="1" customHeight="1"/>
    <row r="2827" ht="15.75" hidden="1" customHeight="1"/>
    <row r="2828" ht="15.75" hidden="1" customHeight="1"/>
    <row r="2829" ht="15.75" hidden="1" customHeight="1"/>
    <row r="2830" ht="15.75" hidden="1" customHeight="1"/>
    <row r="2831" ht="15.75" hidden="1" customHeight="1"/>
    <row r="2832" ht="15.75" hidden="1" customHeight="1"/>
    <row r="2833" ht="15.75" hidden="1" customHeight="1"/>
    <row r="2834" ht="15.75" hidden="1" customHeight="1"/>
    <row r="2835" ht="15.75" hidden="1" customHeight="1"/>
    <row r="2836" ht="15.75" hidden="1" customHeight="1"/>
    <row r="2837" ht="15.75" hidden="1" customHeight="1"/>
    <row r="2838" ht="15.75" hidden="1" customHeight="1"/>
    <row r="2839" ht="15.75" hidden="1" customHeight="1"/>
    <row r="2840" ht="15.75" hidden="1" customHeight="1"/>
    <row r="2841" ht="15.75" hidden="1" customHeight="1"/>
    <row r="2842" ht="15.75" hidden="1" customHeight="1"/>
    <row r="2843" ht="15.75" hidden="1" customHeight="1"/>
    <row r="2844" ht="15.75" hidden="1" customHeight="1"/>
    <row r="2845" ht="15.75" hidden="1" customHeight="1"/>
    <row r="2846" ht="15.75" hidden="1" customHeight="1"/>
    <row r="2847" ht="15.75" hidden="1" customHeight="1"/>
    <row r="2848" ht="15.75" hidden="1" customHeight="1"/>
    <row r="2849" ht="15.75" hidden="1" customHeight="1"/>
    <row r="2850" ht="15.75" hidden="1" customHeight="1"/>
    <row r="2851" ht="15.75" hidden="1" customHeight="1"/>
    <row r="2852" ht="15.75" hidden="1" customHeight="1"/>
    <row r="2853" ht="15.75" hidden="1" customHeight="1"/>
    <row r="2854" ht="15.75" hidden="1" customHeight="1"/>
    <row r="2855" ht="15.75" hidden="1" customHeight="1"/>
    <row r="2856" ht="15.75" hidden="1" customHeight="1"/>
    <row r="2857" ht="15.75" hidden="1" customHeight="1"/>
    <row r="2858" ht="15.75" hidden="1" customHeight="1"/>
    <row r="2859" ht="15.75" hidden="1" customHeight="1"/>
    <row r="2860" ht="15.75" hidden="1" customHeight="1"/>
    <row r="2861" ht="15.75" hidden="1" customHeight="1"/>
    <row r="2862" ht="15.75" hidden="1" customHeight="1"/>
    <row r="2863" ht="15.75" hidden="1" customHeight="1"/>
    <row r="2864" ht="15.75" hidden="1" customHeight="1"/>
    <row r="2865" ht="15.75" hidden="1" customHeight="1"/>
    <row r="2866" ht="15.75" hidden="1" customHeight="1"/>
    <row r="2867" ht="15.75" hidden="1" customHeight="1"/>
    <row r="2868" ht="15.75" hidden="1" customHeight="1"/>
    <row r="2869" ht="15.75" hidden="1" customHeight="1"/>
    <row r="2870" ht="15.75" hidden="1" customHeight="1"/>
    <row r="2871" ht="15.75" hidden="1" customHeight="1"/>
    <row r="2872" ht="15.75" hidden="1" customHeight="1"/>
    <row r="2873" ht="15.75" hidden="1" customHeight="1"/>
    <row r="2874" ht="15.75" hidden="1" customHeight="1"/>
    <row r="2875" ht="15.75" hidden="1" customHeight="1"/>
    <row r="2876" ht="15.75" hidden="1" customHeight="1"/>
    <row r="2877" ht="15.75" hidden="1" customHeight="1"/>
    <row r="2878" ht="15.75" hidden="1" customHeight="1"/>
    <row r="2879" ht="15.75" hidden="1" customHeight="1"/>
    <row r="2880" ht="15.75" hidden="1" customHeight="1"/>
    <row r="2881" ht="15.75" hidden="1" customHeight="1"/>
    <row r="2882" ht="15.75" hidden="1" customHeight="1"/>
    <row r="2883" ht="15.75" hidden="1" customHeight="1"/>
    <row r="2884" ht="15.75" hidden="1" customHeight="1"/>
    <row r="2885" ht="15.75" hidden="1" customHeight="1"/>
    <row r="2886" ht="15.75" hidden="1" customHeight="1"/>
    <row r="2887" ht="15.75" hidden="1" customHeight="1"/>
    <row r="2888" ht="15.75" hidden="1" customHeight="1"/>
    <row r="2889" ht="15.75" hidden="1" customHeight="1"/>
    <row r="2890" ht="15.75" hidden="1" customHeight="1"/>
    <row r="2891" ht="15.75" hidden="1" customHeight="1"/>
    <row r="2892" ht="15.75" hidden="1" customHeight="1"/>
    <row r="2893" ht="15.75" hidden="1" customHeight="1"/>
    <row r="2894" ht="15.75" hidden="1" customHeight="1"/>
    <row r="2895" ht="15.75" hidden="1" customHeight="1"/>
    <row r="2896" ht="15.75" hidden="1" customHeight="1"/>
    <row r="2897" ht="15.75" hidden="1" customHeight="1"/>
    <row r="2898" ht="15.75" hidden="1" customHeight="1"/>
    <row r="2899" ht="15.75" hidden="1" customHeight="1"/>
    <row r="2900" ht="15.75" hidden="1" customHeight="1"/>
    <row r="2901" ht="15.75" hidden="1" customHeight="1"/>
    <row r="2902" ht="15.75" hidden="1" customHeight="1"/>
    <row r="2903" ht="15.75" hidden="1" customHeight="1"/>
    <row r="2904" ht="15.75" hidden="1" customHeight="1"/>
    <row r="2905" ht="15.75" hidden="1" customHeight="1"/>
    <row r="2906" ht="15.75" hidden="1" customHeight="1"/>
    <row r="2907" ht="15.75" hidden="1" customHeight="1"/>
    <row r="2908" ht="15.75" hidden="1" customHeight="1"/>
    <row r="2909" ht="15.75" hidden="1" customHeight="1"/>
    <row r="2910" ht="15.75" hidden="1" customHeight="1"/>
    <row r="2911" ht="15.75" hidden="1" customHeight="1"/>
    <row r="2912" ht="15.75" hidden="1" customHeight="1"/>
    <row r="2913" ht="15.75" hidden="1" customHeight="1"/>
    <row r="2914" ht="15.75" hidden="1" customHeight="1"/>
    <row r="2915" ht="15.75" hidden="1" customHeight="1"/>
    <row r="2916" ht="15.75" hidden="1" customHeight="1"/>
    <row r="2917" ht="15.75" hidden="1" customHeight="1"/>
    <row r="2918" ht="15.75" hidden="1" customHeight="1"/>
    <row r="2919" ht="15.75" hidden="1" customHeight="1"/>
    <row r="2920" ht="15.75" hidden="1" customHeight="1"/>
    <row r="2921" ht="15.75" hidden="1" customHeight="1"/>
    <row r="2922" ht="15.75" hidden="1" customHeight="1"/>
    <row r="2923" ht="15.75" hidden="1" customHeight="1"/>
    <row r="2924" ht="15.75" hidden="1" customHeight="1"/>
    <row r="2925" ht="15.75" hidden="1" customHeight="1"/>
    <row r="2926" ht="15.75" hidden="1" customHeight="1"/>
    <row r="2927" ht="15.75" hidden="1" customHeight="1"/>
    <row r="2928" ht="15.75" hidden="1" customHeight="1"/>
    <row r="2929" ht="15.75" hidden="1" customHeight="1"/>
    <row r="2930" ht="15.75" hidden="1" customHeight="1"/>
    <row r="2931" ht="15.75" hidden="1" customHeight="1"/>
    <row r="2932" ht="15.75" hidden="1" customHeight="1"/>
    <row r="2933" ht="15.75" hidden="1" customHeight="1"/>
    <row r="2934" ht="15.75" hidden="1" customHeight="1"/>
    <row r="2935" ht="15.75" hidden="1" customHeight="1"/>
    <row r="2936" ht="15.75" hidden="1" customHeight="1"/>
    <row r="2937" ht="15.75" hidden="1" customHeight="1"/>
    <row r="2938" ht="15.75" hidden="1" customHeight="1"/>
    <row r="2939" ht="15.75" hidden="1" customHeight="1"/>
    <row r="2940" ht="15.75" hidden="1" customHeight="1"/>
    <row r="2941" ht="15.75" hidden="1" customHeight="1"/>
    <row r="2942" ht="15.75" hidden="1" customHeight="1"/>
    <row r="2943" ht="15.75" hidden="1" customHeight="1"/>
    <row r="2944" ht="15.75" hidden="1" customHeight="1"/>
    <row r="2945" ht="15.75" hidden="1" customHeight="1"/>
    <row r="2946" ht="15.75" hidden="1" customHeight="1"/>
    <row r="2947" ht="15.75" hidden="1" customHeight="1"/>
    <row r="2948" ht="15.75" hidden="1" customHeight="1"/>
    <row r="2949" ht="15.75" hidden="1" customHeight="1"/>
    <row r="2950" ht="15.75" hidden="1" customHeight="1"/>
    <row r="2951" ht="15.75" hidden="1" customHeight="1"/>
    <row r="2952" ht="15.75" hidden="1" customHeight="1"/>
    <row r="2953" ht="15.75" hidden="1" customHeight="1"/>
    <row r="2954" ht="15.75" hidden="1" customHeight="1"/>
    <row r="2955" ht="15.75" hidden="1" customHeight="1"/>
    <row r="2956" ht="15.75" hidden="1" customHeight="1"/>
    <row r="2957" ht="15.75" hidden="1" customHeight="1"/>
    <row r="2958" ht="15.75" hidden="1" customHeight="1"/>
    <row r="2959" ht="15.75" hidden="1" customHeight="1"/>
    <row r="2960" ht="15.75" hidden="1" customHeight="1"/>
    <row r="2961" ht="15.75" hidden="1" customHeight="1"/>
    <row r="2962" ht="15.75" hidden="1" customHeight="1"/>
    <row r="2963" ht="15.75" hidden="1" customHeight="1"/>
    <row r="2964" ht="15.75" hidden="1" customHeight="1"/>
    <row r="2965" ht="15.75" hidden="1" customHeight="1"/>
    <row r="2966" ht="15.75" hidden="1" customHeight="1"/>
    <row r="2967" ht="15.75" hidden="1" customHeight="1"/>
    <row r="2968" ht="15.75" hidden="1" customHeight="1"/>
    <row r="2969" ht="15.75" hidden="1" customHeight="1"/>
    <row r="2970" ht="15.75" hidden="1" customHeight="1"/>
    <row r="2971" ht="15.75" hidden="1" customHeight="1"/>
    <row r="2972" ht="15.75" hidden="1" customHeight="1"/>
    <row r="2973" ht="15.75" hidden="1" customHeight="1"/>
    <row r="2974" ht="15.75" hidden="1" customHeight="1"/>
    <row r="2975" ht="15.75" hidden="1" customHeight="1"/>
    <row r="2976" ht="15.75" hidden="1" customHeight="1"/>
    <row r="2977" ht="15.75" hidden="1" customHeight="1"/>
    <row r="2978" ht="15.75" hidden="1" customHeight="1"/>
    <row r="2979" ht="15.75" hidden="1" customHeight="1"/>
    <row r="2980" ht="15.75" hidden="1" customHeight="1"/>
    <row r="2981" ht="15.75" hidden="1" customHeight="1"/>
    <row r="2982" ht="15.75" hidden="1" customHeight="1"/>
    <row r="2983" ht="15.75" hidden="1" customHeight="1"/>
    <row r="2984" ht="15.75" hidden="1" customHeight="1"/>
    <row r="2985" ht="15.75" hidden="1" customHeight="1"/>
    <row r="2986" ht="15.75" hidden="1" customHeight="1"/>
    <row r="2987" ht="15.75" hidden="1" customHeight="1"/>
    <row r="2988" ht="15.75" hidden="1" customHeight="1"/>
    <row r="2989" ht="15.75" hidden="1" customHeight="1"/>
    <row r="2990" ht="15.75" hidden="1" customHeight="1"/>
    <row r="2991" ht="15.75" hidden="1" customHeight="1"/>
    <row r="2992" ht="15.75" hidden="1" customHeight="1"/>
    <row r="2993" ht="15.75" hidden="1" customHeight="1"/>
    <row r="2994" ht="15.75" hidden="1" customHeight="1"/>
    <row r="2995" ht="15.75" hidden="1" customHeight="1"/>
    <row r="2996" ht="15.75" hidden="1" customHeight="1"/>
    <row r="2997" ht="15.75" hidden="1" customHeight="1"/>
    <row r="2998" ht="15.75" hidden="1" customHeight="1"/>
    <row r="2999" ht="15.75" hidden="1" customHeight="1"/>
    <row r="3000" ht="15.75" hidden="1" customHeight="1"/>
    <row r="3001" ht="15.75" hidden="1" customHeight="1"/>
    <row r="3002" ht="15.75" hidden="1" customHeight="1"/>
    <row r="3003" ht="15.75" hidden="1" customHeight="1"/>
    <row r="3004" ht="15.75" hidden="1" customHeight="1"/>
    <row r="3005" ht="15.75" hidden="1" customHeight="1"/>
    <row r="3006" ht="15.75" hidden="1" customHeight="1"/>
    <row r="3007" ht="15.75" hidden="1" customHeight="1"/>
    <row r="3008" ht="15.75" hidden="1" customHeight="1"/>
    <row r="3009" ht="15.75" hidden="1" customHeight="1"/>
    <row r="3010" ht="15.75" hidden="1" customHeight="1"/>
    <row r="3011" ht="15.75" hidden="1" customHeight="1"/>
    <row r="3012" ht="15.75" hidden="1" customHeight="1"/>
    <row r="3013" ht="15.75" hidden="1" customHeight="1"/>
    <row r="3014" ht="15.75" hidden="1" customHeight="1"/>
    <row r="3015" ht="15.75" hidden="1" customHeight="1"/>
    <row r="3016" ht="15.75" hidden="1" customHeight="1"/>
    <row r="3017" ht="15.75" hidden="1" customHeight="1"/>
    <row r="3018" ht="15.75" hidden="1" customHeight="1"/>
    <row r="3019" ht="15.75" hidden="1" customHeight="1"/>
    <row r="3020" ht="15.75" hidden="1" customHeight="1"/>
    <row r="3021" ht="15.75" hidden="1" customHeight="1"/>
    <row r="3022" ht="15.75" hidden="1" customHeight="1"/>
    <row r="3023" ht="15.75" hidden="1" customHeight="1"/>
    <row r="3024" ht="15.75" hidden="1" customHeight="1"/>
    <row r="3025" ht="15.75" hidden="1" customHeight="1"/>
    <row r="3026" ht="15.75" hidden="1" customHeight="1"/>
    <row r="3027" ht="15.75" hidden="1" customHeight="1"/>
    <row r="3028" ht="15.75" hidden="1" customHeight="1"/>
    <row r="3029" ht="15.75" hidden="1" customHeight="1"/>
    <row r="3030" ht="15.75" hidden="1" customHeight="1"/>
    <row r="3031" ht="15.75" hidden="1" customHeight="1"/>
    <row r="3032" ht="15.75" hidden="1" customHeight="1"/>
    <row r="3033" ht="15.75" hidden="1" customHeight="1"/>
    <row r="3034" ht="15.75" hidden="1" customHeight="1"/>
    <row r="3035" ht="15.75" hidden="1" customHeight="1"/>
    <row r="3036" ht="15.75" hidden="1" customHeight="1"/>
    <row r="3037" ht="15.75" hidden="1" customHeight="1"/>
    <row r="3038" ht="15.75" hidden="1" customHeight="1"/>
    <row r="3039" ht="15.75" hidden="1" customHeight="1"/>
    <row r="3040" ht="15.75" hidden="1" customHeight="1"/>
    <row r="3041" ht="15.75" hidden="1" customHeight="1"/>
    <row r="3042" ht="15.75" hidden="1" customHeight="1"/>
    <row r="3043" ht="15.75" hidden="1" customHeight="1"/>
    <row r="3044" ht="15.75" hidden="1" customHeight="1"/>
    <row r="3045" ht="15.75" hidden="1" customHeight="1"/>
    <row r="3046" ht="15.75" hidden="1" customHeight="1"/>
    <row r="3047" ht="15.75" hidden="1" customHeight="1"/>
    <row r="3048" ht="15.75" hidden="1" customHeight="1"/>
    <row r="3049" ht="15.75" hidden="1" customHeight="1"/>
    <row r="3050" ht="15.75" hidden="1" customHeight="1"/>
    <row r="3051" ht="15.75" hidden="1" customHeight="1"/>
    <row r="3052" ht="15.75" hidden="1" customHeight="1"/>
    <row r="3053" ht="15.75" hidden="1" customHeight="1"/>
    <row r="3054" ht="15.75" hidden="1" customHeight="1"/>
    <row r="3055" ht="15.75" hidden="1" customHeight="1"/>
    <row r="3056" ht="15.75" hidden="1" customHeight="1"/>
    <row r="3057" ht="15.75" hidden="1" customHeight="1"/>
    <row r="3058" ht="15.75" hidden="1" customHeight="1"/>
    <row r="3059" ht="15.75" hidden="1" customHeight="1"/>
    <row r="3060" ht="15.75" hidden="1" customHeight="1"/>
    <row r="3061" ht="15.75" hidden="1" customHeight="1"/>
    <row r="3062" ht="15.75" hidden="1" customHeight="1"/>
    <row r="3063" ht="15.75" hidden="1" customHeight="1"/>
    <row r="3064" ht="15.75" hidden="1" customHeight="1"/>
    <row r="3065" ht="15.75" hidden="1" customHeight="1"/>
    <row r="3066" ht="15.75" hidden="1" customHeight="1"/>
    <row r="3067" ht="15.75" hidden="1" customHeight="1"/>
    <row r="3068" ht="15.75" hidden="1" customHeight="1"/>
    <row r="3069" ht="15.75" hidden="1" customHeight="1"/>
    <row r="3070" ht="15.75" hidden="1" customHeight="1"/>
    <row r="3071" ht="15.75" hidden="1" customHeight="1"/>
    <row r="3072" ht="15.75" hidden="1" customHeight="1"/>
    <row r="3073" ht="15.75" hidden="1" customHeight="1"/>
    <row r="3074" ht="15.75" hidden="1" customHeight="1"/>
    <row r="3075" ht="15.75" hidden="1" customHeight="1"/>
    <row r="3076" ht="15.75" hidden="1" customHeight="1"/>
    <row r="3077" ht="15.75" hidden="1" customHeight="1"/>
    <row r="3078" ht="15.75" hidden="1" customHeight="1"/>
    <row r="3079" ht="15.75" hidden="1" customHeight="1"/>
    <row r="3080" ht="15.75" hidden="1" customHeight="1"/>
    <row r="3081" ht="15.75" hidden="1" customHeight="1"/>
    <row r="3082" ht="15.75" hidden="1" customHeight="1"/>
    <row r="3083" ht="15.75" hidden="1" customHeight="1"/>
    <row r="3084" ht="15.75" hidden="1" customHeight="1"/>
    <row r="3085" ht="15.75" hidden="1" customHeight="1"/>
    <row r="3086" ht="15.75" hidden="1" customHeight="1"/>
    <row r="3087" ht="15.75" hidden="1" customHeight="1"/>
    <row r="3088" ht="15.75" hidden="1" customHeight="1"/>
    <row r="3089" ht="15.75" hidden="1" customHeight="1"/>
    <row r="3090" ht="15.75" hidden="1" customHeight="1"/>
    <row r="3091" ht="15.75" hidden="1" customHeight="1"/>
    <row r="3092" ht="15.75" hidden="1" customHeight="1"/>
    <row r="3093" ht="15.75" hidden="1" customHeight="1"/>
    <row r="3094" ht="15.75" hidden="1" customHeight="1"/>
    <row r="3095" ht="15.75" hidden="1" customHeight="1"/>
    <row r="3096" ht="15.75" hidden="1" customHeight="1"/>
    <row r="3097" ht="15.75" hidden="1" customHeight="1"/>
    <row r="3098" ht="15.75" hidden="1" customHeight="1"/>
    <row r="3099" ht="15.75" hidden="1" customHeight="1"/>
    <row r="3100" ht="15.75" hidden="1" customHeight="1"/>
    <row r="3101" ht="15.75" hidden="1" customHeight="1"/>
    <row r="3102" ht="15.75" hidden="1" customHeight="1"/>
    <row r="3103" ht="15.75" hidden="1" customHeight="1"/>
    <row r="3104" ht="15.75" hidden="1" customHeight="1"/>
    <row r="3105" ht="15.75" hidden="1" customHeight="1"/>
    <row r="3106" ht="15.75" hidden="1" customHeight="1"/>
    <row r="3107" ht="15.75" hidden="1" customHeight="1"/>
    <row r="3108" ht="15.75" hidden="1" customHeight="1"/>
    <row r="3109" ht="15.75" hidden="1" customHeight="1"/>
    <row r="3110" ht="15.75" hidden="1" customHeight="1"/>
    <row r="3111" ht="15.75" hidden="1" customHeight="1"/>
    <row r="3112" ht="15.75" hidden="1" customHeight="1"/>
    <row r="3113" ht="15.75" hidden="1" customHeight="1"/>
    <row r="3114" ht="15.75" hidden="1" customHeight="1"/>
    <row r="3115" ht="15.75" hidden="1" customHeight="1"/>
    <row r="3116" ht="15.75" hidden="1" customHeight="1"/>
    <row r="3117" ht="15.75" hidden="1" customHeight="1"/>
    <row r="3118" ht="15.75" hidden="1" customHeight="1"/>
    <row r="3119" ht="15.75" hidden="1" customHeight="1"/>
    <row r="3120" ht="15.75" hidden="1" customHeight="1"/>
    <row r="3121" ht="15.75" hidden="1" customHeight="1"/>
    <row r="3122" ht="15.75" hidden="1" customHeight="1"/>
    <row r="3123" ht="15.75" hidden="1" customHeight="1"/>
    <row r="3124" ht="15.75" hidden="1" customHeight="1"/>
    <row r="3125" ht="15.75" hidden="1" customHeight="1"/>
    <row r="3126" ht="15.75" hidden="1" customHeight="1"/>
    <row r="3127" ht="15.75" hidden="1" customHeight="1"/>
    <row r="3128" ht="15.75" hidden="1" customHeight="1"/>
    <row r="3129" ht="15.75" hidden="1" customHeight="1"/>
    <row r="3130" ht="15.75" hidden="1" customHeight="1"/>
    <row r="3131" ht="15.75" hidden="1" customHeight="1"/>
    <row r="3132" ht="15.75" hidden="1" customHeight="1"/>
    <row r="3133" ht="15.75" hidden="1" customHeight="1"/>
    <row r="3134" ht="15.75" hidden="1" customHeight="1"/>
    <row r="3135" ht="15.75" hidden="1" customHeight="1"/>
    <row r="3136" ht="15.75" hidden="1" customHeight="1"/>
    <row r="3137" ht="15.75" hidden="1" customHeight="1"/>
    <row r="3138" ht="15.75" hidden="1" customHeight="1"/>
    <row r="3139" ht="15.75" hidden="1" customHeight="1"/>
    <row r="3140" ht="15.75" hidden="1" customHeight="1"/>
    <row r="3141" ht="15.75" hidden="1" customHeight="1"/>
    <row r="3142" ht="15.75" hidden="1" customHeight="1"/>
    <row r="3143" ht="15.75" hidden="1" customHeight="1"/>
    <row r="3144" ht="15.75" hidden="1" customHeight="1"/>
    <row r="3145" ht="15.75" hidden="1" customHeight="1"/>
    <row r="3146" ht="15.75" hidden="1" customHeight="1"/>
    <row r="3147" ht="15.75" hidden="1" customHeight="1"/>
    <row r="3148" ht="15.75" hidden="1" customHeight="1"/>
    <row r="3149" ht="15.75" hidden="1" customHeight="1"/>
    <row r="3150" ht="15.75" hidden="1" customHeight="1"/>
    <row r="3151" ht="15.75" hidden="1" customHeight="1"/>
    <row r="3152" ht="15.75" hidden="1" customHeight="1"/>
    <row r="3153" ht="15.75" hidden="1" customHeight="1"/>
    <row r="3154" ht="15.75" hidden="1" customHeight="1"/>
    <row r="3155" ht="15.75" hidden="1" customHeight="1"/>
    <row r="3156" ht="15.75" hidden="1" customHeight="1"/>
    <row r="3157" ht="15.75" hidden="1" customHeight="1"/>
    <row r="3158" ht="15.75" hidden="1" customHeight="1"/>
    <row r="3159" ht="15.75" hidden="1" customHeight="1"/>
    <row r="3160" ht="15.75" hidden="1" customHeight="1"/>
    <row r="3161" ht="15.75" hidden="1" customHeight="1"/>
    <row r="3162" ht="15.75" hidden="1" customHeight="1"/>
    <row r="3163" ht="15.75" hidden="1" customHeight="1"/>
    <row r="3164" ht="15.75" hidden="1" customHeight="1"/>
    <row r="3165" ht="15.75" hidden="1" customHeight="1"/>
    <row r="3166" ht="15.75" hidden="1" customHeight="1"/>
    <row r="3167" ht="15.75" hidden="1" customHeight="1"/>
    <row r="3168" ht="15.75" hidden="1" customHeight="1"/>
    <row r="3169" ht="15.75" hidden="1" customHeight="1"/>
    <row r="3170" ht="15.75" hidden="1" customHeight="1"/>
    <row r="3171" ht="15.75" hidden="1" customHeight="1"/>
    <row r="3172" ht="15.75" hidden="1" customHeight="1"/>
    <row r="3173" ht="15.75" hidden="1" customHeight="1"/>
    <row r="3174" ht="15.75" hidden="1" customHeight="1"/>
    <row r="3175" ht="15.75" hidden="1" customHeight="1"/>
    <row r="3176" ht="15.75" hidden="1" customHeight="1"/>
    <row r="3177" ht="15.75" hidden="1" customHeight="1"/>
    <row r="3178" ht="15.75" hidden="1" customHeight="1"/>
    <row r="3179" ht="15.75" hidden="1" customHeight="1"/>
    <row r="3180" ht="15.75" hidden="1" customHeight="1"/>
    <row r="3181" ht="15.75" hidden="1" customHeight="1"/>
    <row r="3182" ht="15.75" hidden="1" customHeight="1"/>
    <row r="3183" ht="15.75" hidden="1" customHeight="1"/>
    <row r="3184" ht="15.75" hidden="1" customHeight="1"/>
    <row r="3185" ht="15.75" hidden="1" customHeight="1"/>
    <row r="3186" ht="15.75" hidden="1" customHeight="1"/>
    <row r="3187" ht="15.75" hidden="1" customHeight="1"/>
    <row r="3188" ht="15.75" hidden="1" customHeight="1"/>
    <row r="3189" ht="15.75" hidden="1" customHeight="1"/>
    <row r="3190" ht="15.75" hidden="1" customHeight="1"/>
    <row r="3191" ht="15.75" hidden="1" customHeight="1"/>
    <row r="3192" ht="15.75" hidden="1" customHeight="1"/>
    <row r="3193" ht="15.75" hidden="1" customHeight="1"/>
    <row r="3194" ht="15.75" hidden="1" customHeight="1"/>
    <row r="3195" ht="15.75" hidden="1" customHeight="1"/>
    <row r="3196" ht="15.75" hidden="1" customHeight="1"/>
    <row r="3197" ht="15.75" hidden="1" customHeight="1"/>
    <row r="3198" ht="15.75" hidden="1" customHeight="1"/>
    <row r="3199" ht="15.75" hidden="1" customHeight="1"/>
    <row r="3200" ht="15.75" hidden="1" customHeight="1"/>
    <row r="3201" ht="15.75" hidden="1" customHeight="1"/>
    <row r="3202" ht="15.75" hidden="1" customHeight="1"/>
    <row r="3203" ht="15.75" hidden="1" customHeight="1"/>
    <row r="3204" ht="15.75" hidden="1" customHeight="1"/>
    <row r="3205" ht="15.75" hidden="1" customHeight="1"/>
    <row r="3206" ht="15.75" hidden="1" customHeight="1"/>
    <row r="3207" ht="15.75" hidden="1" customHeight="1"/>
    <row r="3208" ht="15.75" hidden="1" customHeight="1"/>
    <row r="3209" ht="15.75" hidden="1" customHeight="1"/>
    <row r="3210" ht="15.75" hidden="1" customHeight="1"/>
    <row r="3211" ht="15.75" hidden="1" customHeight="1"/>
    <row r="3212" ht="15.75" hidden="1" customHeight="1"/>
    <row r="3213" ht="15.75" hidden="1" customHeight="1"/>
    <row r="3214" ht="15.75" hidden="1" customHeight="1"/>
    <row r="3215" ht="15.75" hidden="1" customHeight="1"/>
    <row r="3216" ht="15.75" hidden="1" customHeight="1"/>
    <row r="3217" ht="15.75" hidden="1" customHeight="1"/>
    <row r="3218" ht="15.75" hidden="1" customHeight="1"/>
    <row r="3219" ht="15.75" hidden="1" customHeight="1"/>
    <row r="3220" ht="15.75" hidden="1" customHeight="1"/>
    <row r="3221" ht="15.75" hidden="1" customHeight="1"/>
    <row r="3222" ht="15.75" hidden="1" customHeight="1"/>
    <row r="3223" ht="15.75" hidden="1" customHeight="1"/>
    <row r="3224" ht="15.75" hidden="1" customHeight="1"/>
    <row r="3225" ht="15.75" hidden="1" customHeight="1"/>
    <row r="3226" ht="15.75" hidden="1" customHeight="1"/>
    <row r="3227" ht="15.75" hidden="1" customHeight="1"/>
    <row r="3228" ht="15.75" hidden="1" customHeight="1"/>
    <row r="3229" ht="15.75" hidden="1" customHeight="1"/>
    <row r="3230" ht="15.75" hidden="1" customHeight="1"/>
    <row r="3231" ht="15.75" hidden="1" customHeight="1"/>
    <row r="3232" ht="15.75" hidden="1" customHeight="1"/>
    <row r="3233" ht="15.75" hidden="1" customHeight="1"/>
    <row r="3234" ht="15.75" hidden="1" customHeight="1"/>
    <row r="3235" ht="15.75" hidden="1" customHeight="1"/>
    <row r="3236" ht="15.75" hidden="1" customHeight="1"/>
    <row r="3237" ht="15.75" hidden="1" customHeight="1"/>
    <row r="3238" ht="15.75" hidden="1" customHeight="1"/>
    <row r="3239" ht="15.75" hidden="1" customHeight="1"/>
    <row r="3240" ht="15.75" hidden="1" customHeight="1"/>
    <row r="3241" ht="15.75" hidden="1" customHeight="1"/>
    <row r="3242" ht="15.75" hidden="1" customHeight="1"/>
    <row r="3243" ht="15.75" hidden="1" customHeight="1"/>
    <row r="3244" ht="15.75" hidden="1" customHeight="1"/>
    <row r="3245" ht="15.75" hidden="1" customHeight="1"/>
    <row r="3246" ht="15.75" hidden="1" customHeight="1"/>
    <row r="3247" ht="15.75" hidden="1" customHeight="1"/>
    <row r="3248" ht="15.75" hidden="1" customHeight="1"/>
    <row r="3249" ht="15.75" hidden="1" customHeight="1"/>
    <row r="3250" ht="15.75" hidden="1" customHeight="1"/>
    <row r="3251" ht="15.75" hidden="1" customHeight="1"/>
    <row r="3252" ht="15.75" hidden="1" customHeight="1"/>
    <row r="3253" ht="15.75" hidden="1" customHeight="1"/>
    <row r="3254" ht="15.75" hidden="1" customHeight="1"/>
    <row r="3255" ht="15.75" hidden="1" customHeight="1"/>
    <row r="3256" ht="15.75" hidden="1" customHeight="1"/>
    <row r="3257" ht="15.75" hidden="1" customHeight="1"/>
    <row r="3258" ht="15.75" hidden="1" customHeight="1"/>
    <row r="3259" ht="15.75" hidden="1" customHeight="1"/>
    <row r="3260" ht="15.75" hidden="1" customHeight="1"/>
    <row r="3261" ht="15.75" hidden="1" customHeight="1"/>
    <row r="3262" ht="15.75" hidden="1" customHeight="1"/>
    <row r="3263" ht="15.75" hidden="1" customHeight="1"/>
    <row r="3264" ht="15.75" hidden="1" customHeight="1"/>
    <row r="3265" ht="15.75" hidden="1" customHeight="1"/>
    <row r="3266" ht="15.75" hidden="1" customHeight="1"/>
    <row r="3267" ht="15.75" hidden="1" customHeight="1"/>
    <row r="3268" ht="15.75" hidden="1" customHeight="1"/>
    <row r="3269" ht="15.75" hidden="1" customHeight="1"/>
    <row r="3270" ht="15.75" hidden="1" customHeight="1"/>
    <row r="3271" ht="15.75" hidden="1" customHeight="1"/>
    <row r="3272" ht="15.75" hidden="1" customHeight="1"/>
    <row r="3273" ht="15.75" hidden="1" customHeight="1"/>
    <row r="3274" ht="15.75" hidden="1" customHeight="1"/>
    <row r="3275" ht="15.75" hidden="1" customHeight="1"/>
    <row r="3276" ht="15.75" hidden="1" customHeight="1"/>
    <row r="3277" ht="15.75" hidden="1" customHeight="1"/>
    <row r="3278" ht="15.75" hidden="1" customHeight="1"/>
    <row r="3279" ht="15.75" hidden="1" customHeight="1"/>
    <row r="3280" ht="15.75" hidden="1" customHeight="1"/>
    <row r="3281" ht="15.75" hidden="1" customHeight="1"/>
    <row r="3282" ht="15.75" hidden="1" customHeight="1"/>
    <row r="3283" ht="15.75" hidden="1" customHeight="1"/>
    <row r="3284" ht="15.75" hidden="1" customHeight="1"/>
    <row r="3285" ht="15.75" hidden="1" customHeight="1"/>
    <row r="3286" ht="15.75" hidden="1" customHeight="1"/>
    <row r="3287" ht="15.75" hidden="1" customHeight="1"/>
    <row r="3288" ht="15.75" hidden="1" customHeight="1"/>
    <row r="3289" ht="15.75" hidden="1" customHeight="1"/>
    <row r="3290" ht="15.75" hidden="1" customHeight="1"/>
    <row r="3291" ht="15.75" hidden="1" customHeight="1"/>
    <row r="3292" ht="15.75" hidden="1" customHeight="1"/>
    <row r="3293" ht="15.75" hidden="1" customHeight="1"/>
    <row r="3294" ht="15.75" hidden="1" customHeight="1"/>
    <row r="3295" ht="15.75" hidden="1" customHeight="1"/>
    <row r="3296" ht="15.75" hidden="1" customHeight="1"/>
    <row r="3297" ht="15.75" hidden="1" customHeight="1"/>
    <row r="3298" ht="15.75" hidden="1" customHeight="1"/>
    <row r="3299" ht="15.75" hidden="1" customHeight="1"/>
    <row r="3300" ht="15.75" hidden="1" customHeight="1"/>
    <row r="3301" ht="15.75" hidden="1" customHeight="1"/>
    <row r="3302" ht="15.75" hidden="1" customHeight="1"/>
    <row r="3303" ht="15.75" hidden="1" customHeight="1"/>
    <row r="3304" ht="15.75" hidden="1" customHeight="1"/>
    <row r="3305" ht="15.75" hidden="1" customHeight="1"/>
    <row r="3306" ht="15.75" hidden="1" customHeight="1"/>
    <row r="3307" ht="15.75" hidden="1" customHeight="1"/>
    <row r="3308" ht="15.75" hidden="1" customHeight="1"/>
    <row r="3309" ht="15.75" hidden="1" customHeight="1"/>
    <row r="3310" ht="15.75" hidden="1" customHeight="1"/>
    <row r="3311" ht="15.75" hidden="1" customHeight="1"/>
    <row r="3312" ht="15.75" hidden="1" customHeight="1"/>
    <row r="3313" ht="15.75" hidden="1" customHeight="1"/>
    <row r="3314" ht="15.75" hidden="1" customHeight="1"/>
    <row r="3315" ht="15.75" hidden="1" customHeight="1"/>
    <row r="3316" ht="15.75" hidden="1" customHeight="1"/>
    <row r="3317" ht="15.75" hidden="1" customHeight="1"/>
    <row r="3318" ht="15.75" hidden="1" customHeight="1"/>
    <row r="3319" ht="15.75" hidden="1" customHeight="1"/>
    <row r="3320" ht="15.75" hidden="1" customHeight="1"/>
    <row r="3321" ht="15.75" hidden="1" customHeight="1"/>
    <row r="3322" ht="15.75" hidden="1" customHeight="1"/>
    <row r="3323" ht="15.75" hidden="1" customHeight="1"/>
    <row r="3324" ht="15.75" hidden="1" customHeight="1"/>
    <row r="3325" ht="15.75" hidden="1" customHeight="1"/>
    <row r="3326" ht="15.75" hidden="1" customHeight="1"/>
    <row r="3327" ht="15.75" hidden="1" customHeight="1"/>
    <row r="3328" ht="15.75" hidden="1" customHeight="1"/>
    <row r="3329" ht="15.75" hidden="1" customHeight="1"/>
    <row r="3330" ht="15.75" hidden="1" customHeight="1"/>
    <row r="3331" ht="15.75" hidden="1" customHeight="1"/>
    <row r="3332" ht="15.75" hidden="1" customHeight="1"/>
    <row r="3333" ht="15.75" hidden="1" customHeight="1"/>
    <row r="3334" ht="15.75" hidden="1" customHeight="1"/>
    <row r="3335" ht="15.75" hidden="1" customHeight="1"/>
    <row r="3336" ht="15.75" hidden="1" customHeight="1"/>
    <row r="3337" ht="15.75" hidden="1" customHeight="1"/>
    <row r="3338" ht="15.75" hidden="1" customHeight="1"/>
    <row r="3339" ht="15.75" hidden="1" customHeight="1"/>
    <row r="3340" ht="15.75" hidden="1" customHeight="1"/>
    <row r="3341" ht="15.75" hidden="1" customHeight="1"/>
    <row r="3342" ht="15.75" hidden="1" customHeight="1"/>
    <row r="3343" ht="15.75" hidden="1" customHeight="1"/>
    <row r="3344" ht="15.75" hidden="1" customHeight="1"/>
    <row r="3345" ht="15.75" hidden="1" customHeight="1"/>
    <row r="3346" ht="15.75" hidden="1" customHeight="1"/>
    <row r="3347" ht="15.75" hidden="1" customHeight="1"/>
    <row r="3348" ht="15.75" hidden="1" customHeight="1"/>
    <row r="3349" ht="15.75" hidden="1" customHeight="1"/>
    <row r="3350" ht="15.75" hidden="1" customHeight="1"/>
    <row r="3351" ht="15.75" hidden="1" customHeight="1"/>
    <row r="3352" ht="15.75" hidden="1" customHeight="1"/>
    <row r="3353" ht="15.75" hidden="1" customHeight="1"/>
    <row r="3354" ht="15.75" hidden="1" customHeight="1"/>
    <row r="3355" ht="15.75" hidden="1" customHeight="1"/>
    <row r="3356" ht="15.75" hidden="1" customHeight="1"/>
    <row r="3357" ht="15.75" hidden="1" customHeight="1"/>
    <row r="3358" ht="15.75" hidden="1" customHeight="1"/>
    <row r="3359" ht="15.75" hidden="1" customHeight="1"/>
    <row r="3360" ht="15.75" hidden="1" customHeight="1"/>
    <row r="3361" ht="15.75" hidden="1" customHeight="1"/>
    <row r="3362" ht="15.75" hidden="1" customHeight="1"/>
    <row r="3363" ht="15.75" hidden="1" customHeight="1"/>
    <row r="3364" ht="15.75" hidden="1" customHeight="1"/>
    <row r="3365" ht="15.75" hidden="1" customHeight="1"/>
    <row r="3366" ht="15.75" hidden="1" customHeight="1"/>
    <row r="3367" ht="15.75" hidden="1" customHeight="1"/>
    <row r="3368" ht="15.75" hidden="1" customHeight="1"/>
    <row r="3369" ht="15.75" hidden="1" customHeight="1"/>
    <row r="3370" ht="15.75" hidden="1" customHeight="1"/>
    <row r="3371" ht="15.75" hidden="1" customHeight="1"/>
    <row r="3372" ht="15.75" hidden="1" customHeight="1"/>
    <row r="3373" ht="15.75" hidden="1" customHeight="1"/>
    <row r="3374" ht="15.75" hidden="1" customHeight="1"/>
    <row r="3375" ht="15.75" hidden="1" customHeight="1"/>
    <row r="3376" ht="15.75" hidden="1" customHeight="1"/>
    <row r="3377" ht="15.75" hidden="1" customHeight="1"/>
    <row r="3378" ht="15.75" hidden="1" customHeight="1"/>
    <row r="3379" ht="15.75" hidden="1" customHeight="1"/>
    <row r="3380" ht="15.75" hidden="1" customHeight="1"/>
    <row r="3381" ht="15.75" hidden="1" customHeight="1"/>
    <row r="3382" ht="15.75" hidden="1" customHeight="1"/>
    <row r="3383" ht="15.75" hidden="1" customHeight="1"/>
    <row r="3384" ht="15.75" hidden="1" customHeight="1"/>
    <row r="3385" ht="15.75" hidden="1" customHeight="1"/>
    <row r="3386" ht="15.75" hidden="1" customHeight="1"/>
    <row r="3387" ht="15.75" hidden="1" customHeight="1"/>
    <row r="3388" ht="15.75" hidden="1" customHeight="1"/>
    <row r="3389" ht="15.75" hidden="1" customHeight="1"/>
    <row r="3390" ht="15.75" hidden="1" customHeight="1"/>
    <row r="3391" ht="15.75" hidden="1" customHeight="1"/>
    <row r="3392" ht="15.75" hidden="1" customHeight="1"/>
    <row r="3393" ht="15.75" hidden="1" customHeight="1"/>
    <row r="3394" ht="15.75" hidden="1" customHeight="1"/>
    <row r="3395" ht="15.75" hidden="1" customHeight="1"/>
    <row r="3396" ht="15.75" hidden="1" customHeight="1"/>
    <row r="3397" ht="15.75" hidden="1" customHeight="1"/>
    <row r="3398" ht="15.75" hidden="1" customHeight="1"/>
    <row r="3399" ht="15.75" hidden="1" customHeight="1"/>
    <row r="3400" ht="15.75" hidden="1" customHeight="1"/>
    <row r="3401" ht="15.75" hidden="1" customHeight="1"/>
    <row r="3402" ht="15.75" hidden="1" customHeight="1"/>
    <row r="3403" ht="15.75" hidden="1" customHeight="1"/>
    <row r="3404" ht="15.75" hidden="1" customHeight="1"/>
    <row r="3405" ht="15.75" hidden="1" customHeight="1"/>
    <row r="3406" ht="15.75" hidden="1" customHeight="1"/>
    <row r="3407" ht="15.75" hidden="1" customHeight="1"/>
    <row r="3408" ht="15.75" hidden="1" customHeight="1"/>
    <row r="3409" ht="15.75" hidden="1" customHeight="1"/>
    <row r="3410" ht="15.75" hidden="1" customHeight="1"/>
    <row r="3411" ht="15.75" hidden="1" customHeight="1"/>
    <row r="3412" ht="15.75" hidden="1" customHeight="1"/>
    <row r="3413" ht="15.75" hidden="1" customHeight="1"/>
    <row r="3414" ht="15.75" hidden="1" customHeight="1"/>
    <row r="3415" ht="15.75" hidden="1" customHeight="1"/>
    <row r="3416" ht="15.75" hidden="1" customHeight="1"/>
    <row r="3417" ht="15.75" hidden="1" customHeight="1"/>
    <row r="3418" ht="15.75" hidden="1" customHeight="1"/>
    <row r="3419" ht="15.75" hidden="1" customHeight="1"/>
    <row r="3420" ht="15.75" hidden="1" customHeight="1"/>
    <row r="3421" ht="15.75" hidden="1" customHeight="1"/>
    <row r="3422" ht="15.75" hidden="1" customHeight="1"/>
    <row r="3423" ht="15.75" hidden="1" customHeight="1"/>
    <row r="3424" ht="15.75" hidden="1" customHeight="1"/>
    <row r="3425" ht="15.75" hidden="1" customHeight="1"/>
    <row r="3426" ht="15.75" hidden="1" customHeight="1"/>
    <row r="3427" ht="15.75" hidden="1" customHeight="1"/>
    <row r="3428" ht="15.75" hidden="1" customHeight="1"/>
    <row r="3429" ht="15.75" hidden="1" customHeight="1"/>
    <row r="3430" ht="15.75" hidden="1" customHeight="1"/>
    <row r="3431" ht="15.75" hidden="1" customHeight="1"/>
    <row r="3432" ht="15.75" hidden="1" customHeight="1"/>
    <row r="3433" ht="15.75" hidden="1" customHeight="1"/>
    <row r="3434" ht="15.75" hidden="1" customHeight="1"/>
    <row r="3435" ht="15.75" hidden="1" customHeight="1"/>
    <row r="3436" ht="15.75" hidden="1" customHeight="1"/>
    <row r="3437" ht="15.75" hidden="1" customHeight="1"/>
    <row r="3438" ht="15.75" hidden="1" customHeight="1"/>
    <row r="3439" ht="15.75" hidden="1" customHeight="1"/>
    <row r="3440" ht="15.75" hidden="1" customHeight="1"/>
    <row r="3441" ht="15.75" hidden="1" customHeight="1"/>
    <row r="3442" ht="15.75" hidden="1" customHeight="1"/>
    <row r="3443" ht="15.75" hidden="1" customHeight="1"/>
    <row r="3444" ht="15.75" hidden="1" customHeight="1"/>
    <row r="3445" ht="15.75" hidden="1" customHeight="1"/>
    <row r="3446" ht="15.75" hidden="1" customHeight="1"/>
    <row r="3447" ht="15.75" hidden="1" customHeight="1"/>
    <row r="3448" ht="15.75" hidden="1" customHeight="1"/>
    <row r="3449" ht="15.75" hidden="1" customHeight="1"/>
    <row r="3450" ht="15.75" hidden="1" customHeight="1"/>
    <row r="3451" ht="15.75" hidden="1" customHeight="1"/>
    <row r="3452" ht="15.75" hidden="1" customHeight="1"/>
    <row r="3453" ht="15.75" hidden="1" customHeight="1"/>
    <row r="3454" ht="15.75" hidden="1" customHeight="1"/>
    <row r="3455" ht="15.75" hidden="1" customHeight="1"/>
    <row r="3456" ht="15.75" hidden="1" customHeight="1"/>
    <row r="3457" ht="15.75" hidden="1" customHeight="1"/>
    <row r="3458" ht="15.75" hidden="1" customHeight="1"/>
    <row r="3459" ht="15.75" hidden="1" customHeight="1"/>
    <row r="3460" ht="15.75" hidden="1" customHeight="1"/>
    <row r="3461" ht="15.75" hidden="1" customHeight="1"/>
    <row r="3462" ht="15.75" hidden="1" customHeight="1"/>
    <row r="3463" ht="15.75" hidden="1" customHeight="1"/>
    <row r="3464" ht="15.75" hidden="1" customHeight="1"/>
    <row r="3465" ht="15.75" hidden="1" customHeight="1"/>
    <row r="3466" ht="15.75" hidden="1" customHeight="1"/>
    <row r="3467" ht="15.75" hidden="1" customHeight="1"/>
    <row r="3468" ht="15.75" hidden="1" customHeight="1"/>
    <row r="3469" ht="15.75" hidden="1" customHeight="1"/>
    <row r="3470" ht="15.75" hidden="1" customHeight="1"/>
    <row r="3471" ht="15.75" hidden="1" customHeight="1"/>
    <row r="3472" ht="15.75" hidden="1" customHeight="1"/>
    <row r="3473" ht="15.75" hidden="1" customHeight="1"/>
    <row r="3474" ht="15.75" hidden="1" customHeight="1"/>
    <row r="3475" ht="15.75" hidden="1" customHeight="1"/>
    <row r="3476" ht="15.75" hidden="1" customHeight="1"/>
    <row r="3477" ht="15.75" hidden="1" customHeight="1"/>
    <row r="3478" ht="15.75" hidden="1" customHeight="1"/>
    <row r="3479" ht="15.75" hidden="1" customHeight="1"/>
    <row r="3480" ht="15.75" hidden="1" customHeight="1"/>
    <row r="3481" ht="15.75" hidden="1" customHeight="1"/>
    <row r="3482" ht="15.75" hidden="1" customHeight="1"/>
    <row r="3483" ht="15.75" hidden="1" customHeight="1"/>
    <row r="3484" ht="15.75" hidden="1" customHeight="1"/>
    <row r="3485" ht="15.75" hidden="1" customHeight="1"/>
    <row r="3486" ht="15.75" hidden="1" customHeight="1"/>
    <row r="3487" ht="15.75" hidden="1" customHeight="1"/>
    <row r="3488" ht="15.75" hidden="1" customHeight="1"/>
    <row r="3489" ht="15.75" hidden="1" customHeight="1"/>
    <row r="3490" ht="15.75" hidden="1" customHeight="1"/>
    <row r="3491" ht="15.75" hidden="1" customHeight="1"/>
    <row r="3492" ht="15.75" hidden="1" customHeight="1"/>
    <row r="3493" ht="15.75" hidden="1" customHeight="1"/>
    <row r="3494" ht="15.75" hidden="1" customHeight="1"/>
    <row r="3495" ht="15.75" hidden="1" customHeight="1"/>
    <row r="3496" ht="15.75" hidden="1" customHeight="1"/>
    <row r="3497" ht="15.75" hidden="1" customHeight="1"/>
    <row r="3498" ht="15.75" hidden="1" customHeight="1"/>
    <row r="3499" ht="15.75" hidden="1" customHeight="1"/>
    <row r="3500" ht="15.75" hidden="1" customHeight="1"/>
    <row r="3501" ht="15.75" hidden="1" customHeight="1"/>
    <row r="3502" ht="15.75" hidden="1" customHeight="1"/>
    <row r="3503" ht="15.75" hidden="1" customHeight="1"/>
    <row r="3504" ht="15.75" hidden="1" customHeight="1"/>
    <row r="3505" ht="15.75" hidden="1" customHeight="1"/>
    <row r="3506" ht="15.75" hidden="1" customHeight="1"/>
    <row r="3507" ht="15.75" hidden="1" customHeight="1"/>
    <row r="3508" ht="15.75" hidden="1" customHeight="1"/>
    <row r="3509" ht="15.75" hidden="1" customHeight="1"/>
    <row r="3510" ht="15.75" hidden="1" customHeight="1"/>
    <row r="3511" ht="15.75" hidden="1" customHeight="1"/>
    <row r="3512" ht="15.75" hidden="1" customHeight="1"/>
    <row r="3513" ht="15.75" hidden="1" customHeight="1"/>
    <row r="3514" ht="15.75" hidden="1" customHeight="1"/>
    <row r="3515" ht="15.75" hidden="1" customHeight="1"/>
    <row r="3516" ht="15.75" hidden="1" customHeight="1"/>
    <row r="3517" ht="15.75" hidden="1" customHeight="1"/>
    <row r="3518" ht="15.75" hidden="1" customHeight="1"/>
    <row r="3519" ht="15.75" hidden="1" customHeight="1"/>
    <row r="3520" ht="15.75" hidden="1" customHeight="1"/>
    <row r="3521" ht="15.75" hidden="1" customHeight="1"/>
    <row r="3522" ht="15.75" hidden="1" customHeight="1"/>
    <row r="3523" ht="15.75" hidden="1" customHeight="1"/>
    <row r="3524" ht="15.75" hidden="1" customHeight="1"/>
    <row r="3525" ht="15.75" hidden="1" customHeight="1"/>
    <row r="3526" ht="15.75" hidden="1" customHeight="1"/>
    <row r="3527" ht="15.75" hidden="1" customHeight="1"/>
    <row r="3528" ht="15.75" hidden="1" customHeight="1"/>
    <row r="3529" ht="15.75" hidden="1" customHeight="1"/>
    <row r="3530" ht="15.75" hidden="1" customHeight="1"/>
    <row r="3531" ht="15.75" hidden="1" customHeight="1"/>
    <row r="3532" ht="15.75" hidden="1" customHeight="1"/>
    <row r="3533" ht="15.75" hidden="1" customHeight="1"/>
    <row r="3534" ht="15.75" hidden="1" customHeight="1"/>
    <row r="3535" ht="15.75" hidden="1" customHeight="1"/>
    <row r="3536" ht="15.75" hidden="1" customHeight="1"/>
    <row r="3537" ht="15.75" hidden="1" customHeight="1"/>
    <row r="3538" ht="15.75" hidden="1" customHeight="1"/>
    <row r="3539" ht="15.75" hidden="1" customHeight="1"/>
    <row r="3540" ht="15.75" hidden="1" customHeight="1"/>
    <row r="3541" ht="15.75" hidden="1" customHeight="1"/>
    <row r="3542" ht="15.75" hidden="1" customHeight="1"/>
    <row r="3543" ht="15.75" hidden="1" customHeight="1"/>
    <row r="3544" ht="15.75" hidden="1" customHeight="1"/>
    <row r="3545" ht="15.75" hidden="1" customHeight="1"/>
    <row r="3546" ht="15.75" hidden="1" customHeight="1"/>
    <row r="3547" ht="15.75" hidden="1" customHeight="1"/>
    <row r="3548" ht="15.75" hidden="1" customHeight="1"/>
    <row r="3549" ht="15.75" hidden="1" customHeight="1"/>
    <row r="3550" ht="15.75" hidden="1" customHeight="1"/>
    <row r="3551" ht="15.75" hidden="1" customHeight="1"/>
    <row r="3552" ht="15.75" hidden="1" customHeight="1"/>
    <row r="3553" ht="15.75" hidden="1" customHeight="1"/>
    <row r="3554" ht="15.75" hidden="1" customHeight="1"/>
    <row r="3555" ht="15.75" hidden="1" customHeight="1"/>
    <row r="3556" ht="15.75" hidden="1" customHeight="1"/>
    <row r="3557" ht="15.75" hidden="1" customHeight="1"/>
    <row r="3558" ht="15.75" hidden="1" customHeight="1"/>
    <row r="3559" ht="15.75" hidden="1" customHeight="1"/>
    <row r="3560" ht="15.75" hidden="1" customHeight="1"/>
    <row r="3561" ht="15.75" hidden="1" customHeight="1"/>
    <row r="3562" ht="15.75" hidden="1" customHeight="1"/>
    <row r="3563" ht="15.75" hidden="1" customHeight="1"/>
    <row r="3564" ht="15.75" hidden="1" customHeight="1"/>
    <row r="3565" ht="15.75" hidden="1" customHeight="1"/>
    <row r="3566" ht="15.75" hidden="1" customHeight="1"/>
    <row r="3567" ht="15.75" hidden="1" customHeight="1"/>
    <row r="3568" ht="15.75" hidden="1" customHeight="1"/>
    <row r="3569" ht="15.75" hidden="1" customHeight="1"/>
    <row r="3570" ht="15.75" hidden="1" customHeight="1"/>
    <row r="3571" ht="15.75" hidden="1" customHeight="1"/>
    <row r="3572" ht="15.75" hidden="1" customHeight="1"/>
    <row r="3573" ht="15.75" hidden="1" customHeight="1"/>
    <row r="3574" ht="15.75" hidden="1" customHeight="1"/>
    <row r="3575" ht="15.75" hidden="1" customHeight="1"/>
    <row r="3576" ht="15.75" hidden="1" customHeight="1"/>
    <row r="3577" ht="15.75" hidden="1" customHeight="1"/>
    <row r="3578" ht="15.75" hidden="1" customHeight="1"/>
    <row r="3579" ht="15.75" hidden="1" customHeight="1"/>
    <row r="3580" ht="15.75" hidden="1" customHeight="1"/>
    <row r="3581" ht="15.75" hidden="1" customHeight="1"/>
    <row r="3582" ht="15.75" hidden="1" customHeight="1"/>
    <row r="3583" ht="15.75" hidden="1" customHeight="1"/>
    <row r="3584" ht="15.75" hidden="1" customHeight="1"/>
    <row r="3585" ht="15.75" hidden="1" customHeight="1"/>
    <row r="3586" ht="15.75" hidden="1" customHeight="1"/>
    <row r="3587" ht="15.75" hidden="1" customHeight="1"/>
    <row r="3588" ht="15.75" hidden="1" customHeight="1"/>
    <row r="3589" ht="15.75" hidden="1" customHeight="1"/>
    <row r="3590" ht="15.75" hidden="1" customHeight="1"/>
    <row r="3591" ht="15.75" hidden="1" customHeight="1"/>
    <row r="3592" ht="15.75" hidden="1" customHeight="1"/>
    <row r="3593" ht="15.75" hidden="1" customHeight="1"/>
    <row r="3594" ht="15.75" hidden="1" customHeight="1"/>
    <row r="3595" ht="15.75" hidden="1" customHeight="1"/>
    <row r="3596" ht="15.75" hidden="1" customHeight="1"/>
    <row r="3597" ht="15.75" hidden="1" customHeight="1"/>
    <row r="3598" ht="15.75" hidden="1" customHeight="1"/>
    <row r="3599" ht="15.75" hidden="1" customHeight="1"/>
    <row r="3600" ht="15.75" hidden="1" customHeight="1"/>
    <row r="3601" ht="15.75" hidden="1" customHeight="1"/>
    <row r="3602" ht="15.75" hidden="1" customHeight="1"/>
    <row r="3603" ht="15.75" hidden="1" customHeight="1"/>
    <row r="3604" ht="15.75" hidden="1" customHeight="1"/>
    <row r="3605" ht="15.75" hidden="1" customHeight="1"/>
    <row r="3606" ht="15.75" hidden="1" customHeight="1"/>
    <row r="3607" ht="15.75" hidden="1" customHeight="1"/>
    <row r="3608" ht="15.75" hidden="1" customHeight="1"/>
    <row r="3609" ht="15.75" hidden="1" customHeight="1"/>
    <row r="3610" ht="15.75" hidden="1" customHeight="1"/>
    <row r="3611" ht="15.75" hidden="1" customHeight="1"/>
    <row r="3612" ht="15.75" hidden="1" customHeight="1"/>
    <row r="3613" ht="15.75" hidden="1" customHeight="1"/>
    <row r="3614" ht="15.75" hidden="1" customHeight="1"/>
    <row r="3615" ht="15.75" hidden="1" customHeight="1"/>
    <row r="3616" ht="15.75" hidden="1" customHeight="1"/>
    <row r="3617" ht="15.75" hidden="1" customHeight="1"/>
    <row r="3618" ht="15.75" hidden="1" customHeight="1"/>
    <row r="3619" ht="15.75" hidden="1" customHeight="1"/>
    <row r="3620" ht="15.75" hidden="1" customHeight="1"/>
    <row r="3621" ht="15.75" hidden="1" customHeight="1"/>
    <row r="3622" ht="15.75" hidden="1" customHeight="1"/>
    <row r="3623" ht="15.75" hidden="1" customHeight="1"/>
    <row r="3624" ht="15.75" hidden="1" customHeight="1"/>
    <row r="3625" ht="15.75" hidden="1" customHeight="1"/>
    <row r="3626" ht="15.75" hidden="1" customHeight="1"/>
    <row r="3627" ht="15.75" hidden="1" customHeight="1"/>
    <row r="3628" ht="15.75" hidden="1" customHeight="1"/>
    <row r="3629" ht="15.75" hidden="1" customHeight="1"/>
    <row r="3630" ht="15.75" hidden="1" customHeight="1"/>
    <row r="3631" ht="15.75" hidden="1" customHeight="1"/>
    <row r="3632" ht="15.75" hidden="1" customHeight="1"/>
    <row r="3633" ht="15.75" hidden="1" customHeight="1"/>
    <row r="3634" ht="15.75" hidden="1" customHeight="1"/>
    <row r="3635" ht="15.75" hidden="1" customHeight="1"/>
    <row r="3636" ht="15.75" hidden="1" customHeight="1"/>
    <row r="3637" ht="15.75" hidden="1" customHeight="1"/>
    <row r="3638" ht="15.75" hidden="1" customHeight="1"/>
    <row r="3639" ht="15.75" hidden="1" customHeight="1"/>
    <row r="3640" ht="15.75" hidden="1" customHeight="1"/>
    <row r="3641" ht="15.75" hidden="1" customHeight="1"/>
    <row r="3642" ht="15.75" hidden="1" customHeight="1"/>
    <row r="3643" ht="15.75" hidden="1" customHeight="1"/>
    <row r="3644" ht="15.75" hidden="1" customHeight="1"/>
    <row r="3645" ht="15.75" hidden="1" customHeight="1"/>
    <row r="3646" ht="15.75" hidden="1" customHeight="1"/>
    <row r="3647" ht="15.75" hidden="1" customHeight="1"/>
    <row r="3648" ht="15.75" hidden="1" customHeight="1"/>
    <row r="3649" ht="15.75" hidden="1" customHeight="1"/>
    <row r="3650" ht="15.75" hidden="1" customHeight="1"/>
    <row r="3651" ht="15.75" hidden="1" customHeight="1"/>
    <row r="3652" ht="15.75" hidden="1" customHeight="1"/>
    <row r="3653" ht="15.75" hidden="1" customHeight="1"/>
    <row r="3654" ht="15.75" hidden="1" customHeight="1"/>
    <row r="3655" ht="15.75" hidden="1" customHeight="1"/>
    <row r="3656" ht="15.75" hidden="1" customHeight="1"/>
    <row r="3657" ht="15.75" hidden="1" customHeight="1"/>
    <row r="3658" ht="15.75" hidden="1" customHeight="1"/>
    <row r="3659" ht="15.75" hidden="1" customHeight="1"/>
    <row r="3660" ht="15.75" hidden="1" customHeight="1"/>
    <row r="3661" ht="15.75" hidden="1" customHeight="1"/>
    <row r="3662" ht="15.75" hidden="1" customHeight="1"/>
    <row r="3663" ht="15.75" hidden="1" customHeight="1"/>
    <row r="3664" ht="15.75" hidden="1" customHeight="1"/>
    <row r="3665" ht="15.75" hidden="1" customHeight="1"/>
    <row r="3666" ht="15.75" hidden="1" customHeight="1"/>
    <row r="3667" ht="15.75" hidden="1" customHeight="1"/>
    <row r="3668" ht="15.75" hidden="1" customHeight="1"/>
    <row r="3669" ht="15.75" hidden="1" customHeight="1"/>
    <row r="3670" ht="15.75" hidden="1" customHeight="1"/>
    <row r="3671" ht="15.75" hidden="1" customHeight="1"/>
    <row r="3672" ht="15.75" hidden="1" customHeight="1"/>
    <row r="3673" ht="15.75" hidden="1" customHeight="1"/>
    <row r="3674" ht="15.75" hidden="1" customHeight="1"/>
    <row r="3675" ht="15.75" hidden="1" customHeight="1"/>
    <row r="3676" ht="15.75" hidden="1" customHeight="1"/>
    <row r="3677" ht="15.75" hidden="1" customHeight="1"/>
    <row r="3678" ht="15.75" hidden="1" customHeight="1"/>
    <row r="3679" ht="15.75" hidden="1" customHeight="1"/>
    <row r="3680" ht="15.75" hidden="1" customHeight="1"/>
    <row r="3681" ht="15.75" hidden="1" customHeight="1"/>
    <row r="3682" ht="15.75" hidden="1" customHeight="1"/>
    <row r="3683" ht="15.75" hidden="1" customHeight="1"/>
    <row r="3684" ht="15.75" hidden="1" customHeight="1"/>
    <row r="3685" ht="15.75" hidden="1" customHeight="1"/>
    <row r="3686" ht="15.75" hidden="1" customHeight="1"/>
    <row r="3687" ht="15.75" hidden="1" customHeight="1"/>
    <row r="3688" ht="15.75" hidden="1" customHeight="1"/>
    <row r="3689" ht="15.75" hidden="1" customHeight="1"/>
    <row r="3690" ht="15.75" hidden="1" customHeight="1"/>
    <row r="3691" ht="15.75" hidden="1" customHeight="1"/>
    <row r="3692" ht="15.75" hidden="1" customHeight="1"/>
    <row r="3693" ht="15.75" hidden="1" customHeight="1"/>
    <row r="3694" ht="15.75" hidden="1" customHeight="1"/>
    <row r="3695" ht="15.75" hidden="1" customHeight="1"/>
    <row r="3696" ht="15.75" hidden="1" customHeight="1"/>
    <row r="3697" ht="15.75" hidden="1" customHeight="1"/>
    <row r="3698" ht="15.75" hidden="1" customHeight="1"/>
    <row r="3699" ht="15.75" hidden="1" customHeight="1"/>
    <row r="3700" ht="15.75" hidden="1" customHeight="1"/>
    <row r="3701" ht="15.75" hidden="1" customHeight="1"/>
    <row r="3702" ht="15.75" hidden="1" customHeight="1"/>
    <row r="3703" ht="15.75" hidden="1" customHeight="1"/>
    <row r="3704" ht="15.75" hidden="1" customHeight="1"/>
    <row r="3705" ht="15.75" hidden="1" customHeight="1"/>
    <row r="3706" ht="15.75" hidden="1" customHeight="1"/>
    <row r="3707" ht="15.75" hidden="1" customHeight="1"/>
    <row r="3708" ht="15.75" hidden="1" customHeight="1"/>
    <row r="3709" ht="15.75" hidden="1" customHeight="1"/>
    <row r="3710" ht="15.75" hidden="1" customHeight="1"/>
    <row r="3711" ht="15.75" hidden="1" customHeight="1"/>
    <row r="3712" ht="15.75" hidden="1" customHeight="1"/>
    <row r="3713" ht="15.75" hidden="1" customHeight="1"/>
    <row r="3714" ht="15.75" hidden="1" customHeight="1"/>
    <row r="3715" ht="15.75" hidden="1" customHeight="1"/>
    <row r="3716" ht="15.75" hidden="1" customHeight="1"/>
    <row r="3717" ht="15.75" hidden="1" customHeight="1"/>
    <row r="3718" ht="15.75" hidden="1" customHeight="1"/>
    <row r="3719" ht="15.75" hidden="1" customHeight="1"/>
    <row r="3720" ht="15.75" hidden="1" customHeight="1"/>
    <row r="3721" ht="15.75" hidden="1" customHeight="1"/>
    <row r="3722" ht="15.75" hidden="1" customHeight="1"/>
    <row r="3723" ht="15.75" hidden="1" customHeight="1"/>
    <row r="3724" ht="15.75" hidden="1" customHeight="1"/>
    <row r="3725" ht="15.75" hidden="1" customHeight="1"/>
    <row r="3726" ht="15.75" hidden="1" customHeight="1"/>
    <row r="3727" ht="15.75" hidden="1" customHeight="1"/>
    <row r="3728" ht="15.75" hidden="1" customHeight="1"/>
    <row r="3729" ht="15.75" hidden="1" customHeight="1"/>
    <row r="3730" ht="15.75" hidden="1" customHeight="1"/>
    <row r="3731" ht="15.75" hidden="1" customHeight="1"/>
    <row r="3732" ht="15.75" hidden="1" customHeight="1"/>
    <row r="3733" ht="15.75" hidden="1" customHeight="1"/>
    <row r="3734" ht="15.75" hidden="1" customHeight="1"/>
    <row r="3735" ht="15.75" hidden="1" customHeight="1"/>
    <row r="3736" ht="15.75" hidden="1" customHeight="1"/>
    <row r="3737" ht="15.75" hidden="1" customHeight="1"/>
    <row r="3738" ht="15.75" hidden="1" customHeight="1"/>
    <row r="3739" ht="15.75" hidden="1" customHeight="1"/>
    <row r="3740" ht="15.75" hidden="1" customHeight="1"/>
    <row r="3741" ht="15.75" hidden="1" customHeight="1"/>
    <row r="3742" ht="15.75" hidden="1" customHeight="1"/>
    <row r="3743" ht="15.75" hidden="1" customHeight="1"/>
    <row r="3744" ht="15.75" hidden="1" customHeight="1"/>
    <row r="3745" ht="15.75" hidden="1" customHeight="1"/>
    <row r="3746" ht="15.75" hidden="1" customHeight="1"/>
    <row r="3747" ht="15.75" hidden="1" customHeight="1"/>
    <row r="3748" ht="15.75" hidden="1" customHeight="1"/>
    <row r="3749" ht="15.75" hidden="1" customHeight="1"/>
    <row r="3750" ht="15.75" hidden="1" customHeight="1"/>
    <row r="3751" ht="15.75" hidden="1" customHeight="1"/>
    <row r="3752" ht="15.75" hidden="1" customHeight="1"/>
    <row r="3753" ht="15.75" hidden="1" customHeight="1"/>
    <row r="3754" ht="15.75" hidden="1" customHeight="1"/>
    <row r="3755" ht="15.75" hidden="1" customHeight="1"/>
    <row r="3756" ht="15.75" hidden="1" customHeight="1"/>
    <row r="3757" ht="15.75" hidden="1" customHeight="1"/>
    <row r="3758" ht="15.75" hidden="1" customHeight="1"/>
    <row r="3759" ht="15.75" hidden="1" customHeight="1"/>
    <row r="3760" ht="15.75" hidden="1" customHeight="1"/>
    <row r="3761" ht="15.75" hidden="1" customHeight="1"/>
    <row r="3762" ht="15.75" hidden="1" customHeight="1"/>
    <row r="3763" ht="15.75" hidden="1" customHeight="1"/>
    <row r="3764" ht="15.75" hidden="1" customHeight="1"/>
    <row r="3765" ht="15.75" hidden="1" customHeight="1"/>
    <row r="3766" ht="15.75" hidden="1" customHeight="1"/>
    <row r="3767" ht="15.75" hidden="1" customHeight="1"/>
    <row r="3768" ht="15.75" hidden="1" customHeight="1"/>
    <row r="3769" ht="15.75" hidden="1" customHeight="1"/>
    <row r="3770" ht="15.75" hidden="1" customHeight="1"/>
    <row r="3771" ht="15.75" hidden="1" customHeight="1"/>
    <row r="3772" ht="15.75" hidden="1" customHeight="1"/>
    <row r="3773" ht="15.75" hidden="1" customHeight="1"/>
    <row r="3774" ht="15.75" hidden="1" customHeight="1"/>
    <row r="3775" ht="15.75" hidden="1" customHeight="1"/>
    <row r="3776" ht="15.75" hidden="1" customHeight="1"/>
    <row r="3777" ht="15.75" hidden="1" customHeight="1"/>
    <row r="3778" ht="15.75" hidden="1" customHeight="1"/>
    <row r="3779" ht="15.75" hidden="1" customHeight="1"/>
    <row r="3780" ht="15.75" hidden="1" customHeight="1"/>
    <row r="3781" ht="15.75" hidden="1" customHeight="1"/>
    <row r="3782" ht="15.75" hidden="1" customHeight="1"/>
    <row r="3783" ht="15.75" hidden="1" customHeight="1"/>
    <row r="3784" ht="15.75" hidden="1" customHeight="1"/>
    <row r="3785" ht="15.75" hidden="1" customHeight="1"/>
    <row r="3786" ht="15.75" hidden="1" customHeight="1"/>
    <row r="3787" ht="15.75" hidden="1" customHeight="1"/>
    <row r="3788" ht="15.75" hidden="1" customHeight="1"/>
    <row r="3789" ht="15.75" hidden="1" customHeight="1"/>
    <row r="3790" ht="15.75" hidden="1" customHeight="1"/>
    <row r="3791" ht="15.75" hidden="1" customHeight="1"/>
    <row r="3792" ht="15.75" hidden="1" customHeight="1"/>
    <row r="3793" ht="15.75" hidden="1" customHeight="1"/>
    <row r="3794" ht="15.75" hidden="1" customHeight="1"/>
    <row r="3795" ht="15.75" hidden="1" customHeight="1"/>
    <row r="3796" ht="15.75" hidden="1" customHeight="1"/>
    <row r="3797" ht="15.75" hidden="1" customHeight="1"/>
    <row r="3798" ht="15.75" hidden="1" customHeight="1"/>
    <row r="3799" ht="15.75" hidden="1" customHeight="1"/>
    <row r="3800" ht="15.75" hidden="1" customHeight="1"/>
    <row r="3801" ht="15.75" hidden="1" customHeight="1"/>
    <row r="3802" ht="15.75" hidden="1" customHeight="1"/>
    <row r="3803" ht="15.75" hidden="1" customHeight="1"/>
    <row r="3804" ht="15.75" hidden="1" customHeight="1"/>
    <row r="3805" ht="15.75" hidden="1" customHeight="1"/>
    <row r="3806" ht="15.75" hidden="1" customHeight="1"/>
    <row r="3807" ht="15.75" hidden="1" customHeight="1"/>
    <row r="3808" ht="15.75" hidden="1" customHeight="1"/>
    <row r="3809" ht="15.75" hidden="1" customHeight="1"/>
    <row r="3810" ht="15.75" hidden="1" customHeight="1"/>
    <row r="3811" ht="15.75" hidden="1" customHeight="1"/>
    <row r="3812" ht="15.75" hidden="1" customHeight="1"/>
    <row r="3813" ht="15.75" hidden="1" customHeight="1"/>
    <row r="3814" ht="15.75" hidden="1" customHeight="1"/>
    <row r="3815" ht="15.75" hidden="1" customHeight="1"/>
    <row r="3816" ht="15.75" hidden="1" customHeight="1"/>
    <row r="3817" ht="15.75" hidden="1" customHeight="1"/>
    <row r="3818" ht="15.75" hidden="1" customHeight="1"/>
    <row r="3819" ht="15.75" hidden="1" customHeight="1"/>
    <row r="3820" ht="15.75" hidden="1" customHeight="1"/>
    <row r="3821" ht="15.75" hidden="1" customHeight="1"/>
    <row r="3822" ht="15.75" hidden="1" customHeight="1"/>
    <row r="3823" ht="15.75" hidden="1" customHeight="1"/>
    <row r="3824" ht="15.75" hidden="1" customHeight="1"/>
    <row r="3825" ht="15.75" hidden="1" customHeight="1"/>
    <row r="3826" ht="15.75" hidden="1" customHeight="1"/>
    <row r="3827" ht="15.75" hidden="1" customHeight="1"/>
    <row r="3828" ht="15.75" hidden="1" customHeight="1"/>
    <row r="3829" ht="15.75" hidden="1" customHeight="1"/>
    <row r="3830" ht="15.75" hidden="1" customHeight="1"/>
    <row r="3831" ht="15.75" hidden="1" customHeight="1"/>
    <row r="3832" ht="15.75" hidden="1" customHeight="1"/>
    <row r="3833" ht="15.75" hidden="1" customHeight="1"/>
    <row r="3834" ht="15.75" hidden="1" customHeight="1"/>
    <row r="3835" ht="15.75" hidden="1" customHeight="1"/>
    <row r="3836" ht="15.75" hidden="1" customHeight="1"/>
    <row r="3837" ht="15.75" hidden="1" customHeight="1"/>
    <row r="3838" ht="15.75" hidden="1" customHeight="1"/>
    <row r="3839" ht="15.75" hidden="1" customHeight="1"/>
    <row r="3840" ht="15.75" hidden="1" customHeight="1"/>
    <row r="3841" ht="15.75" hidden="1" customHeight="1"/>
    <row r="3842" ht="15.75" hidden="1" customHeight="1"/>
    <row r="3843" ht="15.75" hidden="1" customHeight="1"/>
    <row r="3844" ht="15.75" hidden="1" customHeight="1"/>
    <row r="3845" ht="15.75" hidden="1" customHeight="1"/>
    <row r="3846" ht="15.75" hidden="1" customHeight="1"/>
    <row r="3847" ht="15.75" hidden="1" customHeight="1"/>
    <row r="3848" ht="15.75" hidden="1" customHeight="1"/>
    <row r="3849" ht="15.75" hidden="1" customHeight="1"/>
    <row r="3850" ht="15.75" hidden="1" customHeight="1"/>
    <row r="3851" ht="15.75" hidden="1" customHeight="1"/>
    <row r="3852" ht="15.75" hidden="1" customHeight="1"/>
    <row r="3853" ht="15.75" hidden="1" customHeight="1"/>
    <row r="3854" ht="15.75" hidden="1" customHeight="1"/>
    <row r="3855" ht="15.75" hidden="1" customHeight="1"/>
    <row r="3856" ht="15.75" hidden="1" customHeight="1"/>
    <row r="3857" ht="15.75" hidden="1" customHeight="1"/>
    <row r="3858" ht="15.75" hidden="1" customHeight="1"/>
    <row r="3859" ht="15.75" hidden="1" customHeight="1"/>
    <row r="3860" ht="15.75" hidden="1" customHeight="1"/>
    <row r="3861" ht="15.75" hidden="1" customHeight="1"/>
    <row r="3862" ht="15.75" hidden="1" customHeight="1"/>
    <row r="3863" ht="15.75" hidden="1" customHeight="1"/>
    <row r="3864" ht="15.75" hidden="1" customHeight="1"/>
    <row r="3865" ht="15.75" hidden="1" customHeight="1"/>
    <row r="3866" ht="15.75" hidden="1" customHeight="1"/>
    <row r="3867" ht="15.75" hidden="1" customHeight="1"/>
    <row r="3868" ht="15.75" hidden="1" customHeight="1"/>
    <row r="3869" ht="15.75" hidden="1" customHeight="1"/>
    <row r="3870" ht="15.75" hidden="1" customHeight="1"/>
    <row r="3871" ht="15.75" hidden="1" customHeight="1"/>
    <row r="3872" ht="15.75" hidden="1" customHeight="1"/>
    <row r="3873" ht="15.75" hidden="1" customHeight="1"/>
    <row r="3874" ht="15.75" hidden="1" customHeight="1"/>
    <row r="3875" ht="15.75" hidden="1" customHeight="1"/>
    <row r="3876" ht="15.75" hidden="1" customHeight="1"/>
    <row r="3877" ht="15.75" hidden="1" customHeight="1"/>
    <row r="3878" ht="15.75" hidden="1" customHeight="1"/>
    <row r="3879" ht="15.75" hidden="1" customHeight="1"/>
    <row r="3880" ht="15.75" hidden="1" customHeight="1"/>
    <row r="3881" ht="15.75" hidden="1" customHeight="1"/>
    <row r="3882" ht="15.75" hidden="1" customHeight="1"/>
    <row r="3883" ht="15.75" hidden="1" customHeight="1"/>
    <row r="3884" ht="15.75" hidden="1" customHeight="1"/>
    <row r="3885" ht="15.75" hidden="1" customHeight="1"/>
    <row r="3886" ht="15.75" hidden="1" customHeight="1"/>
    <row r="3887" ht="15.75" hidden="1" customHeight="1"/>
    <row r="3888" ht="15.75" hidden="1" customHeight="1"/>
    <row r="3889" ht="15.75" hidden="1" customHeight="1"/>
    <row r="3890" ht="15.75" hidden="1" customHeight="1"/>
    <row r="3891" ht="15.75" hidden="1" customHeight="1"/>
    <row r="3892" ht="15.75" hidden="1" customHeight="1"/>
    <row r="3893" ht="15.75" hidden="1" customHeight="1"/>
    <row r="3894" ht="15.75" hidden="1" customHeight="1"/>
    <row r="3895" ht="15.75" hidden="1" customHeight="1"/>
    <row r="3896" ht="15.75" hidden="1" customHeight="1"/>
    <row r="3897" ht="15.75" hidden="1" customHeight="1"/>
    <row r="3898" ht="15.75" hidden="1" customHeight="1"/>
    <row r="3899" ht="15.75" hidden="1" customHeight="1"/>
    <row r="3900" ht="15.75" hidden="1" customHeight="1"/>
    <row r="3901" ht="15.75" hidden="1" customHeight="1"/>
    <row r="3902" ht="15.75" hidden="1" customHeight="1"/>
    <row r="3903" ht="15.75" hidden="1" customHeight="1"/>
    <row r="3904" ht="15.75" hidden="1" customHeight="1"/>
    <row r="3905" ht="15.75" hidden="1" customHeight="1"/>
    <row r="3906" ht="15.75" hidden="1" customHeight="1"/>
    <row r="3907" ht="15.75" hidden="1" customHeight="1"/>
    <row r="3908" ht="15.75" hidden="1" customHeight="1"/>
    <row r="3909" ht="15.75" hidden="1" customHeight="1"/>
    <row r="3910" ht="15.75" hidden="1" customHeight="1"/>
    <row r="3911" ht="15.75" hidden="1" customHeight="1"/>
    <row r="3912" ht="15.75" hidden="1" customHeight="1"/>
    <row r="3913" ht="15.75" hidden="1" customHeight="1"/>
    <row r="3914" ht="15.75" hidden="1" customHeight="1"/>
    <row r="3915" ht="15.75" hidden="1" customHeight="1"/>
    <row r="3916" ht="15.75" hidden="1" customHeight="1"/>
    <row r="3917" ht="15.75" hidden="1" customHeight="1"/>
    <row r="3918" ht="15.75" hidden="1" customHeight="1"/>
    <row r="3919" ht="15.75" hidden="1" customHeight="1"/>
    <row r="3920" ht="15.75" hidden="1" customHeight="1"/>
    <row r="3921" ht="15.75" hidden="1" customHeight="1"/>
    <row r="3922" ht="15.75" hidden="1" customHeight="1"/>
    <row r="3923" ht="15.75" hidden="1" customHeight="1"/>
    <row r="3924" ht="15.75" hidden="1" customHeight="1"/>
    <row r="3925" ht="15.75" hidden="1" customHeight="1"/>
    <row r="3926" ht="15.75" hidden="1" customHeight="1"/>
    <row r="3927" ht="15.75" hidden="1" customHeight="1"/>
    <row r="3928" ht="15.75" hidden="1" customHeight="1"/>
    <row r="3929" ht="15.75" hidden="1" customHeight="1"/>
    <row r="3930" ht="15.75" hidden="1" customHeight="1"/>
    <row r="3931" ht="15.75" hidden="1" customHeight="1"/>
    <row r="3932" ht="15.75" hidden="1" customHeight="1"/>
    <row r="3933" ht="15.75" hidden="1" customHeight="1"/>
    <row r="3934" ht="15.75" hidden="1" customHeight="1"/>
    <row r="3935" ht="15.75" hidden="1" customHeight="1"/>
    <row r="3936" ht="15.75" hidden="1" customHeight="1"/>
    <row r="3937" ht="15.75" hidden="1" customHeight="1"/>
    <row r="3938" ht="15.75" hidden="1" customHeight="1"/>
    <row r="3939" ht="15.75" hidden="1" customHeight="1"/>
    <row r="3940" ht="15.75" hidden="1" customHeight="1"/>
    <row r="3941" ht="15.75" hidden="1" customHeight="1"/>
    <row r="3942" ht="15.75" hidden="1" customHeight="1"/>
    <row r="3943" ht="15.75" hidden="1" customHeight="1"/>
    <row r="3944" ht="15.75" hidden="1" customHeight="1"/>
    <row r="3945" ht="15.75" hidden="1" customHeight="1"/>
    <row r="3946" ht="15.75" hidden="1" customHeight="1"/>
    <row r="3947" ht="15.75" hidden="1" customHeight="1"/>
    <row r="3948" ht="15.75" hidden="1" customHeight="1"/>
    <row r="3949" ht="15.75" hidden="1" customHeight="1"/>
    <row r="3950" ht="15.75" hidden="1" customHeight="1"/>
    <row r="3951" ht="15.75" hidden="1" customHeight="1"/>
    <row r="3952" ht="15.75" hidden="1" customHeight="1"/>
    <row r="3953" ht="15.75" hidden="1" customHeight="1"/>
    <row r="3954" ht="15.75" hidden="1" customHeight="1"/>
    <row r="3955" ht="15.75" hidden="1" customHeight="1"/>
    <row r="3956" ht="15.75" hidden="1" customHeight="1"/>
    <row r="3957" ht="15.75" hidden="1" customHeight="1"/>
    <row r="3958" ht="15.75" hidden="1" customHeight="1"/>
    <row r="3959" ht="15.75" hidden="1" customHeight="1"/>
    <row r="3960" ht="15.75" hidden="1" customHeight="1"/>
    <row r="3961" ht="15.75" hidden="1" customHeight="1"/>
    <row r="3962" ht="15.75" hidden="1" customHeight="1"/>
    <row r="3963" ht="15.75" hidden="1" customHeight="1"/>
    <row r="3964" ht="15.75" hidden="1" customHeight="1"/>
    <row r="3965" ht="15.75" hidden="1" customHeight="1"/>
    <row r="3966" ht="15.75" hidden="1" customHeight="1"/>
    <row r="3967" ht="15.75" hidden="1" customHeight="1"/>
    <row r="3968" ht="15.75" hidden="1" customHeight="1"/>
    <row r="3969" ht="15.75" hidden="1" customHeight="1"/>
    <row r="3970" ht="15.75" hidden="1" customHeight="1"/>
    <row r="3971" ht="15.75" hidden="1" customHeight="1"/>
    <row r="3972" ht="15.75" hidden="1" customHeight="1"/>
    <row r="3973" ht="15.75" hidden="1" customHeight="1"/>
    <row r="3974" ht="15.75" hidden="1" customHeight="1"/>
    <row r="3975" ht="15.75" hidden="1" customHeight="1"/>
    <row r="3976" ht="15.75" hidden="1" customHeight="1"/>
    <row r="3977" ht="15.75" hidden="1" customHeight="1"/>
    <row r="3978" ht="15.75" hidden="1" customHeight="1"/>
    <row r="3979" ht="15.75" hidden="1" customHeight="1"/>
    <row r="3980" ht="15.75" hidden="1" customHeight="1"/>
    <row r="3981" ht="15.75" hidden="1" customHeight="1"/>
    <row r="3982" ht="15.75" hidden="1" customHeight="1"/>
    <row r="3983" ht="15.75" hidden="1" customHeight="1"/>
    <row r="3984" ht="15.75" hidden="1" customHeight="1"/>
    <row r="3985" ht="15.75" hidden="1" customHeight="1"/>
    <row r="3986" ht="15.75" hidden="1" customHeight="1"/>
    <row r="3987" ht="15.75" hidden="1" customHeight="1"/>
    <row r="3988" ht="15.75" hidden="1" customHeight="1"/>
    <row r="3989" ht="15.75" hidden="1" customHeight="1"/>
    <row r="3990" ht="15.75" hidden="1" customHeight="1"/>
    <row r="3991" ht="15.75" hidden="1" customHeight="1"/>
    <row r="3992" ht="15.75" hidden="1" customHeight="1"/>
    <row r="3993" ht="15.75" hidden="1" customHeight="1"/>
    <row r="3994" ht="15.75" hidden="1" customHeight="1"/>
    <row r="3995" ht="15.75" hidden="1" customHeight="1"/>
    <row r="3996" ht="15.75" hidden="1" customHeight="1"/>
    <row r="3997" ht="15.75" hidden="1" customHeight="1"/>
    <row r="3998" ht="15.75" hidden="1" customHeight="1"/>
    <row r="3999" ht="15.75" hidden="1" customHeight="1"/>
    <row r="4000" ht="15.75" hidden="1" customHeight="1"/>
    <row r="4001" ht="15.75" hidden="1" customHeight="1"/>
    <row r="4002" ht="15.75" hidden="1" customHeight="1"/>
    <row r="4003" ht="15.75" hidden="1" customHeight="1"/>
    <row r="4004" ht="15.75" hidden="1" customHeight="1"/>
    <row r="4005" ht="15.75" hidden="1" customHeight="1"/>
    <row r="4006" ht="15.75" hidden="1" customHeight="1"/>
    <row r="4007" ht="15.75" hidden="1" customHeight="1"/>
    <row r="4008" ht="15.75" hidden="1" customHeight="1"/>
    <row r="4009" ht="15.75" hidden="1" customHeight="1"/>
    <row r="4010" ht="15.75" hidden="1" customHeight="1"/>
    <row r="4011" ht="15.75" hidden="1" customHeight="1"/>
    <row r="4012" ht="15.75" hidden="1" customHeight="1"/>
    <row r="4013" ht="15.75" hidden="1" customHeight="1"/>
    <row r="4014" ht="15.75" hidden="1" customHeight="1"/>
    <row r="4015" ht="15.75" hidden="1" customHeight="1"/>
    <row r="4016" ht="15.75" hidden="1" customHeight="1"/>
    <row r="4017" ht="15.75" hidden="1" customHeight="1"/>
    <row r="4018" ht="15.75" hidden="1" customHeight="1"/>
    <row r="4019" ht="15.75" hidden="1" customHeight="1"/>
    <row r="4020" ht="15.75" hidden="1" customHeight="1"/>
    <row r="4021" ht="15.75" hidden="1" customHeight="1"/>
    <row r="4022" ht="15.75" hidden="1" customHeight="1"/>
    <row r="4023" ht="15.75" hidden="1" customHeight="1"/>
    <row r="4024" ht="15.75" hidden="1" customHeight="1"/>
    <row r="4025" ht="15.75" hidden="1" customHeight="1"/>
    <row r="4026" ht="15.75" hidden="1" customHeight="1"/>
    <row r="4027" ht="15.75" hidden="1" customHeight="1"/>
    <row r="4028" ht="15.75" hidden="1" customHeight="1"/>
    <row r="4029" ht="15.75" hidden="1" customHeight="1"/>
    <row r="4030" ht="15.75" hidden="1" customHeight="1"/>
    <row r="4031" ht="15.75" hidden="1" customHeight="1"/>
    <row r="4032" ht="15.75" hidden="1" customHeight="1"/>
    <row r="4033" ht="15.75" hidden="1" customHeight="1"/>
    <row r="4034" ht="15.75" hidden="1" customHeight="1"/>
    <row r="4035" ht="15.75" hidden="1" customHeight="1"/>
    <row r="4036" ht="15.75" hidden="1" customHeight="1"/>
    <row r="4037" ht="15.75" hidden="1" customHeight="1"/>
    <row r="4038" ht="15.75" hidden="1" customHeight="1"/>
    <row r="4039" ht="15.75" hidden="1" customHeight="1"/>
    <row r="4040" ht="15.75" hidden="1" customHeight="1"/>
    <row r="4041" ht="15.75" hidden="1" customHeight="1"/>
    <row r="4042" ht="15.75" hidden="1" customHeight="1"/>
    <row r="4043" ht="15.75" hidden="1" customHeight="1"/>
    <row r="4044" ht="15.75" hidden="1" customHeight="1"/>
    <row r="4045" ht="15.75" hidden="1" customHeight="1"/>
    <row r="4046" ht="15.75" hidden="1" customHeight="1"/>
    <row r="4047" ht="15.75" hidden="1" customHeight="1"/>
    <row r="4048" ht="15.75" hidden="1" customHeight="1"/>
    <row r="4049" ht="15.75" hidden="1" customHeight="1"/>
    <row r="4050" ht="15.75" hidden="1" customHeight="1"/>
    <row r="4051" ht="15.75" hidden="1" customHeight="1"/>
    <row r="4052" ht="15.75" hidden="1" customHeight="1"/>
    <row r="4053" ht="15.75" hidden="1" customHeight="1"/>
    <row r="4054" ht="15.75" hidden="1" customHeight="1"/>
    <row r="4055" ht="15.75" hidden="1" customHeight="1"/>
    <row r="4056" ht="15.75" hidden="1" customHeight="1"/>
    <row r="4057" ht="15.75" hidden="1" customHeight="1"/>
    <row r="4058" ht="15.75" hidden="1" customHeight="1"/>
    <row r="4059" ht="15.75" hidden="1" customHeight="1"/>
    <row r="4060" ht="15.75" hidden="1" customHeight="1"/>
    <row r="4061" ht="15.75" hidden="1" customHeight="1"/>
    <row r="4062" ht="15.75" hidden="1" customHeight="1"/>
    <row r="4063" ht="15.75" hidden="1" customHeight="1"/>
    <row r="4064" ht="15.75" hidden="1" customHeight="1"/>
    <row r="4065" ht="15.75" hidden="1" customHeight="1"/>
    <row r="4066" ht="15.75" hidden="1" customHeight="1"/>
    <row r="4067" ht="15.75" hidden="1" customHeight="1"/>
    <row r="4068" ht="15.75" hidden="1" customHeight="1"/>
    <row r="4069" ht="15.75" hidden="1" customHeight="1"/>
    <row r="4070" ht="15.75" hidden="1" customHeight="1"/>
    <row r="4071" ht="15.75" hidden="1" customHeight="1"/>
    <row r="4072" ht="15.75" hidden="1" customHeight="1"/>
    <row r="4073" ht="15.75" hidden="1" customHeight="1"/>
    <row r="4074" ht="15.75" hidden="1" customHeight="1"/>
    <row r="4075" ht="15.75" hidden="1" customHeight="1"/>
    <row r="4076" ht="15.75" hidden="1" customHeight="1"/>
    <row r="4077" ht="15.75" hidden="1" customHeight="1"/>
    <row r="4078" ht="15.75" hidden="1" customHeight="1"/>
    <row r="4079" ht="15.75" hidden="1" customHeight="1"/>
    <row r="4080" ht="15.75" hidden="1" customHeight="1"/>
    <row r="4081" ht="15.75" hidden="1" customHeight="1"/>
    <row r="4082" ht="15.75" hidden="1" customHeight="1"/>
    <row r="4083" ht="15.75" hidden="1" customHeight="1"/>
    <row r="4084" ht="15.75" hidden="1" customHeight="1"/>
    <row r="4085" ht="15.75" hidden="1" customHeight="1"/>
    <row r="4086" ht="15.75" hidden="1" customHeight="1"/>
    <row r="4087" ht="15.75" hidden="1" customHeight="1"/>
    <row r="4088" ht="15.75" hidden="1" customHeight="1"/>
    <row r="4089" ht="15.75" hidden="1" customHeight="1"/>
    <row r="4090" ht="15.75" hidden="1" customHeight="1"/>
    <row r="4091" ht="15.75" hidden="1" customHeight="1"/>
    <row r="4092" ht="15.75" hidden="1" customHeight="1"/>
    <row r="4093" ht="15.75" hidden="1" customHeight="1"/>
    <row r="4094" ht="15.75" hidden="1" customHeight="1"/>
    <row r="4095" ht="15.75" hidden="1" customHeight="1"/>
    <row r="4096" ht="15.75" hidden="1" customHeight="1"/>
    <row r="4097" ht="15.75" hidden="1" customHeight="1"/>
    <row r="4098" ht="15.75" hidden="1" customHeight="1"/>
    <row r="4099" ht="15.75" hidden="1" customHeight="1"/>
    <row r="4100" ht="15.75" hidden="1" customHeight="1"/>
    <row r="4101" ht="15.75" hidden="1" customHeight="1"/>
    <row r="4102" ht="15.75" hidden="1" customHeight="1"/>
    <row r="4103" ht="15.75" hidden="1" customHeight="1"/>
    <row r="4104" ht="15.75" hidden="1" customHeight="1"/>
    <row r="4105" ht="15.75" hidden="1" customHeight="1"/>
    <row r="4106" ht="15.75" hidden="1" customHeight="1"/>
    <row r="4107" ht="15.75" hidden="1" customHeight="1"/>
    <row r="4108" ht="15.75" hidden="1" customHeight="1"/>
    <row r="4109" ht="15.75" hidden="1" customHeight="1"/>
    <row r="4110" ht="15.75" hidden="1" customHeight="1"/>
    <row r="4111" ht="15.75" hidden="1" customHeight="1"/>
    <row r="4112" ht="15.75" hidden="1" customHeight="1"/>
    <row r="4113" ht="15.75" hidden="1" customHeight="1"/>
    <row r="4114" ht="15.75" hidden="1" customHeight="1"/>
    <row r="4115" ht="15.75" hidden="1" customHeight="1"/>
    <row r="4116" ht="15.75" hidden="1" customHeight="1"/>
    <row r="4117" ht="15.75" hidden="1" customHeight="1"/>
    <row r="4118" ht="15.75" hidden="1" customHeight="1"/>
    <row r="4119" ht="15.75" hidden="1" customHeight="1"/>
    <row r="4120" ht="15.75" hidden="1" customHeight="1"/>
    <row r="4121" ht="15.75" hidden="1" customHeight="1"/>
    <row r="4122" ht="15.75" hidden="1" customHeight="1"/>
    <row r="4123" ht="15.75" hidden="1" customHeight="1"/>
    <row r="4124" ht="15.75" hidden="1" customHeight="1"/>
    <row r="4125" ht="15.75" hidden="1" customHeight="1"/>
    <row r="4126" ht="15.75" hidden="1" customHeight="1"/>
    <row r="4127" ht="15.75" hidden="1" customHeight="1"/>
    <row r="4128" ht="15.75" hidden="1" customHeight="1"/>
    <row r="4129" ht="15.75" hidden="1" customHeight="1"/>
    <row r="4130" ht="15.75" hidden="1" customHeight="1"/>
    <row r="4131" ht="15.75" hidden="1" customHeight="1"/>
    <row r="4132" ht="15.75" hidden="1" customHeight="1"/>
    <row r="4133" ht="15.75" hidden="1" customHeight="1"/>
    <row r="4134" ht="15.75" hidden="1" customHeight="1"/>
    <row r="4135" ht="15.75" hidden="1" customHeight="1"/>
    <row r="4136" ht="15.75" hidden="1" customHeight="1"/>
    <row r="4137" ht="15.75" hidden="1" customHeight="1"/>
    <row r="4138" ht="15.75" hidden="1" customHeight="1"/>
    <row r="4139" ht="15.75" hidden="1" customHeight="1"/>
    <row r="4140" ht="15.75" hidden="1" customHeight="1"/>
    <row r="4141" ht="15.75" hidden="1" customHeight="1"/>
    <row r="4142" ht="15.75" hidden="1" customHeight="1"/>
    <row r="4143" ht="15.75" hidden="1" customHeight="1"/>
    <row r="4144" ht="15.75" hidden="1" customHeight="1"/>
    <row r="4145" ht="15.75" hidden="1" customHeight="1"/>
    <row r="4146" ht="15.75" hidden="1" customHeight="1"/>
    <row r="4147" ht="15.75" hidden="1" customHeight="1"/>
    <row r="4148" ht="15.75" hidden="1" customHeight="1"/>
    <row r="4149" ht="15.75" hidden="1" customHeight="1"/>
    <row r="4150" ht="15.75" hidden="1" customHeight="1"/>
    <row r="4151" ht="15.75" hidden="1" customHeight="1"/>
    <row r="4152" ht="15.75" hidden="1" customHeight="1"/>
    <row r="4153" ht="15.75" hidden="1" customHeight="1"/>
    <row r="4154" ht="15.75" hidden="1" customHeight="1"/>
    <row r="4155" ht="15.75" hidden="1" customHeight="1"/>
    <row r="4156" ht="15.75" hidden="1" customHeight="1"/>
    <row r="4157" ht="15.75" hidden="1" customHeight="1"/>
    <row r="4158" ht="15.75" hidden="1" customHeight="1"/>
    <row r="4159" ht="15.75" hidden="1" customHeight="1"/>
    <row r="4160" ht="15.75" hidden="1" customHeight="1"/>
    <row r="4161" ht="15.75" hidden="1" customHeight="1"/>
    <row r="4162" ht="15.75" hidden="1" customHeight="1"/>
    <row r="4163" ht="15.75" hidden="1" customHeight="1"/>
    <row r="4164" ht="15.75" hidden="1" customHeight="1"/>
    <row r="4165" ht="15.75" hidden="1" customHeight="1"/>
    <row r="4166" ht="15.75" hidden="1" customHeight="1"/>
    <row r="4167" ht="15.75" hidden="1" customHeight="1"/>
    <row r="4168" ht="15.75" hidden="1" customHeight="1"/>
    <row r="4169" ht="15.75" hidden="1" customHeight="1"/>
    <row r="4170" ht="15.75" hidden="1" customHeight="1"/>
    <row r="4171" ht="15.75" hidden="1" customHeight="1"/>
    <row r="4172" ht="15.75" hidden="1" customHeight="1"/>
    <row r="4173" ht="15.75" hidden="1" customHeight="1"/>
    <row r="4174" ht="15.75" hidden="1" customHeight="1"/>
    <row r="4175" ht="15.75" hidden="1" customHeight="1"/>
    <row r="4176" ht="15.75" hidden="1" customHeight="1"/>
    <row r="4177" ht="15.75" hidden="1" customHeight="1"/>
    <row r="4178" ht="15.75" hidden="1" customHeight="1"/>
    <row r="4179" ht="15.75" hidden="1" customHeight="1"/>
    <row r="4180" ht="15.75" hidden="1" customHeight="1"/>
    <row r="4181" ht="15.75" hidden="1" customHeight="1"/>
    <row r="4182" ht="15.75" hidden="1" customHeight="1"/>
    <row r="4183" ht="15.75" hidden="1" customHeight="1"/>
    <row r="4184" ht="15.75" hidden="1" customHeight="1"/>
    <row r="4185" ht="15.75" hidden="1" customHeight="1"/>
    <row r="4186" ht="15.75" hidden="1" customHeight="1"/>
    <row r="4187" ht="15.75" hidden="1" customHeight="1"/>
    <row r="4188" ht="15.75" hidden="1" customHeight="1"/>
    <row r="4189" ht="15.75" hidden="1" customHeight="1"/>
    <row r="4190" ht="15.75" hidden="1" customHeight="1"/>
    <row r="4191" ht="15.75" hidden="1" customHeight="1"/>
    <row r="4192" ht="15.75" hidden="1" customHeight="1"/>
    <row r="4193" ht="15.75" hidden="1" customHeight="1"/>
    <row r="4194" ht="15.75" hidden="1" customHeight="1"/>
    <row r="4195" ht="15.75" hidden="1" customHeight="1"/>
    <row r="4196" ht="15.75" hidden="1" customHeight="1"/>
    <row r="4197" ht="15.75" hidden="1" customHeight="1"/>
    <row r="4198" ht="15.75" hidden="1" customHeight="1"/>
    <row r="4199" ht="15.75" hidden="1" customHeight="1"/>
    <row r="4200" ht="15.75" hidden="1" customHeight="1"/>
    <row r="4201" ht="15.75" hidden="1" customHeight="1"/>
    <row r="4202" ht="15.75" hidden="1" customHeight="1"/>
    <row r="4203" ht="15.75" hidden="1" customHeight="1"/>
    <row r="4204" ht="15.75" hidden="1" customHeight="1"/>
    <row r="4205" ht="15.75" hidden="1" customHeight="1"/>
    <row r="4206" ht="15.75" hidden="1" customHeight="1"/>
    <row r="4207" ht="15.75" hidden="1" customHeight="1"/>
    <row r="4208" ht="15.75" hidden="1" customHeight="1"/>
    <row r="4209" ht="15.75" hidden="1" customHeight="1"/>
    <row r="4210" ht="15.75" hidden="1" customHeight="1"/>
    <row r="4211" ht="15.75" hidden="1" customHeight="1"/>
    <row r="4212" ht="15.75" hidden="1" customHeight="1"/>
    <row r="4213" ht="15.75" hidden="1" customHeight="1"/>
    <row r="4214" ht="15.75" hidden="1" customHeight="1"/>
    <row r="4215" ht="15.75" hidden="1" customHeight="1"/>
    <row r="4216" ht="15.75" hidden="1" customHeight="1"/>
    <row r="4217" ht="15.75" hidden="1" customHeight="1"/>
    <row r="4218" ht="15.75" hidden="1" customHeight="1"/>
    <row r="4219" ht="15.75" hidden="1" customHeight="1"/>
    <row r="4220" ht="15.75" hidden="1" customHeight="1"/>
    <row r="4221" ht="15.75" hidden="1" customHeight="1"/>
    <row r="4222" ht="15.75" hidden="1" customHeight="1"/>
    <row r="4223" ht="15.75" hidden="1" customHeight="1"/>
    <row r="4224" ht="15.75" hidden="1" customHeight="1"/>
    <row r="4225" ht="15.75" hidden="1" customHeight="1"/>
    <row r="4226" ht="15.75" hidden="1" customHeight="1"/>
    <row r="4227" ht="15.75" hidden="1" customHeight="1"/>
    <row r="4228" ht="15.75" hidden="1" customHeight="1"/>
    <row r="4229" ht="15.75" hidden="1" customHeight="1"/>
    <row r="4230" ht="15.75" hidden="1" customHeight="1"/>
    <row r="4231" ht="15.75" hidden="1" customHeight="1"/>
    <row r="4232" ht="15.75" hidden="1" customHeight="1"/>
    <row r="4233" ht="15.75" hidden="1" customHeight="1"/>
    <row r="4234" ht="15.75" hidden="1" customHeight="1"/>
    <row r="4235" ht="15.75" hidden="1" customHeight="1"/>
    <row r="4236" ht="15.75" hidden="1" customHeight="1"/>
    <row r="4237" ht="15.75" hidden="1" customHeight="1"/>
    <row r="4238" ht="15.75" hidden="1" customHeight="1"/>
    <row r="4239" ht="15.75" hidden="1" customHeight="1"/>
    <row r="4240" ht="15.75" hidden="1" customHeight="1"/>
    <row r="4241" ht="15.75" hidden="1" customHeight="1"/>
    <row r="4242" ht="15.75" hidden="1" customHeight="1"/>
    <row r="4243" ht="15.75" hidden="1" customHeight="1"/>
    <row r="4244" ht="15.75" hidden="1" customHeight="1"/>
    <row r="4245" ht="15.75" hidden="1" customHeight="1"/>
    <row r="4246" ht="15.75" hidden="1" customHeight="1"/>
    <row r="4247" ht="15.75" hidden="1" customHeight="1"/>
    <row r="4248" ht="15.75" hidden="1" customHeight="1"/>
    <row r="4249" ht="15.75" hidden="1" customHeight="1"/>
    <row r="4250" ht="15.75" hidden="1" customHeight="1"/>
    <row r="4251" ht="15.75" hidden="1" customHeight="1"/>
    <row r="4252" ht="15.75" hidden="1" customHeight="1"/>
    <row r="4253" ht="15.75" hidden="1" customHeight="1"/>
    <row r="4254" ht="15.75" hidden="1" customHeight="1"/>
    <row r="4255" ht="15.75" hidden="1" customHeight="1"/>
    <row r="4256" ht="15.75" hidden="1" customHeight="1"/>
    <row r="4257" ht="15.75" hidden="1" customHeight="1"/>
    <row r="4258" ht="15.75" hidden="1" customHeight="1"/>
    <row r="4259" ht="15.75" hidden="1" customHeight="1"/>
    <row r="4260" ht="15.75" hidden="1" customHeight="1"/>
    <row r="4261" ht="15.75" hidden="1" customHeight="1"/>
    <row r="4262" ht="15.75" hidden="1" customHeight="1"/>
    <row r="4263" ht="15.75" hidden="1" customHeight="1"/>
    <row r="4264" ht="15.75" hidden="1" customHeight="1"/>
    <row r="4265" ht="15.75" hidden="1" customHeight="1"/>
    <row r="4266" ht="15.75" hidden="1" customHeight="1"/>
    <row r="4267" ht="15.75" hidden="1" customHeight="1"/>
    <row r="4268" ht="15.75" hidden="1" customHeight="1"/>
    <row r="4269" ht="15.75" hidden="1" customHeight="1"/>
    <row r="4270" ht="15.75" hidden="1" customHeight="1"/>
    <row r="4271" ht="15.75" hidden="1" customHeight="1"/>
    <row r="4272" ht="15.75" hidden="1" customHeight="1"/>
    <row r="4273" ht="15.75" hidden="1" customHeight="1"/>
    <row r="4274" ht="15.75" hidden="1" customHeight="1"/>
    <row r="4275" ht="15.75" hidden="1" customHeight="1"/>
    <row r="4276" ht="15.75" hidden="1" customHeight="1"/>
    <row r="4277" ht="15.75" hidden="1" customHeight="1"/>
    <row r="4278" ht="15.75" hidden="1" customHeight="1"/>
    <row r="4279" ht="15.75" hidden="1" customHeight="1"/>
    <row r="4280" ht="15.75" hidden="1" customHeight="1"/>
    <row r="4281" ht="15.75" hidden="1" customHeight="1"/>
    <row r="4282" ht="15.75" hidden="1" customHeight="1"/>
    <row r="4283" ht="15.75" hidden="1" customHeight="1"/>
    <row r="4284" ht="15.75" hidden="1" customHeight="1"/>
    <row r="4285" ht="15.75" hidden="1" customHeight="1"/>
    <row r="4286" ht="15.75" hidden="1" customHeight="1"/>
    <row r="4287" ht="15.75" hidden="1" customHeight="1"/>
    <row r="4288" ht="15.75" hidden="1" customHeight="1"/>
    <row r="4289" ht="15.75" hidden="1" customHeight="1"/>
    <row r="4290" ht="15.75" hidden="1" customHeight="1"/>
    <row r="4291" ht="15.75" hidden="1" customHeight="1"/>
    <row r="4292" ht="15.75" hidden="1" customHeight="1"/>
    <row r="4293" ht="15.75" hidden="1" customHeight="1"/>
    <row r="4294" ht="15.75" hidden="1" customHeight="1"/>
    <row r="4295" ht="15.75" hidden="1" customHeight="1"/>
    <row r="4296" ht="15.75" hidden="1" customHeight="1"/>
    <row r="4297" ht="15.75" hidden="1" customHeight="1"/>
    <row r="4298" ht="15.75" hidden="1" customHeight="1"/>
    <row r="4299" ht="15.75" hidden="1" customHeight="1"/>
    <row r="4300" ht="15.75" hidden="1" customHeight="1"/>
    <row r="4301" ht="15.75" hidden="1" customHeight="1"/>
    <row r="4302" ht="15.75" hidden="1" customHeight="1"/>
    <row r="4303" ht="15.75" hidden="1" customHeight="1"/>
    <row r="4304" ht="15.75" hidden="1" customHeight="1"/>
    <row r="4305" ht="15.75" hidden="1" customHeight="1"/>
    <row r="4306" ht="15.75" hidden="1" customHeight="1"/>
    <row r="4307" ht="15.75" hidden="1" customHeight="1"/>
    <row r="4308" ht="15.75" hidden="1" customHeight="1"/>
    <row r="4309" ht="15.75" hidden="1" customHeight="1"/>
    <row r="4310" ht="15.75" hidden="1" customHeight="1"/>
    <row r="4311" ht="15.75" hidden="1" customHeight="1"/>
    <row r="4312" ht="15.75" hidden="1" customHeight="1"/>
    <row r="4313" ht="15.75" hidden="1" customHeight="1"/>
    <row r="4314" ht="15.75" hidden="1" customHeight="1"/>
    <row r="4315" ht="15.75" hidden="1" customHeight="1"/>
    <row r="4316" ht="15.75" hidden="1" customHeight="1"/>
    <row r="4317" ht="15.75" hidden="1" customHeight="1"/>
    <row r="4318" ht="15.75" hidden="1" customHeight="1"/>
    <row r="4319" ht="15.75" hidden="1" customHeight="1"/>
    <row r="4320" ht="15.75" hidden="1" customHeight="1"/>
    <row r="4321" ht="15.75" hidden="1" customHeight="1"/>
    <row r="4322" ht="15.75" hidden="1" customHeight="1"/>
    <row r="4323" ht="15.75" hidden="1" customHeight="1"/>
    <row r="4324" ht="15.75" hidden="1" customHeight="1"/>
    <row r="4325" ht="15.75" hidden="1" customHeight="1"/>
    <row r="4326" ht="15.75" hidden="1" customHeight="1"/>
    <row r="4327" ht="15.75" hidden="1" customHeight="1"/>
    <row r="4328" ht="15.75" hidden="1" customHeight="1"/>
    <row r="4329" ht="15.75" hidden="1" customHeight="1"/>
    <row r="4330" ht="15.75" hidden="1" customHeight="1"/>
    <row r="4331" ht="15.75" hidden="1" customHeight="1"/>
    <row r="4332" ht="15.75" hidden="1" customHeight="1"/>
    <row r="4333" ht="15.75" hidden="1" customHeight="1"/>
    <row r="4334" ht="15.75" hidden="1" customHeight="1"/>
    <row r="4335" ht="15.75" hidden="1" customHeight="1"/>
    <row r="4336" ht="15.75" hidden="1" customHeight="1"/>
    <row r="4337" ht="15.75" hidden="1" customHeight="1"/>
    <row r="4338" ht="15.75" hidden="1" customHeight="1"/>
    <row r="4339" ht="15.75" hidden="1" customHeight="1"/>
    <row r="4340" ht="15.75" hidden="1" customHeight="1"/>
    <row r="4341" ht="15.75" hidden="1" customHeight="1"/>
    <row r="4342" ht="15.75" hidden="1" customHeight="1"/>
    <row r="4343" ht="15.75" hidden="1" customHeight="1"/>
    <row r="4344" ht="15.75" hidden="1" customHeight="1"/>
    <row r="4345" ht="15.75" hidden="1" customHeight="1"/>
    <row r="4346" ht="15.75" hidden="1" customHeight="1"/>
    <row r="4347" ht="15.75" hidden="1" customHeight="1"/>
    <row r="4348" ht="15.75" hidden="1" customHeight="1"/>
    <row r="4349" ht="15.75" hidden="1" customHeight="1"/>
    <row r="4350" ht="15.75" hidden="1" customHeight="1"/>
    <row r="4351" ht="15.75" hidden="1" customHeight="1"/>
    <row r="4352" ht="15.75" hidden="1" customHeight="1"/>
    <row r="4353" ht="15.75" hidden="1" customHeight="1"/>
    <row r="4354" ht="15.75" hidden="1" customHeight="1"/>
    <row r="4355" ht="15.75" hidden="1" customHeight="1"/>
    <row r="4356" ht="15.75" hidden="1" customHeight="1"/>
    <row r="4357" ht="15.75" hidden="1" customHeight="1"/>
    <row r="4358" ht="15.75" hidden="1" customHeight="1"/>
    <row r="4359" ht="15.75" hidden="1" customHeight="1"/>
    <row r="4360" ht="15.75" hidden="1" customHeight="1"/>
    <row r="4361" ht="15.75" hidden="1" customHeight="1"/>
    <row r="4362" ht="15.75" hidden="1" customHeight="1"/>
    <row r="4363" ht="15.75" hidden="1" customHeight="1"/>
    <row r="4364" ht="15.75" hidden="1" customHeight="1"/>
    <row r="4365" ht="15.75" hidden="1" customHeight="1"/>
    <row r="4366" ht="15.75" hidden="1" customHeight="1"/>
    <row r="4367" ht="15.75" hidden="1" customHeight="1"/>
    <row r="4368" ht="15.75" hidden="1" customHeight="1"/>
    <row r="4369" ht="15.75" hidden="1" customHeight="1"/>
    <row r="4370" ht="15.75" hidden="1" customHeight="1"/>
    <row r="4371" ht="15.75" hidden="1" customHeight="1"/>
    <row r="4372" ht="15.75" hidden="1" customHeight="1"/>
    <row r="4373" ht="15.75" hidden="1" customHeight="1"/>
    <row r="4374" ht="15.75" hidden="1" customHeight="1"/>
    <row r="4375" ht="15.75" hidden="1" customHeight="1"/>
    <row r="4376" ht="15.75" hidden="1" customHeight="1"/>
    <row r="4377" ht="15.75" hidden="1" customHeight="1"/>
    <row r="4378" ht="15.75" hidden="1" customHeight="1"/>
    <row r="4379" ht="15.75" hidden="1" customHeight="1"/>
    <row r="4380" ht="15.75" hidden="1" customHeight="1"/>
    <row r="4381" ht="15.75" hidden="1" customHeight="1"/>
    <row r="4382" ht="15.75" hidden="1" customHeight="1"/>
    <row r="4383" ht="15.75" hidden="1" customHeight="1"/>
    <row r="4384" ht="15.75" hidden="1" customHeight="1"/>
    <row r="4385" ht="15.75" hidden="1" customHeight="1"/>
    <row r="4386" ht="15.75" hidden="1" customHeight="1"/>
    <row r="4387" ht="15.75" hidden="1" customHeight="1"/>
    <row r="4388" ht="15.75" hidden="1" customHeight="1"/>
    <row r="4389" ht="15.75" hidden="1" customHeight="1"/>
    <row r="4390" ht="15.75" hidden="1" customHeight="1"/>
    <row r="4391" ht="15.75" hidden="1" customHeight="1"/>
    <row r="4392" ht="15.75" hidden="1" customHeight="1"/>
    <row r="4393" ht="15.75" hidden="1" customHeight="1"/>
    <row r="4394" ht="15.75" hidden="1" customHeight="1"/>
    <row r="4395" ht="15.75" hidden="1" customHeight="1"/>
    <row r="4396" ht="15.75" hidden="1" customHeight="1"/>
    <row r="4397" ht="15.75" hidden="1" customHeight="1"/>
    <row r="4398" ht="15.75" hidden="1" customHeight="1"/>
    <row r="4399" ht="15.75" hidden="1" customHeight="1"/>
    <row r="4400" ht="15.75" hidden="1" customHeight="1"/>
    <row r="4401" ht="15.75" hidden="1" customHeight="1"/>
    <row r="4402" ht="15.75" hidden="1" customHeight="1"/>
    <row r="4403" ht="15.75" hidden="1" customHeight="1"/>
    <row r="4404" ht="15.75" hidden="1" customHeight="1"/>
    <row r="4405" ht="15.75" hidden="1" customHeight="1"/>
    <row r="4406" ht="15.75" hidden="1" customHeight="1"/>
    <row r="4407" ht="15.75" hidden="1" customHeight="1"/>
    <row r="4408" ht="15.75" hidden="1" customHeight="1"/>
    <row r="4409" ht="15.75" hidden="1" customHeight="1"/>
    <row r="4410" ht="15.75" hidden="1" customHeight="1"/>
    <row r="4411" ht="15.75" hidden="1" customHeight="1"/>
    <row r="4412" ht="15.75" hidden="1" customHeight="1"/>
    <row r="4413" ht="15.75" hidden="1" customHeight="1"/>
    <row r="4414" ht="15.75" hidden="1" customHeight="1"/>
    <row r="4415" ht="15.75" hidden="1" customHeight="1"/>
    <row r="4416" ht="15.75" hidden="1" customHeight="1"/>
    <row r="4417" ht="15.75" hidden="1" customHeight="1"/>
    <row r="4418" ht="15.75" hidden="1" customHeight="1"/>
    <row r="4419" ht="15.75" hidden="1" customHeight="1"/>
    <row r="4420" ht="15.75" hidden="1" customHeight="1"/>
    <row r="4421" ht="15.75" hidden="1" customHeight="1"/>
    <row r="4422" ht="15.75" hidden="1" customHeight="1"/>
    <row r="4423" ht="15.75" hidden="1" customHeight="1"/>
    <row r="4424" ht="15.75" hidden="1" customHeight="1"/>
    <row r="4425" ht="15.75" hidden="1" customHeight="1"/>
    <row r="4426" ht="15.75" hidden="1" customHeight="1"/>
    <row r="4427" ht="15.75" hidden="1" customHeight="1"/>
    <row r="4428" ht="15.75" hidden="1" customHeight="1"/>
    <row r="4429" ht="15.75" hidden="1" customHeight="1"/>
    <row r="4430" ht="15.75" hidden="1" customHeight="1"/>
    <row r="4431" ht="15.75" hidden="1" customHeight="1"/>
    <row r="4432" ht="15.75" hidden="1" customHeight="1"/>
    <row r="4433" ht="15.75" hidden="1" customHeight="1"/>
    <row r="4434" ht="15.75" hidden="1" customHeight="1"/>
    <row r="4435" ht="15.75" hidden="1" customHeight="1"/>
    <row r="4436" ht="15.75" hidden="1" customHeight="1"/>
    <row r="4437" ht="15.75" hidden="1" customHeight="1"/>
    <row r="4438" ht="15.75" hidden="1" customHeight="1"/>
    <row r="4439" ht="15.75" hidden="1" customHeight="1"/>
    <row r="4440" ht="15.75" hidden="1" customHeight="1"/>
    <row r="4441" ht="15.75" hidden="1" customHeight="1"/>
    <row r="4442" ht="15.75" hidden="1" customHeight="1"/>
    <row r="4443" ht="15.75" hidden="1" customHeight="1"/>
    <row r="4444" ht="15.75" hidden="1" customHeight="1"/>
    <row r="4445" ht="15.75" hidden="1" customHeight="1"/>
    <row r="4446" ht="15.75" hidden="1" customHeight="1"/>
    <row r="4447" ht="15.75" hidden="1" customHeight="1"/>
    <row r="4448" ht="15.75" hidden="1" customHeight="1"/>
    <row r="4449" ht="15.75" hidden="1" customHeight="1"/>
    <row r="4450" ht="15.75" hidden="1" customHeight="1"/>
    <row r="4451" ht="15.75" hidden="1" customHeight="1"/>
    <row r="4452" ht="15.75" hidden="1" customHeight="1"/>
    <row r="4453" ht="15.75" hidden="1" customHeight="1"/>
    <row r="4454" ht="15.75" hidden="1" customHeight="1"/>
    <row r="4455" ht="15.75" hidden="1" customHeight="1"/>
    <row r="4456" ht="15.75" hidden="1" customHeight="1"/>
    <row r="4457" ht="15.75" hidden="1" customHeight="1"/>
    <row r="4458" ht="15.75" hidden="1" customHeight="1"/>
    <row r="4459" ht="15.75" hidden="1" customHeight="1"/>
    <row r="4460" ht="15.75" hidden="1" customHeight="1"/>
    <row r="4461" ht="15.75" hidden="1" customHeight="1"/>
    <row r="4462" ht="15.75" hidden="1" customHeight="1"/>
    <row r="4463" ht="15.75" hidden="1" customHeight="1"/>
    <row r="4464" ht="15.75" hidden="1" customHeight="1"/>
    <row r="4465" ht="15.75" hidden="1" customHeight="1"/>
    <row r="4466" ht="15.75" hidden="1" customHeight="1"/>
    <row r="4467" ht="15.75" hidden="1" customHeight="1"/>
    <row r="4468" ht="15.75" hidden="1" customHeight="1"/>
    <row r="4469" ht="15.75" hidden="1" customHeight="1"/>
    <row r="4470" ht="15.75" hidden="1" customHeight="1"/>
    <row r="4471" ht="15.75" hidden="1" customHeight="1"/>
    <row r="4472" ht="15.75" hidden="1" customHeight="1"/>
    <row r="4473" ht="15.75" hidden="1" customHeight="1"/>
    <row r="4474" ht="15.75" hidden="1" customHeight="1"/>
    <row r="4475" ht="15.75" hidden="1" customHeight="1"/>
    <row r="4476" ht="15.75" hidden="1" customHeight="1"/>
    <row r="4477" ht="15.75" hidden="1" customHeight="1"/>
    <row r="4478" ht="15.75" hidden="1" customHeight="1"/>
    <row r="4479" ht="15.75" hidden="1" customHeight="1"/>
    <row r="4480" ht="15.75" hidden="1" customHeight="1"/>
    <row r="4481" ht="15.75" hidden="1" customHeight="1"/>
    <row r="4482" ht="15.75" hidden="1" customHeight="1"/>
    <row r="4483" ht="15.75" hidden="1" customHeight="1"/>
    <row r="4484" ht="15.75" hidden="1" customHeight="1"/>
    <row r="4485" ht="15.75" hidden="1" customHeight="1"/>
    <row r="4486" ht="15.75" hidden="1" customHeight="1"/>
    <row r="4487" ht="15.75" hidden="1" customHeight="1"/>
    <row r="4488" ht="15.75" hidden="1" customHeight="1"/>
    <row r="4489" ht="15.75" hidden="1" customHeight="1"/>
    <row r="4490" ht="15.75" hidden="1" customHeight="1"/>
    <row r="4491" ht="15.75" hidden="1" customHeight="1"/>
    <row r="4492" ht="15.75" hidden="1" customHeight="1"/>
    <row r="4493" ht="15.75" hidden="1" customHeight="1"/>
    <row r="4494" ht="15.75" hidden="1" customHeight="1"/>
    <row r="4495" ht="15.75" hidden="1" customHeight="1"/>
    <row r="4496" ht="15.75" hidden="1" customHeight="1"/>
    <row r="4497" ht="15.75" hidden="1" customHeight="1"/>
    <row r="4498" ht="15.75" hidden="1" customHeight="1"/>
    <row r="4499" ht="15.75" hidden="1" customHeight="1"/>
    <row r="4500" ht="15.75" hidden="1" customHeight="1"/>
    <row r="4501" ht="15.75" hidden="1" customHeight="1"/>
    <row r="4502" ht="15.75" hidden="1" customHeight="1"/>
    <row r="4503" ht="15.75" hidden="1" customHeight="1"/>
    <row r="4504" ht="15.75" hidden="1" customHeight="1"/>
    <row r="4505" ht="15.75" hidden="1" customHeight="1"/>
    <row r="4506" ht="15.75" hidden="1" customHeight="1"/>
    <row r="4507" ht="15.75" hidden="1" customHeight="1"/>
    <row r="4508" ht="15.75" hidden="1" customHeight="1"/>
    <row r="4509" ht="15.75" hidden="1" customHeight="1"/>
    <row r="4510" ht="15.75" hidden="1" customHeight="1"/>
    <row r="4511" ht="15.75" hidden="1" customHeight="1"/>
    <row r="4512" ht="15.75" hidden="1" customHeight="1"/>
    <row r="4513" ht="15.75" hidden="1" customHeight="1"/>
    <row r="4514" ht="15.75" hidden="1" customHeight="1"/>
    <row r="4515" ht="15.75" hidden="1" customHeight="1"/>
    <row r="4516" ht="15.75" hidden="1" customHeight="1"/>
    <row r="4517" ht="15.75" hidden="1" customHeight="1"/>
    <row r="4518" ht="15.75" hidden="1" customHeight="1"/>
    <row r="4519" ht="15.75" hidden="1" customHeight="1"/>
    <row r="4520" ht="15.75" hidden="1" customHeight="1"/>
    <row r="4521" ht="15.75" hidden="1" customHeight="1"/>
    <row r="4522" ht="15.75" hidden="1" customHeight="1"/>
    <row r="4523" ht="15.75" hidden="1" customHeight="1"/>
    <row r="4524" ht="15.75" hidden="1" customHeight="1"/>
    <row r="4525" ht="15.75" hidden="1" customHeight="1"/>
    <row r="4526" ht="15.75" hidden="1" customHeight="1"/>
    <row r="4527" ht="15.75" hidden="1" customHeight="1"/>
    <row r="4528" ht="15.75" hidden="1" customHeight="1"/>
    <row r="4529" ht="15.75" hidden="1" customHeight="1"/>
    <row r="4530" ht="15.75" hidden="1" customHeight="1"/>
    <row r="4531" ht="15.75" hidden="1" customHeight="1"/>
    <row r="4532" ht="15.75" hidden="1" customHeight="1"/>
    <row r="4533" ht="15.75" hidden="1" customHeight="1"/>
    <row r="4534" ht="15.75" hidden="1" customHeight="1"/>
    <row r="4535" ht="15.75" hidden="1" customHeight="1"/>
    <row r="4536" ht="15.75" hidden="1" customHeight="1"/>
    <row r="4537" ht="15.75" hidden="1" customHeight="1"/>
    <row r="4538" ht="15.75" hidden="1" customHeight="1"/>
    <row r="4539" ht="15.75" hidden="1" customHeight="1"/>
    <row r="4540" ht="15.75" hidden="1" customHeight="1"/>
    <row r="4541" ht="15.75" hidden="1" customHeight="1"/>
    <row r="4542" ht="15.75" hidden="1" customHeight="1"/>
    <row r="4543" ht="15.75" hidden="1" customHeight="1"/>
    <row r="4544" ht="15.75" hidden="1" customHeight="1"/>
    <row r="4545" ht="15.75" hidden="1" customHeight="1"/>
    <row r="4546" ht="15.75" hidden="1" customHeight="1"/>
    <row r="4547" ht="15.75" hidden="1" customHeight="1"/>
    <row r="4548" ht="15.75" hidden="1" customHeight="1"/>
    <row r="4549" ht="15.75" hidden="1" customHeight="1"/>
    <row r="4550" ht="15.75" hidden="1" customHeight="1"/>
    <row r="4551" ht="15.75" hidden="1" customHeight="1"/>
    <row r="4552" ht="15.75" hidden="1" customHeight="1"/>
    <row r="4553" ht="15.75" hidden="1" customHeight="1"/>
    <row r="4554" ht="15.75" hidden="1" customHeight="1"/>
    <row r="4555" ht="15.75" hidden="1" customHeight="1"/>
    <row r="4556" ht="15.75" hidden="1" customHeight="1"/>
    <row r="4557" ht="15.75" hidden="1" customHeight="1"/>
    <row r="4558" ht="15.75" hidden="1" customHeight="1"/>
    <row r="4559" ht="15.75" hidden="1" customHeight="1"/>
    <row r="4560" ht="15.75" hidden="1" customHeight="1"/>
    <row r="4561" ht="15.75" hidden="1" customHeight="1"/>
    <row r="4562" ht="15.75" hidden="1" customHeight="1"/>
    <row r="4563" ht="15.75" hidden="1" customHeight="1"/>
    <row r="4564" ht="15.75" hidden="1" customHeight="1"/>
    <row r="4565" ht="15.75" hidden="1" customHeight="1"/>
    <row r="4566" ht="15.75" hidden="1" customHeight="1"/>
    <row r="4567" ht="15.75" hidden="1" customHeight="1"/>
    <row r="4568" ht="15.75" hidden="1" customHeight="1"/>
    <row r="4569" ht="15.75" hidden="1" customHeight="1"/>
    <row r="4570" ht="15.75" hidden="1" customHeight="1"/>
    <row r="4571" ht="15.75" hidden="1" customHeight="1"/>
    <row r="4572" ht="15.75" hidden="1" customHeight="1"/>
    <row r="4573" ht="15.75" hidden="1" customHeight="1"/>
    <row r="4574" ht="15.75" hidden="1" customHeight="1"/>
    <row r="4575" ht="15.75" hidden="1" customHeight="1"/>
    <row r="4576" ht="15.75" hidden="1" customHeight="1"/>
    <row r="4577" ht="15.75" hidden="1" customHeight="1"/>
    <row r="4578" ht="15.75" hidden="1" customHeight="1"/>
    <row r="4579" ht="15.75" hidden="1" customHeight="1"/>
    <row r="4580" ht="15.75" hidden="1" customHeight="1"/>
    <row r="4581" ht="15.75" hidden="1" customHeight="1"/>
    <row r="4582" ht="15.75" hidden="1" customHeight="1"/>
    <row r="4583" ht="15.75" hidden="1" customHeight="1"/>
    <row r="4584" ht="15.75" hidden="1" customHeight="1"/>
    <row r="4585" ht="15.75" hidden="1" customHeight="1"/>
    <row r="4586" ht="15.75" hidden="1" customHeight="1"/>
    <row r="4587" ht="15.75" hidden="1" customHeight="1"/>
    <row r="4588" ht="15.75" hidden="1" customHeight="1"/>
    <row r="4589" ht="15.75" hidden="1" customHeight="1"/>
    <row r="4590" ht="15.75" hidden="1" customHeight="1"/>
    <row r="4591" ht="15.75" hidden="1" customHeight="1"/>
    <row r="4592" ht="15.75" hidden="1" customHeight="1"/>
    <row r="4593" ht="15.75" hidden="1" customHeight="1"/>
    <row r="4594" ht="15.75" hidden="1" customHeight="1"/>
    <row r="4595" ht="15.75" hidden="1" customHeight="1"/>
    <row r="4596" ht="15.75" hidden="1" customHeight="1"/>
    <row r="4597" ht="15.75" hidden="1" customHeight="1"/>
    <row r="4598" ht="15.75" hidden="1" customHeight="1"/>
    <row r="4599" ht="15.75" hidden="1" customHeight="1"/>
    <row r="4600" ht="15.75" hidden="1" customHeight="1"/>
    <row r="4601" ht="15.75" hidden="1" customHeight="1"/>
    <row r="4602" ht="15.75" hidden="1" customHeight="1"/>
    <row r="4603" ht="15.75" hidden="1" customHeight="1"/>
    <row r="4604" ht="15.75" hidden="1" customHeight="1"/>
    <row r="4605" ht="15.75" hidden="1" customHeight="1"/>
    <row r="4606" ht="15.75" hidden="1" customHeight="1"/>
    <row r="4607" ht="15.75" hidden="1" customHeight="1"/>
    <row r="4608" ht="15.75" hidden="1" customHeight="1"/>
    <row r="4609" ht="15.75" hidden="1" customHeight="1"/>
    <row r="4610" ht="15.75" hidden="1" customHeight="1"/>
    <row r="4611" ht="15.75" hidden="1" customHeight="1"/>
    <row r="4612" ht="15.75" hidden="1" customHeight="1"/>
    <row r="4613" ht="15.75" hidden="1" customHeight="1"/>
    <row r="4614" ht="15.75" hidden="1" customHeight="1"/>
    <row r="4615" ht="15.75" hidden="1" customHeight="1"/>
    <row r="4616" ht="15.75" hidden="1" customHeight="1"/>
    <row r="4617" ht="15.75" hidden="1" customHeight="1"/>
    <row r="4618" ht="15.75" hidden="1" customHeight="1"/>
    <row r="4619" ht="15.75" hidden="1" customHeight="1"/>
    <row r="4620" ht="15.75" hidden="1" customHeight="1"/>
    <row r="4621" ht="15.75" hidden="1" customHeight="1"/>
    <row r="4622" ht="15.75" hidden="1" customHeight="1"/>
    <row r="4623" ht="15.75" hidden="1" customHeight="1"/>
    <row r="4624" ht="15.75" hidden="1" customHeight="1"/>
    <row r="4625" ht="15.75" hidden="1" customHeight="1"/>
    <row r="4626" ht="15.75" hidden="1" customHeight="1"/>
    <row r="4627" ht="15.75" hidden="1" customHeight="1"/>
    <row r="4628" ht="15.75" hidden="1" customHeight="1"/>
    <row r="4629" ht="15.75" hidden="1" customHeight="1"/>
    <row r="4630" ht="15.75" hidden="1" customHeight="1"/>
    <row r="4631" ht="15.75" hidden="1" customHeight="1"/>
    <row r="4632" ht="15.75" hidden="1" customHeight="1"/>
    <row r="4633" ht="15.75" hidden="1" customHeight="1"/>
    <row r="4634" ht="15.75" hidden="1" customHeight="1"/>
    <row r="4635" ht="15.75" hidden="1" customHeight="1"/>
    <row r="4636" ht="15.75" hidden="1" customHeight="1"/>
    <row r="4637" ht="15.75" hidden="1" customHeight="1"/>
    <row r="4638" ht="15.75" hidden="1" customHeight="1"/>
    <row r="4639" ht="15.75" hidden="1" customHeight="1"/>
    <row r="4640" ht="15.75" hidden="1" customHeight="1"/>
    <row r="4641" ht="15.75" hidden="1" customHeight="1"/>
    <row r="4642" ht="15.75" hidden="1" customHeight="1"/>
    <row r="4643" ht="15.75" hidden="1" customHeight="1"/>
    <row r="4644" ht="15.75" hidden="1" customHeight="1"/>
    <row r="4645" ht="15.75" hidden="1" customHeight="1"/>
    <row r="4646" ht="15.75" hidden="1" customHeight="1"/>
    <row r="4647" ht="15.75" hidden="1" customHeight="1"/>
    <row r="4648" ht="15.75" hidden="1" customHeight="1"/>
    <row r="4649" ht="15.75" hidden="1" customHeight="1"/>
    <row r="4650" ht="15.75" hidden="1" customHeight="1"/>
    <row r="4651" ht="15.75" hidden="1" customHeight="1"/>
    <row r="4652" ht="15.75" hidden="1" customHeight="1"/>
    <row r="4653" ht="15.75" hidden="1" customHeight="1"/>
    <row r="4654" ht="15.75" hidden="1" customHeight="1"/>
    <row r="4655" ht="15.75" hidden="1" customHeight="1"/>
    <row r="4656" ht="15.75" hidden="1" customHeight="1"/>
    <row r="4657" ht="15.75" hidden="1" customHeight="1"/>
    <row r="4658" ht="15.75" hidden="1" customHeight="1"/>
    <row r="4659" ht="15.75" hidden="1" customHeight="1"/>
    <row r="4660" ht="15.75" hidden="1" customHeight="1"/>
    <row r="4661" ht="15.75" hidden="1" customHeight="1"/>
    <row r="4662" ht="15.75" hidden="1" customHeight="1"/>
    <row r="4663" ht="15.75" hidden="1" customHeight="1"/>
    <row r="4664" ht="15.75" hidden="1" customHeight="1"/>
    <row r="4665" ht="15.75" hidden="1" customHeight="1"/>
    <row r="4666" ht="15.75" hidden="1" customHeight="1"/>
    <row r="4667" ht="15.75" hidden="1" customHeight="1"/>
    <row r="4668" ht="15.75" hidden="1" customHeight="1"/>
    <row r="4669" ht="15.75" hidden="1" customHeight="1"/>
    <row r="4670" ht="15.75" hidden="1" customHeight="1"/>
    <row r="4671" ht="15.75" hidden="1" customHeight="1"/>
    <row r="4672" ht="15.75" hidden="1" customHeight="1"/>
    <row r="4673" ht="15.75" hidden="1" customHeight="1"/>
    <row r="4674" ht="15.75" hidden="1" customHeight="1"/>
    <row r="4675" ht="15.75" hidden="1" customHeight="1"/>
    <row r="4676" ht="15.75" hidden="1" customHeight="1"/>
    <row r="4677" ht="15.75" hidden="1" customHeight="1"/>
    <row r="4678" ht="15.75" hidden="1" customHeight="1"/>
    <row r="4679" ht="15.75" hidden="1" customHeight="1"/>
    <row r="4680" ht="15.75" hidden="1" customHeight="1"/>
    <row r="4681" ht="15.75" hidden="1" customHeight="1"/>
    <row r="4682" ht="15.75" hidden="1" customHeight="1"/>
    <row r="4683" ht="15.75" hidden="1" customHeight="1"/>
    <row r="4684" ht="15.75" hidden="1" customHeight="1"/>
    <row r="4685" ht="15.75" hidden="1" customHeight="1"/>
    <row r="4686" ht="15.75" hidden="1" customHeight="1"/>
    <row r="4687" ht="15.75" hidden="1" customHeight="1"/>
    <row r="4688" ht="15.75" hidden="1" customHeight="1"/>
    <row r="4689" ht="15.75" hidden="1" customHeight="1"/>
    <row r="4690" ht="15.75" hidden="1" customHeight="1"/>
    <row r="4691" ht="15.75" hidden="1" customHeight="1"/>
    <row r="4692" ht="15.75" hidden="1" customHeight="1"/>
    <row r="4693" ht="15.75" hidden="1" customHeight="1"/>
    <row r="4694" ht="15.75" hidden="1" customHeight="1"/>
    <row r="4695" ht="15.75" hidden="1" customHeight="1"/>
    <row r="4696" ht="15.75" hidden="1" customHeight="1"/>
    <row r="4697" ht="15.75" hidden="1" customHeight="1"/>
    <row r="4698" ht="15.75" hidden="1" customHeight="1"/>
    <row r="4699" ht="15.75" hidden="1" customHeight="1"/>
    <row r="4700" ht="15.75" hidden="1" customHeight="1"/>
    <row r="4701" ht="15.75" hidden="1" customHeight="1"/>
    <row r="4702" ht="15.75" hidden="1" customHeight="1"/>
    <row r="4703" ht="15.75" hidden="1" customHeight="1"/>
    <row r="4704" ht="15.75" hidden="1" customHeight="1"/>
    <row r="4705" ht="15.75" hidden="1" customHeight="1"/>
    <row r="4706" ht="15.75" hidden="1" customHeight="1"/>
    <row r="4707" ht="15.75" hidden="1" customHeight="1"/>
    <row r="4708" ht="15.75" hidden="1" customHeight="1"/>
    <row r="4709" ht="15.75" hidden="1" customHeight="1"/>
    <row r="4710" ht="15.75" hidden="1" customHeight="1"/>
    <row r="4711" ht="15.75" hidden="1" customHeight="1"/>
    <row r="4712" ht="15.75" hidden="1" customHeight="1"/>
    <row r="4713" ht="15.75" hidden="1" customHeight="1"/>
    <row r="4714" ht="15.75" hidden="1" customHeight="1"/>
    <row r="4715" ht="15.75" hidden="1" customHeight="1"/>
    <row r="4716" ht="15.75" hidden="1" customHeight="1"/>
    <row r="4717" ht="15.75" hidden="1" customHeight="1"/>
    <row r="4718" ht="15.75" hidden="1" customHeight="1"/>
    <row r="4719" ht="15.75" hidden="1" customHeight="1"/>
    <row r="4720" ht="15.75" hidden="1" customHeight="1"/>
    <row r="4721" ht="15.75" hidden="1" customHeight="1"/>
    <row r="4722" ht="15.75" hidden="1" customHeight="1"/>
    <row r="4723" ht="15.75" hidden="1" customHeight="1"/>
    <row r="4724" ht="15.75" hidden="1" customHeight="1"/>
    <row r="4725" ht="15.75" hidden="1" customHeight="1"/>
    <row r="4726" ht="15.75" hidden="1" customHeight="1"/>
    <row r="4727" ht="15.75" hidden="1" customHeight="1"/>
    <row r="4728" ht="15.75" hidden="1" customHeight="1"/>
    <row r="4729" ht="15.75" hidden="1" customHeight="1"/>
    <row r="4730" ht="15.75" hidden="1" customHeight="1"/>
    <row r="4731" ht="15.75" hidden="1" customHeight="1"/>
    <row r="4732" ht="15.75" hidden="1" customHeight="1"/>
    <row r="4733" ht="15.75" hidden="1" customHeight="1"/>
    <row r="4734" ht="15.75" hidden="1" customHeight="1"/>
    <row r="4735" ht="15.75" hidden="1" customHeight="1"/>
    <row r="4736" ht="15.75" hidden="1" customHeight="1"/>
    <row r="4737" ht="15.75" hidden="1" customHeight="1"/>
    <row r="4738" ht="15.75" hidden="1" customHeight="1"/>
    <row r="4739" ht="15.75" hidden="1" customHeight="1"/>
    <row r="4740" ht="15.75" hidden="1" customHeight="1"/>
    <row r="4741" ht="15.75" hidden="1" customHeight="1"/>
    <row r="4742" ht="15.75" hidden="1" customHeight="1"/>
    <row r="4743" ht="15.75" hidden="1" customHeight="1"/>
    <row r="4744" ht="15.75" hidden="1" customHeight="1"/>
    <row r="4745" ht="15.75" hidden="1" customHeight="1"/>
    <row r="4746" ht="15.75" hidden="1" customHeight="1"/>
    <row r="4747" ht="15.75" hidden="1" customHeight="1"/>
    <row r="4748" ht="15.75" hidden="1" customHeight="1"/>
    <row r="4749" ht="15.75" hidden="1" customHeight="1"/>
    <row r="4750" ht="15.75" hidden="1" customHeight="1"/>
    <row r="4751" ht="15.75" hidden="1" customHeight="1"/>
    <row r="4752" ht="15.75" hidden="1" customHeight="1"/>
    <row r="4753" ht="15.75" hidden="1" customHeight="1"/>
    <row r="4754" ht="15.75" hidden="1" customHeight="1"/>
    <row r="4755" ht="15.75" hidden="1" customHeight="1"/>
    <row r="4756" ht="15.75" hidden="1" customHeight="1"/>
    <row r="4757" ht="15.75" hidden="1" customHeight="1"/>
    <row r="4758" ht="15.75" hidden="1" customHeight="1"/>
    <row r="4759" ht="15.75" hidden="1" customHeight="1"/>
    <row r="4760" ht="15.75" hidden="1" customHeight="1"/>
    <row r="4761" ht="15.75" hidden="1" customHeight="1"/>
    <row r="4762" ht="15.75" hidden="1" customHeight="1"/>
    <row r="4763" ht="15.75" hidden="1" customHeight="1"/>
    <row r="4764" ht="15.75" hidden="1" customHeight="1"/>
    <row r="4765" ht="15.75" hidden="1" customHeight="1"/>
    <row r="4766" ht="15.75" hidden="1" customHeight="1"/>
    <row r="4767" ht="15.75" hidden="1" customHeight="1"/>
    <row r="4768" ht="15.75" hidden="1" customHeight="1"/>
    <row r="4769" ht="15.75" hidden="1" customHeight="1"/>
    <row r="4770" ht="15.75" hidden="1" customHeight="1"/>
    <row r="4771" ht="15.75" hidden="1" customHeight="1"/>
    <row r="4772" ht="15.75" hidden="1" customHeight="1"/>
    <row r="4773" ht="15.75" hidden="1" customHeight="1"/>
    <row r="4774" ht="15.75" hidden="1" customHeight="1"/>
    <row r="4775" ht="15.75" hidden="1" customHeight="1"/>
    <row r="4776" ht="15.75" hidden="1" customHeight="1"/>
    <row r="4777" ht="15.75" hidden="1" customHeight="1"/>
    <row r="4778" ht="15.75" hidden="1" customHeight="1"/>
    <row r="4779" ht="15.75" hidden="1" customHeight="1"/>
    <row r="4780" ht="15.75" hidden="1" customHeight="1"/>
    <row r="4781" ht="15.75" hidden="1" customHeight="1"/>
    <row r="4782" ht="15.75" hidden="1" customHeight="1"/>
    <row r="4783" ht="15.75" hidden="1" customHeight="1"/>
    <row r="4784" ht="15.75" hidden="1" customHeight="1"/>
    <row r="4785" ht="15.75" hidden="1" customHeight="1"/>
    <row r="4786" ht="15.75" hidden="1" customHeight="1"/>
    <row r="4787" ht="15.75" hidden="1" customHeight="1"/>
    <row r="4788" ht="15.75" hidden="1" customHeight="1"/>
    <row r="4789" ht="15.75" hidden="1" customHeight="1"/>
    <row r="4790" ht="15.75" hidden="1" customHeight="1"/>
    <row r="4791" ht="15.75" hidden="1" customHeight="1"/>
    <row r="4792" ht="15.75" hidden="1" customHeight="1"/>
    <row r="4793" ht="15.75" hidden="1" customHeight="1"/>
    <row r="4794" ht="15.75" hidden="1" customHeight="1"/>
    <row r="4795" ht="15.75" hidden="1" customHeight="1"/>
    <row r="4796" ht="15.75" hidden="1" customHeight="1"/>
    <row r="4797" ht="15.75" hidden="1" customHeight="1"/>
    <row r="4798" ht="15.75" hidden="1" customHeight="1"/>
    <row r="4799" ht="15.75" hidden="1" customHeight="1"/>
    <row r="4800" ht="15.75" hidden="1" customHeight="1"/>
    <row r="4801" ht="15.75" hidden="1" customHeight="1"/>
    <row r="4802" ht="15.75" hidden="1" customHeight="1"/>
    <row r="4803" ht="15.75" hidden="1" customHeight="1"/>
    <row r="4804" ht="15.75" hidden="1" customHeight="1"/>
    <row r="4805" ht="15.75" hidden="1" customHeight="1"/>
    <row r="4806" ht="15.75" hidden="1" customHeight="1"/>
    <row r="4807" ht="15.75" hidden="1" customHeight="1"/>
    <row r="4808" ht="15.75" hidden="1" customHeight="1"/>
    <row r="4809" ht="15.75" hidden="1" customHeight="1"/>
    <row r="4810" ht="15.75" hidden="1" customHeight="1"/>
    <row r="4811" ht="15.75" hidden="1" customHeight="1"/>
    <row r="4812" ht="15.75" hidden="1" customHeight="1"/>
    <row r="4813" ht="15.75" hidden="1" customHeight="1"/>
    <row r="4814" ht="15.75" hidden="1" customHeight="1"/>
    <row r="4815" ht="15.75" hidden="1" customHeight="1"/>
    <row r="4816" ht="15.75" hidden="1" customHeight="1"/>
    <row r="4817" ht="15.75" hidden="1" customHeight="1"/>
    <row r="4818" ht="15.75" hidden="1" customHeight="1"/>
    <row r="4819" ht="15.75" hidden="1" customHeight="1"/>
    <row r="4820" ht="15.75" hidden="1" customHeight="1"/>
    <row r="4821" ht="15.75" hidden="1" customHeight="1"/>
    <row r="4822" ht="15.75" hidden="1" customHeight="1"/>
    <row r="4823" ht="15.75" hidden="1" customHeight="1"/>
    <row r="4824" ht="15.75" hidden="1" customHeight="1"/>
    <row r="4825" ht="15.75" hidden="1" customHeight="1"/>
    <row r="4826" ht="15.75" hidden="1" customHeight="1"/>
    <row r="4827" ht="15.75" hidden="1" customHeight="1"/>
    <row r="4828" ht="15.75" hidden="1" customHeight="1"/>
    <row r="4829" ht="15.75" hidden="1" customHeight="1"/>
    <row r="4830" ht="15.75" hidden="1" customHeight="1"/>
    <row r="4831" ht="15.75" hidden="1" customHeight="1"/>
    <row r="4832" ht="15.75" hidden="1" customHeight="1"/>
    <row r="4833" ht="15.75" hidden="1" customHeight="1"/>
    <row r="4834" ht="15.75" hidden="1" customHeight="1"/>
    <row r="4835" ht="15.75" hidden="1" customHeight="1"/>
    <row r="4836" ht="15.75" hidden="1" customHeight="1"/>
    <row r="4837" ht="15.75" hidden="1" customHeight="1"/>
    <row r="4838" ht="15.75" hidden="1" customHeight="1"/>
    <row r="4839" ht="15.75" hidden="1" customHeight="1"/>
    <row r="4840" ht="15.75" hidden="1" customHeight="1"/>
    <row r="4841" ht="15.75" hidden="1" customHeight="1"/>
    <row r="4842" ht="15.75" hidden="1" customHeight="1"/>
    <row r="4843" ht="15.75" hidden="1" customHeight="1"/>
    <row r="4844" ht="15.75" hidden="1" customHeight="1"/>
    <row r="4845" ht="15.75" hidden="1" customHeight="1"/>
    <row r="4846" ht="15.75" hidden="1" customHeight="1"/>
    <row r="4847" ht="15.75" hidden="1" customHeight="1"/>
    <row r="4848" ht="15.75" hidden="1" customHeight="1"/>
    <row r="4849" ht="15.75" hidden="1" customHeight="1"/>
    <row r="4850" ht="15.75" hidden="1" customHeight="1"/>
    <row r="4851" ht="15.75" hidden="1" customHeight="1"/>
    <row r="4852" ht="15.75" hidden="1" customHeight="1"/>
    <row r="4853" ht="15.75" hidden="1" customHeight="1"/>
    <row r="4854" ht="15.75" hidden="1" customHeight="1"/>
    <row r="4855" ht="15.75" hidden="1" customHeight="1"/>
    <row r="4856" ht="15.75" hidden="1" customHeight="1"/>
    <row r="4857" ht="15.75" hidden="1" customHeight="1"/>
    <row r="4858" ht="15.75" hidden="1" customHeight="1"/>
    <row r="4859" ht="15.75" hidden="1" customHeight="1"/>
    <row r="4860" ht="15.75" hidden="1" customHeight="1"/>
    <row r="4861" ht="15.75" hidden="1" customHeight="1"/>
    <row r="4862" ht="15.75" hidden="1" customHeight="1"/>
    <row r="4863" ht="15.75" hidden="1" customHeight="1"/>
    <row r="4864" ht="15.75" hidden="1" customHeight="1"/>
    <row r="4865" ht="15.75" hidden="1" customHeight="1"/>
    <row r="4866" ht="15.75" hidden="1" customHeight="1"/>
    <row r="4867" ht="15.75" hidden="1" customHeight="1"/>
    <row r="4868" ht="15.75" hidden="1" customHeight="1"/>
    <row r="4869" ht="15.75" hidden="1" customHeight="1"/>
    <row r="4870" ht="15.75" hidden="1" customHeight="1"/>
    <row r="4871" ht="15.75" hidden="1" customHeight="1"/>
    <row r="4872" ht="15.75" hidden="1" customHeight="1"/>
    <row r="4873" ht="15.75" hidden="1" customHeight="1"/>
    <row r="4874" ht="15.75" hidden="1" customHeight="1"/>
    <row r="4875" ht="15.75" hidden="1" customHeight="1"/>
    <row r="4876" ht="15.75" hidden="1" customHeight="1"/>
    <row r="4877" ht="15.75" hidden="1" customHeight="1"/>
    <row r="4878" ht="15.75" hidden="1" customHeight="1"/>
    <row r="4879" ht="15.75" hidden="1" customHeight="1"/>
    <row r="4880" ht="15.75" hidden="1" customHeight="1"/>
    <row r="4881" ht="15.75" hidden="1" customHeight="1"/>
    <row r="4882" ht="15.75" hidden="1" customHeight="1"/>
    <row r="4883" ht="15.75" hidden="1" customHeight="1"/>
    <row r="4884" ht="15.75" hidden="1" customHeight="1"/>
    <row r="4885" ht="15.75" hidden="1" customHeight="1"/>
    <row r="4886" ht="15.75" hidden="1" customHeight="1"/>
    <row r="4887" ht="15.75" hidden="1" customHeight="1"/>
    <row r="4888" ht="15.75" hidden="1" customHeight="1"/>
    <row r="4889" ht="15.75" hidden="1" customHeight="1"/>
    <row r="4890" ht="15.75" hidden="1" customHeight="1"/>
    <row r="4891" ht="15.75" hidden="1" customHeight="1"/>
    <row r="4892" ht="15.75" hidden="1" customHeight="1"/>
    <row r="4893" ht="15.75" hidden="1" customHeight="1"/>
    <row r="4894" ht="15.75" hidden="1" customHeight="1"/>
    <row r="4895" ht="15.75" hidden="1" customHeight="1"/>
    <row r="4896" ht="15.75" hidden="1" customHeight="1"/>
    <row r="4897" ht="15.75" hidden="1" customHeight="1"/>
    <row r="4898" ht="15.75" hidden="1" customHeight="1"/>
    <row r="4899" ht="15.75" hidden="1" customHeight="1"/>
    <row r="4900" ht="15.75" hidden="1" customHeight="1"/>
    <row r="4901" ht="15.75" hidden="1" customHeight="1"/>
    <row r="4902" ht="15.75" hidden="1" customHeight="1"/>
    <row r="4903" ht="15.75" hidden="1" customHeight="1"/>
    <row r="4904" ht="15.75" hidden="1" customHeight="1"/>
    <row r="4905" ht="15.75" hidden="1" customHeight="1"/>
    <row r="4906" ht="15.75" hidden="1" customHeight="1"/>
    <row r="4907" ht="15.75" hidden="1" customHeight="1"/>
    <row r="4908" ht="15.75" hidden="1" customHeight="1"/>
    <row r="4909" ht="15.75" hidden="1" customHeight="1"/>
    <row r="4910" ht="15.75" hidden="1" customHeight="1"/>
    <row r="4911" ht="15.75" hidden="1" customHeight="1"/>
    <row r="4912" ht="15.75" hidden="1" customHeight="1"/>
    <row r="4913" ht="15.75" hidden="1" customHeight="1"/>
    <row r="4914" ht="15.75" hidden="1" customHeight="1"/>
    <row r="4915" ht="15.75" hidden="1" customHeight="1"/>
    <row r="4916" ht="15.75" hidden="1" customHeight="1"/>
    <row r="4917" ht="15.75" hidden="1" customHeight="1"/>
    <row r="4918" ht="15.75" hidden="1" customHeight="1"/>
    <row r="4919" ht="15.75" hidden="1" customHeight="1"/>
    <row r="4920" ht="15.75" hidden="1" customHeight="1"/>
    <row r="4921" ht="15.75" hidden="1" customHeight="1"/>
    <row r="4922" ht="15.75" hidden="1" customHeight="1"/>
    <row r="4923" ht="15.75" hidden="1" customHeight="1"/>
    <row r="4924" ht="15.75" hidden="1" customHeight="1"/>
    <row r="4925" ht="15.75" hidden="1" customHeight="1"/>
    <row r="4926" ht="15.75" hidden="1" customHeight="1"/>
    <row r="4927" ht="15.75" hidden="1" customHeight="1"/>
    <row r="4928" ht="15.75" hidden="1" customHeight="1"/>
    <row r="4929" ht="15.75" hidden="1" customHeight="1"/>
    <row r="4930" ht="15.75" hidden="1" customHeight="1"/>
    <row r="4931" ht="15.75" hidden="1" customHeight="1"/>
    <row r="4932" ht="15.75" hidden="1" customHeight="1"/>
    <row r="4933" ht="15.75" hidden="1" customHeight="1"/>
    <row r="4934" ht="15.75" hidden="1" customHeight="1"/>
    <row r="4935" ht="15.75" hidden="1" customHeight="1"/>
    <row r="4936" ht="15.75" hidden="1" customHeight="1"/>
    <row r="4937" ht="15.75" hidden="1" customHeight="1"/>
    <row r="4938" ht="15.75" hidden="1" customHeight="1"/>
    <row r="4939" ht="15.75" hidden="1" customHeight="1"/>
    <row r="4940" ht="15.75" hidden="1" customHeight="1"/>
    <row r="4941" ht="15.75" hidden="1" customHeight="1"/>
    <row r="4942" ht="15.75" hidden="1" customHeight="1"/>
    <row r="4943" ht="15.75" hidden="1" customHeight="1"/>
    <row r="4944" ht="15.75" hidden="1" customHeight="1"/>
    <row r="4945" ht="15.75" hidden="1" customHeight="1"/>
    <row r="4946" ht="15.75" hidden="1" customHeight="1"/>
    <row r="4947" ht="15.75" hidden="1" customHeight="1"/>
    <row r="4948" ht="15.75" hidden="1" customHeight="1"/>
    <row r="4949" ht="15.75" hidden="1" customHeight="1"/>
    <row r="4950" ht="15.75" hidden="1" customHeight="1"/>
    <row r="4951" ht="15.75" hidden="1" customHeight="1"/>
    <row r="4952" ht="15.75" hidden="1" customHeight="1"/>
    <row r="4953" ht="15.75" hidden="1" customHeight="1"/>
    <row r="4954" ht="15.75" hidden="1" customHeight="1"/>
    <row r="4955" ht="15.75" hidden="1" customHeight="1"/>
    <row r="4956" ht="15.75" hidden="1" customHeight="1"/>
    <row r="4957" ht="15.75" hidden="1" customHeight="1"/>
    <row r="4958" ht="15.75" hidden="1" customHeight="1"/>
    <row r="4959" ht="15.75" hidden="1" customHeight="1"/>
    <row r="4960" ht="15.75" hidden="1" customHeight="1"/>
    <row r="4961" ht="15.75" hidden="1" customHeight="1"/>
    <row r="4962" ht="15.75" hidden="1" customHeight="1"/>
    <row r="4963" ht="15.75" hidden="1" customHeight="1"/>
    <row r="4964" ht="15.75" hidden="1" customHeight="1"/>
    <row r="4965" ht="15.75" hidden="1" customHeight="1"/>
    <row r="4966" ht="15.75" hidden="1" customHeight="1"/>
    <row r="4967" ht="15.75" hidden="1" customHeight="1"/>
    <row r="4968" ht="15.75" hidden="1" customHeight="1"/>
    <row r="4969" ht="15.75" hidden="1" customHeight="1"/>
    <row r="4970" ht="15.75" hidden="1" customHeight="1"/>
    <row r="4971" ht="15.75" hidden="1" customHeight="1"/>
    <row r="4972" ht="15.75" hidden="1" customHeight="1"/>
    <row r="4973" ht="15.75" hidden="1" customHeight="1"/>
    <row r="4974" ht="15.75" hidden="1" customHeight="1"/>
    <row r="4975" ht="15.75" hidden="1" customHeight="1"/>
    <row r="4976" ht="15.75" hidden="1" customHeight="1"/>
    <row r="4977" ht="15.75" hidden="1" customHeight="1"/>
    <row r="4978" ht="15.75" hidden="1" customHeight="1"/>
    <row r="4979" ht="15.75" hidden="1" customHeight="1"/>
    <row r="4980" ht="15.75" hidden="1" customHeight="1"/>
    <row r="4981" ht="15.75" hidden="1" customHeight="1"/>
    <row r="4982" ht="15.75" hidden="1" customHeight="1"/>
    <row r="4983" ht="15.75" hidden="1" customHeight="1"/>
    <row r="4984" ht="15.75" hidden="1" customHeight="1"/>
    <row r="4985" ht="15.75" hidden="1" customHeight="1"/>
    <row r="4986" ht="15.75" hidden="1" customHeight="1"/>
    <row r="4987" ht="15.75" hidden="1" customHeight="1"/>
    <row r="4988" ht="15.75" hidden="1" customHeight="1"/>
    <row r="4989" ht="15.75" hidden="1" customHeight="1"/>
    <row r="4990" ht="15.75" hidden="1" customHeight="1"/>
    <row r="4991" ht="15.75" hidden="1" customHeight="1"/>
    <row r="4992" ht="15.75" hidden="1" customHeight="1"/>
    <row r="4993" ht="15.75" hidden="1" customHeight="1"/>
    <row r="4994" ht="15.75" hidden="1" customHeight="1"/>
    <row r="4995" ht="15.75" hidden="1" customHeight="1"/>
    <row r="4996" ht="15.75" hidden="1" customHeight="1"/>
    <row r="4997" ht="15.75" hidden="1" customHeight="1"/>
    <row r="4998" ht="15.75" hidden="1" customHeight="1"/>
    <row r="4999" ht="15.75" hidden="1" customHeight="1"/>
    <row r="5000" ht="15.75" hidden="1" customHeight="1"/>
    <row r="5001" ht="15.75" hidden="1" customHeight="1"/>
    <row r="5002" ht="15.75" hidden="1" customHeight="1"/>
    <row r="5003" ht="15.75" hidden="1" customHeight="1"/>
    <row r="5004" ht="15.75" hidden="1" customHeight="1"/>
    <row r="5005" ht="15.75" hidden="1" customHeight="1"/>
    <row r="5006" ht="15.75" hidden="1" customHeight="1"/>
    <row r="5007" ht="15.75" hidden="1" customHeight="1"/>
    <row r="5008" ht="15.75" hidden="1" customHeight="1"/>
    <row r="5009" ht="15.75" hidden="1" customHeight="1"/>
    <row r="5010" ht="15.75" hidden="1" customHeight="1"/>
    <row r="5011" ht="15.75" hidden="1" customHeight="1"/>
    <row r="5012" ht="15.75" hidden="1" customHeight="1"/>
    <row r="5013" ht="15.75" hidden="1" customHeight="1"/>
    <row r="5014" ht="15.75" hidden="1" customHeight="1"/>
    <row r="5015" ht="15.75" hidden="1" customHeight="1"/>
    <row r="5016" ht="15.75" hidden="1" customHeight="1"/>
    <row r="5017" ht="15.75" hidden="1" customHeight="1"/>
    <row r="5018" ht="15.75" hidden="1" customHeight="1"/>
    <row r="5019" ht="15.75" hidden="1" customHeight="1"/>
    <row r="5020" ht="15.75" hidden="1" customHeight="1"/>
    <row r="5021" ht="15.75" hidden="1" customHeight="1"/>
    <row r="5022" ht="15.75" hidden="1" customHeight="1"/>
    <row r="5023" ht="15.75" hidden="1" customHeight="1"/>
    <row r="5024" ht="15.75" hidden="1" customHeight="1"/>
    <row r="5025" ht="15.75" hidden="1" customHeight="1"/>
    <row r="5026" ht="15.75" hidden="1" customHeight="1"/>
    <row r="5027" ht="15.75" hidden="1" customHeight="1"/>
    <row r="5028" ht="15.75" hidden="1" customHeight="1"/>
    <row r="5029" ht="15.75" hidden="1" customHeight="1"/>
    <row r="5030" ht="15.75" hidden="1" customHeight="1"/>
    <row r="5031" ht="15.75" hidden="1" customHeight="1"/>
    <row r="5032" ht="15.75" hidden="1" customHeight="1"/>
    <row r="5033" ht="15.75" hidden="1" customHeight="1"/>
    <row r="5034" ht="15.75" hidden="1" customHeight="1"/>
    <row r="5035" ht="15.75" hidden="1" customHeight="1"/>
    <row r="5036" ht="15.75" hidden="1" customHeight="1"/>
    <row r="5037" ht="15.75" hidden="1" customHeight="1"/>
    <row r="5038" ht="15.75" hidden="1" customHeight="1"/>
    <row r="5039" ht="15.75" hidden="1" customHeight="1"/>
    <row r="5040" ht="15.75" hidden="1" customHeight="1"/>
    <row r="5041" ht="15.75" hidden="1" customHeight="1"/>
    <row r="5042" ht="15.75" hidden="1" customHeight="1"/>
    <row r="5043" ht="15.75" hidden="1" customHeight="1"/>
    <row r="5044" ht="15.75" hidden="1" customHeight="1"/>
    <row r="5045" ht="15.75" hidden="1" customHeight="1"/>
    <row r="5046" ht="15.75" hidden="1" customHeight="1"/>
    <row r="5047" ht="15.75" hidden="1" customHeight="1"/>
    <row r="5048" ht="15.75" hidden="1" customHeight="1"/>
    <row r="5049" ht="15.75" hidden="1" customHeight="1"/>
    <row r="5050" ht="15.75" hidden="1" customHeight="1"/>
    <row r="5051" ht="15.75" hidden="1" customHeight="1"/>
    <row r="5052" ht="15.75" hidden="1" customHeight="1"/>
    <row r="5053" ht="15.75" hidden="1" customHeight="1"/>
    <row r="5054" ht="15.75" hidden="1" customHeight="1"/>
    <row r="5055" ht="15.75" hidden="1" customHeight="1"/>
    <row r="5056" ht="15.75" hidden="1" customHeight="1"/>
    <row r="5057" ht="15.75" hidden="1" customHeight="1"/>
    <row r="5058" ht="15.75" hidden="1" customHeight="1"/>
    <row r="5059" ht="15.75" hidden="1" customHeight="1"/>
    <row r="5060" ht="15.75" hidden="1" customHeight="1"/>
    <row r="5061" ht="15.75" hidden="1" customHeight="1"/>
    <row r="5062" ht="15.75" hidden="1" customHeight="1"/>
    <row r="5063" ht="15.75" hidden="1" customHeight="1"/>
    <row r="5064" ht="15.75" hidden="1" customHeight="1"/>
    <row r="5065" ht="15.75" hidden="1" customHeight="1"/>
    <row r="5066" ht="15.75" hidden="1" customHeight="1"/>
    <row r="5067" ht="15.75" hidden="1" customHeight="1"/>
    <row r="5068" ht="15.75" hidden="1" customHeight="1"/>
    <row r="5069" ht="15.75" hidden="1" customHeight="1"/>
    <row r="5070" ht="15.75" hidden="1" customHeight="1"/>
    <row r="5071" ht="15.75" hidden="1" customHeight="1"/>
    <row r="5072" ht="15.75" hidden="1" customHeight="1"/>
    <row r="5073" ht="15.75" hidden="1" customHeight="1"/>
    <row r="5074" ht="15.75" hidden="1" customHeight="1"/>
    <row r="5075" ht="15.75" hidden="1" customHeight="1"/>
    <row r="5076" ht="15.75" hidden="1" customHeight="1"/>
    <row r="5077" ht="15.75" hidden="1" customHeight="1"/>
    <row r="5078" ht="15.75" hidden="1" customHeight="1"/>
    <row r="5079" ht="15.75" hidden="1" customHeight="1"/>
    <row r="5080" ht="15.75" hidden="1" customHeight="1"/>
    <row r="5081" ht="15.75" hidden="1" customHeight="1"/>
    <row r="5082" ht="15.75" hidden="1" customHeight="1"/>
    <row r="5083" ht="15.75" hidden="1" customHeight="1"/>
    <row r="5084" ht="15.75" hidden="1" customHeight="1"/>
    <row r="5085" ht="15.75" hidden="1" customHeight="1"/>
    <row r="5086" ht="15.75" hidden="1" customHeight="1"/>
    <row r="5087" ht="15.75" hidden="1" customHeight="1"/>
    <row r="5088" ht="15.75" hidden="1" customHeight="1"/>
    <row r="5089" ht="15.75" hidden="1" customHeight="1"/>
    <row r="5090" ht="15.75" hidden="1" customHeight="1"/>
    <row r="5091" ht="15.75" hidden="1" customHeight="1"/>
    <row r="5092" ht="15.75" hidden="1" customHeight="1"/>
    <row r="5093" ht="15.75" hidden="1" customHeight="1"/>
    <row r="5094" ht="15.75" hidden="1" customHeight="1"/>
    <row r="5095" ht="15.75" hidden="1" customHeight="1"/>
    <row r="5096" ht="15.75" hidden="1" customHeight="1"/>
    <row r="5097" ht="15.75" hidden="1" customHeight="1"/>
    <row r="5098" ht="15.75" hidden="1" customHeight="1"/>
    <row r="5099" ht="15.75" hidden="1" customHeight="1"/>
    <row r="5100" ht="15.75" hidden="1" customHeight="1"/>
    <row r="5101" ht="15.75" hidden="1" customHeight="1"/>
    <row r="5102" ht="15.75" hidden="1" customHeight="1"/>
    <row r="5103" ht="15.75" hidden="1" customHeight="1"/>
    <row r="5104" ht="15.75" hidden="1" customHeight="1"/>
    <row r="5105" ht="15.75" hidden="1" customHeight="1"/>
    <row r="5106" ht="15.75" hidden="1" customHeight="1"/>
    <row r="5107" ht="15.75" hidden="1" customHeight="1"/>
    <row r="5108" ht="15.75" hidden="1" customHeight="1"/>
    <row r="5109" ht="15.75" hidden="1" customHeight="1"/>
    <row r="5110" ht="15.75" hidden="1" customHeight="1"/>
    <row r="5111" ht="15.75" hidden="1" customHeight="1"/>
    <row r="5112" ht="15.75" hidden="1" customHeight="1"/>
    <row r="5113" ht="15.75" hidden="1" customHeight="1"/>
    <row r="5114" ht="15.75" hidden="1" customHeight="1"/>
    <row r="5115" ht="15.75" hidden="1" customHeight="1"/>
    <row r="5116" ht="15.75" hidden="1" customHeight="1"/>
    <row r="5117" ht="15.75" hidden="1" customHeight="1"/>
    <row r="5118" ht="15.75" hidden="1" customHeight="1"/>
    <row r="5119" ht="15.75" hidden="1" customHeight="1"/>
    <row r="5120" ht="15.75" hidden="1" customHeight="1"/>
    <row r="5121" ht="15.75" hidden="1" customHeight="1"/>
    <row r="5122" ht="15.75" hidden="1" customHeight="1"/>
    <row r="5123" ht="15.75" hidden="1" customHeight="1"/>
    <row r="5124" ht="15.75" hidden="1" customHeight="1"/>
    <row r="5125" ht="15.75" hidden="1" customHeight="1"/>
    <row r="5126" ht="15.75" hidden="1" customHeight="1"/>
    <row r="5127" ht="15.75" hidden="1" customHeight="1"/>
    <row r="5128" ht="15.75" hidden="1" customHeight="1"/>
    <row r="5129" ht="15.75" hidden="1" customHeight="1"/>
    <row r="5130" ht="15.75" hidden="1" customHeight="1"/>
    <row r="5131" ht="15.75" hidden="1" customHeight="1"/>
    <row r="5132" ht="15.75" hidden="1" customHeight="1"/>
    <row r="5133" ht="15.75" hidden="1" customHeight="1"/>
    <row r="5134" ht="15.75" hidden="1" customHeight="1"/>
    <row r="5135" ht="15.75" hidden="1" customHeight="1"/>
    <row r="5136" ht="15.75" hidden="1" customHeight="1"/>
    <row r="5137" ht="15.75" hidden="1" customHeight="1"/>
    <row r="5138" ht="15.75" hidden="1" customHeight="1"/>
    <row r="5139" ht="15.75" hidden="1" customHeight="1"/>
    <row r="5140" ht="15.75" hidden="1" customHeight="1"/>
    <row r="5141" ht="15.75" hidden="1" customHeight="1"/>
    <row r="5142" ht="15.75" hidden="1" customHeight="1"/>
    <row r="5143" ht="15.75" hidden="1" customHeight="1"/>
    <row r="5144" ht="15.75" hidden="1" customHeight="1"/>
    <row r="5145" ht="15.75" hidden="1" customHeight="1"/>
    <row r="5146" ht="15.75" hidden="1" customHeight="1"/>
    <row r="5147" ht="15.75" hidden="1" customHeight="1"/>
    <row r="5148" ht="15.75" hidden="1" customHeight="1"/>
    <row r="5149" ht="15.75" hidden="1" customHeight="1"/>
    <row r="5150" ht="15.75" hidden="1" customHeight="1"/>
    <row r="5151" ht="15.75" hidden="1" customHeight="1"/>
    <row r="5152" ht="15.75" hidden="1" customHeight="1"/>
    <row r="5153" ht="15.75" hidden="1" customHeight="1"/>
    <row r="5154" ht="15.75" hidden="1" customHeight="1"/>
    <row r="5155" ht="15.75" hidden="1" customHeight="1"/>
    <row r="5156" ht="15.75" hidden="1" customHeight="1"/>
    <row r="5157" ht="15.75" hidden="1" customHeight="1"/>
    <row r="5158" ht="15.75" hidden="1" customHeight="1"/>
    <row r="5159" ht="15.75" hidden="1" customHeight="1"/>
    <row r="5160" ht="15.75" hidden="1" customHeight="1"/>
    <row r="5161" ht="15.75" hidden="1" customHeight="1"/>
    <row r="5162" ht="15.75" hidden="1" customHeight="1"/>
    <row r="5163" ht="15.75" hidden="1" customHeight="1"/>
    <row r="5164" ht="15.75" hidden="1" customHeight="1"/>
    <row r="5165" ht="15.75" hidden="1" customHeight="1"/>
    <row r="5166" ht="15.75" hidden="1" customHeight="1"/>
    <row r="5167" ht="15.75" hidden="1" customHeight="1"/>
    <row r="5168" ht="15.75" hidden="1" customHeight="1"/>
    <row r="5169" ht="15.75" hidden="1" customHeight="1"/>
    <row r="5170" ht="15.75" hidden="1" customHeight="1"/>
    <row r="5171" ht="15.75" hidden="1" customHeight="1"/>
    <row r="5172" ht="15.75" hidden="1" customHeight="1"/>
    <row r="5173" ht="15.75" hidden="1" customHeight="1"/>
    <row r="5174" ht="15.75" hidden="1" customHeight="1"/>
    <row r="5175" ht="15.75" hidden="1" customHeight="1"/>
    <row r="5176" ht="15.75" hidden="1" customHeight="1"/>
    <row r="5177" ht="15.75" hidden="1" customHeight="1"/>
    <row r="5178" ht="15.75" hidden="1" customHeight="1"/>
    <row r="5179" ht="15.75" hidden="1" customHeight="1"/>
    <row r="5180" ht="15.75" hidden="1" customHeight="1"/>
    <row r="5181" ht="15.75" hidden="1" customHeight="1"/>
    <row r="5182" ht="15.75" hidden="1" customHeight="1"/>
    <row r="5183" ht="15.75" hidden="1" customHeight="1"/>
    <row r="5184" ht="15.75" hidden="1" customHeight="1"/>
    <row r="5185" ht="15.75" hidden="1" customHeight="1"/>
    <row r="5186" ht="15.75" hidden="1" customHeight="1"/>
    <row r="5187" ht="15.75" hidden="1" customHeight="1"/>
    <row r="5188" ht="15.75" hidden="1" customHeight="1"/>
    <row r="5189" ht="15.75" hidden="1" customHeight="1"/>
    <row r="5190" ht="15.75" hidden="1" customHeight="1"/>
    <row r="5191" ht="15.75" hidden="1" customHeight="1"/>
    <row r="5192" ht="15.75" hidden="1" customHeight="1"/>
    <row r="5193" ht="15.75" hidden="1" customHeight="1"/>
    <row r="5194" ht="15.75" hidden="1" customHeight="1"/>
    <row r="5195" ht="15.75" hidden="1" customHeight="1"/>
    <row r="5196" ht="15.75" hidden="1" customHeight="1"/>
    <row r="5197" ht="15.75" hidden="1" customHeight="1"/>
    <row r="5198" ht="15.75" hidden="1" customHeight="1"/>
    <row r="5199" ht="15.75" hidden="1" customHeight="1"/>
    <row r="5200" ht="15.75" hidden="1" customHeight="1"/>
    <row r="5201" ht="15.75" hidden="1" customHeight="1"/>
    <row r="5202" ht="15.75" hidden="1" customHeight="1"/>
    <row r="5203" ht="15.75" hidden="1" customHeight="1"/>
    <row r="5204" ht="15.75" hidden="1" customHeight="1"/>
    <row r="5205" ht="15.75" hidden="1" customHeight="1"/>
    <row r="5206" ht="15.75" hidden="1" customHeight="1"/>
    <row r="5207" ht="15.75" hidden="1" customHeight="1"/>
    <row r="5208" ht="15.75" hidden="1" customHeight="1"/>
    <row r="5209" ht="15.75" hidden="1" customHeight="1"/>
    <row r="5210" ht="15.75" hidden="1" customHeight="1"/>
    <row r="5211" ht="15.75" hidden="1" customHeight="1"/>
    <row r="5212" ht="15.75" hidden="1" customHeight="1"/>
    <row r="5213" ht="15.75" hidden="1" customHeight="1"/>
    <row r="5214" ht="15.75" hidden="1" customHeight="1"/>
    <row r="5215" ht="15.75" hidden="1" customHeight="1"/>
    <row r="5216" ht="15.75" hidden="1" customHeight="1"/>
    <row r="5217" ht="15.75" hidden="1" customHeight="1"/>
    <row r="5218" ht="15.75" hidden="1" customHeight="1"/>
    <row r="5219" ht="15.75" hidden="1" customHeight="1"/>
    <row r="5220" ht="15.75" hidden="1" customHeight="1"/>
    <row r="5221" ht="15.75" hidden="1" customHeight="1"/>
    <row r="5222" ht="15.75" hidden="1" customHeight="1"/>
    <row r="5223" ht="15.75" hidden="1" customHeight="1"/>
    <row r="5224" ht="15.75" hidden="1" customHeight="1"/>
    <row r="5225" ht="15.75" hidden="1" customHeight="1"/>
    <row r="5226" ht="15.75" hidden="1" customHeight="1"/>
    <row r="5227" ht="15.75" hidden="1" customHeight="1"/>
    <row r="5228" ht="15.75" hidden="1" customHeight="1"/>
    <row r="5229" ht="15.75" hidden="1" customHeight="1"/>
    <row r="5230" ht="15.75" hidden="1" customHeight="1"/>
    <row r="5231" ht="15.75" hidden="1" customHeight="1"/>
    <row r="5232" ht="15.75" hidden="1" customHeight="1"/>
    <row r="5233" ht="15.75" hidden="1" customHeight="1"/>
    <row r="5234" ht="15.75" hidden="1" customHeight="1"/>
    <row r="5235" ht="15.75" hidden="1" customHeight="1"/>
    <row r="5236" ht="15.75" hidden="1" customHeight="1"/>
    <row r="5237" ht="15.75" hidden="1" customHeight="1"/>
    <row r="5238" ht="15.75" hidden="1" customHeight="1"/>
    <row r="5239" ht="15.75" hidden="1" customHeight="1"/>
    <row r="5240" ht="15.75" hidden="1" customHeight="1"/>
    <row r="5241" ht="15.75" hidden="1" customHeight="1"/>
    <row r="5242" ht="15.75" hidden="1" customHeight="1"/>
    <row r="5243" ht="15.75" hidden="1" customHeight="1"/>
    <row r="5244" ht="15.75" hidden="1" customHeight="1"/>
    <row r="5245" ht="15.75" hidden="1" customHeight="1"/>
    <row r="5246" ht="15.75" hidden="1" customHeight="1"/>
    <row r="5247" ht="15.75" hidden="1" customHeight="1"/>
    <row r="5248" ht="15.75" hidden="1" customHeight="1"/>
    <row r="5249" ht="15.75" hidden="1" customHeight="1"/>
    <row r="5250" ht="15.75" hidden="1" customHeight="1"/>
    <row r="5251" ht="15.75" hidden="1" customHeight="1"/>
    <row r="5252" ht="15.75" hidden="1" customHeight="1"/>
    <row r="5253" ht="15.75" hidden="1" customHeight="1"/>
    <row r="5254" ht="15.75" hidden="1" customHeight="1"/>
    <row r="5255" ht="15.75" hidden="1" customHeight="1"/>
    <row r="5256" ht="15.75" hidden="1" customHeight="1"/>
    <row r="5257" ht="15.75" hidden="1" customHeight="1"/>
    <row r="5258" ht="15.75" hidden="1" customHeight="1"/>
    <row r="5259" ht="15.75" hidden="1" customHeight="1"/>
    <row r="5260" ht="15.75" hidden="1" customHeight="1"/>
    <row r="5261" ht="15.75" hidden="1" customHeight="1"/>
    <row r="5262" ht="15.75" hidden="1" customHeight="1"/>
    <row r="5263" ht="15.75" hidden="1" customHeight="1"/>
    <row r="5264" ht="15.75" hidden="1" customHeight="1"/>
    <row r="5265" ht="15.75" hidden="1" customHeight="1"/>
    <row r="5266" ht="15.75" hidden="1" customHeight="1"/>
    <row r="5267" ht="15.75" hidden="1" customHeight="1"/>
    <row r="5268" ht="15.75" hidden="1" customHeight="1"/>
    <row r="5269" ht="15.75" hidden="1" customHeight="1"/>
    <row r="5270" ht="15.75" hidden="1" customHeight="1"/>
    <row r="5271" ht="15.75" hidden="1" customHeight="1"/>
    <row r="5272" ht="15.75" hidden="1" customHeight="1"/>
    <row r="5273" ht="15.75" hidden="1" customHeight="1"/>
    <row r="5274" ht="15.75" hidden="1" customHeight="1"/>
    <row r="5275" ht="15.75" hidden="1" customHeight="1"/>
    <row r="5276" ht="15.75" hidden="1" customHeight="1"/>
    <row r="5277" ht="15.75" hidden="1" customHeight="1"/>
    <row r="5278" ht="15.75" hidden="1" customHeight="1"/>
    <row r="5279" ht="15.75" hidden="1" customHeight="1"/>
    <row r="5280" ht="15.75" hidden="1" customHeight="1"/>
    <row r="5281" ht="15.75" hidden="1" customHeight="1"/>
    <row r="5282" ht="15.75" hidden="1" customHeight="1"/>
    <row r="5283" ht="15.75" hidden="1" customHeight="1"/>
    <row r="5284" ht="15.75" hidden="1" customHeight="1"/>
    <row r="5285" ht="15.75" hidden="1" customHeight="1"/>
    <row r="5286" ht="15.75" hidden="1" customHeight="1"/>
    <row r="5287" ht="15.75" hidden="1" customHeight="1"/>
    <row r="5288" ht="15.75" hidden="1" customHeight="1"/>
    <row r="5289" ht="15.75" hidden="1" customHeight="1"/>
    <row r="5290" ht="15.75" hidden="1" customHeight="1"/>
    <row r="5291" ht="15.75" hidden="1" customHeight="1"/>
    <row r="5292" ht="15.75" hidden="1" customHeight="1"/>
    <row r="5293" ht="15.75" hidden="1" customHeight="1"/>
    <row r="5294" ht="15.75" hidden="1" customHeight="1"/>
    <row r="5295" ht="15.75" hidden="1" customHeight="1"/>
    <row r="5296" ht="15.75" hidden="1" customHeight="1"/>
    <row r="5297" ht="15.75" hidden="1" customHeight="1"/>
    <row r="5298" ht="15.75" hidden="1" customHeight="1"/>
    <row r="5299" ht="15.75" hidden="1" customHeight="1"/>
    <row r="5300" ht="15.75" hidden="1" customHeight="1"/>
    <row r="5301" ht="15.75" hidden="1" customHeight="1"/>
    <row r="5302" ht="15.75" hidden="1" customHeight="1"/>
    <row r="5303" ht="15.75" hidden="1" customHeight="1"/>
    <row r="5304" ht="15.75" hidden="1" customHeight="1"/>
    <row r="5305" ht="15.75" hidden="1" customHeight="1"/>
    <row r="5306" ht="15.75" hidden="1" customHeight="1"/>
    <row r="5307" ht="15.75" hidden="1" customHeight="1"/>
    <row r="5308" ht="15.75" hidden="1" customHeight="1"/>
    <row r="5309" ht="15.75" hidden="1" customHeight="1"/>
    <row r="5310" ht="15.75" hidden="1" customHeight="1"/>
    <row r="5311" ht="15.75" hidden="1" customHeight="1"/>
    <row r="5312" ht="15.75" hidden="1" customHeight="1"/>
    <row r="5313" ht="15.75" hidden="1" customHeight="1"/>
    <row r="5314" ht="15.75" hidden="1" customHeight="1"/>
    <row r="5315" ht="15.75" hidden="1" customHeight="1"/>
    <row r="5316" ht="15.75" hidden="1" customHeight="1"/>
    <row r="5317" ht="15.75" hidden="1" customHeight="1"/>
    <row r="5318" ht="15.75" hidden="1" customHeight="1"/>
    <row r="5319" ht="15.75" hidden="1" customHeight="1"/>
    <row r="5320" ht="15.75" hidden="1" customHeight="1"/>
    <row r="5321" ht="15.75" hidden="1" customHeight="1"/>
    <row r="5322" ht="15.75" hidden="1" customHeight="1"/>
    <row r="5323" ht="15.75" hidden="1" customHeight="1"/>
    <row r="5324" ht="15.75" hidden="1" customHeight="1"/>
    <row r="5325" ht="15.75" hidden="1" customHeight="1"/>
    <row r="5326" ht="15.75" hidden="1" customHeight="1"/>
    <row r="5327" ht="15.75" hidden="1" customHeight="1"/>
    <row r="5328" ht="15.75" hidden="1" customHeight="1"/>
    <row r="5329" ht="15.75" hidden="1" customHeight="1"/>
    <row r="5330" ht="15.75" hidden="1" customHeight="1"/>
    <row r="5331" ht="15.75" hidden="1" customHeight="1"/>
    <row r="5332" ht="15.75" hidden="1" customHeight="1"/>
  </sheetData>
  <autoFilter ref="A1:D5332" xr:uid="{00000000-0009-0000-0000-000000000000}">
    <filterColumn colId="3">
      <filters>
        <filter val="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AC4"/>
  <sheetViews>
    <sheetView workbookViewId="0"/>
  </sheetViews>
  <sheetFormatPr baseColWidth="10" defaultColWidth="12.6640625" defaultRowHeight="15.75" customHeight="1"/>
  <cols>
    <col min="20" max="20" width="15.1640625" customWidth="1"/>
  </cols>
  <sheetData>
    <row r="1" spans="1:29" ht="15.75" customHeight="1">
      <c r="A1" s="129" t="s">
        <v>813</v>
      </c>
      <c r="B1" s="130" t="s">
        <v>814</v>
      </c>
      <c r="C1" s="129" t="s">
        <v>815</v>
      </c>
      <c r="D1" s="129" t="s">
        <v>816</v>
      </c>
      <c r="E1" s="129" t="s">
        <v>0</v>
      </c>
      <c r="F1" s="131" t="s">
        <v>817</v>
      </c>
      <c r="G1" s="131" t="s">
        <v>818</v>
      </c>
      <c r="H1" s="131" t="s">
        <v>819</v>
      </c>
      <c r="I1" s="131" t="s">
        <v>820</v>
      </c>
      <c r="J1" s="131" t="s">
        <v>821</v>
      </c>
      <c r="K1" s="129" t="s">
        <v>822</v>
      </c>
      <c r="L1" s="129" t="s">
        <v>1</v>
      </c>
      <c r="M1" s="132" t="s">
        <v>2</v>
      </c>
      <c r="N1" s="132" t="s">
        <v>823</v>
      </c>
      <c r="O1" s="133" t="s">
        <v>824</v>
      </c>
      <c r="P1" s="134" t="s">
        <v>825</v>
      </c>
      <c r="Q1" s="135" t="s">
        <v>826</v>
      </c>
      <c r="R1" s="136" t="s">
        <v>827</v>
      </c>
      <c r="S1" s="137" t="s">
        <v>828</v>
      </c>
    </row>
    <row r="2" spans="1:29" ht="15.75" customHeight="1">
      <c r="A2" s="138">
        <f>ROW()-1</f>
        <v>1</v>
      </c>
      <c r="B2" s="139" t="s">
        <v>829</v>
      </c>
      <c r="C2" s="139" t="s">
        <v>830</v>
      </c>
      <c r="D2" s="139" t="s">
        <v>831</v>
      </c>
      <c r="E2" s="139" t="s">
        <v>429</v>
      </c>
      <c r="F2" s="139" t="s">
        <v>832</v>
      </c>
      <c r="G2" s="139" t="s">
        <v>833</v>
      </c>
      <c r="H2" s="139" t="s">
        <v>834</v>
      </c>
      <c r="I2" s="140" t="str">
        <f>G2&amp;" "&amp;F2</f>
        <v>Виталий Красиков</v>
      </c>
      <c r="J2" s="139" t="s">
        <v>835</v>
      </c>
      <c r="K2" s="139">
        <v>89504211787</v>
      </c>
      <c r="L2" s="139" t="s">
        <v>836</v>
      </c>
      <c r="M2" s="141" t="e">
        <f t="array" ref="M2">_xlfn.XLOOKUP(I2,#REF!,#REF!,"")</f>
        <v>#REF!</v>
      </c>
      <c r="N2" s="141" t="b">
        <v>0</v>
      </c>
      <c r="O2" s="142" t="e">
        <f>IF(M2="",FALSE,TRUE)</f>
        <v>#REF!</v>
      </c>
      <c r="P2" s="143" t="b">
        <v>1</v>
      </c>
      <c r="Q2" s="144" t="b">
        <v>1</v>
      </c>
      <c r="R2" s="145" t="b">
        <v>1</v>
      </c>
      <c r="S2" s="146" t="b">
        <v>1</v>
      </c>
      <c r="T2" s="146" t="s">
        <v>837</v>
      </c>
      <c r="U2" s="40"/>
      <c r="V2" s="40"/>
      <c r="W2" s="40"/>
      <c r="X2" s="40"/>
      <c r="Y2" s="40"/>
      <c r="Z2" s="40"/>
      <c r="AA2" s="40"/>
      <c r="AB2" s="40"/>
      <c r="AC2" s="40"/>
    </row>
    <row r="3" spans="1:29" ht="15.75" customHeight="1">
      <c r="A3" s="147">
        <v>2</v>
      </c>
      <c r="B3" s="147" t="s">
        <v>838</v>
      </c>
      <c r="C3" s="147" t="s">
        <v>839</v>
      </c>
      <c r="D3" s="147" t="s">
        <v>840</v>
      </c>
      <c r="E3" s="147" t="s">
        <v>841</v>
      </c>
      <c r="F3" s="147" t="s">
        <v>842</v>
      </c>
      <c r="G3" s="147" t="s">
        <v>843</v>
      </c>
      <c r="H3" s="147" t="s">
        <v>844</v>
      </c>
      <c r="I3" s="140" t="str">
        <f>G3&amp;" "&amp;F3</f>
        <v>Олег  Рогов</v>
      </c>
      <c r="J3" s="147" t="s">
        <v>845</v>
      </c>
      <c r="K3" s="147">
        <f>79268976297</f>
        <v>79268976297</v>
      </c>
      <c r="L3" s="147" t="s">
        <v>846</v>
      </c>
      <c r="M3" s="147"/>
      <c r="N3" s="141" t="b">
        <v>0</v>
      </c>
      <c r="O3" s="142" t="b">
        <f>IF(M3="",FALSE,TRUE)</f>
        <v>0</v>
      </c>
      <c r="P3" s="143" t="b">
        <v>0</v>
      </c>
      <c r="Q3" s="144" t="b">
        <v>1</v>
      </c>
      <c r="R3" s="145" t="b">
        <v>1</v>
      </c>
      <c r="S3" s="146" t="b">
        <v>0</v>
      </c>
      <c r="T3" s="147" t="s">
        <v>837</v>
      </c>
    </row>
    <row r="4" spans="1:29" ht="15.75" customHeight="1">
      <c r="A4" s="138">
        <f>ROW()-1</f>
        <v>3</v>
      </c>
      <c r="B4" s="148" t="s">
        <v>847</v>
      </c>
      <c r="C4" s="139" t="s">
        <v>848</v>
      </c>
      <c r="D4" s="139" t="s">
        <v>840</v>
      </c>
      <c r="E4" s="139" t="s">
        <v>849</v>
      </c>
      <c r="F4" s="139" t="s">
        <v>850</v>
      </c>
      <c r="G4" s="139" t="s">
        <v>851</v>
      </c>
      <c r="H4" s="139" t="s">
        <v>852</v>
      </c>
      <c r="I4" s="140" t="str">
        <f>G4&amp;" "&amp;F4</f>
        <v>Марина Лукина</v>
      </c>
      <c r="J4" s="139" t="s">
        <v>853</v>
      </c>
      <c r="K4" s="139" t="s">
        <v>854</v>
      </c>
      <c r="L4" s="139" t="s">
        <v>855</v>
      </c>
      <c r="M4" s="149" t="e">
        <f t="array" ref="M4">_xlfn.XLOOKUP(I4,#REF!,#REF!,"")</f>
        <v>#REF!</v>
      </c>
      <c r="N4" s="149" t="b">
        <v>0</v>
      </c>
      <c r="O4" s="150" t="e">
        <f>IF(M4="",FALSE,TRUE)</f>
        <v>#REF!</v>
      </c>
      <c r="P4" s="151" t="b">
        <v>0</v>
      </c>
      <c r="Q4" s="39" t="b">
        <v>1</v>
      </c>
      <c r="R4" s="54" t="b">
        <v>1</v>
      </c>
      <c r="S4" s="152" t="b">
        <v>0</v>
      </c>
      <c r="T4" s="152" t="s">
        <v>856</v>
      </c>
      <c r="U4" s="40"/>
      <c r="V4" s="40"/>
      <c r="W4" s="40"/>
      <c r="X4" s="40"/>
      <c r="Y4" s="40"/>
      <c r="Z4" s="40"/>
      <c r="AA4" s="40"/>
      <c r="AB4" s="40"/>
      <c r="AC4" s="40"/>
    </row>
  </sheetData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299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sheetData>
    <row r="1" spans="1:16" ht="15.75" customHeight="1">
      <c r="A1" s="7" t="s">
        <v>857</v>
      </c>
      <c r="B1" s="7" t="s">
        <v>858</v>
      </c>
      <c r="C1" s="7" t="s">
        <v>859</v>
      </c>
      <c r="D1" s="7" t="s">
        <v>860</v>
      </c>
      <c r="E1" s="7" t="s">
        <v>0</v>
      </c>
      <c r="F1" s="7" t="s">
        <v>861</v>
      </c>
      <c r="G1" s="7" t="s">
        <v>862</v>
      </c>
      <c r="H1" s="7" t="s">
        <v>863</v>
      </c>
      <c r="I1" s="7" t="s">
        <v>864</v>
      </c>
      <c r="J1" s="7" t="s">
        <v>865</v>
      </c>
      <c r="K1" s="7" t="s">
        <v>866</v>
      </c>
      <c r="L1" s="7" t="s">
        <v>867</v>
      </c>
      <c r="M1" s="7" t="s">
        <v>868</v>
      </c>
      <c r="N1" s="7" t="s">
        <v>869</v>
      </c>
      <c r="O1" s="7" t="s">
        <v>870</v>
      </c>
      <c r="P1" s="7" t="s">
        <v>871</v>
      </c>
    </row>
    <row r="2" spans="1:16" ht="15.75" customHeight="1">
      <c r="A2" s="126">
        <v>46230.015752314801</v>
      </c>
      <c r="B2" s="7">
        <v>12</v>
      </c>
      <c r="C2" s="7">
        <v>638</v>
      </c>
      <c r="D2" s="7"/>
      <c r="E2" s="7" t="s">
        <v>872</v>
      </c>
      <c r="F2" s="7" t="s">
        <v>544</v>
      </c>
      <c r="G2" s="7">
        <v>181</v>
      </c>
      <c r="H2" s="7" t="s">
        <v>873</v>
      </c>
      <c r="I2" s="7" t="s">
        <v>874</v>
      </c>
      <c r="J2" s="7"/>
      <c r="M2" s="7"/>
      <c r="N2" s="7" t="s">
        <v>875</v>
      </c>
      <c r="O2" s="126"/>
      <c r="P2" s="126"/>
    </row>
    <row r="3" spans="1:16" ht="15.75" customHeight="1">
      <c r="A3" s="126">
        <v>46230.015752314801</v>
      </c>
      <c r="B3" s="7">
        <v>12</v>
      </c>
      <c r="C3" s="7">
        <v>638</v>
      </c>
      <c r="D3" s="7"/>
      <c r="E3" s="7" t="s">
        <v>872</v>
      </c>
      <c r="F3" s="7" t="s">
        <v>544</v>
      </c>
      <c r="G3" s="7">
        <v>182</v>
      </c>
      <c r="H3" s="7" t="s">
        <v>876</v>
      </c>
      <c r="I3" s="7" t="s">
        <v>874</v>
      </c>
      <c r="J3" s="7"/>
      <c r="M3" s="7"/>
      <c r="N3" s="7" t="s">
        <v>875</v>
      </c>
      <c r="O3" s="126"/>
      <c r="P3" s="126"/>
    </row>
    <row r="4" spans="1:16" ht="15.75" customHeight="1">
      <c r="A4" s="126">
        <v>46230.015752314801</v>
      </c>
      <c r="B4" s="7">
        <v>12</v>
      </c>
      <c r="C4" s="7">
        <v>638</v>
      </c>
      <c r="D4" s="7"/>
      <c r="E4" s="7" t="s">
        <v>872</v>
      </c>
      <c r="F4" s="7" t="s">
        <v>544</v>
      </c>
      <c r="G4" s="7">
        <v>174</v>
      </c>
      <c r="H4" s="7" t="s">
        <v>877</v>
      </c>
      <c r="I4" s="7" t="s">
        <v>878</v>
      </c>
      <c r="J4" s="7" t="s">
        <v>879</v>
      </c>
      <c r="M4" s="7">
        <v>100</v>
      </c>
      <c r="N4" s="7">
        <v>100</v>
      </c>
      <c r="O4" s="126"/>
      <c r="P4" s="126">
        <v>46209.706932870402</v>
      </c>
    </row>
    <row r="5" spans="1:16" ht="15.75" customHeight="1">
      <c r="A5" s="126">
        <v>46230.015752314801</v>
      </c>
      <c r="B5" s="7">
        <v>12</v>
      </c>
      <c r="C5" s="7">
        <v>638</v>
      </c>
      <c r="D5" s="7"/>
      <c r="E5" s="7" t="s">
        <v>872</v>
      </c>
      <c r="F5" s="7" t="s">
        <v>544</v>
      </c>
      <c r="G5" s="7">
        <v>180</v>
      </c>
      <c r="H5" s="7" t="s">
        <v>880</v>
      </c>
      <c r="I5" s="7" t="s">
        <v>874</v>
      </c>
      <c r="J5" s="7"/>
      <c r="M5" s="7"/>
      <c r="N5" s="7" t="s">
        <v>875</v>
      </c>
      <c r="O5" s="126"/>
      <c r="P5" s="126"/>
    </row>
    <row r="6" spans="1:16" ht="15.75" customHeight="1">
      <c r="A6" s="126">
        <v>46230.015752314801</v>
      </c>
      <c r="B6" s="7">
        <v>12</v>
      </c>
      <c r="C6" s="7">
        <v>638</v>
      </c>
      <c r="D6" s="7"/>
      <c r="E6" s="7" t="s">
        <v>872</v>
      </c>
      <c r="F6" s="7" t="s">
        <v>544</v>
      </c>
      <c r="G6" s="7">
        <v>175</v>
      </c>
      <c r="H6" s="7" t="s">
        <v>881</v>
      </c>
      <c r="I6" s="7" t="s">
        <v>878</v>
      </c>
      <c r="J6" s="7" t="s">
        <v>882</v>
      </c>
      <c r="M6" s="7">
        <v>75</v>
      </c>
      <c r="N6" s="7">
        <v>75</v>
      </c>
      <c r="O6" s="126">
        <v>46216.528263888897</v>
      </c>
      <c r="P6" s="126">
        <v>46216.528263888897</v>
      </c>
    </row>
    <row r="7" spans="1:16" ht="15.75" customHeight="1">
      <c r="A7" s="126">
        <v>46230.015752314801</v>
      </c>
      <c r="B7" s="7">
        <v>12</v>
      </c>
      <c r="C7" s="7">
        <v>638</v>
      </c>
      <c r="D7" s="7"/>
      <c r="E7" s="7" t="s">
        <v>872</v>
      </c>
      <c r="F7" s="7" t="s">
        <v>544</v>
      </c>
      <c r="G7" s="7">
        <v>177</v>
      </c>
      <c r="H7" s="7" t="s">
        <v>883</v>
      </c>
      <c r="I7" s="7" t="s">
        <v>878</v>
      </c>
      <c r="J7" s="7" t="s">
        <v>882</v>
      </c>
      <c r="M7" s="7"/>
      <c r="N7" s="7" t="s">
        <v>875</v>
      </c>
      <c r="P7" s="126"/>
    </row>
    <row r="8" spans="1:16" ht="15.75" customHeight="1">
      <c r="A8" s="126">
        <v>46230.015752314801</v>
      </c>
      <c r="B8" s="7">
        <v>12</v>
      </c>
      <c r="C8" s="7">
        <v>638</v>
      </c>
      <c r="D8" s="7"/>
      <c r="E8" s="7" t="s">
        <v>872</v>
      </c>
      <c r="F8" s="7" t="s">
        <v>544</v>
      </c>
      <c r="G8" s="7">
        <v>176</v>
      </c>
      <c r="H8" s="7" t="s">
        <v>884</v>
      </c>
      <c r="I8" s="7" t="s">
        <v>878</v>
      </c>
      <c r="J8" s="7" t="s">
        <v>882</v>
      </c>
      <c r="M8" s="7">
        <v>90</v>
      </c>
      <c r="N8" s="7">
        <v>90</v>
      </c>
      <c r="O8" s="126">
        <v>46228.693576388898</v>
      </c>
      <c r="P8" s="126">
        <v>46228.693576388898</v>
      </c>
    </row>
    <row r="9" spans="1:16" ht="15.75" customHeight="1">
      <c r="A9" s="126">
        <v>46230.015752314801</v>
      </c>
      <c r="B9" s="7">
        <v>12</v>
      </c>
      <c r="C9" s="7">
        <v>638</v>
      </c>
      <c r="D9" s="7"/>
      <c r="E9" s="7" t="s">
        <v>872</v>
      </c>
      <c r="F9" s="7" t="s">
        <v>544</v>
      </c>
      <c r="G9" s="7">
        <v>168</v>
      </c>
      <c r="H9" s="7" t="s">
        <v>885</v>
      </c>
      <c r="I9" s="7" t="s">
        <v>886</v>
      </c>
      <c r="J9" s="7"/>
      <c r="M9" s="7">
        <v>100</v>
      </c>
      <c r="N9" s="7">
        <v>100</v>
      </c>
      <c r="O9" s="126"/>
      <c r="P9" s="126">
        <v>46209.706932870402</v>
      </c>
    </row>
    <row r="10" spans="1:16" ht="15.75" customHeight="1">
      <c r="A10" s="126">
        <v>46230.015752314801</v>
      </c>
      <c r="B10" s="7">
        <v>12</v>
      </c>
      <c r="C10" s="7">
        <v>747</v>
      </c>
      <c r="D10" s="7">
        <v>161631</v>
      </c>
      <c r="E10" s="7" t="s">
        <v>887</v>
      </c>
      <c r="F10" s="7" t="s">
        <v>59</v>
      </c>
      <c r="G10" s="7">
        <v>181</v>
      </c>
      <c r="H10" s="7" t="s">
        <v>873</v>
      </c>
      <c r="I10" s="7" t="s">
        <v>874</v>
      </c>
      <c r="J10" s="7"/>
      <c r="M10" s="7"/>
      <c r="N10" s="7" t="s">
        <v>875</v>
      </c>
      <c r="O10" s="126"/>
      <c r="P10" s="126"/>
    </row>
    <row r="11" spans="1:16" ht="15.75" customHeight="1">
      <c r="A11" s="126">
        <v>46230.015752314801</v>
      </c>
      <c r="B11" s="7">
        <v>12</v>
      </c>
      <c r="C11" s="7">
        <v>747</v>
      </c>
      <c r="D11" s="7">
        <v>161631</v>
      </c>
      <c r="E11" s="7" t="s">
        <v>887</v>
      </c>
      <c r="F11" s="7" t="s">
        <v>59</v>
      </c>
      <c r="G11" s="7">
        <v>182</v>
      </c>
      <c r="H11" s="7" t="s">
        <v>876</v>
      </c>
      <c r="I11" s="7" t="s">
        <v>874</v>
      </c>
      <c r="J11" s="7"/>
      <c r="M11" s="7"/>
      <c r="N11" s="7" t="s">
        <v>875</v>
      </c>
      <c r="P11" s="126"/>
    </row>
    <row r="12" spans="1:16" ht="15.75" customHeight="1">
      <c r="A12" s="126">
        <v>46230.015752314801</v>
      </c>
      <c r="B12" s="7">
        <v>12</v>
      </c>
      <c r="C12" s="7">
        <v>747</v>
      </c>
      <c r="D12" s="7">
        <v>161631</v>
      </c>
      <c r="E12" s="7" t="s">
        <v>887</v>
      </c>
      <c r="F12" s="7" t="s">
        <v>59</v>
      </c>
      <c r="G12" s="7">
        <v>174</v>
      </c>
      <c r="H12" s="7" t="s">
        <v>877</v>
      </c>
      <c r="I12" s="7" t="s">
        <v>878</v>
      </c>
      <c r="J12" s="7" t="s">
        <v>879</v>
      </c>
      <c r="M12" s="7">
        <v>100</v>
      </c>
      <c r="N12" s="7">
        <v>100</v>
      </c>
      <c r="P12" s="126">
        <v>46209.706932870402</v>
      </c>
    </row>
    <row r="13" spans="1:16" ht="15.75" customHeight="1">
      <c r="A13" s="126">
        <v>46230.015752314801</v>
      </c>
      <c r="B13" s="7">
        <v>12</v>
      </c>
      <c r="C13" s="7">
        <v>747</v>
      </c>
      <c r="D13" s="7">
        <v>161631</v>
      </c>
      <c r="E13" s="7" t="s">
        <v>887</v>
      </c>
      <c r="F13" s="7" t="s">
        <v>59</v>
      </c>
      <c r="G13" s="7">
        <v>180</v>
      </c>
      <c r="H13" s="7" t="s">
        <v>880</v>
      </c>
      <c r="I13" s="7" t="s">
        <v>874</v>
      </c>
      <c r="J13" s="7"/>
      <c r="M13" s="7"/>
      <c r="N13" s="7" t="s">
        <v>875</v>
      </c>
      <c r="O13" s="126"/>
      <c r="P13" s="126"/>
    </row>
    <row r="14" spans="1:16" ht="15.75" customHeight="1">
      <c r="A14" s="126">
        <v>46230.015752314801</v>
      </c>
      <c r="B14" s="7">
        <v>12</v>
      </c>
      <c r="C14" s="7">
        <v>747</v>
      </c>
      <c r="D14" s="7">
        <v>161631</v>
      </c>
      <c r="E14" s="7" t="s">
        <v>887</v>
      </c>
      <c r="F14" s="7" t="s">
        <v>59</v>
      </c>
      <c r="G14" s="7">
        <v>175</v>
      </c>
      <c r="H14" s="7" t="s">
        <v>881</v>
      </c>
      <c r="I14" s="7" t="s">
        <v>878</v>
      </c>
      <c r="J14" s="7" t="s">
        <v>882</v>
      </c>
      <c r="M14" s="7">
        <v>100</v>
      </c>
      <c r="N14" s="7">
        <v>100</v>
      </c>
      <c r="O14" s="126">
        <v>46216.592361111099</v>
      </c>
      <c r="P14" s="126">
        <v>46216.592361111099</v>
      </c>
    </row>
    <row r="15" spans="1:16" ht="15.75" customHeight="1">
      <c r="A15" s="126">
        <v>46230.015752314801</v>
      </c>
      <c r="B15" s="7">
        <v>12</v>
      </c>
      <c r="C15" s="7">
        <v>747</v>
      </c>
      <c r="D15" s="7">
        <v>161631</v>
      </c>
      <c r="E15" s="7" t="s">
        <v>887</v>
      </c>
      <c r="F15" s="7" t="s">
        <v>59</v>
      </c>
      <c r="G15" s="7">
        <v>177</v>
      </c>
      <c r="H15" s="7" t="s">
        <v>883</v>
      </c>
      <c r="I15" s="7" t="s">
        <v>878</v>
      </c>
      <c r="J15" s="7" t="s">
        <v>882</v>
      </c>
      <c r="M15" s="7"/>
      <c r="N15" s="7" t="s">
        <v>875</v>
      </c>
      <c r="O15" s="126"/>
      <c r="P15" s="126"/>
    </row>
    <row r="16" spans="1:16" ht="15.75" customHeight="1">
      <c r="A16" s="126">
        <v>46230.015752314801</v>
      </c>
      <c r="B16" s="7">
        <v>12</v>
      </c>
      <c r="C16" s="7">
        <v>747</v>
      </c>
      <c r="D16" s="7">
        <v>161631</v>
      </c>
      <c r="E16" s="7" t="s">
        <v>887</v>
      </c>
      <c r="F16" s="7" t="s">
        <v>59</v>
      </c>
      <c r="G16" s="7">
        <v>176</v>
      </c>
      <c r="H16" s="7" t="s">
        <v>884</v>
      </c>
      <c r="I16" s="7" t="s">
        <v>878</v>
      </c>
      <c r="J16" s="7" t="s">
        <v>882</v>
      </c>
      <c r="M16" s="7">
        <v>95</v>
      </c>
      <c r="N16" s="7">
        <v>95</v>
      </c>
      <c r="O16" s="126">
        <v>46227.964965277803</v>
      </c>
      <c r="P16" s="126">
        <v>46227.964965277803</v>
      </c>
    </row>
    <row r="17" spans="1:16" ht="15.75" customHeight="1">
      <c r="A17" s="126">
        <v>46230.015752314801</v>
      </c>
      <c r="B17" s="7">
        <v>12</v>
      </c>
      <c r="C17" s="7">
        <v>747</v>
      </c>
      <c r="D17" s="7">
        <v>161631</v>
      </c>
      <c r="E17" s="7" t="s">
        <v>887</v>
      </c>
      <c r="F17" s="7" t="s">
        <v>59</v>
      </c>
      <c r="G17" s="7">
        <v>168</v>
      </c>
      <c r="H17" s="7" t="s">
        <v>885</v>
      </c>
      <c r="I17" s="7" t="s">
        <v>886</v>
      </c>
      <c r="J17" s="7"/>
      <c r="M17" s="7">
        <v>100</v>
      </c>
      <c r="N17" s="7">
        <v>100</v>
      </c>
      <c r="O17" s="126"/>
      <c r="P17" s="126">
        <v>46209.706932870402</v>
      </c>
    </row>
    <row r="18" spans="1:16" ht="15.75" customHeight="1">
      <c r="A18" s="126">
        <v>46230.015752314801</v>
      </c>
      <c r="B18" s="7">
        <v>12</v>
      </c>
      <c r="C18" s="7">
        <v>758</v>
      </c>
      <c r="D18" s="7"/>
      <c r="E18" s="7" t="s">
        <v>888</v>
      </c>
      <c r="F18" s="7" t="s">
        <v>579</v>
      </c>
      <c r="G18" s="7">
        <v>181</v>
      </c>
      <c r="H18" s="7" t="s">
        <v>873</v>
      </c>
      <c r="I18" s="7" t="s">
        <v>874</v>
      </c>
      <c r="J18" s="7"/>
      <c r="M18" s="7"/>
      <c r="N18" s="7" t="s">
        <v>875</v>
      </c>
      <c r="O18" s="126"/>
      <c r="P18" s="126"/>
    </row>
    <row r="19" spans="1:16" ht="15.75" customHeight="1">
      <c r="A19" s="126">
        <v>46230.015752314801</v>
      </c>
      <c r="B19" s="7">
        <v>12</v>
      </c>
      <c r="C19" s="7">
        <v>758</v>
      </c>
      <c r="D19" s="7"/>
      <c r="E19" s="7" t="s">
        <v>888</v>
      </c>
      <c r="F19" s="7" t="s">
        <v>579</v>
      </c>
      <c r="G19" s="7">
        <v>182</v>
      </c>
      <c r="H19" s="7" t="s">
        <v>876</v>
      </c>
      <c r="I19" s="7" t="s">
        <v>874</v>
      </c>
      <c r="J19" s="7"/>
      <c r="M19" s="7"/>
      <c r="N19" s="7" t="s">
        <v>875</v>
      </c>
      <c r="P19" s="126"/>
    </row>
    <row r="20" spans="1:16" ht="15.75" customHeight="1">
      <c r="A20" s="126">
        <v>46230.015752314801</v>
      </c>
      <c r="B20" s="7">
        <v>12</v>
      </c>
      <c r="C20" s="7">
        <v>758</v>
      </c>
      <c r="E20" s="7" t="s">
        <v>888</v>
      </c>
      <c r="F20" s="7" t="s">
        <v>579</v>
      </c>
      <c r="G20" s="7">
        <v>174</v>
      </c>
      <c r="H20" s="7" t="s">
        <v>877</v>
      </c>
      <c r="I20" s="7" t="s">
        <v>878</v>
      </c>
      <c r="J20" s="7" t="s">
        <v>879</v>
      </c>
      <c r="M20" s="7">
        <v>100</v>
      </c>
      <c r="N20" s="7">
        <v>100</v>
      </c>
      <c r="O20" s="126"/>
      <c r="P20" s="126">
        <v>46209.6805902778</v>
      </c>
    </row>
    <row r="21" spans="1:16" ht="15.75" customHeight="1">
      <c r="A21" s="126">
        <v>46230.015752314801</v>
      </c>
      <c r="B21" s="7">
        <v>12</v>
      </c>
      <c r="C21" s="7">
        <v>758</v>
      </c>
      <c r="E21" s="7" t="s">
        <v>888</v>
      </c>
      <c r="F21" s="7" t="s">
        <v>579</v>
      </c>
      <c r="G21" s="7">
        <v>180</v>
      </c>
      <c r="H21" s="7" t="s">
        <v>880</v>
      </c>
      <c r="I21" s="7" t="s">
        <v>874</v>
      </c>
      <c r="J21" s="7"/>
      <c r="M21" s="7"/>
      <c r="N21" s="7" t="s">
        <v>875</v>
      </c>
      <c r="O21" s="126"/>
      <c r="P21" s="126"/>
    </row>
    <row r="22" spans="1:16" ht="15.75" customHeight="1">
      <c r="A22" s="126">
        <v>46230.015752314801</v>
      </c>
      <c r="B22" s="7">
        <v>12</v>
      </c>
      <c r="C22" s="7">
        <v>758</v>
      </c>
      <c r="E22" s="7" t="s">
        <v>888</v>
      </c>
      <c r="F22" s="7" t="s">
        <v>579</v>
      </c>
      <c r="G22" s="7">
        <v>175</v>
      </c>
      <c r="H22" s="7" t="s">
        <v>881</v>
      </c>
      <c r="I22" s="7" t="s">
        <v>878</v>
      </c>
      <c r="J22" s="7" t="s">
        <v>882</v>
      </c>
      <c r="M22" s="7">
        <v>87.5</v>
      </c>
      <c r="N22" s="7">
        <v>87.5</v>
      </c>
      <c r="O22" s="126">
        <v>46216.347233796303</v>
      </c>
      <c r="P22" s="126">
        <v>46216.347233796303</v>
      </c>
    </row>
    <row r="23" spans="1:16" ht="15.75" customHeight="1">
      <c r="A23" s="126">
        <v>46230.015752314801</v>
      </c>
      <c r="B23" s="7">
        <v>12</v>
      </c>
      <c r="C23" s="7">
        <v>758</v>
      </c>
      <c r="E23" s="7" t="s">
        <v>888</v>
      </c>
      <c r="F23" s="7" t="s">
        <v>579</v>
      </c>
      <c r="G23" s="7">
        <v>177</v>
      </c>
      <c r="H23" s="7" t="s">
        <v>883</v>
      </c>
      <c r="I23" s="7" t="s">
        <v>878</v>
      </c>
      <c r="J23" s="7" t="s">
        <v>882</v>
      </c>
      <c r="M23" s="7"/>
      <c r="N23" s="7" t="s">
        <v>875</v>
      </c>
      <c r="P23" s="126"/>
    </row>
    <row r="24" spans="1:16" ht="15.75" customHeight="1">
      <c r="A24" s="126">
        <v>46230.015752314801</v>
      </c>
      <c r="B24" s="7">
        <v>12</v>
      </c>
      <c r="C24" s="7">
        <v>758</v>
      </c>
      <c r="E24" s="7" t="s">
        <v>888</v>
      </c>
      <c r="F24" s="7" t="s">
        <v>579</v>
      </c>
      <c r="G24" s="7">
        <v>176</v>
      </c>
      <c r="H24" s="7" t="s">
        <v>884</v>
      </c>
      <c r="I24" s="7" t="s">
        <v>878</v>
      </c>
      <c r="J24" s="7" t="s">
        <v>882</v>
      </c>
      <c r="M24" s="7">
        <v>85</v>
      </c>
      <c r="N24" s="7">
        <v>85</v>
      </c>
      <c r="O24" s="126">
        <v>46229.966215277796</v>
      </c>
      <c r="P24" s="126">
        <v>46229.966215277796</v>
      </c>
    </row>
    <row r="25" spans="1:16" ht="15.75" customHeight="1">
      <c r="A25" s="126">
        <v>46230.015752314801</v>
      </c>
      <c r="B25" s="7">
        <v>12</v>
      </c>
      <c r="C25" s="7">
        <v>758</v>
      </c>
      <c r="E25" s="7" t="s">
        <v>888</v>
      </c>
      <c r="F25" s="7" t="s">
        <v>579</v>
      </c>
      <c r="G25" s="7">
        <v>168</v>
      </c>
      <c r="H25" s="7" t="s">
        <v>885</v>
      </c>
      <c r="I25" s="7" t="s">
        <v>886</v>
      </c>
      <c r="J25" s="7"/>
      <c r="M25" s="7">
        <v>100</v>
      </c>
      <c r="N25" s="7">
        <v>100</v>
      </c>
      <c r="P25" s="126">
        <v>46209.6805902778</v>
      </c>
    </row>
    <row r="26" spans="1:16" ht="15.75" customHeight="1">
      <c r="A26" s="126">
        <v>46230.015752314801</v>
      </c>
      <c r="B26" s="7">
        <v>12</v>
      </c>
      <c r="C26" s="7">
        <v>671</v>
      </c>
      <c r="E26" s="7" t="s">
        <v>889</v>
      </c>
      <c r="F26" s="7" t="s">
        <v>585</v>
      </c>
      <c r="G26" s="7">
        <v>181</v>
      </c>
      <c r="H26" s="7" t="s">
        <v>873</v>
      </c>
      <c r="I26" s="7" t="s">
        <v>874</v>
      </c>
      <c r="J26" s="7"/>
      <c r="M26" s="7"/>
      <c r="N26" s="7" t="s">
        <v>875</v>
      </c>
      <c r="O26" s="126"/>
      <c r="P26" s="126"/>
    </row>
    <row r="27" spans="1:16" ht="15.75" customHeight="1">
      <c r="A27" s="126">
        <v>46230.015752314801</v>
      </c>
      <c r="B27" s="7">
        <v>12</v>
      </c>
      <c r="C27" s="7">
        <v>671</v>
      </c>
      <c r="E27" s="7" t="s">
        <v>889</v>
      </c>
      <c r="F27" s="7" t="s">
        <v>585</v>
      </c>
      <c r="G27" s="7">
        <v>182</v>
      </c>
      <c r="H27" s="7" t="s">
        <v>876</v>
      </c>
      <c r="I27" s="7" t="s">
        <v>874</v>
      </c>
      <c r="J27" s="7"/>
      <c r="M27" s="7"/>
      <c r="N27" s="7" t="s">
        <v>875</v>
      </c>
      <c r="O27" s="126"/>
      <c r="P27" s="126"/>
    </row>
    <row r="28" spans="1:16" ht="15.75" customHeight="1">
      <c r="A28" s="126">
        <v>46230.015752314801</v>
      </c>
      <c r="B28" s="7">
        <v>12</v>
      </c>
      <c r="C28" s="7">
        <v>671</v>
      </c>
      <c r="D28" s="7"/>
      <c r="E28" s="7" t="s">
        <v>889</v>
      </c>
      <c r="F28" s="7" t="s">
        <v>585</v>
      </c>
      <c r="G28" s="7">
        <v>174</v>
      </c>
      <c r="H28" s="7" t="s">
        <v>877</v>
      </c>
      <c r="I28" s="7" t="s">
        <v>878</v>
      </c>
      <c r="J28" s="7" t="s">
        <v>879</v>
      </c>
      <c r="M28" s="7">
        <v>100</v>
      </c>
      <c r="N28" s="7">
        <v>100</v>
      </c>
      <c r="O28" s="126"/>
      <c r="P28" s="126">
        <v>46211.052164351902</v>
      </c>
    </row>
    <row r="29" spans="1:16" ht="15.75" customHeight="1">
      <c r="A29" s="126">
        <v>46230.015752314801</v>
      </c>
      <c r="B29" s="7">
        <v>12</v>
      </c>
      <c r="C29" s="7">
        <v>671</v>
      </c>
      <c r="D29" s="7"/>
      <c r="E29" s="7" t="s">
        <v>889</v>
      </c>
      <c r="F29" s="7" t="s">
        <v>585</v>
      </c>
      <c r="G29" s="7">
        <v>180</v>
      </c>
      <c r="H29" s="7" t="s">
        <v>880</v>
      </c>
      <c r="I29" s="7" t="s">
        <v>874</v>
      </c>
      <c r="J29" s="7"/>
      <c r="M29" s="7"/>
      <c r="N29" s="7" t="s">
        <v>875</v>
      </c>
      <c r="O29" s="126"/>
      <c r="P29" s="126"/>
    </row>
    <row r="30" spans="1:16" ht="15.75" customHeight="1">
      <c r="A30" s="126">
        <v>46230.015752314801</v>
      </c>
      <c r="B30" s="7">
        <v>12</v>
      </c>
      <c r="C30" s="7">
        <v>671</v>
      </c>
      <c r="E30" s="7" t="s">
        <v>889</v>
      </c>
      <c r="F30" s="7" t="s">
        <v>585</v>
      </c>
      <c r="G30" s="7">
        <v>175</v>
      </c>
      <c r="H30" s="7" t="s">
        <v>881</v>
      </c>
      <c r="I30" s="7" t="s">
        <v>878</v>
      </c>
      <c r="J30" s="7" t="s">
        <v>882</v>
      </c>
      <c r="M30" s="7">
        <v>100</v>
      </c>
      <c r="N30" s="7">
        <v>100</v>
      </c>
      <c r="O30" s="126">
        <v>46215.830706018503</v>
      </c>
      <c r="P30" s="126">
        <v>46215.830706018503</v>
      </c>
    </row>
    <row r="31" spans="1:16" ht="15.75" customHeight="1">
      <c r="A31" s="126">
        <v>46230.015752314801</v>
      </c>
      <c r="B31" s="7">
        <v>12</v>
      </c>
      <c r="C31" s="7">
        <v>671</v>
      </c>
      <c r="E31" s="7" t="s">
        <v>889</v>
      </c>
      <c r="F31" s="7" t="s">
        <v>585</v>
      </c>
      <c r="G31" s="7">
        <v>177</v>
      </c>
      <c r="H31" s="7" t="s">
        <v>883</v>
      </c>
      <c r="I31" s="7" t="s">
        <v>878</v>
      </c>
      <c r="J31" s="7" t="s">
        <v>882</v>
      </c>
      <c r="M31" s="7"/>
      <c r="N31" s="7" t="s">
        <v>875</v>
      </c>
      <c r="P31" s="126"/>
    </row>
    <row r="32" spans="1:16" ht="15.75" customHeight="1">
      <c r="A32" s="126">
        <v>46230.015752314801</v>
      </c>
      <c r="B32" s="7">
        <v>12</v>
      </c>
      <c r="C32" s="7">
        <v>671</v>
      </c>
      <c r="E32" s="7" t="s">
        <v>889</v>
      </c>
      <c r="F32" s="7" t="s">
        <v>585</v>
      </c>
      <c r="G32" s="7">
        <v>176</v>
      </c>
      <c r="H32" s="7" t="s">
        <v>884</v>
      </c>
      <c r="I32" s="7" t="s">
        <v>878</v>
      </c>
      <c r="J32" s="7" t="s">
        <v>882</v>
      </c>
      <c r="M32" s="7">
        <v>100</v>
      </c>
      <c r="N32" s="7">
        <v>100</v>
      </c>
      <c r="O32" s="126">
        <v>46226.405659722201</v>
      </c>
      <c r="P32" s="126">
        <v>46226.405659722201</v>
      </c>
    </row>
    <row r="33" spans="1:16" ht="15.75" customHeight="1">
      <c r="A33" s="126">
        <v>46230.015752314801</v>
      </c>
      <c r="B33" s="7">
        <v>12</v>
      </c>
      <c r="C33" s="7">
        <v>671</v>
      </c>
      <c r="E33" s="7" t="s">
        <v>889</v>
      </c>
      <c r="F33" s="7" t="s">
        <v>585</v>
      </c>
      <c r="G33" s="7">
        <v>168</v>
      </c>
      <c r="H33" s="7" t="s">
        <v>885</v>
      </c>
      <c r="I33" s="7" t="s">
        <v>886</v>
      </c>
      <c r="J33" s="7"/>
      <c r="M33" s="7">
        <v>100</v>
      </c>
      <c r="N33" s="7">
        <v>100</v>
      </c>
      <c r="O33" s="126"/>
      <c r="P33" s="126">
        <v>46211.052164351902</v>
      </c>
    </row>
    <row r="34" spans="1:16" ht="15.75" customHeight="1">
      <c r="A34" s="126">
        <v>46230.015752314801</v>
      </c>
      <c r="B34" s="7">
        <v>12</v>
      </c>
      <c r="C34" s="7">
        <v>777</v>
      </c>
      <c r="D34" s="7"/>
      <c r="E34" s="7" t="s">
        <v>890</v>
      </c>
      <c r="F34" s="7" t="s">
        <v>747</v>
      </c>
      <c r="G34" s="7">
        <v>181</v>
      </c>
      <c r="H34" s="7" t="s">
        <v>873</v>
      </c>
      <c r="I34" s="7" t="s">
        <v>874</v>
      </c>
      <c r="J34" s="7"/>
      <c r="M34" s="7"/>
      <c r="N34" s="7" t="s">
        <v>875</v>
      </c>
      <c r="O34" s="126"/>
      <c r="P34" s="126"/>
    </row>
    <row r="35" spans="1:16" ht="15.75" customHeight="1">
      <c r="A35" s="126">
        <v>46230.015752314801</v>
      </c>
      <c r="B35" s="7">
        <v>12</v>
      </c>
      <c r="C35" s="7">
        <v>777</v>
      </c>
      <c r="D35" s="7"/>
      <c r="E35" s="7" t="s">
        <v>890</v>
      </c>
      <c r="F35" s="7" t="s">
        <v>747</v>
      </c>
      <c r="G35" s="7">
        <v>182</v>
      </c>
      <c r="H35" s="7" t="s">
        <v>876</v>
      </c>
      <c r="I35" s="7" t="s">
        <v>874</v>
      </c>
      <c r="J35" s="7"/>
      <c r="M35" s="7"/>
      <c r="N35" s="7" t="s">
        <v>875</v>
      </c>
      <c r="O35" s="126"/>
      <c r="P35" s="126"/>
    </row>
    <row r="36" spans="1:16" ht="15.75" customHeight="1">
      <c r="A36" s="126">
        <v>46230.015752314801</v>
      </c>
      <c r="B36" s="7">
        <v>12</v>
      </c>
      <c r="C36" s="7">
        <v>777</v>
      </c>
      <c r="D36" s="7"/>
      <c r="E36" s="7" t="s">
        <v>890</v>
      </c>
      <c r="F36" s="7" t="s">
        <v>747</v>
      </c>
      <c r="G36" s="7">
        <v>174</v>
      </c>
      <c r="H36" s="7" t="s">
        <v>877</v>
      </c>
      <c r="I36" s="7" t="s">
        <v>878</v>
      </c>
      <c r="J36" s="7" t="s">
        <v>879</v>
      </c>
      <c r="M36" s="7">
        <v>100</v>
      </c>
      <c r="N36" s="7">
        <v>100</v>
      </c>
      <c r="O36" s="126"/>
      <c r="P36" s="126">
        <v>46209.706932870402</v>
      </c>
    </row>
    <row r="37" spans="1:16" ht="15.75" customHeight="1">
      <c r="A37" s="126">
        <v>46230.015752314801</v>
      </c>
      <c r="B37" s="7">
        <v>12</v>
      </c>
      <c r="C37" s="7">
        <v>777</v>
      </c>
      <c r="D37" s="7"/>
      <c r="E37" s="7" t="s">
        <v>890</v>
      </c>
      <c r="F37" s="7" t="s">
        <v>747</v>
      </c>
      <c r="G37" s="7">
        <v>180</v>
      </c>
      <c r="H37" s="7" t="s">
        <v>880</v>
      </c>
      <c r="I37" s="7" t="s">
        <v>874</v>
      </c>
      <c r="J37" s="7"/>
      <c r="M37" s="7"/>
      <c r="N37" s="7" t="s">
        <v>875</v>
      </c>
      <c r="O37" s="126"/>
      <c r="P37" s="126"/>
    </row>
    <row r="38" spans="1:16" ht="15.75" customHeight="1">
      <c r="A38" s="126">
        <v>46230.015752314801</v>
      </c>
      <c r="B38" s="7">
        <v>12</v>
      </c>
      <c r="C38" s="7">
        <v>777</v>
      </c>
      <c r="D38" s="7"/>
      <c r="E38" s="7" t="s">
        <v>890</v>
      </c>
      <c r="F38" s="7" t="s">
        <v>747</v>
      </c>
      <c r="G38" s="7">
        <v>175</v>
      </c>
      <c r="H38" s="7" t="s">
        <v>881</v>
      </c>
      <c r="I38" s="7" t="s">
        <v>878</v>
      </c>
      <c r="J38" s="7" t="s">
        <v>882</v>
      </c>
      <c r="M38" s="7">
        <v>100</v>
      </c>
      <c r="N38" s="7">
        <v>100</v>
      </c>
      <c r="O38" s="126">
        <v>46216.986388888901</v>
      </c>
      <c r="P38" s="126">
        <v>46216.986388888901</v>
      </c>
    </row>
    <row r="39" spans="1:16" ht="15.75" customHeight="1">
      <c r="A39" s="126">
        <v>46230.015752314801</v>
      </c>
      <c r="B39" s="7">
        <v>12</v>
      </c>
      <c r="C39" s="7">
        <v>777</v>
      </c>
      <c r="D39" s="7"/>
      <c r="E39" s="7" t="s">
        <v>890</v>
      </c>
      <c r="F39" s="7" t="s">
        <v>747</v>
      </c>
      <c r="G39" s="7">
        <v>177</v>
      </c>
      <c r="H39" s="7" t="s">
        <v>883</v>
      </c>
      <c r="I39" s="7" t="s">
        <v>878</v>
      </c>
      <c r="J39" s="7" t="s">
        <v>882</v>
      </c>
      <c r="M39" s="7"/>
      <c r="N39" s="7" t="s">
        <v>875</v>
      </c>
      <c r="O39" s="126"/>
      <c r="P39" s="126"/>
    </row>
    <row r="40" spans="1:16" ht="15.75" customHeight="1">
      <c r="A40" s="126">
        <v>46230.015752314801</v>
      </c>
      <c r="B40" s="7">
        <v>12</v>
      </c>
      <c r="C40" s="7">
        <v>777</v>
      </c>
      <c r="D40" s="7"/>
      <c r="E40" s="7" t="s">
        <v>890</v>
      </c>
      <c r="F40" s="7" t="s">
        <v>747</v>
      </c>
      <c r="G40" s="7">
        <v>176</v>
      </c>
      <c r="H40" s="7" t="s">
        <v>884</v>
      </c>
      <c r="I40" s="7" t="s">
        <v>878</v>
      </c>
      <c r="J40" s="7" t="s">
        <v>882</v>
      </c>
      <c r="M40" s="7">
        <v>90</v>
      </c>
      <c r="N40" s="7">
        <v>90</v>
      </c>
      <c r="O40" s="126">
        <v>46229.996273148201</v>
      </c>
      <c r="P40" s="126">
        <v>46229.996273148201</v>
      </c>
    </row>
    <row r="41" spans="1:16" ht="15.75" customHeight="1">
      <c r="A41" s="126">
        <v>46230.015752314801</v>
      </c>
      <c r="B41" s="7">
        <v>12</v>
      </c>
      <c r="C41" s="7">
        <v>777</v>
      </c>
      <c r="D41" s="7"/>
      <c r="E41" s="7" t="s">
        <v>890</v>
      </c>
      <c r="F41" s="7" t="s">
        <v>747</v>
      </c>
      <c r="G41" s="7">
        <v>168</v>
      </c>
      <c r="H41" s="7" t="s">
        <v>885</v>
      </c>
      <c r="I41" s="7" t="s">
        <v>886</v>
      </c>
      <c r="J41" s="7"/>
      <c r="M41" s="7">
        <v>100</v>
      </c>
      <c r="N41" s="7">
        <v>100</v>
      </c>
      <c r="P41" s="126">
        <v>46209.706932870402</v>
      </c>
    </row>
    <row r="42" spans="1:16" ht="15.75" customHeight="1">
      <c r="A42" s="126">
        <v>46230.015752314801</v>
      </c>
      <c r="B42" s="7">
        <v>12</v>
      </c>
      <c r="C42" s="7">
        <v>656</v>
      </c>
      <c r="D42" s="7"/>
      <c r="E42" s="7" t="s">
        <v>891</v>
      </c>
      <c r="F42" s="7" t="s">
        <v>771</v>
      </c>
      <c r="G42" s="7">
        <v>181</v>
      </c>
      <c r="H42" s="7" t="s">
        <v>873</v>
      </c>
      <c r="I42" s="7" t="s">
        <v>874</v>
      </c>
      <c r="J42" s="7"/>
      <c r="M42" s="7"/>
      <c r="N42" s="7" t="s">
        <v>875</v>
      </c>
      <c r="O42" s="126"/>
      <c r="P42" s="126"/>
    </row>
    <row r="43" spans="1:16" ht="15.75" customHeight="1">
      <c r="A43" s="126">
        <v>46230.015752314801</v>
      </c>
      <c r="B43" s="7">
        <v>12</v>
      </c>
      <c r="C43" s="7">
        <v>656</v>
      </c>
      <c r="D43" s="7"/>
      <c r="E43" s="7" t="s">
        <v>891</v>
      </c>
      <c r="F43" s="7" t="s">
        <v>771</v>
      </c>
      <c r="G43" s="7">
        <v>182</v>
      </c>
      <c r="H43" s="7" t="s">
        <v>876</v>
      </c>
      <c r="I43" s="7" t="s">
        <v>874</v>
      </c>
      <c r="J43" s="7"/>
      <c r="M43" s="7"/>
      <c r="N43" s="7" t="s">
        <v>875</v>
      </c>
      <c r="P43" s="126"/>
    </row>
    <row r="44" spans="1:16" ht="15.75" customHeight="1">
      <c r="A44" s="126">
        <v>46230.015752314801</v>
      </c>
      <c r="B44" s="7">
        <v>12</v>
      </c>
      <c r="C44" s="7">
        <v>656</v>
      </c>
      <c r="D44" s="7"/>
      <c r="E44" s="7" t="s">
        <v>891</v>
      </c>
      <c r="F44" s="7" t="s">
        <v>771</v>
      </c>
      <c r="G44" s="7">
        <v>174</v>
      </c>
      <c r="H44" s="7" t="s">
        <v>877</v>
      </c>
      <c r="I44" s="7" t="s">
        <v>878</v>
      </c>
      <c r="J44" s="7" t="s">
        <v>879</v>
      </c>
      <c r="M44" s="7">
        <v>100</v>
      </c>
      <c r="N44" s="7">
        <v>100</v>
      </c>
      <c r="O44" s="126"/>
      <c r="P44" s="126">
        <v>46210.415335648097</v>
      </c>
    </row>
    <row r="45" spans="1:16" ht="15.75" customHeight="1">
      <c r="A45" s="126">
        <v>46230.015752314801</v>
      </c>
      <c r="B45" s="7">
        <v>12</v>
      </c>
      <c r="C45" s="7">
        <v>656</v>
      </c>
      <c r="D45" s="7"/>
      <c r="E45" s="7" t="s">
        <v>891</v>
      </c>
      <c r="F45" s="7" t="s">
        <v>771</v>
      </c>
      <c r="G45" s="7">
        <v>180</v>
      </c>
      <c r="H45" s="7" t="s">
        <v>880</v>
      </c>
      <c r="I45" s="7" t="s">
        <v>874</v>
      </c>
      <c r="J45" s="7"/>
      <c r="M45" s="7"/>
      <c r="N45" s="7" t="s">
        <v>875</v>
      </c>
      <c r="O45" s="126"/>
      <c r="P45" s="126"/>
    </row>
    <row r="46" spans="1:16" ht="15.75" customHeight="1">
      <c r="A46" s="126">
        <v>46230.015752314801</v>
      </c>
      <c r="B46" s="7">
        <v>12</v>
      </c>
      <c r="C46" s="7">
        <v>656</v>
      </c>
      <c r="D46" s="7"/>
      <c r="E46" s="7" t="s">
        <v>891</v>
      </c>
      <c r="F46" s="7" t="s">
        <v>771</v>
      </c>
      <c r="G46" s="7">
        <v>175</v>
      </c>
      <c r="H46" s="7" t="s">
        <v>881</v>
      </c>
      <c r="I46" s="7" t="s">
        <v>878</v>
      </c>
      <c r="J46" s="7" t="s">
        <v>882</v>
      </c>
      <c r="M46" s="7">
        <v>75</v>
      </c>
      <c r="N46" s="7">
        <v>75</v>
      </c>
      <c r="O46" s="126">
        <v>46216.5484490741</v>
      </c>
      <c r="P46" s="126">
        <v>46216.5484490741</v>
      </c>
    </row>
    <row r="47" spans="1:16" ht="15.75" customHeight="1">
      <c r="A47" s="126">
        <v>46230.015752314801</v>
      </c>
      <c r="B47" s="7">
        <v>12</v>
      </c>
      <c r="C47" s="7">
        <v>656</v>
      </c>
      <c r="D47" s="7"/>
      <c r="E47" s="7" t="s">
        <v>891</v>
      </c>
      <c r="F47" s="7" t="s">
        <v>771</v>
      </c>
      <c r="G47" s="7">
        <v>177</v>
      </c>
      <c r="H47" s="7" t="s">
        <v>883</v>
      </c>
      <c r="I47" s="7" t="s">
        <v>878</v>
      </c>
      <c r="J47" s="7" t="s">
        <v>882</v>
      </c>
      <c r="M47" s="7"/>
      <c r="N47" s="7" t="s">
        <v>875</v>
      </c>
      <c r="P47" s="126"/>
    </row>
    <row r="48" spans="1:16" ht="15.75" customHeight="1">
      <c r="A48" s="126">
        <v>46230.015752314801</v>
      </c>
      <c r="B48" s="7">
        <v>12</v>
      </c>
      <c r="C48" s="7">
        <v>656</v>
      </c>
      <c r="D48" s="7"/>
      <c r="E48" s="7" t="s">
        <v>891</v>
      </c>
      <c r="F48" s="7" t="s">
        <v>771</v>
      </c>
      <c r="G48" s="7">
        <v>176</v>
      </c>
      <c r="H48" s="7" t="s">
        <v>884</v>
      </c>
      <c r="I48" s="7" t="s">
        <v>878</v>
      </c>
      <c r="J48" s="7" t="s">
        <v>882</v>
      </c>
      <c r="M48" s="7">
        <v>90</v>
      </c>
      <c r="N48" s="7">
        <v>90</v>
      </c>
      <c r="O48" s="126">
        <v>46227.476793981499</v>
      </c>
      <c r="P48" s="126">
        <v>46227.476793981499</v>
      </c>
    </row>
    <row r="49" spans="1:16" ht="15.75" customHeight="1">
      <c r="A49" s="126">
        <v>46230.015752314801</v>
      </c>
      <c r="B49" s="7">
        <v>12</v>
      </c>
      <c r="C49" s="7">
        <v>656</v>
      </c>
      <c r="D49" s="7"/>
      <c r="E49" s="7" t="s">
        <v>891</v>
      </c>
      <c r="F49" s="7" t="s">
        <v>771</v>
      </c>
      <c r="G49" s="7">
        <v>168</v>
      </c>
      <c r="H49" s="7" t="s">
        <v>885</v>
      </c>
      <c r="I49" s="7" t="s">
        <v>886</v>
      </c>
      <c r="J49" s="7"/>
      <c r="M49" s="7">
        <v>100</v>
      </c>
      <c r="N49" s="7">
        <v>100</v>
      </c>
      <c r="P49" s="126">
        <v>46210.415335648097</v>
      </c>
    </row>
    <row r="50" spans="1:16" ht="15.75" customHeight="1">
      <c r="A50" s="126">
        <v>46230.015752314801</v>
      </c>
      <c r="B50" s="7">
        <v>12</v>
      </c>
      <c r="C50" s="7">
        <v>727</v>
      </c>
      <c r="D50" s="7"/>
      <c r="E50" s="7" t="s">
        <v>892</v>
      </c>
      <c r="F50" s="7" t="s">
        <v>207</v>
      </c>
      <c r="G50" s="7">
        <v>181</v>
      </c>
      <c r="H50" s="7" t="s">
        <v>873</v>
      </c>
      <c r="I50" s="7" t="s">
        <v>874</v>
      </c>
      <c r="J50" s="7"/>
      <c r="M50" s="7"/>
      <c r="N50" s="7" t="s">
        <v>875</v>
      </c>
      <c r="O50" s="126"/>
      <c r="P50" s="126"/>
    </row>
    <row r="51" spans="1:16" ht="15.75" customHeight="1">
      <c r="A51" s="126">
        <v>46230.015752314801</v>
      </c>
      <c r="B51" s="7">
        <v>12</v>
      </c>
      <c r="C51" s="7">
        <v>727</v>
      </c>
      <c r="D51" s="7"/>
      <c r="E51" s="7" t="s">
        <v>892</v>
      </c>
      <c r="F51" s="7" t="s">
        <v>207</v>
      </c>
      <c r="G51" s="7">
        <v>182</v>
      </c>
      <c r="H51" s="7" t="s">
        <v>876</v>
      </c>
      <c r="I51" s="7" t="s">
        <v>874</v>
      </c>
      <c r="J51" s="7"/>
      <c r="M51" s="7"/>
      <c r="N51" s="7" t="s">
        <v>875</v>
      </c>
      <c r="O51" s="126"/>
      <c r="P51" s="126"/>
    </row>
    <row r="52" spans="1:16" ht="15.75" customHeight="1">
      <c r="A52" s="126">
        <v>46230.015752314801</v>
      </c>
      <c r="B52" s="7">
        <v>12</v>
      </c>
      <c r="C52" s="7">
        <v>727</v>
      </c>
      <c r="D52" s="7"/>
      <c r="E52" s="7" t="s">
        <v>892</v>
      </c>
      <c r="F52" s="7" t="s">
        <v>207</v>
      </c>
      <c r="G52" s="7">
        <v>174</v>
      </c>
      <c r="H52" s="7" t="s">
        <v>877</v>
      </c>
      <c r="I52" s="7" t="s">
        <v>878</v>
      </c>
      <c r="J52" s="7" t="s">
        <v>879</v>
      </c>
      <c r="M52" s="7">
        <v>100</v>
      </c>
      <c r="N52" s="7">
        <v>100</v>
      </c>
      <c r="O52" s="126"/>
      <c r="P52" s="126">
        <v>46209.706944444399</v>
      </c>
    </row>
    <row r="53" spans="1:16" ht="15.75" customHeight="1">
      <c r="A53" s="126">
        <v>46230.015752314801</v>
      </c>
      <c r="B53" s="7">
        <v>12</v>
      </c>
      <c r="C53" s="7">
        <v>727</v>
      </c>
      <c r="D53" s="7"/>
      <c r="E53" s="7" t="s">
        <v>892</v>
      </c>
      <c r="F53" s="7" t="s">
        <v>207</v>
      </c>
      <c r="G53" s="7">
        <v>180</v>
      </c>
      <c r="H53" s="7" t="s">
        <v>880</v>
      </c>
      <c r="I53" s="7" t="s">
        <v>874</v>
      </c>
      <c r="J53" s="7"/>
      <c r="M53" s="7"/>
      <c r="N53" s="7" t="s">
        <v>875</v>
      </c>
      <c r="O53" s="126"/>
      <c r="P53" s="126"/>
    </row>
    <row r="54" spans="1:16" ht="15.75" customHeight="1">
      <c r="A54" s="126">
        <v>46230.015752314801</v>
      </c>
      <c r="B54" s="7">
        <v>12</v>
      </c>
      <c r="C54" s="7">
        <v>727</v>
      </c>
      <c r="D54" s="7"/>
      <c r="E54" s="7" t="s">
        <v>892</v>
      </c>
      <c r="F54" s="7" t="s">
        <v>207</v>
      </c>
      <c r="G54" s="7">
        <v>175</v>
      </c>
      <c r="H54" s="7" t="s">
        <v>881</v>
      </c>
      <c r="I54" s="7" t="s">
        <v>878</v>
      </c>
      <c r="J54" s="7" t="s">
        <v>882</v>
      </c>
      <c r="M54" s="7">
        <v>100</v>
      </c>
      <c r="N54" s="7">
        <v>100</v>
      </c>
      <c r="O54" s="126">
        <v>46216.349247685197</v>
      </c>
      <c r="P54" s="126">
        <v>46216.349247685197</v>
      </c>
    </row>
    <row r="55" spans="1:16" ht="15.75" customHeight="1">
      <c r="A55" s="126">
        <v>46230.015752314801</v>
      </c>
      <c r="B55" s="7">
        <v>12</v>
      </c>
      <c r="C55" s="7">
        <v>727</v>
      </c>
      <c r="D55" s="7"/>
      <c r="E55" s="7" t="s">
        <v>892</v>
      </c>
      <c r="F55" s="7" t="s">
        <v>207</v>
      </c>
      <c r="G55" s="7">
        <v>177</v>
      </c>
      <c r="H55" s="7" t="s">
        <v>883</v>
      </c>
      <c r="I55" s="7" t="s">
        <v>878</v>
      </c>
      <c r="J55" s="7" t="s">
        <v>882</v>
      </c>
      <c r="M55" s="7">
        <v>100</v>
      </c>
      <c r="N55" s="7">
        <v>100</v>
      </c>
      <c r="O55" s="126">
        <v>46229.410752314798</v>
      </c>
      <c r="P55" s="126">
        <v>46229.410752314798</v>
      </c>
    </row>
    <row r="56" spans="1:16" ht="15.75" customHeight="1">
      <c r="A56" s="126">
        <v>46230.015752314801</v>
      </c>
      <c r="B56" s="7">
        <v>12</v>
      </c>
      <c r="C56" s="7">
        <v>727</v>
      </c>
      <c r="D56" s="7"/>
      <c r="E56" s="7" t="s">
        <v>892</v>
      </c>
      <c r="F56" s="7" t="s">
        <v>207</v>
      </c>
      <c r="G56" s="7">
        <v>176</v>
      </c>
      <c r="H56" s="7" t="s">
        <v>884</v>
      </c>
      <c r="I56" s="7" t="s">
        <v>878</v>
      </c>
      <c r="J56" s="7" t="s">
        <v>882</v>
      </c>
      <c r="M56" s="7">
        <v>100</v>
      </c>
      <c r="N56" s="7">
        <v>100</v>
      </c>
      <c r="O56" s="126">
        <v>46229.406666666699</v>
      </c>
      <c r="P56" s="126">
        <v>46229.406666666699</v>
      </c>
    </row>
    <row r="57" spans="1:16" ht="15.75" customHeight="1">
      <c r="A57" s="126">
        <v>46230.015752314801</v>
      </c>
      <c r="B57" s="7">
        <v>12</v>
      </c>
      <c r="C57" s="7">
        <v>727</v>
      </c>
      <c r="D57" s="7"/>
      <c r="E57" s="7" t="s">
        <v>892</v>
      </c>
      <c r="F57" s="7" t="s">
        <v>207</v>
      </c>
      <c r="G57" s="7">
        <v>168</v>
      </c>
      <c r="H57" s="7" t="s">
        <v>885</v>
      </c>
      <c r="I57" s="7" t="s">
        <v>886</v>
      </c>
      <c r="J57" s="7"/>
      <c r="M57" s="7">
        <v>100</v>
      </c>
      <c r="N57" s="7">
        <v>100</v>
      </c>
      <c r="O57" s="126"/>
      <c r="P57" s="126">
        <v>46209.706944444399</v>
      </c>
    </row>
    <row r="58" spans="1:16" ht="15.75" customHeight="1">
      <c r="A58" s="126">
        <v>46230.015752314801</v>
      </c>
      <c r="B58" s="7">
        <v>12</v>
      </c>
      <c r="C58" s="7">
        <v>765</v>
      </c>
      <c r="D58" s="7"/>
      <c r="E58" s="7" t="s">
        <v>893</v>
      </c>
      <c r="F58" s="7" t="s">
        <v>117</v>
      </c>
      <c r="G58" s="7">
        <v>181</v>
      </c>
      <c r="H58" s="7" t="s">
        <v>873</v>
      </c>
      <c r="I58" s="7" t="s">
        <v>874</v>
      </c>
      <c r="J58" s="7"/>
      <c r="M58" s="7"/>
      <c r="N58" s="7" t="s">
        <v>875</v>
      </c>
      <c r="O58" s="126"/>
      <c r="P58" s="126"/>
    </row>
    <row r="59" spans="1:16" ht="15.75" customHeight="1">
      <c r="A59" s="126">
        <v>46230.015752314801</v>
      </c>
      <c r="B59" s="7">
        <v>12</v>
      </c>
      <c r="C59" s="7">
        <v>765</v>
      </c>
      <c r="D59" s="7"/>
      <c r="E59" s="7" t="s">
        <v>893</v>
      </c>
      <c r="F59" s="7" t="s">
        <v>117</v>
      </c>
      <c r="G59" s="7">
        <v>182</v>
      </c>
      <c r="H59" s="7" t="s">
        <v>876</v>
      </c>
      <c r="I59" s="7" t="s">
        <v>874</v>
      </c>
      <c r="J59" s="7"/>
      <c r="M59" s="7"/>
      <c r="N59" s="7" t="s">
        <v>875</v>
      </c>
      <c r="P59" s="126"/>
    </row>
    <row r="60" spans="1:16" ht="15.75" customHeight="1">
      <c r="A60" s="126">
        <v>46230.015752314801</v>
      </c>
      <c r="B60" s="7">
        <v>12</v>
      </c>
      <c r="C60" s="7">
        <v>765</v>
      </c>
      <c r="D60" s="7"/>
      <c r="E60" s="7" t="s">
        <v>893</v>
      </c>
      <c r="F60" s="7" t="s">
        <v>117</v>
      </c>
      <c r="G60" s="7">
        <v>174</v>
      </c>
      <c r="H60" s="7" t="s">
        <v>877</v>
      </c>
      <c r="I60" s="7" t="s">
        <v>878</v>
      </c>
      <c r="J60" s="7" t="s">
        <v>879</v>
      </c>
      <c r="M60" s="7">
        <v>100</v>
      </c>
      <c r="N60" s="7">
        <v>100</v>
      </c>
      <c r="O60" s="126"/>
      <c r="P60" s="126">
        <v>46209.709745370397</v>
      </c>
    </row>
    <row r="61" spans="1:16" ht="15.75" customHeight="1">
      <c r="A61" s="126">
        <v>46230.015752314801</v>
      </c>
      <c r="B61" s="7">
        <v>12</v>
      </c>
      <c r="C61" s="7">
        <v>765</v>
      </c>
      <c r="D61" s="7"/>
      <c r="E61" s="7" t="s">
        <v>893</v>
      </c>
      <c r="F61" s="7" t="s">
        <v>117</v>
      </c>
      <c r="G61" s="7">
        <v>180</v>
      </c>
      <c r="H61" s="7" t="s">
        <v>880</v>
      </c>
      <c r="I61" s="7" t="s">
        <v>874</v>
      </c>
      <c r="J61" s="7"/>
      <c r="M61" s="7"/>
      <c r="N61" s="7" t="s">
        <v>875</v>
      </c>
      <c r="O61" s="126"/>
      <c r="P61" s="126"/>
    </row>
    <row r="62" spans="1:16" ht="15.75" customHeight="1">
      <c r="A62" s="126">
        <v>46230.015752314801</v>
      </c>
      <c r="B62" s="7">
        <v>12</v>
      </c>
      <c r="C62" s="7">
        <v>765</v>
      </c>
      <c r="D62" s="7"/>
      <c r="E62" s="7" t="s">
        <v>893</v>
      </c>
      <c r="F62" s="7" t="s">
        <v>117</v>
      </c>
      <c r="G62" s="7">
        <v>175</v>
      </c>
      <c r="H62" s="7" t="s">
        <v>881</v>
      </c>
      <c r="I62" s="7" t="s">
        <v>878</v>
      </c>
      <c r="J62" s="7" t="s">
        <v>882</v>
      </c>
      <c r="M62" s="7">
        <v>75</v>
      </c>
      <c r="N62" s="7">
        <v>75</v>
      </c>
      <c r="O62" s="126">
        <v>46216.978715277801</v>
      </c>
      <c r="P62" s="126">
        <v>46216.978715277801</v>
      </c>
    </row>
    <row r="63" spans="1:16" ht="15.75" customHeight="1">
      <c r="A63" s="126">
        <v>46230.015752314801</v>
      </c>
      <c r="B63" s="7">
        <v>12</v>
      </c>
      <c r="C63" s="7">
        <v>765</v>
      </c>
      <c r="D63" s="7"/>
      <c r="E63" s="7" t="s">
        <v>893</v>
      </c>
      <c r="F63" s="7" t="s">
        <v>117</v>
      </c>
      <c r="G63" s="7">
        <v>177</v>
      </c>
      <c r="H63" s="7" t="s">
        <v>883</v>
      </c>
      <c r="I63" s="7" t="s">
        <v>878</v>
      </c>
      <c r="J63" s="7" t="s">
        <v>882</v>
      </c>
      <c r="M63" s="7"/>
      <c r="N63" s="7" t="s">
        <v>875</v>
      </c>
      <c r="O63" s="126"/>
      <c r="P63" s="126"/>
    </row>
    <row r="64" spans="1:16" ht="15.75" customHeight="1">
      <c r="A64" s="126">
        <v>46230.015752314801</v>
      </c>
      <c r="B64" s="7">
        <v>12</v>
      </c>
      <c r="C64" s="7">
        <v>765</v>
      </c>
      <c r="D64" s="7"/>
      <c r="E64" s="7" t="s">
        <v>893</v>
      </c>
      <c r="F64" s="7" t="s">
        <v>117</v>
      </c>
      <c r="G64" s="7">
        <v>176</v>
      </c>
      <c r="H64" s="7" t="s">
        <v>884</v>
      </c>
      <c r="I64" s="7" t="s">
        <v>878</v>
      </c>
      <c r="J64" s="7" t="s">
        <v>882</v>
      </c>
      <c r="M64" s="7">
        <v>85</v>
      </c>
      <c r="N64" s="7">
        <v>85</v>
      </c>
      <c r="O64" s="126">
        <v>46225.893182870401</v>
      </c>
      <c r="P64" s="126">
        <v>46225.893182870401</v>
      </c>
    </row>
    <row r="65" spans="1:16" ht="15.75" customHeight="1">
      <c r="A65" s="126">
        <v>46230.015752314801</v>
      </c>
      <c r="B65" s="7">
        <v>12</v>
      </c>
      <c r="C65" s="7">
        <v>765</v>
      </c>
      <c r="D65" s="7"/>
      <c r="E65" s="7" t="s">
        <v>893</v>
      </c>
      <c r="F65" s="7" t="s">
        <v>117</v>
      </c>
      <c r="G65" s="7">
        <v>168</v>
      </c>
      <c r="H65" s="7" t="s">
        <v>885</v>
      </c>
      <c r="I65" s="7" t="s">
        <v>886</v>
      </c>
      <c r="J65" s="7"/>
      <c r="M65" s="7">
        <v>100</v>
      </c>
      <c r="N65" s="7">
        <v>100</v>
      </c>
      <c r="P65" s="126">
        <v>46209.709745370397</v>
      </c>
    </row>
    <row r="66" spans="1:16" ht="15.75" customHeight="1">
      <c r="A66" s="126">
        <v>46230.015752314801</v>
      </c>
      <c r="B66" s="7">
        <v>12</v>
      </c>
      <c r="C66" s="7">
        <v>487</v>
      </c>
      <c r="E66" s="7" t="s">
        <v>894</v>
      </c>
      <c r="F66" s="7" t="s">
        <v>468</v>
      </c>
      <c r="G66" s="7">
        <v>181</v>
      </c>
      <c r="H66" s="7" t="s">
        <v>873</v>
      </c>
      <c r="I66" s="7" t="s">
        <v>874</v>
      </c>
      <c r="J66" s="7"/>
      <c r="M66" s="7"/>
      <c r="N66" s="7" t="s">
        <v>875</v>
      </c>
      <c r="P66" s="126"/>
    </row>
    <row r="67" spans="1:16" ht="15.75" customHeight="1">
      <c r="A67" s="126">
        <v>46230.015752314801</v>
      </c>
      <c r="B67" s="7">
        <v>12</v>
      </c>
      <c r="C67" s="7">
        <v>487</v>
      </c>
      <c r="E67" s="7" t="s">
        <v>894</v>
      </c>
      <c r="F67" s="7" t="s">
        <v>468</v>
      </c>
      <c r="G67" s="7">
        <v>182</v>
      </c>
      <c r="H67" s="7" t="s">
        <v>876</v>
      </c>
      <c r="I67" s="7" t="s">
        <v>874</v>
      </c>
      <c r="J67" s="7"/>
      <c r="M67" s="7"/>
      <c r="N67" s="7" t="s">
        <v>875</v>
      </c>
      <c r="P67" s="126"/>
    </row>
    <row r="68" spans="1:16" ht="15.75" customHeight="1">
      <c r="A68" s="126">
        <v>46230.015752314801</v>
      </c>
      <c r="B68" s="7">
        <v>12</v>
      </c>
      <c r="C68" s="7">
        <v>487</v>
      </c>
      <c r="D68" s="7"/>
      <c r="E68" s="7" t="s">
        <v>894</v>
      </c>
      <c r="F68" s="7" t="s">
        <v>468</v>
      </c>
      <c r="G68" s="7">
        <v>174</v>
      </c>
      <c r="H68" s="7" t="s">
        <v>877</v>
      </c>
      <c r="I68" s="7" t="s">
        <v>878</v>
      </c>
      <c r="J68" s="7" t="s">
        <v>879</v>
      </c>
      <c r="M68" s="7">
        <v>100</v>
      </c>
      <c r="N68" s="7">
        <v>100</v>
      </c>
      <c r="P68" s="126">
        <v>46209.706944444399</v>
      </c>
    </row>
    <row r="69" spans="1:16" ht="15.75" customHeight="1">
      <c r="A69" s="126">
        <v>46230.015752314801</v>
      </c>
      <c r="B69" s="7">
        <v>12</v>
      </c>
      <c r="C69" s="7">
        <v>487</v>
      </c>
      <c r="D69" s="7"/>
      <c r="E69" s="7" t="s">
        <v>894</v>
      </c>
      <c r="F69" s="7" t="s">
        <v>468</v>
      </c>
      <c r="G69" s="7">
        <v>180</v>
      </c>
      <c r="H69" s="7" t="s">
        <v>880</v>
      </c>
      <c r="I69" s="7" t="s">
        <v>874</v>
      </c>
      <c r="J69" s="7"/>
      <c r="M69" s="7"/>
      <c r="N69" s="7" t="s">
        <v>875</v>
      </c>
      <c r="O69" s="126"/>
      <c r="P69" s="126"/>
    </row>
    <row r="70" spans="1:16" ht="15.75" customHeight="1">
      <c r="A70" s="126">
        <v>46230.015752314801</v>
      </c>
      <c r="B70" s="7">
        <v>12</v>
      </c>
      <c r="C70" s="7">
        <v>487</v>
      </c>
      <c r="D70" s="7"/>
      <c r="E70" s="7" t="s">
        <v>894</v>
      </c>
      <c r="F70" s="7" t="s">
        <v>468</v>
      </c>
      <c r="G70" s="7">
        <v>175</v>
      </c>
      <c r="H70" s="7" t="s">
        <v>881</v>
      </c>
      <c r="I70" s="7" t="s">
        <v>878</v>
      </c>
      <c r="J70" s="7" t="s">
        <v>882</v>
      </c>
      <c r="M70" s="7"/>
      <c r="N70" s="7" t="s">
        <v>875</v>
      </c>
      <c r="O70" s="126"/>
      <c r="P70" s="126"/>
    </row>
    <row r="71" spans="1:16" ht="15.75" customHeight="1">
      <c r="A71" s="126">
        <v>46230.015752314801</v>
      </c>
      <c r="B71" s="7">
        <v>12</v>
      </c>
      <c r="C71" s="7">
        <v>487</v>
      </c>
      <c r="D71" s="7"/>
      <c r="E71" s="7" t="s">
        <v>894</v>
      </c>
      <c r="F71" s="7" t="s">
        <v>468</v>
      </c>
      <c r="G71" s="7">
        <v>177</v>
      </c>
      <c r="H71" s="7" t="s">
        <v>883</v>
      </c>
      <c r="I71" s="7" t="s">
        <v>878</v>
      </c>
      <c r="J71" s="7" t="s">
        <v>882</v>
      </c>
      <c r="M71" s="7"/>
      <c r="N71" s="7" t="s">
        <v>875</v>
      </c>
      <c r="O71" s="126"/>
      <c r="P71" s="126"/>
    </row>
    <row r="72" spans="1:16" ht="15.75" customHeight="1">
      <c r="A72" s="126">
        <v>46230.015752314801</v>
      </c>
      <c r="B72" s="7">
        <v>12</v>
      </c>
      <c r="C72" s="7">
        <v>487</v>
      </c>
      <c r="D72" s="7"/>
      <c r="E72" s="7" t="s">
        <v>894</v>
      </c>
      <c r="F72" s="7" t="s">
        <v>468</v>
      </c>
      <c r="G72" s="7">
        <v>176</v>
      </c>
      <c r="H72" s="7" t="s">
        <v>884</v>
      </c>
      <c r="I72" s="7" t="s">
        <v>878</v>
      </c>
      <c r="J72" s="7" t="s">
        <v>882</v>
      </c>
      <c r="M72" s="7"/>
      <c r="N72" s="7" t="s">
        <v>875</v>
      </c>
      <c r="O72" s="126"/>
      <c r="P72" s="126"/>
    </row>
    <row r="73" spans="1:16" ht="15.75" customHeight="1">
      <c r="A73" s="126">
        <v>46230.015752314801</v>
      </c>
      <c r="B73" s="7">
        <v>12</v>
      </c>
      <c r="C73" s="7">
        <v>487</v>
      </c>
      <c r="D73" s="7"/>
      <c r="E73" s="7" t="s">
        <v>894</v>
      </c>
      <c r="F73" s="7" t="s">
        <v>468</v>
      </c>
      <c r="G73" s="7">
        <v>168</v>
      </c>
      <c r="H73" s="7" t="s">
        <v>885</v>
      </c>
      <c r="I73" s="7" t="s">
        <v>886</v>
      </c>
      <c r="M73" s="7">
        <v>100</v>
      </c>
      <c r="N73" s="7">
        <v>100</v>
      </c>
      <c r="P73" s="126">
        <v>46209.706944444399</v>
      </c>
    </row>
    <row r="74" spans="1:16" ht="15.75" customHeight="1">
      <c r="A74" s="126">
        <v>46230.015752314801</v>
      </c>
      <c r="B74" s="7">
        <v>12</v>
      </c>
      <c r="C74" s="7">
        <v>726</v>
      </c>
      <c r="D74" s="7">
        <v>498651</v>
      </c>
      <c r="E74" s="7" t="s">
        <v>895</v>
      </c>
      <c r="F74" s="7" t="s">
        <v>124</v>
      </c>
      <c r="G74" s="7">
        <v>181</v>
      </c>
      <c r="H74" s="7" t="s">
        <v>873</v>
      </c>
      <c r="I74" s="7" t="s">
        <v>874</v>
      </c>
      <c r="J74" s="7"/>
      <c r="M74" s="7"/>
      <c r="N74" s="7" t="s">
        <v>875</v>
      </c>
      <c r="O74" s="126"/>
      <c r="P74" s="126"/>
    </row>
    <row r="75" spans="1:16" ht="15.75" customHeight="1">
      <c r="A75" s="126">
        <v>46230.015752314801</v>
      </c>
      <c r="B75" s="7">
        <v>12</v>
      </c>
      <c r="C75" s="7">
        <v>726</v>
      </c>
      <c r="D75" s="7">
        <v>498651</v>
      </c>
      <c r="E75" s="7" t="s">
        <v>895</v>
      </c>
      <c r="F75" s="7" t="s">
        <v>124</v>
      </c>
      <c r="G75" s="7">
        <v>182</v>
      </c>
      <c r="H75" s="7" t="s">
        <v>876</v>
      </c>
      <c r="I75" s="7" t="s">
        <v>874</v>
      </c>
      <c r="J75" s="7"/>
      <c r="M75" s="7"/>
      <c r="N75" s="7" t="s">
        <v>875</v>
      </c>
      <c r="O75" s="126"/>
      <c r="P75" s="126"/>
    </row>
    <row r="76" spans="1:16" ht="15.75" customHeight="1">
      <c r="A76" s="126">
        <v>46230.015752314801</v>
      </c>
      <c r="B76" s="7">
        <v>12</v>
      </c>
      <c r="C76" s="7">
        <v>726</v>
      </c>
      <c r="D76" s="7">
        <v>498651</v>
      </c>
      <c r="E76" s="7" t="s">
        <v>895</v>
      </c>
      <c r="F76" s="7" t="s">
        <v>124</v>
      </c>
      <c r="G76" s="7">
        <v>174</v>
      </c>
      <c r="H76" s="7" t="s">
        <v>877</v>
      </c>
      <c r="I76" s="7" t="s">
        <v>878</v>
      </c>
      <c r="J76" s="7" t="s">
        <v>879</v>
      </c>
      <c r="M76" s="7">
        <v>100</v>
      </c>
      <c r="N76" s="7">
        <v>100</v>
      </c>
      <c r="O76" s="126"/>
      <c r="P76" s="126">
        <v>46210.837789351899</v>
      </c>
    </row>
    <row r="77" spans="1:16" ht="15.75" customHeight="1">
      <c r="A77" s="126">
        <v>46230.015752314801</v>
      </c>
      <c r="B77" s="7">
        <v>12</v>
      </c>
      <c r="C77" s="7">
        <v>726</v>
      </c>
      <c r="D77" s="7">
        <v>498651</v>
      </c>
      <c r="E77" s="7" t="s">
        <v>895</v>
      </c>
      <c r="F77" s="7" t="s">
        <v>124</v>
      </c>
      <c r="G77" s="7">
        <v>180</v>
      </c>
      <c r="H77" s="7" t="s">
        <v>880</v>
      </c>
      <c r="I77" s="7" t="s">
        <v>874</v>
      </c>
      <c r="J77" s="7"/>
      <c r="M77" s="7"/>
      <c r="N77" s="7" t="s">
        <v>875</v>
      </c>
      <c r="P77" s="126"/>
    </row>
    <row r="78" spans="1:16" ht="15.75" customHeight="1">
      <c r="A78" s="126">
        <v>46230.015752314801</v>
      </c>
      <c r="B78" s="7">
        <v>12</v>
      </c>
      <c r="C78" s="7">
        <v>726</v>
      </c>
      <c r="D78" s="7">
        <v>498651</v>
      </c>
      <c r="E78" s="7" t="s">
        <v>895</v>
      </c>
      <c r="F78" s="7" t="s">
        <v>124</v>
      </c>
      <c r="G78" s="7">
        <v>175</v>
      </c>
      <c r="H78" s="7" t="s">
        <v>881</v>
      </c>
      <c r="I78" s="7" t="s">
        <v>878</v>
      </c>
      <c r="J78" s="7" t="s">
        <v>882</v>
      </c>
      <c r="M78" s="7">
        <v>100</v>
      </c>
      <c r="N78" s="7">
        <v>100</v>
      </c>
      <c r="O78" s="126">
        <v>46228.597002314797</v>
      </c>
      <c r="P78" s="126">
        <v>46228.597002314797</v>
      </c>
    </row>
    <row r="79" spans="1:16" ht="15.75" customHeight="1">
      <c r="A79" s="126">
        <v>46230.015752314801</v>
      </c>
      <c r="B79" s="7">
        <v>12</v>
      </c>
      <c r="C79" s="7">
        <v>726</v>
      </c>
      <c r="D79" s="7">
        <v>498651</v>
      </c>
      <c r="E79" s="7" t="s">
        <v>895</v>
      </c>
      <c r="F79" s="7" t="s">
        <v>124</v>
      </c>
      <c r="G79" s="7">
        <v>177</v>
      </c>
      <c r="H79" s="7" t="s">
        <v>883</v>
      </c>
      <c r="I79" s="7" t="s">
        <v>878</v>
      </c>
      <c r="J79" s="7" t="s">
        <v>882</v>
      </c>
      <c r="M79" s="7"/>
      <c r="N79" s="7" t="s">
        <v>875</v>
      </c>
      <c r="P79" s="126"/>
    </row>
    <row r="80" spans="1:16" ht="15.75" customHeight="1">
      <c r="A80" s="126">
        <v>46230.015752314801</v>
      </c>
      <c r="B80" s="7">
        <v>12</v>
      </c>
      <c r="C80" s="7">
        <v>726</v>
      </c>
      <c r="D80" s="7">
        <v>498651</v>
      </c>
      <c r="E80" s="7" t="s">
        <v>895</v>
      </c>
      <c r="F80" s="7" t="s">
        <v>124</v>
      </c>
      <c r="G80" s="7">
        <v>176</v>
      </c>
      <c r="H80" s="7" t="s">
        <v>884</v>
      </c>
      <c r="I80" s="7" t="s">
        <v>878</v>
      </c>
      <c r="J80" s="7" t="s">
        <v>882</v>
      </c>
      <c r="M80" s="7">
        <v>100</v>
      </c>
      <c r="N80" s="7">
        <v>100</v>
      </c>
      <c r="O80" s="126">
        <v>46229.450717592597</v>
      </c>
      <c r="P80" s="126">
        <v>46229.450717592597</v>
      </c>
    </row>
    <row r="81" spans="1:16" ht="15.75" customHeight="1">
      <c r="A81" s="126">
        <v>46230.015752314801</v>
      </c>
      <c r="B81" s="7">
        <v>12</v>
      </c>
      <c r="C81" s="7">
        <v>726</v>
      </c>
      <c r="D81" s="7">
        <v>498651</v>
      </c>
      <c r="E81" s="7" t="s">
        <v>895</v>
      </c>
      <c r="F81" s="7" t="s">
        <v>124</v>
      </c>
      <c r="G81" s="7">
        <v>168</v>
      </c>
      <c r="H81" s="7" t="s">
        <v>885</v>
      </c>
      <c r="I81" s="7" t="s">
        <v>886</v>
      </c>
      <c r="J81" s="7"/>
      <c r="M81" s="7">
        <v>100</v>
      </c>
      <c r="N81" s="7">
        <v>100</v>
      </c>
      <c r="O81" s="126"/>
      <c r="P81" s="126">
        <v>46210.837789351899</v>
      </c>
    </row>
    <row r="82" spans="1:16" ht="15.75" customHeight="1">
      <c r="A82" s="126">
        <v>46230.015752314801</v>
      </c>
      <c r="B82" s="7">
        <v>12</v>
      </c>
      <c r="C82" s="7">
        <v>369</v>
      </c>
      <c r="D82" s="7"/>
      <c r="E82" s="7" t="s">
        <v>896</v>
      </c>
      <c r="F82" s="7" t="s">
        <v>395</v>
      </c>
      <c r="G82" s="7">
        <v>181</v>
      </c>
      <c r="H82" s="7" t="s">
        <v>873</v>
      </c>
      <c r="I82" s="7" t="s">
        <v>874</v>
      </c>
      <c r="J82" s="7"/>
      <c r="M82" s="7"/>
      <c r="N82" s="7" t="s">
        <v>875</v>
      </c>
      <c r="O82" s="126"/>
      <c r="P82" s="126"/>
    </row>
    <row r="83" spans="1:16" ht="15.75" customHeight="1">
      <c r="A83" s="126">
        <v>46230.015752314801</v>
      </c>
      <c r="B83" s="7">
        <v>12</v>
      </c>
      <c r="C83" s="7">
        <v>369</v>
      </c>
      <c r="D83" s="7"/>
      <c r="E83" s="7" t="s">
        <v>896</v>
      </c>
      <c r="F83" s="7" t="s">
        <v>395</v>
      </c>
      <c r="G83" s="7">
        <v>182</v>
      </c>
      <c r="H83" s="7" t="s">
        <v>876</v>
      </c>
      <c r="I83" s="7" t="s">
        <v>874</v>
      </c>
      <c r="J83" s="7"/>
      <c r="M83" s="7"/>
      <c r="N83" s="7" t="s">
        <v>875</v>
      </c>
      <c r="P83" s="126"/>
    </row>
    <row r="84" spans="1:16" ht="15.75" customHeight="1">
      <c r="A84" s="126">
        <v>46230.015752314801</v>
      </c>
      <c r="B84" s="7">
        <v>12</v>
      </c>
      <c r="C84" s="7">
        <v>369</v>
      </c>
      <c r="D84" s="7"/>
      <c r="E84" s="7" t="s">
        <v>896</v>
      </c>
      <c r="F84" s="7" t="s">
        <v>395</v>
      </c>
      <c r="G84" s="7">
        <v>174</v>
      </c>
      <c r="H84" s="7" t="s">
        <v>877</v>
      </c>
      <c r="I84" s="7" t="s">
        <v>878</v>
      </c>
      <c r="J84" s="7" t="s">
        <v>879</v>
      </c>
      <c r="M84" s="7">
        <v>100</v>
      </c>
      <c r="N84" s="7">
        <v>100</v>
      </c>
      <c r="P84" s="126">
        <v>46209.706944444399</v>
      </c>
    </row>
    <row r="85" spans="1:16" ht="15.75" customHeight="1">
      <c r="A85" s="126">
        <v>46230.015752314801</v>
      </c>
      <c r="B85" s="7">
        <v>12</v>
      </c>
      <c r="C85" s="7">
        <v>369</v>
      </c>
      <c r="D85" s="7"/>
      <c r="E85" s="7" t="s">
        <v>896</v>
      </c>
      <c r="F85" s="7" t="s">
        <v>395</v>
      </c>
      <c r="G85" s="7">
        <v>180</v>
      </c>
      <c r="H85" s="7" t="s">
        <v>880</v>
      </c>
      <c r="I85" s="7" t="s">
        <v>874</v>
      </c>
      <c r="J85" s="7"/>
      <c r="M85" s="7"/>
      <c r="N85" s="7" t="s">
        <v>875</v>
      </c>
      <c r="O85" s="126"/>
      <c r="P85" s="126"/>
    </row>
    <row r="86" spans="1:16" ht="15.75" customHeight="1">
      <c r="A86" s="126">
        <v>46230.015752314801</v>
      </c>
      <c r="B86" s="7">
        <v>12</v>
      </c>
      <c r="C86" s="7">
        <v>369</v>
      </c>
      <c r="D86" s="7"/>
      <c r="E86" s="7" t="s">
        <v>896</v>
      </c>
      <c r="F86" s="7" t="s">
        <v>395</v>
      </c>
      <c r="G86" s="7">
        <v>175</v>
      </c>
      <c r="H86" s="7" t="s">
        <v>881</v>
      </c>
      <c r="I86" s="7" t="s">
        <v>878</v>
      </c>
      <c r="J86" s="7" t="s">
        <v>882</v>
      </c>
      <c r="M86" s="7">
        <v>100</v>
      </c>
      <c r="N86" s="7">
        <v>100</v>
      </c>
      <c r="O86" s="126">
        <v>46214.620740740698</v>
      </c>
      <c r="P86" s="126">
        <v>46214.620740740698</v>
      </c>
    </row>
    <row r="87" spans="1:16" ht="15.75" customHeight="1">
      <c r="A87" s="126">
        <v>46230.015752314801</v>
      </c>
      <c r="B87" s="7">
        <v>12</v>
      </c>
      <c r="C87" s="7">
        <v>369</v>
      </c>
      <c r="D87" s="7"/>
      <c r="E87" s="7" t="s">
        <v>896</v>
      </c>
      <c r="F87" s="7" t="s">
        <v>395</v>
      </c>
      <c r="G87" s="7">
        <v>177</v>
      </c>
      <c r="H87" s="7" t="s">
        <v>883</v>
      </c>
      <c r="I87" s="7" t="s">
        <v>878</v>
      </c>
      <c r="J87" s="7" t="s">
        <v>882</v>
      </c>
      <c r="M87" s="7"/>
      <c r="N87" s="7" t="s">
        <v>875</v>
      </c>
      <c r="O87" s="126"/>
      <c r="P87" s="126"/>
    </row>
    <row r="88" spans="1:16" ht="15.75" customHeight="1">
      <c r="A88" s="126">
        <v>46230.015752314801</v>
      </c>
      <c r="B88" s="7">
        <v>12</v>
      </c>
      <c r="C88" s="7">
        <v>369</v>
      </c>
      <c r="D88" s="7"/>
      <c r="E88" s="7" t="s">
        <v>896</v>
      </c>
      <c r="F88" s="7" t="s">
        <v>395</v>
      </c>
      <c r="G88" s="7">
        <v>176</v>
      </c>
      <c r="H88" s="7" t="s">
        <v>884</v>
      </c>
      <c r="I88" s="7" t="s">
        <v>878</v>
      </c>
      <c r="J88" s="7" t="s">
        <v>882</v>
      </c>
      <c r="M88" s="7">
        <v>100</v>
      </c>
      <c r="N88" s="7">
        <v>100</v>
      </c>
      <c r="O88" s="126">
        <v>46226.429583333302</v>
      </c>
      <c r="P88" s="126">
        <v>46226.4295949074</v>
      </c>
    </row>
    <row r="89" spans="1:16" ht="15.75" customHeight="1">
      <c r="A89" s="126">
        <v>46230.015752314801</v>
      </c>
      <c r="B89" s="7">
        <v>12</v>
      </c>
      <c r="C89" s="7">
        <v>369</v>
      </c>
      <c r="D89" s="7"/>
      <c r="E89" s="7" t="s">
        <v>896</v>
      </c>
      <c r="F89" s="7" t="s">
        <v>395</v>
      </c>
      <c r="G89" s="7">
        <v>168</v>
      </c>
      <c r="H89" s="7" t="s">
        <v>885</v>
      </c>
      <c r="I89" s="7" t="s">
        <v>886</v>
      </c>
      <c r="J89" s="7"/>
      <c r="M89" s="7">
        <v>100</v>
      </c>
      <c r="N89" s="7">
        <v>100</v>
      </c>
      <c r="P89" s="126">
        <v>46209.706944444399</v>
      </c>
    </row>
    <row r="90" spans="1:16" ht="15.75" customHeight="1">
      <c r="A90" s="126">
        <v>46230.015752314801</v>
      </c>
      <c r="B90" s="7">
        <v>12</v>
      </c>
      <c r="C90" s="7">
        <v>265</v>
      </c>
      <c r="D90" s="7"/>
      <c r="E90" s="7" t="s">
        <v>897</v>
      </c>
      <c r="F90" s="7" t="s">
        <v>622</v>
      </c>
      <c r="G90" s="7">
        <v>181</v>
      </c>
      <c r="H90" s="7" t="s">
        <v>873</v>
      </c>
      <c r="I90" s="7" t="s">
        <v>874</v>
      </c>
      <c r="J90" s="7"/>
      <c r="M90" s="7"/>
      <c r="N90" s="7" t="s">
        <v>875</v>
      </c>
      <c r="P90" s="126"/>
    </row>
    <row r="91" spans="1:16" ht="15.75" customHeight="1">
      <c r="A91" s="126">
        <v>46230.015752314801</v>
      </c>
      <c r="B91" s="7">
        <v>12</v>
      </c>
      <c r="C91" s="7">
        <v>265</v>
      </c>
      <c r="D91" s="7"/>
      <c r="E91" s="7" t="s">
        <v>897</v>
      </c>
      <c r="F91" s="7" t="s">
        <v>622</v>
      </c>
      <c r="G91" s="7">
        <v>182</v>
      </c>
      <c r="H91" s="7" t="s">
        <v>876</v>
      </c>
      <c r="I91" s="7" t="s">
        <v>874</v>
      </c>
      <c r="J91" s="7"/>
      <c r="M91" s="7"/>
      <c r="N91" s="7" t="s">
        <v>875</v>
      </c>
      <c r="P91" s="126"/>
    </row>
    <row r="92" spans="1:16" ht="15.75" customHeight="1">
      <c r="A92" s="126">
        <v>46230.015752314801</v>
      </c>
      <c r="B92" s="7">
        <v>12</v>
      </c>
      <c r="C92" s="7">
        <v>265</v>
      </c>
      <c r="E92" s="7" t="s">
        <v>897</v>
      </c>
      <c r="F92" s="7" t="s">
        <v>622</v>
      </c>
      <c r="G92" s="7">
        <v>174</v>
      </c>
      <c r="H92" s="7" t="s">
        <v>877</v>
      </c>
      <c r="I92" s="7" t="s">
        <v>878</v>
      </c>
      <c r="J92" s="7" t="s">
        <v>879</v>
      </c>
      <c r="M92" s="7">
        <v>100</v>
      </c>
      <c r="N92" s="7">
        <v>100</v>
      </c>
      <c r="O92" s="126"/>
      <c r="P92" s="126">
        <v>46209.706944444399</v>
      </c>
    </row>
    <row r="93" spans="1:16" ht="15.75" customHeight="1">
      <c r="A93" s="126">
        <v>46230.015752314801</v>
      </c>
      <c r="B93" s="7">
        <v>12</v>
      </c>
      <c r="C93" s="7">
        <v>265</v>
      </c>
      <c r="E93" s="7" t="s">
        <v>897</v>
      </c>
      <c r="F93" s="7" t="s">
        <v>622</v>
      </c>
      <c r="G93" s="7">
        <v>180</v>
      </c>
      <c r="H93" s="7" t="s">
        <v>880</v>
      </c>
      <c r="I93" s="7" t="s">
        <v>874</v>
      </c>
      <c r="J93" s="7"/>
      <c r="M93" s="7"/>
      <c r="N93" s="7" t="s">
        <v>875</v>
      </c>
      <c r="O93" s="126"/>
      <c r="P93" s="126"/>
    </row>
    <row r="94" spans="1:16" ht="15.75" customHeight="1">
      <c r="A94" s="126">
        <v>46230.015752314801</v>
      </c>
      <c r="B94" s="7">
        <v>12</v>
      </c>
      <c r="C94" s="7">
        <v>265</v>
      </c>
      <c r="D94" s="7"/>
      <c r="E94" s="7" t="s">
        <v>897</v>
      </c>
      <c r="F94" s="7" t="s">
        <v>622</v>
      </c>
      <c r="G94" s="7">
        <v>175</v>
      </c>
      <c r="H94" s="7" t="s">
        <v>881</v>
      </c>
      <c r="I94" s="7" t="s">
        <v>878</v>
      </c>
      <c r="J94" s="7" t="s">
        <v>882</v>
      </c>
      <c r="M94" s="7">
        <v>100</v>
      </c>
      <c r="N94" s="7">
        <v>100</v>
      </c>
      <c r="O94" s="126">
        <v>46215.9760185185</v>
      </c>
      <c r="P94" s="126">
        <v>46215.9760185185</v>
      </c>
    </row>
    <row r="95" spans="1:16" ht="15.75" customHeight="1">
      <c r="A95" s="126">
        <v>46230.015752314801</v>
      </c>
      <c r="B95" s="7">
        <v>12</v>
      </c>
      <c r="C95" s="7">
        <v>265</v>
      </c>
      <c r="D95" s="7"/>
      <c r="E95" s="7" t="s">
        <v>897</v>
      </c>
      <c r="F95" s="7" t="s">
        <v>622</v>
      </c>
      <c r="G95" s="7">
        <v>177</v>
      </c>
      <c r="H95" s="7" t="s">
        <v>883</v>
      </c>
      <c r="I95" s="7" t="s">
        <v>878</v>
      </c>
      <c r="J95" s="7" t="s">
        <v>882</v>
      </c>
      <c r="M95" s="7"/>
      <c r="N95" s="7" t="s">
        <v>875</v>
      </c>
      <c r="P95" s="126"/>
    </row>
    <row r="96" spans="1:16" ht="15.75" customHeight="1">
      <c r="A96" s="126">
        <v>46230.015752314801</v>
      </c>
      <c r="B96" s="7">
        <v>12</v>
      </c>
      <c r="C96" s="7">
        <v>265</v>
      </c>
      <c r="D96" s="7"/>
      <c r="E96" s="7" t="s">
        <v>897</v>
      </c>
      <c r="F96" s="7" t="s">
        <v>622</v>
      </c>
      <c r="G96" s="7">
        <v>176</v>
      </c>
      <c r="H96" s="7" t="s">
        <v>884</v>
      </c>
      <c r="I96" s="7" t="s">
        <v>878</v>
      </c>
      <c r="J96" s="7" t="s">
        <v>882</v>
      </c>
      <c r="M96" s="7">
        <v>100</v>
      </c>
      <c r="N96" s="7">
        <v>100</v>
      </c>
      <c r="O96" s="126">
        <v>46223.9059837963</v>
      </c>
      <c r="P96" s="126">
        <v>46223.9059837963</v>
      </c>
    </row>
    <row r="97" spans="1:16" ht="15.75" customHeight="1">
      <c r="A97" s="126">
        <v>46230.015752314801</v>
      </c>
      <c r="B97" s="7">
        <v>12</v>
      </c>
      <c r="C97" s="7">
        <v>265</v>
      </c>
      <c r="D97" s="7"/>
      <c r="E97" s="7" t="s">
        <v>897</v>
      </c>
      <c r="F97" s="7" t="s">
        <v>622</v>
      </c>
      <c r="G97" s="7">
        <v>168</v>
      </c>
      <c r="H97" s="7" t="s">
        <v>885</v>
      </c>
      <c r="I97" s="7" t="s">
        <v>886</v>
      </c>
      <c r="J97" s="7"/>
      <c r="M97" s="7">
        <v>100</v>
      </c>
      <c r="N97" s="7">
        <v>100</v>
      </c>
      <c r="P97" s="126">
        <v>46209.706944444399</v>
      </c>
    </row>
    <row r="98" spans="1:16" ht="15.75" customHeight="1">
      <c r="A98" s="126">
        <v>46230.015752314801</v>
      </c>
      <c r="B98" s="7">
        <v>12</v>
      </c>
      <c r="C98" s="7">
        <v>665</v>
      </c>
      <c r="D98" s="7"/>
      <c r="E98" s="7" t="s">
        <v>898</v>
      </c>
      <c r="F98" s="7" t="s">
        <v>522</v>
      </c>
      <c r="G98" s="7">
        <v>181</v>
      </c>
      <c r="H98" s="7" t="s">
        <v>873</v>
      </c>
      <c r="I98" s="7" t="s">
        <v>874</v>
      </c>
      <c r="J98" s="7"/>
      <c r="M98" s="7"/>
      <c r="N98" s="7" t="s">
        <v>875</v>
      </c>
      <c r="O98" s="126"/>
      <c r="P98" s="126"/>
    </row>
    <row r="99" spans="1:16" ht="15.75" customHeight="1">
      <c r="A99" s="126">
        <v>46230.015752314801</v>
      </c>
      <c r="B99" s="7">
        <v>12</v>
      </c>
      <c r="C99" s="7">
        <v>665</v>
      </c>
      <c r="D99" s="7"/>
      <c r="E99" s="7" t="s">
        <v>898</v>
      </c>
      <c r="F99" s="7" t="s">
        <v>522</v>
      </c>
      <c r="G99" s="7">
        <v>182</v>
      </c>
      <c r="H99" s="7" t="s">
        <v>876</v>
      </c>
      <c r="I99" s="7" t="s">
        <v>874</v>
      </c>
      <c r="J99" s="7"/>
      <c r="M99" s="7"/>
      <c r="N99" s="7" t="s">
        <v>875</v>
      </c>
      <c r="O99" s="126"/>
      <c r="P99" s="126"/>
    </row>
    <row r="100" spans="1:16" ht="15.75" customHeight="1">
      <c r="A100" s="126">
        <v>46230.015752314801</v>
      </c>
      <c r="B100" s="7">
        <v>12</v>
      </c>
      <c r="C100" s="7">
        <v>665</v>
      </c>
      <c r="E100" s="7" t="s">
        <v>898</v>
      </c>
      <c r="F100" s="7" t="s">
        <v>522</v>
      </c>
      <c r="G100" s="7">
        <v>174</v>
      </c>
      <c r="H100" s="7" t="s">
        <v>877</v>
      </c>
      <c r="I100" s="7" t="s">
        <v>878</v>
      </c>
      <c r="J100" s="7" t="s">
        <v>879</v>
      </c>
      <c r="M100" s="7">
        <v>100</v>
      </c>
      <c r="N100" s="7">
        <v>100</v>
      </c>
      <c r="O100" s="126"/>
      <c r="P100" s="126">
        <v>46209.706956018497</v>
      </c>
    </row>
    <row r="101" spans="1:16" ht="15.75" customHeight="1">
      <c r="A101" s="126">
        <v>46230.015752314801</v>
      </c>
      <c r="B101" s="7">
        <v>12</v>
      </c>
      <c r="C101" s="7">
        <v>665</v>
      </c>
      <c r="E101" s="7" t="s">
        <v>898</v>
      </c>
      <c r="F101" s="7" t="s">
        <v>522</v>
      </c>
      <c r="G101" s="7">
        <v>180</v>
      </c>
      <c r="H101" s="7" t="s">
        <v>880</v>
      </c>
      <c r="I101" s="7" t="s">
        <v>874</v>
      </c>
      <c r="J101" s="7"/>
      <c r="M101" s="7"/>
      <c r="N101" s="7" t="s">
        <v>875</v>
      </c>
      <c r="O101" s="126"/>
      <c r="P101" s="126"/>
    </row>
    <row r="102" spans="1:16" ht="15.75" customHeight="1">
      <c r="A102" s="126">
        <v>46230.015752314801</v>
      </c>
      <c r="B102" s="7">
        <v>12</v>
      </c>
      <c r="C102" s="7">
        <v>665</v>
      </c>
      <c r="D102" s="7"/>
      <c r="E102" s="7" t="s">
        <v>898</v>
      </c>
      <c r="F102" s="7" t="s">
        <v>522</v>
      </c>
      <c r="G102" s="7">
        <v>175</v>
      </c>
      <c r="H102" s="7" t="s">
        <v>881</v>
      </c>
      <c r="I102" s="7" t="s">
        <v>878</v>
      </c>
      <c r="J102" s="7" t="s">
        <v>882</v>
      </c>
      <c r="M102" s="7">
        <v>100</v>
      </c>
      <c r="N102" s="7">
        <v>100</v>
      </c>
      <c r="O102" s="126">
        <v>46216.590555555602</v>
      </c>
      <c r="P102" s="126">
        <v>46216.590555555602</v>
      </c>
    </row>
    <row r="103" spans="1:16" ht="15.75" customHeight="1">
      <c r="A103" s="126">
        <v>46230.015752314801</v>
      </c>
      <c r="B103" s="7">
        <v>12</v>
      </c>
      <c r="C103" s="7">
        <v>665</v>
      </c>
      <c r="D103" s="7"/>
      <c r="E103" s="7" t="s">
        <v>898</v>
      </c>
      <c r="F103" s="7" t="s">
        <v>522</v>
      </c>
      <c r="G103" s="7">
        <v>177</v>
      </c>
      <c r="H103" s="7" t="s">
        <v>883</v>
      </c>
      <c r="I103" s="7" t="s">
        <v>878</v>
      </c>
      <c r="J103" s="7" t="s">
        <v>882</v>
      </c>
      <c r="M103" s="7"/>
      <c r="N103" s="7" t="s">
        <v>875</v>
      </c>
      <c r="P103" s="126"/>
    </row>
    <row r="104" spans="1:16" ht="15.75" customHeight="1">
      <c r="A104" s="126">
        <v>46230.015752314801</v>
      </c>
      <c r="B104" s="7">
        <v>12</v>
      </c>
      <c r="C104" s="7">
        <v>665</v>
      </c>
      <c r="D104" s="7"/>
      <c r="E104" s="7" t="s">
        <v>898</v>
      </c>
      <c r="F104" s="7" t="s">
        <v>522</v>
      </c>
      <c r="G104" s="7">
        <v>176</v>
      </c>
      <c r="H104" s="7" t="s">
        <v>884</v>
      </c>
      <c r="I104" s="7" t="s">
        <v>878</v>
      </c>
      <c r="J104" s="7" t="s">
        <v>882</v>
      </c>
      <c r="M104" s="7">
        <v>100</v>
      </c>
      <c r="N104" s="7">
        <v>100</v>
      </c>
      <c r="O104" s="126">
        <v>46227.584583333301</v>
      </c>
      <c r="P104" s="126">
        <v>46227.584583333301</v>
      </c>
    </row>
    <row r="105" spans="1:16" ht="15.75" customHeight="1">
      <c r="A105" s="126">
        <v>46230.015752314801</v>
      </c>
      <c r="B105" s="7">
        <v>12</v>
      </c>
      <c r="C105" s="7">
        <v>665</v>
      </c>
      <c r="D105" s="7"/>
      <c r="E105" s="7" t="s">
        <v>898</v>
      </c>
      <c r="F105" s="7" t="s">
        <v>522</v>
      </c>
      <c r="G105" s="7">
        <v>168</v>
      </c>
      <c r="H105" s="7" t="s">
        <v>885</v>
      </c>
      <c r="I105" s="7" t="s">
        <v>886</v>
      </c>
      <c r="J105" s="7"/>
      <c r="M105" s="7">
        <v>100</v>
      </c>
      <c r="N105" s="7">
        <v>100</v>
      </c>
      <c r="O105" s="126"/>
      <c r="P105" s="126">
        <v>46209.706956018497</v>
      </c>
    </row>
    <row r="106" spans="1:16" ht="15.75" customHeight="1">
      <c r="A106" s="126">
        <v>46230.015752314801</v>
      </c>
      <c r="B106" s="7">
        <v>12</v>
      </c>
      <c r="C106" s="7">
        <v>732</v>
      </c>
      <c r="D106" s="7"/>
      <c r="E106" s="7" t="s">
        <v>899</v>
      </c>
      <c r="F106" s="7" t="s">
        <v>593</v>
      </c>
      <c r="G106" s="7">
        <v>181</v>
      </c>
      <c r="H106" s="7" t="s">
        <v>873</v>
      </c>
      <c r="I106" s="7" t="s">
        <v>874</v>
      </c>
      <c r="J106" s="7"/>
      <c r="M106" s="7"/>
      <c r="N106" s="7" t="s">
        <v>875</v>
      </c>
      <c r="O106" s="126"/>
      <c r="P106" s="126"/>
    </row>
    <row r="107" spans="1:16" ht="15.75" customHeight="1">
      <c r="A107" s="126">
        <v>46230.015752314801</v>
      </c>
      <c r="B107" s="7">
        <v>12</v>
      </c>
      <c r="C107" s="7">
        <v>732</v>
      </c>
      <c r="D107" s="7"/>
      <c r="E107" s="7" t="s">
        <v>899</v>
      </c>
      <c r="F107" s="7" t="s">
        <v>593</v>
      </c>
      <c r="G107" s="7">
        <v>182</v>
      </c>
      <c r="H107" s="7" t="s">
        <v>876</v>
      </c>
      <c r="I107" s="7" t="s">
        <v>874</v>
      </c>
      <c r="J107" s="7"/>
      <c r="M107" s="7"/>
      <c r="N107" s="7" t="s">
        <v>875</v>
      </c>
      <c r="O107" s="126"/>
      <c r="P107" s="126"/>
    </row>
    <row r="108" spans="1:16" ht="15.75" customHeight="1">
      <c r="A108" s="126">
        <v>46230.015752314801</v>
      </c>
      <c r="B108" s="7">
        <v>12</v>
      </c>
      <c r="C108" s="7">
        <v>732</v>
      </c>
      <c r="D108" s="7"/>
      <c r="E108" s="7" t="s">
        <v>899</v>
      </c>
      <c r="F108" s="7" t="s">
        <v>593</v>
      </c>
      <c r="G108" s="7">
        <v>174</v>
      </c>
      <c r="H108" s="7" t="s">
        <v>877</v>
      </c>
      <c r="I108" s="7" t="s">
        <v>878</v>
      </c>
      <c r="J108" s="7" t="s">
        <v>879</v>
      </c>
      <c r="M108" s="7">
        <v>100</v>
      </c>
      <c r="N108" s="7">
        <v>100</v>
      </c>
      <c r="O108" s="126"/>
      <c r="P108" s="126">
        <v>46209.706956018497</v>
      </c>
    </row>
    <row r="109" spans="1:16" ht="15.75" customHeight="1">
      <c r="A109" s="126">
        <v>46230.015752314801</v>
      </c>
      <c r="B109" s="7">
        <v>12</v>
      </c>
      <c r="C109" s="7">
        <v>732</v>
      </c>
      <c r="D109" s="7"/>
      <c r="E109" s="7" t="s">
        <v>899</v>
      </c>
      <c r="F109" s="7" t="s">
        <v>593</v>
      </c>
      <c r="G109" s="7">
        <v>180</v>
      </c>
      <c r="H109" s="7" t="s">
        <v>880</v>
      </c>
      <c r="I109" s="7" t="s">
        <v>874</v>
      </c>
      <c r="J109" s="7"/>
      <c r="M109" s="7"/>
      <c r="N109" s="7" t="s">
        <v>875</v>
      </c>
      <c r="O109" s="126"/>
      <c r="P109" s="126"/>
    </row>
    <row r="110" spans="1:16" ht="15.75" customHeight="1">
      <c r="A110" s="126">
        <v>46230.015752314801</v>
      </c>
      <c r="B110" s="7">
        <v>12</v>
      </c>
      <c r="C110" s="7">
        <v>732</v>
      </c>
      <c r="D110" s="7"/>
      <c r="E110" s="7" t="s">
        <v>899</v>
      </c>
      <c r="F110" s="7" t="s">
        <v>593</v>
      </c>
      <c r="G110" s="7">
        <v>175</v>
      </c>
      <c r="H110" s="7" t="s">
        <v>881</v>
      </c>
      <c r="I110" s="7" t="s">
        <v>878</v>
      </c>
      <c r="J110" s="7" t="s">
        <v>882</v>
      </c>
      <c r="M110" s="7">
        <v>100</v>
      </c>
      <c r="N110" s="7">
        <v>100</v>
      </c>
      <c r="O110" s="126">
        <v>46213.880648148202</v>
      </c>
      <c r="P110" s="126">
        <v>46213.880648148202</v>
      </c>
    </row>
    <row r="111" spans="1:16" ht="15.75" customHeight="1">
      <c r="A111" s="126">
        <v>46230.015752314801</v>
      </c>
      <c r="B111" s="7">
        <v>12</v>
      </c>
      <c r="C111" s="7">
        <v>732</v>
      </c>
      <c r="D111" s="7"/>
      <c r="E111" s="7" t="s">
        <v>899</v>
      </c>
      <c r="F111" s="7" t="s">
        <v>593</v>
      </c>
      <c r="G111" s="7">
        <v>177</v>
      </c>
      <c r="H111" s="7" t="s">
        <v>883</v>
      </c>
      <c r="I111" s="7" t="s">
        <v>878</v>
      </c>
      <c r="J111" s="7" t="s">
        <v>882</v>
      </c>
      <c r="M111" s="7"/>
      <c r="N111" s="7" t="s">
        <v>875</v>
      </c>
      <c r="O111" s="126"/>
      <c r="P111" s="126"/>
    </row>
    <row r="112" spans="1:16" ht="15.75" customHeight="1">
      <c r="A112" s="126">
        <v>46230.015752314801</v>
      </c>
      <c r="B112" s="7">
        <v>12</v>
      </c>
      <c r="C112" s="7">
        <v>732</v>
      </c>
      <c r="D112" s="7"/>
      <c r="E112" s="7" t="s">
        <v>899</v>
      </c>
      <c r="F112" s="7" t="s">
        <v>593</v>
      </c>
      <c r="G112" s="7">
        <v>176</v>
      </c>
      <c r="H112" s="7" t="s">
        <v>884</v>
      </c>
      <c r="I112" s="7" t="s">
        <v>878</v>
      </c>
      <c r="J112" s="7" t="s">
        <v>882</v>
      </c>
      <c r="M112" s="7">
        <v>100</v>
      </c>
      <c r="N112" s="7">
        <v>100</v>
      </c>
      <c r="O112" s="126">
        <v>46224.876967592601</v>
      </c>
      <c r="P112" s="126">
        <v>46224.876967592601</v>
      </c>
    </row>
    <row r="113" spans="1:16" ht="15.75" customHeight="1">
      <c r="A113" s="126">
        <v>46230.015752314801</v>
      </c>
      <c r="B113" s="7">
        <v>12</v>
      </c>
      <c r="C113" s="7">
        <v>732</v>
      </c>
      <c r="D113" s="7"/>
      <c r="E113" s="7" t="s">
        <v>899</v>
      </c>
      <c r="F113" s="7" t="s">
        <v>593</v>
      </c>
      <c r="G113" s="7">
        <v>168</v>
      </c>
      <c r="H113" s="7" t="s">
        <v>885</v>
      </c>
      <c r="I113" s="7" t="s">
        <v>886</v>
      </c>
      <c r="J113" s="7"/>
      <c r="M113" s="7">
        <v>100</v>
      </c>
      <c r="N113" s="7">
        <v>100</v>
      </c>
      <c r="P113" s="126">
        <v>46209.706956018497</v>
      </c>
    </row>
    <row r="114" spans="1:16" ht="15.75" customHeight="1">
      <c r="A114" s="126">
        <v>46230.015752314801</v>
      </c>
      <c r="B114" s="7">
        <v>12</v>
      </c>
      <c r="C114" s="7">
        <v>636</v>
      </c>
      <c r="D114" s="7"/>
      <c r="E114" s="7" t="s">
        <v>900</v>
      </c>
      <c r="F114" s="7" t="s">
        <v>433</v>
      </c>
      <c r="G114" s="7">
        <v>181</v>
      </c>
      <c r="H114" s="7" t="s">
        <v>873</v>
      </c>
      <c r="I114" s="7" t="s">
        <v>874</v>
      </c>
      <c r="J114" s="7"/>
      <c r="M114" s="7"/>
      <c r="N114" s="7" t="s">
        <v>875</v>
      </c>
      <c r="O114" s="126"/>
      <c r="P114" s="126"/>
    </row>
    <row r="115" spans="1:16" ht="15.75" customHeight="1">
      <c r="A115" s="126">
        <v>46230.015752314801</v>
      </c>
      <c r="B115" s="7">
        <v>12</v>
      </c>
      <c r="C115" s="7">
        <v>636</v>
      </c>
      <c r="D115" s="7"/>
      <c r="E115" s="7" t="s">
        <v>900</v>
      </c>
      <c r="F115" s="7" t="s">
        <v>433</v>
      </c>
      <c r="G115" s="7">
        <v>182</v>
      </c>
      <c r="H115" s="7" t="s">
        <v>876</v>
      </c>
      <c r="I115" s="7" t="s">
        <v>874</v>
      </c>
      <c r="J115" s="7"/>
      <c r="M115" s="7"/>
      <c r="N115" s="7" t="s">
        <v>875</v>
      </c>
      <c r="P115" s="126"/>
    </row>
    <row r="116" spans="1:16" ht="15.75" customHeight="1">
      <c r="A116" s="126">
        <v>46230.015752314801</v>
      </c>
      <c r="B116" s="7">
        <v>12</v>
      </c>
      <c r="C116" s="7">
        <v>636</v>
      </c>
      <c r="D116" s="7"/>
      <c r="E116" s="7" t="s">
        <v>900</v>
      </c>
      <c r="F116" s="7" t="s">
        <v>433</v>
      </c>
      <c r="G116" s="7">
        <v>174</v>
      </c>
      <c r="H116" s="7" t="s">
        <v>877</v>
      </c>
      <c r="I116" s="7" t="s">
        <v>878</v>
      </c>
      <c r="J116" s="7" t="s">
        <v>879</v>
      </c>
      <c r="M116" s="7">
        <v>100</v>
      </c>
      <c r="N116" s="7">
        <v>100</v>
      </c>
      <c r="O116" s="126"/>
      <c r="P116" s="126">
        <v>46209.706956018497</v>
      </c>
    </row>
    <row r="117" spans="1:16" ht="15.75" customHeight="1">
      <c r="A117" s="126">
        <v>46230.015752314801</v>
      </c>
      <c r="B117" s="7">
        <v>12</v>
      </c>
      <c r="C117" s="7">
        <v>636</v>
      </c>
      <c r="D117" s="7"/>
      <c r="E117" s="7" t="s">
        <v>900</v>
      </c>
      <c r="F117" s="7" t="s">
        <v>433</v>
      </c>
      <c r="G117" s="7">
        <v>180</v>
      </c>
      <c r="H117" s="7" t="s">
        <v>880</v>
      </c>
      <c r="I117" s="7" t="s">
        <v>874</v>
      </c>
      <c r="J117" s="7"/>
      <c r="M117" s="7"/>
      <c r="N117" s="7" t="s">
        <v>875</v>
      </c>
      <c r="O117" s="126"/>
      <c r="P117" s="126"/>
    </row>
    <row r="118" spans="1:16" ht="15.75" customHeight="1">
      <c r="A118" s="126">
        <v>46230.015752314801</v>
      </c>
      <c r="B118" s="7">
        <v>12</v>
      </c>
      <c r="C118" s="7">
        <v>636</v>
      </c>
      <c r="D118" s="7"/>
      <c r="E118" s="7" t="s">
        <v>900</v>
      </c>
      <c r="F118" s="7" t="s">
        <v>433</v>
      </c>
      <c r="G118" s="7">
        <v>175</v>
      </c>
      <c r="H118" s="7" t="s">
        <v>881</v>
      </c>
      <c r="I118" s="7" t="s">
        <v>878</v>
      </c>
      <c r="J118" s="7" t="s">
        <v>882</v>
      </c>
      <c r="M118" s="7">
        <v>87.5</v>
      </c>
      <c r="N118" s="7">
        <v>87.5</v>
      </c>
      <c r="O118" s="126">
        <v>46214.744548611103</v>
      </c>
      <c r="P118" s="126">
        <v>46214.744548611103</v>
      </c>
    </row>
    <row r="119" spans="1:16" ht="15.75" customHeight="1">
      <c r="A119" s="126">
        <v>46230.015752314801</v>
      </c>
      <c r="B119" s="7">
        <v>12</v>
      </c>
      <c r="C119" s="7">
        <v>636</v>
      </c>
      <c r="D119" s="7"/>
      <c r="E119" s="7" t="s">
        <v>900</v>
      </c>
      <c r="F119" s="7" t="s">
        <v>433</v>
      </c>
      <c r="G119" s="7">
        <v>177</v>
      </c>
      <c r="H119" s="7" t="s">
        <v>883</v>
      </c>
      <c r="I119" s="7" t="s">
        <v>878</v>
      </c>
      <c r="J119" s="7" t="s">
        <v>882</v>
      </c>
      <c r="M119" s="7"/>
      <c r="N119" s="7" t="s">
        <v>875</v>
      </c>
      <c r="P119" s="126"/>
    </row>
    <row r="120" spans="1:16" ht="15.75" customHeight="1">
      <c r="A120" s="126">
        <v>46230.015752314801</v>
      </c>
      <c r="B120" s="7">
        <v>12</v>
      </c>
      <c r="C120" s="7">
        <v>636</v>
      </c>
      <c r="D120" s="7"/>
      <c r="E120" s="7" t="s">
        <v>900</v>
      </c>
      <c r="F120" s="7" t="s">
        <v>433</v>
      </c>
      <c r="G120" s="7">
        <v>176</v>
      </c>
      <c r="H120" s="7" t="s">
        <v>884</v>
      </c>
      <c r="I120" s="7" t="s">
        <v>878</v>
      </c>
      <c r="J120" s="7" t="s">
        <v>882</v>
      </c>
      <c r="M120" s="7">
        <v>90</v>
      </c>
      <c r="N120" s="7">
        <v>90</v>
      </c>
      <c r="O120" s="126">
        <v>46225.5466087963</v>
      </c>
      <c r="P120" s="126">
        <v>46225.5466087963</v>
      </c>
    </row>
    <row r="121" spans="1:16" ht="15.75" customHeight="1">
      <c r="A121" s="126">
        <v>46230.015752314801</v>
      </c>
      <c r="B121" s="7">
        <v>12</v>
      </c>
      <c r="C121" s="7">
        <v>636</v>
      </c>
      <c r="D121" s="7"/>
      <c r="E121" s="7" t="s">
        <v>900</v>
      </c>
      <c r="F121" s="7" t="s">
        <v>433</v>
      </c>
      <c r="G121" s="7">
        <v>168</v>
      </c>
      <c r="H121" s="7" t="s">
        <v>885</v>
      </c>
      <c r="I121" s="7" t="s">
        <v>886</v>
      </c>
      <c r="J121" s="7"/>
      <c r="M121" s="7">
        <v>100</v>
      </c>
      <c r="N121" s="7">
        <v>100</v>
      </c>
      <c r="P121" s="126">
        <v>46209.706956018497</v>
      </c>
    </row>
    <row r="122" spans="1:16" ht="15.75" customHeight="1">
      <c r="A122" s="126">
        <v>46230.015752314801</v>
      </c>
      <c r="B122" s="7">
        <v>12</v>
      </c>
      <c r="C122" s="7">
        <v>601</v>
      </c>
      <c r="D122" s="7"/>
      <c r="E122" s="7" t="s">
        <v>901</v>
      </c>
      <c r="F122" s="7" t="s">
        <v>359</v>
      </c>
      <c r="G122" s="7">
        <v>181</v>
      </c>
      <c r="H122" s="7" t="s">
        <v>873</v>
      </c>
      <c r="I122" s="7" t="s">
        <v>874</v>
      </c>
      <c r="J122" s="7"/>
      <c r="M122" s="7"/>
      <c r="N122" s="7" t="s">
        <v>875</v>
      </c>
      <c r="O122" s="126"/>
      <c r="P122" s="126"/>
    </row>
    <row r="123" spans="1:16" ht="15.75" customHeight="1">
      <c r="A123" s="126">
        <v>46230.015752314801</v>
      </c>
      <c r="B123" s="7">
        <v>12</v>
      </c>
      <c r="C123" s="7">
        <v>601</v>
      </c>
      <c r="D123" s="7"/>
      <c r="E123" s="7" t="s">
        <v>901</v>
      </c>
      <c r="F123" s="7" t="s">
        <v>359</v>
      </c>
      <c r="G123" s="7">
        <v>182</v>
      </c>
      <c r="H123" s="7" t="s">
        <v>876</v>
      </c>
      <c r="I123" s="7" t="s">
        <v>874</v>
      </c>
      <c r="J123" s="7"/>
      <c r="M123" s="7"/>
      <c r="N123" s="7" t="s">
        <v>875</v>
      </c>
      <c r="O123" s="126"/>
      <c r="P123" s="126"/>
    </row>
    <row r="124" spans="1:16" ht="15.75" customHeight="1">
      <c r="A124" s="126">
        <v>46230.015752314801</v>
      </c>
      <c r="B124" s="7">
        <v>12</v>
      </c>
      <c r="C124" s="7">
        <v>601</v>
      </c>
      <c r="E124" s="7" t="s">
        <v>901</v>
      </c>
      <c r="F124" s="7" t="s">
        <v>359</v>
      </c>
      <c r="G124" s="7">
        <v>174</v>
      </c>
      <c r="H124" s="7" t="s">
        <v>877</v>
      </c>
      <c r="I124" s="7" t="s">
        <v>878</v>
      </c>
      <c r="J124" s="7" t="s">
        <v>879</v>
      </c>
      <c r="M124" s="7">
        <v>100</v>
      </c>
      <c r="N124" s="7">
        <v>100</v>
      </c>
      <c r="O124" s="126"/>
      <c r="P124" s="126">
        <v>46209.645682870403</v>
      </c>
    </row>
    <row r="125" spans="1:16" ht="15.75" customHeight="1">
      <c r="A125" s="126">
        <v>46230.015752314801</v>
      </c>
      <c r="B125" s="7">
        <v>12</v>
      </c>
      <c r="C125" s="7">
        <v>601</v>
      </c>
      <c r="E125" s="7" t="s">
        <v>901</v>
      </c>
      <c r="F125" s="7" t="s">
        <v>359</v>
      </c>
      <c r="G125" s="7">
        <v>180</v>
      </c>
      <c r="H125" s="7" t="s">
        <v>880</v>
      </c>
      <c r="I125" s="7" t="s">
        <v>874</v>
      </c>
      <c r="J125" s="7"/>
      <c r="M125" s="7"/>
      <c r="N125" s="7" t="s">
        <v>875</v>
      </c>
      <c r="O125" s="126"/>
      <c r="P125" s="126"/>
    </row>
    <row r="126" spans="1:16" ht="15.75" customHeight="1">
      <c r="A126" s="126">
        <v>46230.015752314801</v>
      </c>
      <c r="B126" s="7">
        <v>12</v>
      </c>
      <c r="C126" s="7">
        <v>601</v>
      </c>
      <c r="D126" s="7"/>
      <c r="E126" s="7" t="s">
        <v>901</v>
      </c>
      <c r="F126" s="7" t="s">
        <v>359</v>
      </c>
      <c r="G126" s="7">
        <v>175</v>
      </c>
      <c r="H126" s="7" t="s">
        <v>881</v>
      </c>
      <c r="I126" s="7" t="s">
        <v>878</v>
      </c>
      <c r="J126" s="7" t="s">
        <v>882</v>
      </c>
      <c r="M126" s="7">
        <v>87.5</v>
      </c>
      <c r="N126" s="7">
        <v>87.5</v>
      </c>
      <c r="O126" s="126">
        <v>46214.8609953704</v>
      </c>
      <c r="P126" s="126">
        <v>46214.8609953704</v>
      </c>
    </row>
    <row r="127" spans="1:16" ht="15.75" customHeight="1">
      <c r="A127" s="126">
        <v>46230.015752314801</v>
      </c>
      <c r="B127" s="7">
        <v>12</v>
      </c>
      <c r="C127" s="7">
        <v>601</v>
      </c>
      <c r="D127" s="7"/>
      <c r="E127" s="7" t="s">
        <v>901</v>
      </c>
      <c r="F127" s="7" t="s">
        <v>359</v>
      </c>
      <c r="G127" s="7">
        <v>177</v>
      </c>
      <c r="H127" s="7" t="s">
        <v>883</v>
      </c>
      <c r="I127" s="7" t="s">
        <v>878</v>
      </c>
      <c r="J127" s="7" t="s">
        <v>882</v>
      </c>
      <c r="M127" s="7"/>
      <c r="N127" s="7" t="s">
        <v>875</v>
      </c>
      <c r="P127" s="126"/>
    </row>
    <row r="128" spans="1:16" ht="15.75" customHeight="1">
      <c r="A128" s="126">
        <v>46230.015752314801</v>
      </c>
      <c r="B128" s="7">
        <v>12</v>
      </c>
      <c r="C128" s="7">
        <v>601</v>
      </c>
      <c r="D128" s="7"/>
      <c r="E128" s="7" t="s">
        <v>901</v>
      </c>
      <c r="F128" s="7" t="s">
        <v>359</v>
      </c>
      <c r="G128" s="7">
        <v>176</v>
      </c>
      <c r="H128" s="7" t="s">
        <v>884</v>
      </c>
      <c r="I128" s="7" t="s">
        <v>878</v>
      </c>
      <c r="J128" s="7" t="s">
        <v>882</v>
      </c>
      <c r="M128" s="7">
        <v>100</v>
      </c>
      <c r="N128" s="7">
        <v>100</v>
      </c>
      <c r="O128" s="126">
        <v>46225.605983796297</v>
      </c>
      <c r="P128" s="126">
        <v>46225.605983796297</v>
      </c>
    </row>
    <row r="129" spans="1:16" ht="15.75" customHeight="1">
      <c r="A129" s="126">
        <v>46230.015752314801</v>
      </c>
      <c r="B129" s="7">
        <v>12</v>
      </c>
      <c r="C129" s="7">
        <v>601</v>
      </c>
      <c r="D129" s="7"/>
      <c r="E129" s="7" t="s">
        <v>901</v>
      </c>
      <c r="F129" s="7" t="s">
        <v>359</v>
      </c>
      <c r="G129" s="7">
        <v>168</v>
      </c>
      <c r="H129" s="7" t="s">
        <v>885</v>
      </c>
      <c r="I129" s="7" t="s">
        <v>886</v>
      </c>
      <c r="J129" s="7"/>
      <c r="M129" s="7">
        <v>100</v>
      </c>
      <c r="N129" s="7">
        <v>100</v>
      </c>
      <c r="P129" s="126">
        <v>46209.645682870403</v>
      </c>
    </row>
    <row r="130" spans="1:16" ht="15.75" customHeight="1">
      <c r="A130" s="126">
        <v>46230.015752314801</v>
      </c>
      <c r="B130" s="7">
        <v>12</v>
      </c>
      <c r="C130" s="7">
        <v>712</v>
      </c>
      <c r="D130" s="7"/>
      <c r="E130" s="7" t="s">
        <v>902</v>
      </c>
      <c r="F130" s="7" t="s">
        <v>261</v>
      </c>
      <c r="G130" s="7">
        <v>181</v>
      </c>
      <c r="H130" s="7" t="s">
        <v>873</v>
      </c>
      <c r="I130" s="7" t="s">
        <v>874</v>
      </c>
      <c r="J130" s="7"/>
      <c r="M130" s="7"/>
      <c r="N130" s="7" t="s">
        <v>875</v>
      </c>
      <c r="P130" s="126"/>
    </row>
    <row r="131" spans="1:16" ht="15.75" customHeight="1">
      <c r="A131" s="126">
        <v>46230.015752314801</v>
      </c>
      <c r="B131" s="7">
        <v>12</v>
      </c>
      <c r="C131" s="7">
        <v>712</v>
      </c>
      <c r="D131" s="7"/>
      <c r="E131" s="7" t="s">
        <v>902</v>
      </c>
      <c r="F131" s="7" t="s">
        <v>261</v>
      </c>
      <c r="G131" s="7">
        <v>182</v>
      </c>
      <c r="H131" s="7" t="s">
        <v>876</v>
      </c>
      <c r="I131" s="7" t="s">
        <v>874</v>
      </c>
      <c r="J131" s="7"/>
      <c r="N131" s="7" t="s">
        <v>875</v>
      </c>
    </row>
    <row r="132" spans="1:16" ht="15.75" customHeight="1">
      <c r="A132" s="126">
        <v>46230.015752314801</v>
      </c>
      <c r="B132" s="7">
        <v>12</v>
      </c>
      <c r="C132" s="7">
        <v>712</v>
      </c>
      <c r="D132" s="7"/>
      <c r="E132" s="7" t="s">
        <v>902</v>
      </c>
      <c r="F132" s="7" t="s">
        <v>261</v>
      </c>
      <c r="G132" s="7">
        <v>174</v>
      </c>
      <c r="H132" s="7" t="s">
        <v>877</v>
      </c>
      <c r="I132" s="7" t="s">
        <v>878</v>
      </c>
      <c r="J132" s="7" t="s">
        <v>879</v>
      </c>
      <c r="M132" s="7">
        <v>100</v>
      </c>
      <c r="N132" s="7">
        <v>100</v>
      </c>
      <c r="O132" s="126"/>
      <c r="P132" s="126">
        <v>46222.8812384259</v>
      </c>
    </row>
    <row r="133" spans="1:16" ht="15.75" customHeight="1">
      <c r="A133" s="126">
        <v>46230.015752314801</v>
      </c>
      <c r="B133" s="7">
        <v>12</v>
      </c>
      <c r="C133" s="7">
        <v>712</v>
      </c>
      <c r="D133" s="7"/>
      <c r="E133" s="7" t="s">
        <v>902</v>
      </c>
      <c r="F133" s="7" t="s">
        <v>261</v>
      </c>
      <c r="G133" s="7">
        <v>180</v>
      </c>
      <c r="H133" s="7" t="s">
        <v>880</v>
      </c>
      <c r="I133" s="7" t="s">
        <v>874</v>
      </c>
      <c r="J133" s="7"/>
      <c r="M133" s="7"/>
      <c r="N133" s="7" t="s">
        <v>875</v>
      </c>
      <c r="P133" s="126"/>
    </row>
    <row r="134" spans="1:16" ht="15.75" customHeight="1">
      <c r="A134" s="126">
        <v>46230.015752314801</v>
      </c>
      <c r="B134" s="7">
        <v>12</v>
      </c>
      <c r="C134" s="7">
        <v>712</v>
      </c>
      <c r="D134" s="7"/>
      <c r="E134" s="7" t="s">
        <v>902</v>
      </c>
      <c r="F134" s="7" t="s">
        <v>261</v>
      </c>
      <c r="G134" s="7">
        <v>175</v>
      </c>
      <c r="H134" s="7" t="s">
        <v>881</v>
      </c>
      <c r="I134" s="7" t="s">
        <v>878</v>
      </c>
      <c r="J134" s="7" t="s">
        <v>882</v>
      </c>
      <c r="M134" s="7">
        <v>100</v>
      </c>
      <c r="N134" s="7">
        <v>100</v>
      </c>
      <c r="O134" s="126">
        <v>46226.692546296297</v>
      </c>
      <c r="P134" s="126">
        <v>46226.692546296297</v>
      </c>
    </row>
    <row r="135" spans="1:16" ht="15.75" customHeight="1">
      <c r="A135" s="126">
        <v>46230.015752314801</v>
      </c>
      <c r="B135" s="7">
        <v>12</v>
      </c>
      <c r="C135" s="7">
        <v>712</v>
      </c>
      <c r="D135" s="7"/>
      <c r="E135" s="7" t="s">
        <v>902</v>
      </c>
      <c r="F135" s="7" t="s">
        <v>261</v>
      </c>
      <c r="G135" s="7">
        <v>177</v>
      </c>
      <c r="H135" s="7" t="s">
        <v>883</v>
      </c>
      <c r="I135" s="7" t="s">
        <v>878</v>
      </c>
      <c r="J135" s="7" t="s">
        <v>882</v>
      </c>
      <c r="M135" s="7"/>
      <c r="N135" s="7" t="s">
        <v>875</v>
      </c>
      <c r="O135" s="126"/>
      <c r="P135" s="126"/>
    </row>
    <row r="136" spans="1:16" ht="15.75" customHeight="1">
      <c r="A136" s="126">
        <v>46230.015752314801</v>
      </c>
      <c r="B136" s="7">
        <v>12</v>
      </c>
      <c r="C136" s="7">
        <v>712</v>
      </c>
      <c r="D136" s="7"/>
      <c r="E136" s="7" t="s">
        <v>902</v>
      </c>
      <c r="F136" s="7" t="s">
        <v>261</v>
      </c>
      <c r="G136" s="7">
        <v>176</v>
      </c>
      <c r="H136" s="7" t="s">
        <v>884</v>
      </c>
      <c r="I136" s="7" t="s">
        <v>878</v>
      </c>
      <c r="J136" s="7" t="s">
        <v>882</v>
      </c>
      <c r="M136" s="7">
        <v>100</v>
      </c>
      <c r="N136" s="7">
        <v>100</v>
      </c>
      <c r="O136" s="126">
        <v>46227.714375000003</v>
      </c>
      <c r="P136" s="126">
        <v>46227.714375000003</v>
      </c>
    </row>
    <row r="137" spans="1:16" ht="15.75" customHeight="1">
      <c r="A137" s="126">
        <v>46230.015752314801</v>
      </c>
      <c r="B137" s="7">
        <v>12</v>
      </c>
      <c r="C137" s="7">
        <v>712</v>
      </c>
      <c r="D137" s="7"/>
      <c r="E137" s="7" t="s">
        <v>902</v>
      </c>
      <c r="F137" s="7" t="s">
        <v>261</v>
      </c>
      <c r="G137" s="7">
        <v>168</v>
      </c>
      <c r="H137" s="7" t="s">
        <v>885</v>
      </c>
      <c r="I137" s="7" t="s">
        <v>886</v>
      </c>
      <c r="J137" s="7"/>
      <c r="M137" s="7">
        <v>100</v>
      </c>
      <c r="N137" s="7">
        <v>100</v>
      </c>
      <c r="P137" s="126">
        <v>46222.8812384259</v>
      </c>
    </row>
    <row r="138" spans="1:16" ht="15.75" customHeight="1">
      <c r="A138" s="126">
        <v>46230.015752314801</v>
      </c>
      <c r="B138" s="7">
        <v>12</v>
      </c>
      <c r="C138" s="7">
        <v>266</v>
      </c>
      <c r="D138" s="7"/>
      <c r="E138" s="7" t="s">
        <v>903</v>
      </c>
      <c r="F138" s="7" t="s">
        <v>635</v>
      </c>
      <c r="G138" s="7">
        <v>181</v>
      </c>
      <c r="H138" s="7" t="s">
        <v>873</v>
      </c>
      <c r="I138" s="7" t="s">
        <v>874</v>
      </c>
      <c r="J138" s="7"/>
      <c r="N138" s="7" t="s">
        <v>875</v>
      </c>
    </row>
    <row r="139" spans="1:16" ht="15.75" customHeight="1">
      <c r="A139" s="126">
        <v>46230.015752314801</v>
      </c>
      <c r="B139" s="7">
        <v>12</v>
      </c>
      <c r="C139" s="7">
        <v>266</v>
      </c>
      <c r="D139" s="7"/>
      <c r="E139" s="7" t="s">
        <v>903</v>
      </c>
      <c r="F139" s="7" t="s">
        <v>635</v>
      </c>
      <c r="G139" s="7">
        <v>182</v>
      </c>
      <c r="H139" s="7" t="s">
        <v>876</v>
      </c>
      <c r="I139" s="7" t="s">
        <v>874</v>
      </c>
      <c r="J139" s="7"/>
      <c r="M139" s="7"/>
      <c r="N139" s="7" t="s">
        <v>875</v>
      </c>
      <c r="P139" s="126"/>
    </row>
    <row r="140" spans="1:16" ht="15.75" customHeight="1">
      <c r="A140" s="126">
        <v>46230.015752314801</v>
      </c>
      <c r="B140" s="7">
        <v>12</v>
      </c>
      <c r="C140" s="7">
        <v>266</v>
      </c>
      <c r="D140" s="7"/>
      <c r="E140" s="7" t="s">
        <v>903</v>
      </c>
      <c r="F140" s="7" t="s">
        <v>635</v>
      </c>
      <c r="G140" s="7">
        <v>174</v>
      </c>
      <c r="H140" s="7" t="s">
        <v>877</v>
      </c>
      <c r="I140" s="7" t="s">
        <v>878</v>
      </c>
      <c r="J140" s="7" t="s">
        <v>879</v>
      </c>
      <c r="M140" s="7">
        <v>100</v>
      </c>
      <c r="N140" s="7">
        <v>100</v>
      </c>
      <c r="O140" s="126"/>
      <c r="P140" s="126">
        <v>46209.706967592603</v>
      </c>
    </row>
    <row r="141" spans="1:16" ht="15.75" customHeight="1">
      <c r="A141" s="126">
        <v>46230.015752314801</v>
      </c>
      <c r="B141" s="7">
        <v>12</v>
      </c>
      <c r="C141" s="7">
        <v>266</v>
      </c>
      <c r="D141" s="7"/>
      <c r="E141" s="7" t="s">
        <v>903</v>
      </c>
      <c r="F141" s="7" t="s">
        <v>635</v>
      </c>
      <c r="G141" s="7">
        <v>180</v>
      </c>
      <c r="H141" s="7" t="s">
        <v>880</v>
      </c>
      <c r="I141" s="7" t="s">
        <v>874</v>
      </c>
      <c r="J141" s="7"/>
      <c r="M141" s="7"/>
      <c r="N141" s="7" t="s">
        <v>875</v>
      </c>
      <c r="O141" s="126"/>
      <c r="P141" s="126"/>
    </row>
    <row r="142" spans="1:16" ht="15.75" customHeight="1">
      <c r="A142" s="126">
        <v>46230.015752314801</v>
      </c>
      <c r="B142" s="7">
        <v>12</v>
      </c>
      <c r="C142" s="7">
        <v>266</v>
      </c>
      <c r="D142" s="7"/>
      <c r="E142" s="7" t="s">
        <v>903</v>
      </c>
      <c r="F142" s="7" t="s">
        <v>635</v>
      </c>
      <c r="G142" s="7">
        <v>175</v>
      </c>
      <c r="H142" s="7" t="s">
        <v>881</v>
      </c>
      <c r="I142" s="7" t="s">
        <v>878</v>
      </c>
      <c r="J142" s="7" t="s">
        <v>882</v>
      </c>
      <c r="M142" s="7">
        <v>100</v>
      </c>
      <c r="N142" s="7">
        <v>100</v>
      </c>
      <c r="O142" s="126">
        <v>46213.634062500001</v>
      </c>
      <c r="P142" s="126">
        <v>46213.6340740741</v>
      </c>
    </row>
    <row r="143" spans="1:16" ht="15.75" customHeight="1">
      <c r="A143" s="126">
        <v>46230.015752314801</v>
      </c>
      <c r="B143" s="7">
        <v>12</v>
      </c>
      <c r="C143" s="7">
        <v>266</v>
      </c>
      <c r="D143" s="7"/>
      <c r="E143" s="7" t="s">
        <v>903</v>
      </c>
      <c r="F143" s="7" t="s">
        <v>635</v>
      </c>
      <c r="G143" s="7">
        <v>177</v>
      </c>
      <c r="H143" s="7" t="s">
        <v>883</v>
      </c>
      <c r="I143" s="7" t="s">
        <v>878</v>
      </c>
      <c r="J143" s="7" t="s">
        <v>882</v>
      </c>
      <c r="M143" s="7"/>
      <c r="N143" s="7" t="s">
        <v>875</v>
      </c>
      <c r="O143" s="126"/>
      <c r="P143" s="126"/>
    </row>
    <row r="144" spans="1:16" ht="15.75" customHeight="1">
      <c r="A144" s="126">
        <v>46230.015752314801</v>
      </c>
      <c r="B144" s="7">
        <v>12</v>
      </c>
      <c r="C144" s="7">
        <v>266</v>
      </c>
      <c r="D144" s="7"/>
      <c r="E144" s="7" t="s">
        <v>903</v>
      </c>
      <c r="F144" s="7" t="s">
        <v>635</v>
      </c>
      <c r="G144" s="7">
        <v>176</v>
      </c>
      <c r="H144" s="7" t="s">
        <v>884</v>
      </c>
      <c r="I144" s="7" t="s">
        <v>878</v>
      </c>
      <c r="J144" s="7" t="s">
        <v>882</v>
      </c>
      <c r="M144" s="7">
        <v>100</v>
      </c>
      <c r="N144" s="7">
        <v>100</v>
      </c>
      <c r="O144" s="126">
        <v>46224.711990740703</v>
      </c>
      <c r="P144" s="126">
        <v>46224.711990740703</v>
      </c>
    </row>
    <row r="145" spans="1:16" ht="15.75" customHeight="1">
      <c r="A145" s="126">
        <v>46230.015752314801</v>
      </c>
      <c r="B145" s="7">
        <v>12</v>
      </c>
      <c r="C145" s="7">
        <v>266</v>
      </c>
      <c r="D145" s="7"/>
      <c r="E145" s="7" t="s">
        <v>903</v>
      </c>
      <c r="F145" s="7" t="s">
        <v>635</v>
      </c>
      <c r="G145" s="7">
        <v>168</v>
      </c>
      <c r="H145" s="7" t="s">
        <v>885</v>
      </c>
      <c r="I145" s="7" t="s">
        <v>886</v>
      </c>
      <c r="M145" s="7">
        <v>100</v>
      </c>
      <c r="N145" s="7">
        <v>100</v>
      </c>
      <c r="P145" s="126">
        <v>46209.706967592603</v>
      </c>
    </row>
    <row r="146" spans="1:16" ht="15.75" customHeight="1">
      <c r="A146" s="126">
        <v>46230.015752314801</v>
      </c>
      <c r="B146" s="7">
        <v>12</v>
      </c>
      <c r="C146" s="7">
        <v>702</v>
      </c>
      <c r="D146" s="7"/>
      <c r="E146" s="7" t="s">
        <v>904</v>
      </c>
      <c r="F146" s="7" t="s">
        <v>19</v>
      </c>
      <c r="G146" s="7">
        <v>181</v>
      </c>
      <c r="H146" s="7" t="s">
        <v>873</v>
      </c>
      <c r="I146" s="7" t="s">
        <v>874</v>
      </c>
      <c r="J146" s="7"/>
      <c r="M146" s="7"/>
      <c r="N146" s="7" t="s">
        <v>875</v>
      </c>
      <c r="O146" s="126"/>
      <c r="P146" s="126"/>
    </row>
    <row r="147" spans="1:16" ht="15.75" customHeight="1">
      <c r="A147" s="126">
        <v>46230.015752314801</v>
      </c>
      <c r="B147" s="7">
        <v>12</v>
      </c>
      <c r="C147" s="7">
        <v>702</v>
      </c>
      <c r="D147" s="7"/>
      <c r="E147" s="7" t="s">
        <v>904</v>
      </c>
      <c r="F147" s="7" t="s">
        <v>19</v>
      </c>
      <c r="G147" s="7">
        <v>182</v>
      </c>
      <c r="H147" s="7" t="s">
        <v>876</v>
      </c>
      <c r="I147" s="7" t="s">
        <v>874</v>
      </c>
      <c r="J147" s="7"/>
      <c r="M147" s="7"/>
      <c r="N147" s="7" t="s">
        <v>875</v>
      </c>
      <c r="O147" s="126"/>
      <c r="P147" s="126"/>
    </row>
    <row r="148" spans="1:16" ht="15.75" customHeight="1">
      <c r="A148" s="126">
        <v>46230.015752314801</v>
      </c>
      <c r="B148" s="7">
        <v>12</v>
      </c>
      <c r="C148" s="7">
        <v>702</v>
      </c>
      <c r="D148" s="7"/>
      <c r="E148" s="7" t="s">
        <v>904</v>
      </c>
      <c r="F148" s="7" t="s">
        <v>19</v>
      </c>
      <c r="G148" s="7">
        <v>174</v>
      </c>
      <c r="H148" s="7" t="s">
        <v>877</v>
      </c>
      <c r="I148" s="7" t="s">
        <v>878</v>
      </c>
      <c r="J148" s="7" t="s">
        <v>879</v>
      </c>
      <c r="M148" s="7">
        <v>100</v>
      </c>
      <c r="N148" s="7">
        <v>100</v>
      </c>
      <c r="O148" s="126"/>
      <c r="P148" s="126">
        <v>46210.419039351902</v>
      </c>
    </row>
    <row r="149" spans="1:16" ht="15.75" customHeight="1">
      <c r="A149" s="126">
        <v>46230.015752314801</v>
      </c>
      <c r="B149" s="7">
        <v>12</v>
      </c>
      <c r="C149" s="7">
        <v>702</v>
      </c>
      <c r="D149" s="7"/>
      <c r="E149" s="7" t="s">
        <v>904</v>
      </c>
      <c r="F149" s="7" t="s">
        <v>19</v>
      </c>
      <c r="G149" s="7">
        <v>180</v>
      </c>
      <c r="H149" s="7" t="s">
        <v>880</v>
      </c>
      <c r="I149" s="7" t="s">
        <v>874</v>
      </c>
      <c r="J149" s="7"/>
      <c r="M149" s="7"/>
      <c r="N149" s="7" t="s">
        <v>875</v>
      </c>
      <c r="O149" s="126"/>
      <c r="P149" s="126"/>
    </row>
    <row r="150" spans="1:16" ht="15.75" customHeight="1">
      <c r="A150" s="126">
        <v>46230.015752314801</v>
      </c>
      <c r="B150" s="7">
        <v>12</v>
      </c>
      <c r="C150" s="7">
        <v>702</v>
      </c>
      <c r="D150" s="7"/>
      <c r="E150" s="7" t="s">
        <v>904</v>
      </c>
      <c r="F150" s="7" t="s">
        <v>19</v>
      </c>
      <c r="G150" s="7">
        <v>175</v>
      </c>
      <c r="H150" s="7" t="s">
        <v>881</v>
      </c>
      <c r="I150" s="7" t="s">
        <v>878</v>
      </c>
      <c r="J150" s="7" t="s">
        <v>882</v>
      </c>
      <c r="M150" s="7">
        <v>100</v>
      </c>
      <c r="N150" s="7">
        <v>100</v>
      </c>
      <c r="O150" s="126">
        <v>46216.847800925898</v>
      </c>
      <c r="P150" s="126">
        <v>46216.847800925898</v>
      </c>
    </row>
    <row r="151" spans="1:16" ht="15.75" customHeight="1">
      <c r="A151" s="126">
        <v>46230.015752314801</v>
      </c>
      <c r="B151" s="7">
        <v>12</v>
      </c>
      <c r="C151" s="7">
        <v>702</v>
      </c>
      <c r="D151" s="7"/>
      <c r="E151" s="7" t="s">
        <v>904</v>
      </c>
      <c r="F151" s="7" t="s">
        <v>19</v>
      </c>
      <c r="G151" s="7">
        <v>177</v>
      </c>
      <c r="H151" s="7" t="s">
        <v>883</v>
      </c>
      <c r="I151" s="7" t="s">
        <v>878</v>
      </c>
      <c r="J151" s="7" t="s">
        <v>882</v>
      </c>
      <c r="M151" s="7"/>
      <c r="N151" s="7" t="s">
        <v>875</v>
      </c>
      <c r="P151" s="126"/>
    </row>
    <row r="152" spans="1:16" ht="15.75" customHeight="1">
      <c r="A152" s="126">
        <v>46230.015752314801</v>
      </c>
      <c r="B152" s="7">
        <v>12</v>
      </c>
      <c r="C152" s="7">
        <v>702</v>
      </c>
      <c r="D152" s="7"/>
      <c r="E152" s="7" t="s">
        <v>904</v>
      </c>
      <c r="F152" s="7" t="s">
        <v>19</v>
      </c>
      <c r="G152" s="7">
        <v>176</v>
      </c>
      <c r="H152" s="7" t="s">
        <v>884</v>
      </c>
      <c r="I152" s="7" t="s">
        <v>878</v>
      </c>
      <c r="J152" s="7" t="s">
        <v>882</v>
      </c>
      <c r="M152" s="7">
        <v>95</v>
      </c>
      <c r="N152" s="7">
        <v>95</v>
      </c>
      <c r="O152" s="126">
        <v>46224.384988425903</v>
      </c>
      <c r="P152" s="126">
        <v>46224.384988425903</v>
      </c>
    </row>
    <row r="153" spans="1:16" ht="15.75" customHeight="1">
      <c r="A153" s="126">
        <v>46230.015752314801</v>
      </c>
      <c r="B153" s="7">
        <v>12</v>
      </c>
      <c r="C153" s="7">
        <v>702</v>
      </c>
      <c r="D153" s="7"/>
      <c r="E153" s="7" t="s">
        <v>904</v>
      </c>
      <c r="F153" s="7" t="s">
        <v>19</v>
      </c>
      <c r="G153" s="7">
        <v>168</v>
      </c>
      <c r="H153" s="7" t="s">
        <v>885</v>
      </c>
      <c r="I153" s="7" t="s">
        <v>886</v>
      </c>
      <c r="J153" s="7"/>
      <c r="M153" s="7">
        <v>100</v>
      </c>
      <c r="N153" s="7">
        <v>100</v>
      </c>
      <c r="O153" s="126"/>
      <c r="P153" s="126">
        <v>46210.419039351902</v>
      </c>
    </row>
    <row r="154" spans="1:16" ht="15.75" customHeight="1">
      <c r="A154" s="126">
        <v>46230.015752314801</v>
      </c>
      <c r="B154" s="7">
        <v>12</v>
      </c>
      <c r="C154" s="7">
        <v>361</v>
      </c>
      <c r="D154" s="7"/>
      <c r="E154" s="7" t="s">
        <v>905</v>
      </c>
      <c r="F154" s="7" t="s">
        <v>220</v>
      </c>
      <c r="G154" s="7">
        <v>181</v>
      </c>
      <c r="H154" s="7" t="s">
        <v>873</v>
      </c>
      <c r="I154" s="7" t="s">
        <v>874</v>
      </c>
      <c r="J154" s="7"/>
      <c r="M154" s="7"/>
      <c r="N154" s="7" t="s">
        <v>875</v>
      </c>
      <c r="O154" s="126"/>
      <c r="P154" s="126"/>
    </row>
    <row r="155" spans="1:16" ht="15.75" customHeight="1">
      <c r="A155" s="126">
        <v>46230.015752314801</v>
      </c>
      <c r="B155" s="7">
        <v>12</v>
      </c>
      <c r="C155" s="7">
        <v>361</v>
      </c>
      <c r="D155" s="7"/>
      <c r="E155" s="7" t="s">
        <v>905</v>
      </c>
      <c r="F155" s="7" t="s">
        <v>220</v>
      </c>
      <c r="G155" s="7">
        <v>182</v>
      </c>
      <c r="H155" s="7" t="s">
        <v>876</v>
      </c>
      <c r="I155" s="7" t="s">
        <v>874</v>
      </c>
      <c r="J155" s="7"/>
      <c r="M155" s="7"/>
      <c r="N155" s="7" t="s">
        <v>875</v>
      </c>
      <c r="P155" s="126"/>
    </row>
    <row r="156" spans="1:16" ht="15.75" customHeight="1">
      <c r="A156" s="126">
        <v>46230.015752314801</v>
      </c>
      <c r="B156" s="7">
        <v>12</v>
      </c>
      <c r="C156" s="7">
        <v>361</v>
      </c>
      <c r="D156" s="7"/>
      <c r="E156" s="7" t="s">
        <v>905</v>
      </c>
      <c r="F156" s="7" t="s">
        <v>220</v>
      </c>
      <c r="G156" s="7">
        <v>174</v>
      </c>
      <c r="H156" s="7" t="s">
        <v>877</v>
      </c>
      <c r="I156" s="7" t="s">
        <v>878</v>
      </c>
      <c r="J156" s="7" t="s">
        <v>879</v>
      </c>
      <c r="M156" s="7">
        <v>100</v>
      </c>
      <c r="N156" s="7">
        <v>100</v>
      </c>
      <c r="P156" s="126">
        <v>46225.322326388901</v>
      </c>
    </row>
    <row r="157" spans="1:16" ht="15.75" customHeight="1">
      <c r="A157" s="126">
        <v>46230.015752314801</v>
      </c>
      <c r="B157" s="7">
        <v>12</v>
      </c>
      <c r="C157" s="7">
        <v>361</v>
      </c>
      <c r="D157" s="7"/>
      <c r="E157" s="7" t="s">
        <v>905</v>
      </c>
      <c r="F157" s="7" t="s">
        <v>220</v>
      </c>
      <c r="G157" s="7">
        <v>180</v>
      </c>
      <c r="H157" s="7" t="s">
        <v>880</v>
      </c>
      <c r="I157" s="7" t="s">
        <v>874</v>
      </c>
      <c r="J157" s="7"/>
      <c r="M157" s="7"/>
      <c r="N157" s="7" t="s">
        <v>875</v>
      </c>
      <c r="P157" s="126"/>
    </row>
    <row r="158" spans="1:16" ht="15.75" customHeight="1">
      <c r="A158" s="126">
        <v>46230.015752314801</v>
      </c>
      <c r="B158" s="7">
        <v>12</v>
      </c>
      <c r="C158" s="7">
        <v>361</v>
      </c>
      <c r="D158" s="7"/>
      <c r="E158" s="7" t="s">
        <v>905</v>
      </c>
      <c r="F158" s="7" t="s">
        <v>220</v>
      </c>
      <c r="G158" s="7">
        <v>175</v>
      </c>
      <c r="H158" s="7" t="s">
        <v>881</v>
      </c>
      <c r="I158" s="7" t="s">
        <v>878</v>
      </c>
      <c r="J158" s="7" t="s">
        <v>882</v>
      </c>
      <c r="M158" s="7">
        <v>100</v>
      </c>
      <c r="N158" s="7">
        <v>100</v>
      </c>
      <c r="O158" s="126">
        <v>46226.423634259299</v>
      </c>
      <c r="P158" s="126">
        <v>46226.423634259299</v>
      </c>
    </row>
    <row r="159" spans="1:16" ht="15.75" customHeight="1">
      <c r="A159" s="126">
        <v>46230.015752314801</v>
      </c>
      <c r="B159" s="7">
        <v>12</v>
      </c>
      <c r="C159" s="7">
        <v>361</v>
      </c>
      <c r="D159" s="7"/>
      <c r="E159" s="7" t="s">
        <v>905</v>
      </c>
      <c r="F159" s="7" t="s">
        <v>220</v>
      </c>
      <c r="G159" s="7">
        <v>177</v>
      </c>
      <c r="H159" s="7" t="s">
        <v>883</v>
      </c>
      <c r="I159" s="7" t="s">
        <v>878</v>
      </c>
      <c r="J159" s="7" t="s">
        <v>882</v>
      </c>
      <c r="M159" s="7"/>
      <c r="N159" s="7" t="s">
        <v>875</v>
      </c>
      <c r="O159" s="126"/>
      <c r="P159" s="126"/>
    </row>
    <row r="160" spans="1:16" ht="15.75" customHeight="1">
      <c r="A160" s="126">
        <v>46230.015752314801</v>
      </c>
      <c r="B160" s="7">
        <v>12</v>
      </c>
      <c r="C160" s="7">
        <v>361</v>
      </c>
      <c r="D160" s="7"/>
      <c r="E160" s="7" t="s">
        <v>905</v>
      </c>
      <c r="F160" s="7" t="s">
        <v>220</v>
      </c>
      <c r="G160" s="7">
        <v>176</v>
      </c>
      <c r="H160" s="7" t="s">
        <v>884</v>
      </c>
      <c r="I160" s="7" t="s">
        <v>878</v>
      </c>
      <c r="J160" s="7" t="s">
        <v>882</v>
      </c>
      <c r="M160" s="7">
        <v>100</v>
      </c>
      <c r="N160" s="7">
        <v>100</v>
      </c>
      <c r="O160" s="126">
        <v>46226.435266203698</v>
      </c>
      <c r="P160" s="126">
        <v>46226.435266203698</v>
      </c>
    </row>
    <row r="161" spans="1:16" ht="15.75" customHeight="1">
      <c r="A161" s="126">
        <v>46230.015752314801</v>
      </c>
      <c r="B161" s="7">
        <v>12</v>
      </c>
      <c r="C161" s="7">
        <v>361</v>
      </c>
      <c r="D161" s="7"/>
      <c r="E161" s="7" t="s">
        <v>905</v>
      </c>
      <c r="F161" s="7" t="s">
        <v>220</v>
      </c>
      <c r="G161" s="7">
        <v>168</v>
      </c>
      <c r="H161" s="7" t="s">
        <v>885</v>
      </c>
      <c r="I161" s="7" t="s">
        <v>886</v>
      </c>
      <c r="J161" s="7"/>
      <c r="M161" s="7">
        <v>100</v>
      </c>
      <c r="N161" s="7">
        <v>100</v>
      </c>
      <c r="O161" s="126"/>
      <c r="P161" s="126">
        <v>46225.322326388901</v>
      </c>
    </row>
    <row r="162" spans="1:16" ht="15.75" customHeight="1">
      <c r="A162" s="126">
        <v>46230.015752314801</v>
      </c>
      <c r="B162" s="7">
        <v>12</v>
      </c>
      <c r="C162" s="7">
        <v>620</v>
      </c>
      <c r="D162" s="7"/>
      <c r="E162" s="7" t="s">
        <v>906</v>
      </c>
      <c r="F162" s="7" t="s">
        <v>566</v>
      </c>
      <c r="G162" s="7">
        <v>181</v>
      </c>
      <c r="H162" s="7" t="s">
        <v>873</v>
      </c>
      <c r="I162" s="7" t="s">
        <v>874</v>
      </c>
      <c r="J162" s="7"/>
      <c r="M162" s="7"/>
      <c r="N162" s="7" t="s">
        <v>875</v>
      </c>
      <c r="O162" s="126"/>
      <c r="P162" s="126"/>
    </row>
    <row r="163" spans="1:16" ht="15.75" customHeight="1">
      <c r="A163" s="126">
        <v>46230.015752314801</v>
      </c>
      <c r="B163" s="7">
        <v>12</v>
      </c>
      <c r="C163" s="7">
        <v>620</v>
      </c>
      <c r="D163" s="7"/>
      <c r="E163" s="7" t="s">
        <v>906</v>
      </c>
      <c r="F163" s="7" t="s">
        <v>566</v>
      </c>
      <c r="G163" s="7">
        <v>182</v>
      </c>
      <c r="H163" s="7" t="s">
        <v>876</v>
      </c>
      <c r="I163" s="7" t="s">
        <v>874</v>
      </c>
      <c r="J163" s="7"/>
      <c r="M163" s="7"/>
      <c r="N163" s="7" t="s">
        <v>875</v>
      </c>
      <c r="P163" s="126"/>
    </row>
    <row r="164" spans="1:16" ht="15.75" customHeight="1">
      <c r="A164" s="126">
        <v>46230.015752314801</v>
      </c>
      <c r="B164" s="7">
        <v>12</v>
      </c>
      <c r="C164" s="7">
        <v>620</v>
      </c>
      <c r="D164" s="7"/>
      <c r="E164" s="7" t="s">
        <v>906</v>
      </c>
      <c r="F164" s="7" t="s">
        <v>566</v>
      </c>
      <c r="G164" s="7">
        <v>174</v>
      </c>
      <c r="H164" s="7" t="s">
        <v>877</v>
      </c>
      <c r="I164" s="7" t="s">
        <v>878</v>
      </c>
      <c r="J164" s="7" t="s">
        <v>879</v>
      </c>
      <c r="M164" s="7">
        <v>100</v>
      </c>
      <c r="N164" s="7">
        <v>100</v>
      </c>
      <c r="O164" s="126"/>
      <c r="P164" s="126">
        <v>46210.433784722198</v>
      </c>
    </row>
    <row r="165" spans="1:16" ht="15.75" customHeight="1">
      <c r="A165" s="126">
        <v>46230.015752314801</v>
      </c>
      <c r="B165" s="7">
        <v>12</v>
      </c>
      <c r="C165" s="7">
        <v>620</v>
      </c>
      <c r="D165" s="7"/>
      <c r="E165" s="7" t="s">
        <v>906</v>
      </c>
      <c r="F165" s="7" t="s">
        <v>566</v>
      </c>
      <c r="G165" s="7">
        <v>180</v>
      </c>
      <c r="H165" s="7" t="s">
        <v>880</v>
      </c>
      <c r="I165" s="7" t="s">
        <v>874</v>
      </c>
      <c r="J165" s="7"/>
      <c r="M165" s="7"/>
      <c r="N165" s="7" t="s">
        <v>875</v>
      </c>
      <c r="O165" s="126"/>
      <c r="P165" s="126"/>
    </row>
    <row r="166" spans="1:16" ht="15.75" customHeight="1">
      <c r="A166" s="126">
        <v>46230.015752314801</v>
      </c>
      <c r="B166" s="7">
        <v>12</v>
      </c>
      <c r="C166" s="7">
        <v>620</v>
      </c>
      <c r="D166" s="7"/>
      <c r="E166" s="7" t="s">
        <v>906</v>
      </c>
      <c r="F166" s="7" t="s">
        <v>566</v>
      </c>
      <c r="G166" s="7">
        <v>175</v>
      </c>
      <c r="H166" s="7" t="s">
        <v>881</v>
      </c>
      <c r="I166" s="7" t="s">
        <v>878</v>
      </c>
      <c r="J166" s="7" t="s">
        <v>882</v>
      </c>
      <c r="M166" s="7">
        <v>62.5</v>
      </c>
      <c r="N166" s="7">
        <v>62.5</v>
      </c>
      <c r="O166" s="126">
        <v>46216.5222685185</v>
      </c>
      <c r="P166" s="126">
        <v>46216.5222685185</v>
      </c>
    </row>
    <row r="167" spans="1:16" ht="15.75" customHeight="1">
      <c r="A167" s="126">
        <v>46230.015752314801</v>
      </c>
      <c r="B167" s="7">
        <v>12</v>
      </c>
      <c r="C167" s="7">
        <v>620</v>
      </c>
      <c r="D167" s="7"/>
      <c r="E167" s="7" t="s">
        <v>906</v>
      </c>
      <c r="F167" s="7" t="s">
        <v>566</v>
      </c>
      <c r="G167" s="7">
        <v>177</v>
      </c>
      <c r="H167" s="7" t="s">
        <v>883</v>
      </c>
      <c r="I167" s="7" t="s">
        <v>878</v>
      </c>
      <c r="J167" s="7" t="s">
        <v>882</v>
      </c>
      <c r="M167" s="7"/>
      <c r="N167" s="7" t="s">
        <v>875</v>
      </c>
      <c r="P167" s="126"/>
    </row>
    <row r="168" spans="1:16" ht="15.75" customHeight="1">
      <c r="A168" s="126">
        <v>46230.015752314801</v>
      </c>
      <c r="B168" s="7">
        <v>12</v>
      </c>
      <c r="C168" s="7">
        <v>620</v>
      </c>
      <c r="E168" s="7" t="s">
        <v>906</v>
      </c>
      <c r="F168" s="7" t="s">
        <v>566</v>
      </c>
      <c r="G168" s="7">
        <v>176</v>
      </c>
      <c r="H168" s="7" t="s">
        <v>884</v>
      </c>
      <c r="I168" s="7" t="s">
        <v>878</v>
      </c>
      <c r="J168" s="7" t="s">
        <v>882</v>
      </c>
      <c r="M168" s="7">
        <v>100</v>
      </c>
      <c r="N168" s="7">
        <v>100</v>
      </c>
      <c r="O168" s="126">
        <v>46224.397384259297</v>
      </c>
      <c r="P168" s="126">
        <v>46224.397384259297</v>
      </c>
    </row>
    <row r="169" spans="1:16" ht="15.75" customHeight="1">
      <c r="A169" s="126">
        <v>46230.015752314801</v>
      </c>
      <c r="B169" s="7">
        <v>12</v>
      </c>
      <c r="C169" s="7">
        <v>620</v>
      </c>
      <c r="E169" s="7" t="s">
        <v>906</v>
      </c>
      <c r="F169" s="7" t="s">
        <v>566</v>
      </c>
      <c r="G169" s="7">
        <v>168</v>
      </c>
      <c r="H169" s="7" t="s">
        <v>885</v>
      </c>
      <c r="I169" s="7" t="s">
        <v>886</v>
      </c>
      <c r="J169" s="7"/>
      <c r="M169" s="7">
        <v>100</v>
      </c>
      <c r="N169" s="7">
        <v>100</v>
      </c>
      <c r="P169" s="126">
        <v>46210.433784722198</v>
      </c>
    </row>
    <row r="170" spans="1:16" ht="15.75" customHeight="1">
      <c r="A170" s="126">
        <v>46230.015752314801</v>
      </c>
      <c r="B170" s="7">
        <v>12</v>
      </c>
      <c r="C170" s="7">
        <v>812</v>
      </c>
      <c r="D170" s="7"/>
      <c r="E170" s="7" t="s">
        <v>907</v>
      </c>
      <c r="F170" s="7" t="s">
        <v>314</v>
      </c>
      <c r="G170" s="7">
        <v>181</v>
      </c>
      <c r="H170" s="7" t="s">
        <v>873</v>
      </c>
      <c r="I170" s="7" t="s">
        <v>874</v>
      </c>
      <c r="J170" s="7"/>
      <c r="M170" s="7"/>
      <c r="N170" s="7" t="s">
        <v>875</v>
      </c>
      <c r="O170" s="126"/>
      <c r="P170" s="126"/>
    </row>
    <row r="171" spans="1:16" ht="15.75" customHeight="1">
      <c r="A171" s="126">
        <v>46230.015752314801</v>
      </c>
      <c r="B171" s="7">
        <v>12</v>
      </c>
      <c r="C171" s="7">
        <v>812</v>
      </c>
      <c r="D171" s="7"/>
      <c r="E171" s="7" t="s">
        <v>907</v>
      </c>
      <c r="F171" s="7" t="s">
        <v>314</v>
      </c>
      <c r="G171" s="7">
        <v>182</v>
      </c>
      <c r="H171" s="7" t="s">
        <v>876</v>
      </c>
      <c r="I171" s="7" t="s">
        <v>874</v>
      </c>
      <c r="J171" s="7"/>
      <c r="M171" s="7"/>
      <c r="N171" s="7" t="s">
        <v>875</v>
      </c>
      <c r="O171" s="126"/>
      <c r="P171" s="126"/>
    </row>
    <row r="172" spans="1:16" ht="15.75" customHeight="1">
      <c r="A172" s="126">
        <v>46230.015752314801</v>
      </c>
      <c r="B172" s="7">
        <v>12</v>
      </c>
      <c r="C172" s="7">
        <v>812</v>
      </c>
      <c r="D172" s="7"/>
      <c r="E172" s="7" t="s">
        <v>907</v>
      </c>
      <c r="F172" s="7" t="s">
        <v>314</v>
      </c>
      <c r="G172" s="7">
        <v>174</v>
      </c>
      <c r="H172" s="7" t="s">
        <v>877</v>
      </c>
      <c r="I172" s="7" t="s">
        <v>878</v>
      </c>
      <c r="J172" s="7" t="s">
        <v>879</v>
      </c>
      <c r="M172" s="7">
        <v>100</v>
      </c>
      <c r="N172" s="7">
        <v>100</v>
      </c>
      <c r="O172" s="126"/>
      <c r="P172" s="126">
        <v>46226.707118055601</v>
      </c>
    </row>
    <row r="173" spans="1:16" ht="15.75" customHeight="1">
      <c r="A173" s="126">
        <v>46230.015752314801</v>
      </c>
      <c r="B173" s="7">
        <v>12</v>
      </c>
      <c r="C173" s="7">
        <v>812</v>
      </c>
      <c r="D173" s="7"/>
      <c r="E173" s="7" t="s">
        <v>907</v>
      </c>
      <c r="F173" s="7" t="s">
        <v>314</v>
      </c>
      <c r="G173" s="7">
        <v>180</v>
      </c>
      <c r="H173" s="7" t="s">
        <v>880</v>
      </c>
      <c r="I173" s="7" t="s">
        <v>874</v>
      </c>
      <c r="J173" s="7"/>
      <c r="M173" s="7"/>
      <c r="N173" s="7" t="s">
        <v>875</v>
      </c>
      <c r="P173" s="126"/>
    </row>
    <row r="174" spans="1:16" ht="15.75" customHeight="1">
      <c r="A174" s="126">
        <v>46230.015752314801</v>
      </c>
      <c r="B174" s="7">
        <v>12</v>
      </c>
      <c r="C174" s="7">
        <v>812</v>
      </c>
      <c r="E174" s="7" t="s">
        <v>907</v>
      </c>
      <c r="F174" s="7" t="s">
        <v>314</v>
      </c>
      <c r="G174" s="7">
        <v>175</v>
      </c>
      <c r="H174" s="7" t="s">
        <v>881</v>
      </c>
      <c r="I174" s="7" t="s">
        <v>878</v>
      </c>
      <c r="J174" s="7" t="s">
        <v>882</v>
      </c>
      <c r="M174" s="7">
        <v>100</v>
      </c>
      <c r="N174" s="7">
        <v>100</v>
      </c>
      <c r="O174" s="126">
        <v>46226.706689814797</v>
      </c>
      <c r="P174" s="126">
        <v>46226.706689814797</v>
      </c>
    </row>
    <row r="175" spans="1:16" ht="15.75" customHeight="1">
      <c r="A175" s="126">
        <v>46230.015752314801</v>
      </c>
      <c r="B175" s="7">
        <v>12</v>
      </c>
      <c r="C175" s="7">
        <v>812</v>
      </c>
      <c r="E175" s="7" t="s">
        <v>907</v>
      </c>
      <c r="F175" s="7" t="s">
        <v>314</v>
      </c>
      <c r="G175" s="7">
        <v>177</v>
      </c>
      <c r="H175" s="7" t="s">
        <v>883</v>
      </c>
      <c r="I175" s="7" t="s">
        <v>878</v>
      </c>
      <c r="J175" s="7" t="s">
        <v>882</v>
      </c>
      <c r="M175" s="7"/>
      <c r="N175" s="7" t="s">
        <v>875</v>
      </c>
      <c r="P175" s="126"/>
    </row>
    <row r="176" spans="1:16" ht="15.75" customHeight="1">
      <c r="A176" s="126">
        <v>46230.015752314801</v>
      </c>
      <c r="B176" s="7">
        <v>12</v>
      </c>
      <c r="C176" s="7">
        <v>812</v>
      </c>
      <c r="D176" s="7"/>
      <c r="E176" s="7" t="s">
        <v>907</v>
      </c>
      <c r="F176" s="7" t="s">
        <v>314</v>
      </c>
      <c r="G176" s="7">
        <v>176</v>
      </c>
      <c r="H176" s="7" t="s">
        <v>884</v>
      </c>
      <c r="I176" s="7" t="s">
        <v>878</v>
      </c>
      <c r="J176" s="7" t="s">
        <v>882</v>
      </c>
      <c r="M176" s="7">
        <v>100</v>
      </c>
      <c r="N176" s="7">
        <v>100</v>
      </c>
      <c r="O176" s="126">
        <v>46228.808888888903</v>
      </c>
      <c r="P176" s="126">
        <v>46228.808888888903</v>
      </c>
    </row>
    <row r="177" spans="1:16" ht="15.75" customHeight="1">
      <c r="A177" s="126">
        <v>46230.015752314801</v>
      </c>
      <c r="B177" s="7">
        <v>12</v>
      </c>
      <c r="C177" s="7">
        <v>812</v>
      </c>
      <c r="D177" s="7"/>
      <c r="E177" s="7" t="s">
        <v>907</v>
      </c>
      <c r="F177" s="7" t="s">
        <v>314</v>
      </c>
      <c r="G177" s="7">
        <v>168</v>
      </c>
      <c r="H177" s="7" t="s">
        <v>885</v>
      </c>
      <c r="I177" s="7" t="s">
        <v>886</v>
      </c>
      <c r="J177" s="7"/>
      <c r="M177" s="7">
        <v>100</v>
      </c>
      <c r="N177" s="7">
        <v>100</v>
      </c>
      <c r="O177" s="126"/>
      <c r="P177" s="126">
        <v>46226.706689814797</v>
      </c>
    </row>
    <row r="178" spans="1:16" ht="15.75" customHeight="1">
      <c r="A178" s="126">
        <v>46230.015752314801</v>
      </c>
      <c r="B178" s="7">
        <v>12</v>
      </c>
      <c r="C178" s="7">
        <v>788</v>
      </c>
      <c r="D178" s="7"/>
      <c r="E178" s="7" t="s">
        <v>908</v>
      </c>
      <c r="F178" s="7" t="s">
        <v>401</v>
      </c>
      <c r="G178" s="7">
        <v>181</v>
      </c>
      <c r="H178" s="7" t="s">
        <v>873</v>
      </c>
      <c r="I178" s="7" t="s">
        <v>874</v>
      </c>
      <c r="J178" s="7"/>
      <c r="M178" s="7"/>
      <c r="N178" s="7" t="s">
        <v>875</v>
      </c>
      <c r="O178" s="126"/>
      <c r="P178" s="126"/>
    </row>
    <row r="179" spans="1:16" ht="15.75" customHeight="1">
      <c r="A179" s="126">
        <v>46230.015752314801</v>
      </c>
      <c r="B179" s="7">
        <v>12</v>
      </c>
      <c r="C179" s="7">
        <v>788</v>
      </c>
      <c r="D179" s="7"/>
      <c r="E179" s="7" t="s">
        <v>908</v>
      </c>
      <c r="F179" s="7" t="s">
        <v>401</v>
      </c>
      <c r="G179" s="7">
        <v>182</v>
      </c>
      <c r="H179" s="7" t="s">
        <v>876</v>
      </c>
      <c r="I179" s="7" t="s">
        <v>874</v>
      </c>
      <c r="J179" s="7"/>
      <c r="M179" s="7"/>
      <c r="N179" s="7" t="s">
        <v>875</v>
      </c>
      <c r="O179" s="126"/>
      <c r="P179" s="126"/>
    </row>
    <row r="180" spans="1:16" ht="15.75" customHeight="1">
      <c r="A180" s="126">
        <v>46230.015752314801</v>
      </c>
      <c r="B180" s="7">
        <v>12</v>
      </c>
      <c r="C180" s="7">
        <v>788</v>
      </c>
      <c r="D180" s="7"/>
      <c r="E180" s="7" t="s">
        <v>908</v>
      </c>
      <c r="F180" s="7" t="s">
        <v>401</v>
      </c>
      <c r="G180" s="7">
        <v>174</v>
      </c>
      <c r="H180" s="7" t="s">
        <v>877</v>
      </c>
      <c r="I180" s="7" t="s">
        <v>878</v>
      </c>
      <c r="J180" s="7" t="s">
        <v>879</v>
      </c>
      <c r="M180" s="7">
        <v>100</v>
      </c>
      <c r="N180" s="7">
        <v>100</v>
      </c>
      <c r="O180" s="126"/>
      <c r="P180" s="126">
        <v>46209.6729513889</v>
      </c>
    </row>
    <row r="181" spans="1:16" ht="15.75" customHeight="1">
      <c r="A181" s="126">
        <v>46230.015752314801</v>
      </c>
      <c r="B181" s="7">
        <v>12</v>
      </c>
      <c r="C181" s="7">
        <v>788</v>
      </c>
      <c r="D181" s="7"/>
      <c r="E181" s="7" t="s">
        <v>908</v>
      </c>
      <c r="F181" s="7" t="s">
        <v>401</v>
      </c>
      <c r="G181" s="7">
        <v>180</v>
      </c>
      <c r="H181" s="7" t="s">
        <v>880</v>
      </c>
      <c r="I181" s="7" t="s">
        <v>874</v>
      </c>
      <c r="J181" s="7"/>
      <c r="M181" s="7"/>
      <c r="N181" s="7" t="s">
        <v>875</v>
      </c>
      <c r="O181" s="126"/>
      <c r="P181" s="126"/>
    </row>
    <row r="182" spans="1:16" ht="15.75" customHeight="1">
      <c r="A182" s="126">
        <v>46230.015752314801</v>
      </c>
      <c r="B182" s="7">
        <v>12</v>
      </c>
      <c r="C182" s="7">
        <v>788</v>
      </c>
      <c r="D182" s="7"/>
      <c r="E182" s="7" t="s">
        <v>908</v>
      </c>
      <c r="F182" s="7" t="s">
        <v>401</v>
      </c>
      <c r="G182" s="7">
        <v>175</v>
      </c>
      <c r="H182" s="7" t="s">
        <v>881</v>
      </c>
      <c r="I182" s="7" t="s">
        <v>878</v>
      </c>
      <c r="J182" s="7" t="s">
        <v>882</v>
      </c>
      <c r="M182" s="7">
        <v>75</v>
      </c>
      <c r="N182" s="7">
        <v>75</v>
      </c>
      <c r="O182" s="126">
        <v>46214.0238425926</v>
      </c>
      <c r="P182" s="126">
        <v>46214.0238425926</v>
      </c>
    </row>
    <row r="183" spans="1:16" ht="15.75" customHeight="1">
      <c r="A183" s="126">
        <v>46230.015752314801</v>
      </c>
      <c r="B183" s="7">
        <v>12</v>
      </c>
      <c r="C183" s="7">
        <v>788</v>
      </c>
      <c r="D183" s="7"/>
      <c r="E183" s="7" t="s">
        <v>908</v>
      </c>
      <c r="F183" s="7" t="s">
        <v>401</v>
      </c>
      <c r="G183" s="7">
        <v>177</v>
      </c>
      <c r="H183" s="7" t="s">
        <v>883</v>
      </c>
      <c r="I183" s="7" t="s">
        <v>878</v>
      </c>
      <c r="J183" s="7" t="s">
        <v>882</v>
      </c>
      <c r="M183" s="7"/>
      <c r="N183" s="7" t="s">
        <v>875</v>
      </c>
      <c r="O183" s="126"/>
      <c r="P183" s="126"/>
    </row>
    <row r="184" spans="1:16" ht="15.75" customHeight="1">
      <c r="A184" s="126">
        <v>46230.015752314801</v>
      </c>
      <c r="B184" s="7">
        <v>12</v>
      </c>
      <c r="C184" s="7">
        <v>788</v>
      </c>
      <c r="E184" s="7" t="s">
        <v>908</v>
      </c>
      <c r="F184" s="7" t="s">
        <v>401</v>
      </c>
      <c r="G184" s="7">
        <v>176</v>
      </c>
      <c r="H184" s="7" t="s">
        <v>884</v>
      </c>
      <c r="I184" s="7" t="s">
        <v>878</v>
      </c>
      <c r="J184" s="7" t="s">
        <v>882</v>
      </c>
      <c r="M184" s="7">
        <v>90</v>
      </c>
      <c r="N184" s="7">
        <v>90</v>
      </c>
      <c r="O184" s="126">
        <v>46229.875335648103</v>
      </c>
      <c r="P184" s="126">
        <v>46229.875335648103</v>
      </c>
    </row>
    <row r="185" spans="1:16" ht="15.75" customHeight="1">
      <c r="A185" s="126">
        <v>46230.015752314801</v>
      </c>
      <c r="B185" s="7">
        <v>12</v>
      </c>
      <c r="C185" s="7">
        <v>788</v>
      </c>
      <c r="E185" s="7" t="s">
        <v>908</v>
      </c>
      <c r="F185" s="7" t="s">
        <v>401</v>
      </c>
      <c r="G185" s="7">
        <v>168</v>
      </c>
      <c r="H185" s="7" t="s">
        <v>885</v>
      </c>
      <c r="I185" s="7" t="s">
        <v>886</v>
      </c>
      <c r="J185" s="7"/>
      <c r="M185" s="7">
        <v>100</v>
      </c>
      <c r="N185" s="7">
        <v>100</v>
      </c>
      <c r="P185" s="126">
        <v>46209.6729513889</v>
      </c>
    </row>
    <row r="186" spans="1:16" ht="15.75" customHeight="1">
      <c r="A186" s="126">
        <v>46230.015752314801</v>
      </c>
      <c r="B186" s="7">
        <v>12</v>
      </c>
      <c r="C186" s="7">
        <v>674</v>
      </c>
      <c r="D186" s="7"/>
      <c r="E186" s="7" t="s">
        <v>909</v>
      </c>
      <c r="F186" s="7" t="s">
        <v>222</v>
      </c>
      <c r="G186" s="7">
        <v>181</v>
      </c>
      <c r="H186" s="7" t="s">
        <v>873</v>
      </c>
      <c r="I186" s="7" t="s">
        <v>874</v>
      </c>
      <c r="J186" s="7"/>
      <c r="M186" s="7"/>
      <c r="N186" s="7" t="s">
        <v>875</v>
      </c>
      <c r="O186" s="126"/>
      <c r="P186" s="126"/>
    </row>
    <row r="187" spans="1:16" ht="15.75" customHeight="1">
      <c r="A187" s="126">
        <v>46230.015752314801</v>
      </c>
      <c r="B187" s="7">
        <v>12</v>
      </c>
      <c r="C187" s="7">
        <v>674</v>
      </c>
      <c r="D187" s="7"/>
      <c r="E187" s="7" t="s">
        <v>909</v>
      </c>
      <c r="F187" s="7" t="s">
        <v>222</v>
      </c>
      <c r="G187" s="7">
        <v>182</v>
      </c>
      <c r="H187" s="7" t="s">
        <v>876</v>
      </c>
      <c r="I187" s="7" t="s">
        <v>874</v>
      </c>
      <c r="J187" s="7"/>
      <c r="M187" s="7"/>
      <c r="N187" s="7" t="s">
        <v>875</v>
      </c>
      <c r="P187" s="126"/>
    </row>
    <row r="188" spans="1:16" ht="15.75" customHeight="1">
      <c r="A188" s="126">
        <v>46230.015752314801</v>
      </c>
      <c r="B188" s="7">
        <v>12</v>
      </c>
      <c r="C188" s="7">
        <v>674</v>
      </c>
      <c r="D188" s="7"/>
      <c r="E188" s="7" t="s">
        <v>909</v>
      </c>
      <c r="F188" s="7" t="s">
        <v>222</v>
      </c>
      <c r="G188" s="7">
        <v>174</v>
      </c>
      <c r="H188" s="7" t="s">
        <v>877</v>
      </c>
      <c r="I188" s="7" t="s">
        <v>878</v>
      </c>
      <c r="J188" s="7" t="s">
        <v>879</v>
      </c>
      <c r="M188" s="7">
        <v>100</v>
      </c>
      <c r="N188" s="7">
        <v>100</v>
      </c>
      <c r="O188" s="126"/>
      <c r="P188" s="126">
        <v>46209.706967592603</v>
      </c>
    </row>
    <row r="189" spans="1:16" ht="15.75" customHeight="1">
      <c r="A189" s="126">
        <v>46230.015752314801</v>
      </c>
      <c r="B189" s="7">
        <v>12</v>
      </c>
      <c r="C189" s="7">
        <v>674</v>
      </c>
      <c r="D189" s="7"/>
      <c r="E189" s="7" t="s">
        <v>909</v>
      </c>
      <c r="F189" s="7" t="s">
        <v>222</v>
      </c>
      <c r="G189" s="7">
        <v>180</v>
      </c>
      <c r="H189" s="7" t="s">
        <v>880</v>
      </c>
      <c r="I189" s="7" t="s">
        <v>874</v>
      </c>
      <c r="J189" s="7"/>
      <c r="M189" s="7"/>
      <c r="N189" s="7" t="s">
        <v>875</v>
      </c>
      <c r="O189" s="126"/>
      <c r="P189" s="126"/>
    </row>
    <row r="190" spans="1:16" ht="15.75" customHeight="1">
      <c r="A190" s="126">
        <v>46230.015752314801</v>
      </c>
      <c r="B190" s="7">
        <v>12</v>
      </c>
      <c r="C190" s="7">
        <v>674</v>
      </c>
      <c r="D190" s="7"/>
      <c r="E190" s="7" t="s">
        <v>909</v>
      </c>
      <c r="F190" s="7" t="s">
        <v>222</v>
      </c>
      <c r="G190" s="7">
        <v>175</v>
      </c>
      <c r="H190" s="7" t="s">
        <v>881</v>
      </c>
      <c r="I190" s="7" t="s">
        <v>878</v>
      </c>
      <c r="J190" s="7" t="s">
        <v>882</v>
      </c>
      <c r="M190" s="7">
        <v>75</v>
      </c>
      <c r="N190" s="7">
        <v>75</v>
      </c>
      <c r="O190" s="126">
        <v>46216.377268518503</v>
      </c>
      <c r="P190" s="126">
        <v>46216.377268518503</v>
      </c>
    </row>
    <row r="191" spans="1:16" ht="15.75" customHeight="1">
      <c r="A191" s="126">
        <v>46230.015752314801</v>
      </c>
      <c r="B191" s="7">
        <v>12</v>
      </c>
      <c r="C191" s="7">
        <v>674</v>
      </c>
      <c r="D191" s="7"/>
      <c r="E191" s="7" t="s">
        <v>909</v>
      </c>
      <c r="F191" s="7" t="s">
        <v>222</v>
      </c>
      <c r="G191" s="7">
        <v>177</v>
      </c>
      <c r="H191" s="7" t="s">
        <v>883</v>
      </c>
      <c r="I191" s="7" t="s">
        <v>878</v>
      </c>
      <c r="J191" s="7" t="s">
        <v>882</v>
      </c>
      <c r="M191" s="7"/>
      <c r="N191" s="7" t="s">
        <v>875</v>
      </c>
      <c r="P191" s="126"/>
    </row>
    <row r="192" spans="1:16" ht="15.75" customHeight="1">
      <c r="A192" s="126">
        <v>46230.015752314801</v>
      </c>
      <c r="B192" s="7">
        <v>12</v>
      </c>
      <c r="C192" s="7">
        <v>674</v>
      </c>
      <c r="D192" s="7"/>
      <c r="E192" s="7" t="s">
        <v>909</v>
      </c>
      <c r="F192" s="7" t="s">
        <v>222</v>
      </c>
      <c r="G192" s="7">
        <v>176</v>
      </c>
      <c r="H192" s="7" t="s">
        <v>884</v>
      </c>
      <c r="I192" s="7" t="s">
        <v>878</v>
      </c>
      <c r="J192" s="7" t="s">
        <v>882</v>
      </c>
      <c r="M192" s="7">
        <v>80</v>
      </c>
      <c r="N192" s="7">
        <v>80</v>
      </c>
      <c r="O192" s="126">
        <v>46229.941446759301</v>
      </c>
      <c r="P192" s="126">
        <v>46229.941446759301</v>
      </c>
    </row>
    <row r="193" spans="1:16" ht="15.75" customHeight="1">
      <c r="A193" s="126">
        <v>46230.015752314801</v>
      </c>
      <c r="B193" s="7">
        <v>12</v>
      </c>
      <c r="C193" s="7">
        <v>674</v>
      </c>
      <c r="D193" s="7"/>
      <c r="E193" s="7" t="s">
        <v>909</v>
      </c>
      <c r="F193" s="7" t="s">
        <v>222</v>
      </c>
      <c r="G193" s="7">
        <v>168</v>
      </c>
      <c r="H193" s="7" t="s">
        <v>885</v>
      </c>
      <c r="I193" s="7" t="s">
        <v>886</v>
      </c>
      <c r="J193" s="7"/>
      <c r="M193" s="7">
        <v>100</v>
      </c>
      <c r="N193" s="7">
        <v>100</v>
      </c>
      <c r="P193" s="126">
        <v>46209.706967592603</v>
      </c>
    </row>
    <row r="194" spans="1:16" ht="15.75" customHeight="1">
      <c r="A194" s="126">
        <v>46230.015752314801</v>
      </c>
      <c r="B194" s="7">
        <v>12</v>
      </c>
      <c r="C194" s="7">
        <v>404</v>
      </c>
      <c r="D194" s="7"/>
      <c r="E194" s="7" t="s">
        <v>910</v>
      </c>
      <c r="F194" s="7" t="s">
        <v>809</v>
      </c>
      <c r="G194" s="7">
        <v>181</v>
      </c>
      <c r="H194" s="7" t="s">
        <v>873</v>
      </c>
      <c r="I194" s="7" t="s">
        <v>874</v>
      </c>
      <c r="J194" s="7"/>
      <c r="M194" s="7"/>
      <c r="N194" s="7" t="s">
        <v>875</v>
      </c>
      <c r="O194" s="126"/>
      <c r="P194" s="126"/>
    </row>
    <row r="195" spans="1:16" ht="15.75" customHeight="1">
      <c r="A195" s="126">
        <v>46230.015752314801</v>
      </c>
      <c r="B195" s="7">
        <v>12</v>
      </c>
      <c r="C195" s="7">
        <v>404</v>
      </c>
      <c r="D195" s="7"/>
      <c r="E195" s="7" t="s">
        <v>910</v>
      </c>
      <c r="F195" s="7" t="s">
        <v>809</v>
      </c>
      <c r="G195" s="7">
        <v>182</v>
      </c>
      <c r="H195" s="7" t="s">
        <v>876</v>
      </c>
      <c r="I195" s="7" t="s">
        <v>874</v>
      </c>
      <c r="J195" s="7"/>
      <c r="M195" s="7"/>
      <c r="N195" s="7" t="s">
        <v>875</v>
      </c>
      <c r="O195" s="126"/>
      <c r="P195" s="126"/>
    </row>
    <row r="196" spans="1:16" ht="15.75" customHeight="1">
      <c r="A196" s="126">
        <v>46230.015752314801</v>
      </c>
      <c r="B196" s="7">
        <v>12</v>
      </c>
      <c r="C196" s="7">
        <v>404</v>
      </c>
      <c r="D196" s="7"/>
      <c r="E196" s="7" t="s">
        <v>910</v>
      </c>
      <c r="F196" s="7" t="s">
        <v>809</v>
      </c>
      <c r="G196" s="7">
        <v>174</v>
      </c>
      <c r="H196" s="7" t="s">
        <v>877</v>
      </c>
      <c r="I196" s="7" t="s">
        <v>878</v>
      </c>
      <c r="J196" s="7" t="s">
        <v>879</v>
      </c>
      <c r="M196" s="7">
        <v>100</v>
      </c>
      <c r="N196" s="7">
        <v>100</v>
      </c>
      <c r="O196" s="126"/>
      <c r="P196" s="126">
        <v>46209.709745370397</v>
      </c>
    </row>
    <row r="197" spans="1:16" ht="15.75" customHeight="1">
      <c r="A197" s="126">
        <v>46230.015752314801</v>
      </c>
      <c r="B197" s="7">
        <v>12</v>
      </c>
      <c r="C197" s="7">
        <v>404</v>
      </c>
      <c r="D197" s="7"/>
      <c r="E197" s="7" t="s">
        <v>910</v>
      </c>
      <c r="F197" s="7" t="s">
        <v>809</v>
      </c>
      <c r="G197" s="7">
        <v>180</v>
      </c>
      <c r="H197" s="7" t="s">
        <v>880</v>
      </c>
      <c r="I197" s="7" t="s">
        <v>874</v>
      </c>
      <c r="J197" s="7"/>
      <c r="M197" s="7"/>
      <c r="N197" s="7" t="s">
        <v>875</v>
      </c>
      <c r="O197" s="126"/>
      <c r="P197" s="126"/>
    </row>
    <row r="198" spans="1:16" ht="15.75" customHeight="1">
      <c r="A198" s="126">
        <v>46230.015752314801</v>
      </c>
      <c r="B198" s="7">
        <v>12</v>
      </c>
      <c r="C198" s="7">
        <v>404</v>
      </c>
      <c r="D198" s="7"/>
      <c r="E198" s="7" t="s">
        <v>910</v>
      </c>
      <c r="F198" s="7" t="s">
        <v>809</v>
      </c>
      <c r="G198" s="7">
        <v>175</v>
      </c>
      <c r="H198" s="7" t="s">
        <v>881</v>
      </c>
      <c r="I198" s="7" t="s">
        <v>878</v>
      </c>
      <c r="J198" s="7" t="s">
        <v>882</v>
      </c>
      <c r="M198" s="7">
        <v>100</v>
      </c>
      <c r="N198" s="7">
        <v>100</v>
      </c>
      <c r="O198" s="126">
        <v>46216.606458333299</v>
      </c>
      <c r="P198" s="126">
        <v>46216.606458333299</v>
      </c>
    </row>
    <row r="199" spans="1:16" ht="15.75" customHeight="1">
      <c r="A199" s="126">
        <v>46230.015752314801</v>
      </c>
      <c r="B199" s="7">
        <v>12</v>
      </c>
      <c r="C199" s="7">
        <v>404</v>
      </c>
      <c r="D199" s="7"/>
      <c r="E199" s="7" t="s">
        <v>910</v>
      </c>
      <c r="F199" s="7" t="s">
        <v>809</v>
      </c>
      <c r="G199" s="7">
        <v>177</v>
      </c>
      <c r="H199" s="7" t="s">
        <v>883</v>
      </c>
      <c r="I199" s="7" t="s">
        <v>878</v>
      </c>
      <c r="J199" s="7" t="s">
        <v>882</v>
      </c>
      <c r="M199" s="7"/>
      <c r="N199" s="7" t="s">
        <v>875</v>
      </c>
      <c r="P199" s="126"/>
    </row>
    <row r="200" spans="1:16" ht="15.75" customHeight="1">
      <c r="A200" s="126">
        <v>46230.015752314801</v>
      </c>
      <c r="B200" s="7">
        <v>12</v>
      </c>
      <c r="C200" s="7">
        <v>404</v>
      </c>
      <c r="D200" s="7"/>
      <c r="E200" s="7" t="s">
        <v>910</v>
      </c>
      <c r="F200" s="7" t="s">
        <v>809</v>
      </c>
      <c r="G200" s="7">
        <v>176</v>
      </c>
      <c r="H200" s="7" t="s">
        <v>884</v>
      </c>
      <c r="I200" s="7" t="s">
        <v>878</v>
      </c>
      <c r="J200" s="7" t="s">
        <v>882</v>
      </c>
      <c r="M200" s="7">
        <v>95</v>
      </c>
      <c r="N200" s="7">
        <v>95</v>
      </c>
      <c r="O200" s="126">
        <v>46224.760335648098</v>
      </c>
      <c r="P200" s="126">
        <v>46224.760335648098</v>
      </c>
    </row>
    <row r="201" spans="1:16" ht="15.75" customHeight="1">
      <c r="A201" s="126">
        <v>46230.015752314801</v>
      </c>
      <c r="B201" s="7">
        <v>12</v>
      </c>
      <c r="C201" s="7">
        <v>404</v>
      </c>
      <c r="D201" s="7"/>
      <c r="E201" s="7" t="s">
        <v>910</v>
      </c>
      <c r="F201" s="7" t="s">
        <v>809</v>
      </c>
      <c r="G201" s="7">
        <v>168</v>
      </c>
      <c r="H201" s="7" t="s">
        <v>885</v>
      </c>
      <c r="I201" s="7" t="s">
        <v>886</v>
      </c>
      <c r="J201" s="7"/>
      <c r="M201" s="7">
        <v>100</v>
      </c>
      <c r="N201" s="7">
        <v>100</v>
      </c>
      <c r="O201" s="126"/>
      <c r="P201" s="126">
        <v>46209.709745370397</v>
      </c>
    </row>
    <row r="202" spans="1:16" ht="15.75" customHeight="1">
      <c r="A202" s="126">
        <v>46230.015752314801</v>
      </c>
      <c r="B202" s="7">
        <v>12</v>
      </c>
      <c r="C202" s="7">
        <v>811</v>
      </c>
      <c r="D202" s="7"/>
      <c r="E202" s="7" t="s">
        <v>911</v>
      </c>
      <c r="F202" s="7" t="s">
        <v>491</v>
      </c>
      <c r="G202" s="7">
        <v>181</v>
      </c>
      <c r="H202" s="7" t="s">
        <v>873</v>
      </c>
      <c r="I202" s="7" t="s">
        <v>874</v>
      </c>
      <c r="J202" s="7"/>
      <c r="M202" s="7"/>
      <c r="N202" s="7" t="s">
        <v>875</v>
      </c>
      <c r="O202" s="126"/>
      <c r="P202" s="126"/>
    </row>
    <row r="203" spans="1:16" ht="15.75" customHeight="1">
      <c r="A203" s="126">
        <v>46230.015752314801</v>
      </c>
      <c r="B203" s="7">
        <v>12</v>
      </c>
      <c r="C203" s="7">
        <v>811</v>
      </c>
      <c r="D203" s="7"/>
      <c r="E203" s="7" t="s">
        <v>911</v>
      </c>
      <c r="F203" s="7" t="s">
        <v>491</v>
      </c>
      <c r="G203" s="7">
        <v>182</v>
      </c>
      <c r="H203" s="7" t="s">
        <v>876</v>
      </c>
      <c r="I203" s="7" t="s">
        <v>874</v>
      </c>
      <c r="J203" s="7"/>
      <c r="M203" s="7"/>
      <c r="N203" s="7" t="s">
        <v>875</v>
      </c>
      <c r="P203" s="126"/>
    </row>
    <row r="204" spans="1:16" ht="15.75" customHeight="1">
      <c r="A204" s="126">
        <v>46230.015752314801</v>
      </c>
      <c r="B204" s="7">
        <v>12</v>
      </c>
      <c r="C204" s="7">
        <v>811</v>
      </c>
      <c r="D204" s="7"/>
      <c r="E204" s="7" t="s">
        <v>911</v>
      </c>
      <c r="F204" s="7" t="s">
        <v>491</v>
      </c>
      <c r="G204" s="7">
        <v>174</v>
      </c>
      <c r="H204" s="7" t="s">
        <v>877</v>
      </c>
      <c r="I204" s="7" t="s">
        <v>878</v>
      </c>
      <c r="J204" s="7" t="s">
        <v>879</v>
      </c>
      <c r="M204" s="7">
        <v>100</v>
      </c>
      <c r="N204" s="7">
        <v>100</v>
      </c>
      <c r="O204" s="126"/>
      <c r="P204" s="126">
        <v>46226.895567129599</v>
      </c>
    </row>
    <row r="205" spans="1:16" ht="15.75" customHeight="1">
      <c r="A205" s="126">
        <v>46230.015752314801</v>
      </c>
      <c r="B205" s="7">
        <v>12</v>
      </c>
      <c r="C205" s="7">
        <v>811</v>
      </c>
      <c r="D205" s="7"/>
      <c r="E205" s="7" t="s">
        <v>911</v>
      </c>
      <c r="F205" s="7" t="s">
        <v>491</v>
      </c>
      <c r="G205" s="7">
        <v>180</v>
      </c>
      <c r="H205" s="7" t="s">
        <v>880</v>
      </c>
      <c r="I205" s="7" t="s">
        <v>874</v>
      </c>
      <c r="J205" s="7"/>
      <c r="M205" s="7"/>
      <c r="N205" s="7" t="s">
        <v>875</v>
      </c>
      <c r="P205" s="126"/>
    </row>
    <row r="206" spans="1:16" ht="15.75" customHeight="1">
      <c r="A206" s="126">
        <v>46230.015752314801</v>
      </c>
      <c r="B206" s="7">
        <v>12</v>
      </c>
      <c r="C206" s="7">
        <v>811</v>
      </c>
      <c r="D206" s="7"/>
      <c r="E206" s="7" t="s">
        <v>911</v>
      </c>
      <c r="F206" s="7" t="s">
        <v>491</v>
      </c>
      <c r="G206" s="7">
        <v>175</v>
      </c>
      <c r="H206" s="7" t="s">
        <v>881</v>
      </c>
      <c r="I206" s="7" t="s">
        <v>878</v>
      </c>
      <c r="J206" s="7" t="s">
        <v>882</v>
      </c>
      <c r="M206" s="7">
        <v>100</v>
      </c>
      <c r="N206" s="7">
        <v>100</v>
      </c>
      <c r="O206" s="126">
        <v>46227.650462963</v>
      </c>
      <c r="P206" s="126">
        <v>46227.650462963</v>
      </c>
    </row>
    <row r="207" spans="1:16" ht="15.75" customHeight="1">
      <c r="A207" s="126">
        <v>46230.015752314801</v>
      </c>
      <c r="B207" s="7">
        <v>12</v>
      </c>
      <c r="C207" s="7">
        <v>811</v>
      </c>
      <c r="D207" s="7"/>
      <c r="E207" s="7" t="s">
        <v>911</v>
      </c>
      <c r="F207" s="7" t="s">
        <v>491</v>
      </c>
      <c r="G207" s="7">
        <v>177</v>
      </c>
      <c r="H207" s="7" t="s">
        <v>883</v>
      </c>
      <c r="I207" s="7" t="s">
        <v>878</v>
      </c>
      <c r="J207" s="7" t="s">
        <v>882</v>
      </c>
      <c r="M207" s="7"/>
      <c r="N207" s="7" t="s">
        <v>875</v>
      </c>
      <c r="O207" s="126"/>
      <c r="P207" s="126"/>
    </row>
    <row r="208" spans="1:16" ht="15.75" customHeight="1">
      <c r="A208" s="126">
        <v>46230.015752314801</v>
      </c>
      <c r="B208" s="7">
        <v>12</v>
      </c>
      <c r="C208" s="7">
        <v>811</v>
      </c>
      <c r="D208" s="7"/>
      <c r="E208" s="7" t="s">
        <v>911</v>
      </c>
      <c r="F208" s="7" t="s">
        <v>491</v>
      </c>
      <c r="G208" s="7">
        <v>176</v>
      </c>
      <c r="H208" s="7" t="s">
        <v>884</v>
      </c>
      <c r="I208" s="7" t="s">
        <v>878</v>
      </c>
      <c r="J208" s="7" t="s">
        <v>882</v>
      </c>
      <c r="M208" s="7">
        <v>100</v>
      </c>
      <c r="N208" s="7">
        <v>100</v>
      </c>
      <c r="O208" s="126">
        <v>46227.643888888902</v>
      </c>
      <c r="P208" s="126">
        <v>46227.643888888902</v>
      </c>
    </row>
    <row r="209" spans="1:16" ht="15.75" customHeight="1">
      <c r="A209" s="126">
        <v>46230.015752314801</v>
      </c>
      <c r="B209" s="7">
        <v>12</v>
      </c>
      <c r="C209" s="7">
        <v>811</v>
      </c>
      <c r="D209" s="7"/>
      <c r="E209" s="7" t="s">
        <v>911</v>
      </c>
      <c r="F209" s="7" t="s">
        <v>491</v>
      </c>
      <c r="G209" s="7">
        <v>168</v>
      </c>
      <c r="H209" s="7" t="s">
        <v>885</v>
      </c>
      <c r="I209" s="7" t="s">
        <v>886</v>
      </c>
      <c r="J209" s="7"/>
      <c r="M209" s="7">
        <v>100</v>
      </c>
      <c r="N209" s="7">
        <v>100</v>
      </c>
      <c r="P209" s="126">
        <v>46226.895567129599</v>
      </c>
    </row>
    <row r="210" spans="1:16" ht="15.75" customHeight="1">
      <c r="A210" s="126">
        <v>46230.015752314801</v>
      </c>
      <c r="B210" s="7">
        <v>12</v>
      </c>
      <c r="C210" s="7">
        <v>376</v>
      </c>
      <c r="D210" s="7">
        <v>125876</v>
      </c>
      <c r="E210" s="7" t="s">
        <v>912</v>
      </c>
      <c r="F210" s="7" t="s">
        <v>99</v>
      </c>
      <c r="G210" s="7">
        <v>181</v>
      </c>
      <c r="H210" s="7" t="s">
        <v>873</v>
      </c>
      <c r="I210" s="7" t="s">
        <v>874</v>
      </c>
      <c r="J210" s="7"/>
      <c r="M210" s="7"/>
      <c r="N210" s="7" t="s">
        <v>875</v>
      </c>
      <c r="P210" s="126"/>
    </row>
    <row r="211" spans="1:16" ht="15.75" customHeight="1">
      <c r="A211" s="126">
        <v>46230.015752314801</v>
      </c>
      <c r="B211" s="7">
        <v>12</v>
      </c>
      <c r="C211" s="7">
        <v>376</v>
      </c>
      <c r="D211" s="7">
        <v>125876</v>
      </c>
      <c r="E211" s="7" t="s">
        <v>912</v>
      </c>
      <c r="F211" s="7" t="s">
        <v>99</v>
      </c>
      <c r="G211" s="7">
        <v>182</v>
      </c>
      <c r="H211" s="7" t="s">
        <v>876</v>
      </c>
      <c r="I211" s="7" t="s">
        <v>874</v>
      </c>
      <c r="J211" s="7"/>
      <c r="M211" s="7"/>
      <c r="N211" s="7" t="s">
        <v>875</v>
      </c>
      <c r="P211" s="126"/>
    </row>
    <row r="212" spans="1:16" ht="15.75" customHeight="1">
      <c r="A212" s="126">
        <v>46230.015752314801</v>
      </c>
      <c r="B212" s="7">
        <v>12</v>
      </c>
      <c r="C212" s="7">
        <v>376</v>
      </c>
      <c r="D212" s="7">
        <v>125876</v>
      </c>
      <c r="E212" s="7" t="s">
        <v>912</v>
      </c>
      <c r="F212" s="7" t="s">
        <v>99</v>
      </c>
      <c r="G212" s="7">
        <v>174</v>
      </c>
      <c r="H212" s="7" t="s">
        <v>877</v>
      </c>
      <c r="I212" s="7" t="s">
        <v>878</v>
      </c>
      <c r="J212" s="7" t="s">
        <v>879</v>
      </c>
      <c r="M212" s="7">
        <v>100</v>
      </c>
      <c r="N212" s="7">
        <v>100</v>
      </c>
      <c r="O212" s="126"/>
      <c r="P212" s="126">
        <v>46209.706979166702</v>
      </c>
    </row>
    <row r="213" spans="1:16" ht="15.75" customHeight="1">
      <c r="A213" s="126">
        <v>46230.015752314801</v>
      </c>
      <c r="B213" s="7">
        <v>12</v>
      </c>
      <c r="C213" s="7">
        <v>376</v>
      </c>
      <c r="D213" s="7">
        <v>125876</v>
      </c>
      <c r="E213" s="7" t="s">
        <v>912</v>
      </c>
      <c r="F213" s="7" t="s">
        <v>99</v>
      </c>
      <c r="G213" s="7">
        <v>180</v>
      </c>
      <c r="H213" s="7" t="s">
        <v>880</v>
      </c>
      <c r="I213" s="7" t="s">
        <v>874</v>
      </c>
      <c r="J213" s="7"/>
      <c r="M213" s="7"/>
      <c r="N213" s="7" t="s">
        <v>875</v>
      </c>
      <c r="O213" s="126"/>
      <c r="P213" s="126"/>
    </row>
    <row r="214" spans="1:16" ht="15.75" customHeight="1">
      <c r="A214" s="126">
        <v>46230.015752314801</v>
      </c>
      <c r="B214" s="7">
        <v>12</v>
      </c>
      <c r="C214" s="7">
        <v>376</v>
      </c>
      <c r="D214" s="7">
        <v>125876</v>
      </c>
      <c r="E214" s="7" t="s">
        <v>912</v>
      </c>
      <c r="F214" s="7" t="s">
        <v>99</v>
      </c>
      <c r="G214" s="7">
        <v>175</v>
      </c>
      <c r="H214" s="7" t="s">
        <v>881</v>
      </c>
      <c r="I214" s="7" t="s">
        <v>878</v>
      </c>
      <c r="J214" s="7" t="s">
        <v>882</v>
      </c>
      <c r="M214" s="7">
        <v>87.5</v>
      </c>
      <c r="N214" s="7">
        <v>87.5</v>
      </c>
      <c r="O214" s="126"/>
      <c r="P214" s="126">
        <v>46216.627337963</v>
      </c>
    </row>
    <row r="215" spans="1:16" ht="15.75" customHeight="1">
      <c r="A215" s="126">
        <v>46230.015752314801</v>
      </c>
      <c r="B215" s="7">
        <v>12</v>
      </c>
      <c r="C215" s="7">
        <v>376</v>
      </c>
      <c r="D215" s="7">
        <v>125876</v>
      </c>
      <c r="E215" s="7" t="s">
        <v>912</v>
      </c>
      <c r="F215" s="7" t="s">
        <v>99</v>
      </c>
      <c r="G215" s="7">
        <v>177</v>
      </c>
      <c r="H215" s="7" t="s">
        <v>883</v>
      </c>
      <c r="I215" s="7" t="s">
        <v>878</v>
      </c>
      <c r="J215" s="7" t="s">
        <v>882</v>
      </c>
      <c r="M215" s="7"/>
      <c r="N215" s="7" t="s">
        <v>875</v>
      </c>
      <c r="O215" s="126"/>
      <c r="P215" s="126"/>
    </row>
    <row r="216" spans="1:16" ht="15.75" customHeight="1">
      <c r="A216" s="126">
        <v>46230.015752314801</v>
      </c>
      <c r="B216" s="7">
        <v>12</v>
      </c>
      <c r="C216" s="7">
        <v>376</v>
      </c>
      <c r="D216" s="7">
        <v>125876</v>
      </c>
      <c r="E216" s="7" t="s">
        <v>912</v>
      </c>
      <c r="F216" s="7" t="s">
        <v>99</v>
      </c>
      <c r="G216" s="7">
        <v>176</v>
      </c>
      <c r="H216" s="7" t="s">
        <v>884</v>
      </c>
      <c r="I216" s="7" t="s">
        <v>878</v>
      </c>
      <c r="J216" s="7" t="s">
        <v>882</v>
      </c>
      <c r="M216" s="7">
        <v>100</v>
      </c>
      <c r="N216" s="7">
        <v>100</v>
      </c>
      <c r="O216" s="126">
        <v>46223.795787037001</v>
      </c>
      <c r="P216" s="126">
        <v>46223.795787037001</v>
      </c>
    </row>
    <row r="217" spans="1:16" ht="15.75" customHeight="1">
      <c r="A217" s="126">
        <v>46230.015752314801</v>
      </c>
      <c r="B217" s="7">
        <v>12</v>
      </c>
      <c r="C217" s="7">
        <v>376</v>
      </c>
      <c r="D217" s="7">
        <v>125876</v>
      </c>
      <c r="E217" s="7" t="s">
        <v>912</v>
      </c>
      <c r="F217" s="7" t="s">
        <v>99</v>
      </c>
      <c r="G217" s="7">
        <v>168</v>
      </c>
      <c r="H217" s="7" t="s">
        <v>885</v>
      </c>
      <c r="I217" s="7" t="s">
        <v>886</v>
      </c>
      <c r="M217" s="7">
        <v>100</v>
      </c>
      <c r="N217" s="7">
        <v>100</v>
      </c>
      <c r="P217" s="126">
        <v>46209.706979166702</v>
      </c>
    </row>
    <row r="218" spans="1:16" ht="15.75" customHeight="1">
      <c r="A218" s="126">
        <v>46230.015752314801</v>
      </c>
      <c r="B218" s="7">
        <v>12</v>
      </c>
      <c r="C218" s="7">
        <v>595</v>
      </c>
      <c r="D218" s="7"/>
      <c r="E218" s="7" t="s">
        <v>913</v>
      </c>
      <c r="F218" s="7" t="s">
        <v>139</v>
      </c>
      <c r="G218" s="7">
        <v>181</v>
      </c>
      <c r="H218" s="7" t="s">
        <v>873</v>
      </c>
      <c r="I218" s="7" t="s">
        <v>874</v>
      </c>
      <c r="J218" s="7"/>
      <c r="M218" s="7"/>
      <c r="N218" s="7" t="s">
        <v>875</v>
      </c>
      <c r="P218" s="126"/>
    </row>
    <row r="219" spans="1:16" ht="15.75" customHeight="1">
      <c r="A219" s="126">
        <v>46230.015752314801</v>
      </c>
      <c r="B219" s="7">
        <v>12</v>
      </c>
      <c r="C219" s="7">
        <v>595</v>
      </c>
      <c r="D219" s="7"/>
      <c r="E219" s="7" t="s">
        <v>913</v>
      </c>
      <c r="F219" s="7" t="s">
        <v>139</v>
      </c>
      <c r="G219" s="7">
        <v>182</v>
      </c>
      <c r="H219" s="7" t="s">
        <v>876</v>
      </c>
      <c r="I219" s="7" t="s">
        <v>874</v>
      </c>
      <c r="J219" s="7"/>
      <c r="M219" s="7"/>
      <c r="N219" s="7" t="s">
        <v>875</v>
      </c>
      <c r="O219" s="126"/>
      <c r="P219" s="126"/>
    </row>
    <row r="220" spans="1:16" ht="15.75" customHeight="1">
      <c r="A220" s="126">
        <v>46230.015752314801</v>
      </c>
      <c r="B220" s="7">
        <v>12</v>
      </c>
      <c r="C220" s="7">
        <v>595</v>
      </c>
      <c r="D220" s="7"/>
      <c r="E220" s="7" t="s">
        <v>913</v>
      </c>
      <c r="F220" s="7" t="s">
        <v>139</v>
      </c>
      <c r="G220" s="7">
        <v>174</v>
      </c>
      <c r="H220" s="7" t="s">
        <v>877</v>
      </c>
      <c r="I220" s="7" t="s">
        <v>878</v>
      </c>
      <c r="J220" s="7" t="s">
        <v>879</v>
      </c>
      <c r="M220" s="7">
        <v>100</v>
      </c>
      <c r="N220" s="7">
        <v>100</v>
      </c>
      <c r="O220" s="126"/>
      <c r="P220" s="126">
        <v>46209.706979166702</v>
      </c>
    </row>
    <row r="221" spans="1:16" ht="15.75" customHeight="1">
      <c r="A221" s="126">
        <v>46230.015752314801</v>
      </c>
      <c r="B221" s="7">
        <v>12</v>
      </c>
      <c r="C221" s="7">
        <v>595</v>
      </c>
      <c r="D221" s="7"/>
      <c r="E221" s="7" t="s">
        <v>913</v>
      </c>
      <c r="F221" s="7" t="s">
        <v>139</v>
      </c>
      <c r="G221" s="7">
        <v>180</v>
      </c>
      <c r="H221" s="7" t="s">
        <v>880</v>
      </c>
      <c r="I221" s="7" t="s">
        <v>874</v>
      </c>
      <c r="J221" s="7"/>
      <c r="M221" s="7"/>
      <c r="N221" s="7" t="s">
        <v>875</v>
      </c>
      <c r="O221" s="126"/>
      <c r="P221" s="126"/>
    </row>
    <row r="222" spans="1:16" ht="15.75" customHeight="1">
      <c r="A222" s="126">
        <v>46230.015752314801</v>
      </c>
      <c r="B222" s="7">
        <v>12</v>
      </c>
      <c r="C222" s="7">
        <v>595</v>
      </c>
      <c r="D222" s="7"/>
      <c r="E222" s="7" t="s">
        <v>913</v>
      </c>
      <c r="F222" s="7" t="s">
        <v>139</v>
      </c>
      <c r="G222" s="7">
        <v>175</v>
      </c>
      <c r="H222" s="7" t="s">
        <v>881</v>
      </c>
      <c r="I222" s="7" t="s">
        <v>878</v>
      </c>
      <c r="J222" s="7" t="s">
        <v>882</v>
      </c>
      <c r="M222" s="7">
        <v>100</v>
      </c>
      <c r="N222" s="7">
        <v>100</v>
      </c>
      <c r="O222" s="126">
        <v>46216.533240740697</v>
      </c>
      <c r="P222" s="126">
        <v>46216.533240740697</v>
      </c>
    </row>
    <row r="223" spans="1:16" ht="15.75" customHeight="1">
      <c r="A223" s="126">
        <v>46230.015752314801</v>
      </c>
      <c r="B223" s="7">
        <v>12</v>
      </c>
      <c r="C223" s="7">
        <v>595</v>
      </c>
      <c r="D223" s="7"/>
      <c r="E223" s="7" t="s">
        <v>913</v>
      </c>
      <c r="F223" s="7" t="s">
        <v>139</v>
      </c>
      <c r="G223" s="7">
        <v>177</v>
      </c>
      <c r="H223" s="7" t="s">
        <v>883</v>
      </c>
      <c r="I223" s="7" t="s">
        <v>878</v>
      </c>
      <c r="J223" s="7" t="s">
        <v>882</v>
      </c>
      <c r="M223" s="7"/>
      <c r="N223" s="7" t="s">
        <v>875</v>
      </c>
      <c r="P223" s="126"/>
    </row>
    <row r="224" spans="1:16" ht="15.75" customHeight="1">
      <c r="A224" s="126">
        <v>46230.015752314801</v>
      </c>
      <c r="B224" s="7">
        <v>12</v>
      </c>
      <c r="C224" s="7">
        <v>595</v>
      </c>
      <c r="D224" s="7"/>
      <c r="E224" s="7" t="s">
        <v>913</v>
      </c>
      <c r="F224" s="7" t="s">
        <v>139</v>
      </c>
      <c r="G224" s="7">
        <v>176</v>
      </c>
      <c r="H224" s="7" t="s">
        <v>884</v>
      </c>
      <c r="I224" s="7" t="s">
        <v>878</v>
      </c>
      <c r="J224" s="7" t="s">
        <v>882</v>
      </c>
      <c r="M224" s="7">
        <v>90</v>
      </c>
      <c r="N224" s="7">
        <v>90</v>
      </c>
      <c r="O224" s="126">
        <v>46226.574212963002</v>
      </c>
      <c r="P224" s="126">
        <v>46226.574212963002</v>
      </c>
    </row>
    <row r="225" spans="1:16" ht="15.75" customHeight="1">
      <c r="A225" s="126">
        <v>46230.015752314801</v>
      </c>
      <c r="B225" s="7">
        <v>12</v>
      </c>
      <c r="C225" s="7">
        <v>595</v>
      </c>
      <c r="D225" s="7"/>
      <c r="E225" s="7" t="s">
        <v>913</v>
      </c>
      <c r="F225" s="7" t="s">
        <v>139</v>
      </c>
      <c r="G225" s="7">
        <v>168</v>
      </c>
      <c r="H225" s="7" t="s">
        <v>885</v>
      </c>
      <c r="I225" s="7" t="s">
        <v>886</v>
      </c>
      <c r="J225" s="7"/>
      <c r="M225" s="7">
        <v>100</v>
      </c>
      <c r="N225" s="7">
        <v>100</v>
      </c>
      <c r="O225" s="126"/>
      <c r="P225" s="126">
        <v>46209.706979166702</v>
      </c>
    </row>
    <row r="226" spans="1:16" ht="15.75" customHeight="1">
      <c r="A226" s="126">
        <v>46230.015752314801</v>
      </c>
      <c r="B226" s="7">
        <v>12</v>
      </c>
      <c r="C226" s="7">
        <v>281</v>
      </c>
      <c r="D226" s="7"/>
      <c r="E226" s="7" t="s">
        <v>914</v>
      </c>
      <c r="F226" s="7" t="s">
        <v>47</v>
      </c>
      <c r="G226" s="7">
        <v>181</v>
      </c>
      <c r="H226" s="7" t="s">
        <v>873</v>
      </c>
      <c r="I226" s="7" t="s">
        <v>874</v>
      </c>
      <c r="J226" s="7"/>
      <c r="M226" s="7"/>
      <c r="N226" s="7" t="s">
        <v>875</v>
      </c>
      <c r="O226" s="126"/>
      <c r="P226" s="126"/>
    </row>
    <row r="227" spans="1:16" ht="15.75" customHeight="1">
      <c r="A227" s="126">
        <v>46230.015752314801</v>
      </c>
      <c r="B227" s="7">
        <v>12</v>
      </c>
      <c r="C227" s="7">
        <v>281</v>
      </c>
      <c r="D227" s="7"/>
      <c r="E227" s="7" t="s">
        <v>914</v>
      </c>
      <c r="F227" s="7" t="s">
        <v>47</v>
      </c>
      <c r="G227" s="7">
        <v>182</v>
      </c>
      <c r="H227" s="7" t="s">
        <v>876</v>
      </c>
      <c r="I227" s="7" t="s">
        <v>874</v>
      </c>
      <c r="J227" s="7"/>
      <c r="M227" s="7"/>
      <c r="N227" s="7" t="s">
        <v>875</v>
      </c>
      <c r="P227" s="126"/>
    </row>
    <row r="228" spans="1:16" ht="15.75" customHeight="1">
      <c r="A228" s="126">
        <v>46230.015752314801</v>
      </c>
      <c r="B228" s="7">
        <v>12</v>
      </c>
      <c r="C228" s="7">
        <v>281</v>
      </c>
      <c r="D228" s="7"/>
      <c r="E228" s="7" t="s">
        <v>914</v>
      </c>
      <c r="F228" s="7" t="s">
        <v>47</v>
      </c>
      <c r="G228" s="7">
        <v>174</v>
      </c>
      <c r="H228" s="7" t="s">
        <v>877</v>
      </c>
      <c r="I228" s="7" t="s">
        <v>878</v>
      </c>
      <c r="J228" s="7" t="s">
        <v>879</v>
      </c>
      <c r="M228" s="7">
        <v>100</v>
      </c>
      <c r="N228" s="7">
        <v>100</v>
      </c>
      <c r="P228" s="126">
        <v>46209.706979166702</v>
      </c>
    </row>
    <row r="229" spans="1:16" ht="15.75" customHeight="1">
      <c r="A229" s="126">
        <v>46230.015752314801</v>
      </c>
      <c r="B229" s="7">
        <v>12</v>
      </c>
      <c r="C229" s="7">
        <v>281</v>
      </c>
      <c r="D229" s="7"/>
      <c r="E229" s="7" t="s">
        <v>914</v>
      </c>
      <c r="F229" s="7" t="s">
        <v>47</v>
      </c>
      <c r="G229" s="7">
        <v>180</v>
      </c>
      <c r="H229" s="7" t="s">
        <v>880</v>
      </c>
      <c r="I229" s="7" t="s">
        <v>874</v>
      </c>
      <c r="J229" s="7"/>
      <c r="M229" s="7"/>
      <c r="N229" s="7" t="s">
        <v>875</v>
      </c>
      <c r="O229" s="126"/>
      <c r="P229" s="126"/>
    </row>
    <row r="230" spans="1:16" ht="15.75" customHeight="1">
      <c r="A230" s="126">
        <v>46230.015752314801</v>
      </c>
      <c r="B230" s="7">
        <v>12</v>
      </c>
      <c r="C230" s="7">
        <v>281</v>
      </c>
      <c r="D230" s="7"/>
      <c r="E230" s="7" t="s">
        <v>914</v>
      </c>
      <c r="F230" s="7" t="s">
        <v>47</v>
      </c>
      <c r="G230" s="7">
        <v>175</v>
      </c>
      <c r="H230" s="7" t="s">
        <v>881</v>
      </c>
      <c r="I230" s="7" t="s">
        <v>878</v>
      </c>
      <c r="J230" s="7" t="s">
        <v>882</v>
      </c>
      <c r="M230" s="7">
        <v>100</v>
      </c>
      <c r="N230" s="7">
        <v>100</v>
      </c>
      <c r="O230" s="126">
        <v>46213.640833333302</v>
      </c>
      <c r="P230" s="126">
        <v>46213.640833333302</v>
      </c>
    </row>
    <row r="231" spans="1:16" ht="15.75" customHeight="1">
      <c r="A231" s="126">
        <v>46230.015752314801</v>
      </c>
      <c r="B231" s="7">
        <v>12</v>
      </c>
      <c r="C231" s="7">
        <v>281</v>
      </c>
      <c r="D231" s="7"/>
      <c r="E231" s="7" t="s">
        <v>914</v>
      </c>
      <c r="F231" s="7" t="s">
        <v>47</v>
      </c>
      <c r="G231" s="7">
        <v>177</v>
      </c>
      <c r="H231" s="7" t="s">
        <v>883</v>
      </c>
      <c r="I231" s="7" t="s">
        <v>878</v>
      </c>
      <c r="J231" s="7" t="s">
        <v>882</v>
      </c>
      <c r="M231" s="7"/>
      <c r="N231" s="7" t="s">
        <v>875</v>
      </c>
      <c r="O231" s="126"/>
      <c r="P231" s="126"/>
    </row>
    <row r="232" spans="1:16" ht="15.75" customHeight="1">
      <c r="A232" s="126">
        <v>46230.015752314801</v>
      </c>
      <c r="B232" s="7">
        <v>12</v>
      </c>
      <c r="C232" s="7">
        <v>281</v>
      </c>
      <c r="D232" s="7"/>
      <c r="E232" s="7" t="s">
        <v>914</v>
      </c>
      <c r="F232" s="7" t="s">
        <v>47</v>
      </c>
      <c r="G232" s="7">
        <v>176</v>
      </c>
      <c r="H232" s="7" t="s">
        <v>884</v>
      </c>
      <c r="I232" s="7" t="s">
        <v>878</v>
      </c>
      <c r="J232" s="7" t="s">
        <v>882</v>
      </c>
      <c r="M232" s="7">
        <v>95</v>
      </c>
      <c r="N232" s="7">
        <v>95</v>
      </c>
      <c r="O232" s="126">
        <v>46224.524120370399</v>
      </c>
      <c r="P232" s="126">
        <v>46224.524120370399</v>
      </c>
    </row>
    <row r="233" spans="1:16" ht="15.75" customHeight="1">
      <c r="A233" s="126">
        <v>46230.015752314801</v>
      </c>
      <c r="B233" s="7">
        <v>12</v>
      </c>
      <c r="C233" s="7">
        <v>281</v>
      </c>
      <c r="D233" s="7"/>
      <c r="E233" s="7" t="s">
        <v>914</v>
      </c>
      <c r="F233" s="7" t="s">
        <v>47</v>
      </c>
      <c r="G233" s="7">
        <v>168</v>
      </c>
      <c r="H233" s="7" t="s">
        <v>885</v>
      </c>
      <c r="I233" s="7" t="s">
        <v>886</v>
      </c>
      <c r="J233" s="7"/>
      <c r="M233" s="7">
        <v>100</v>
      </c>
      <c r="N233" s="7">
        <v>100</v>
      </c>
      <c r="O233" s="126"/>
      <c r="P233" s="126">
        <v>46209.706979166702</v>
      </c>
    </row>
    <row r="234" spans="1:16" ht="15.75" customHeight="1">
      <c r="A234" s="126">
        <v>46230.015752314801</v>
      </c>
      <c r="B234" s="7">
        <v>12</v>
      </c>
      <c r="C234" s="7">
        <v>739</v>
      </c>
      <c r="D234" s="7"/>
      <c r="E234" s="7" t="s">
        <v>915</v>
      </c>
      <c r="F234" s="7" t="s">
        <v>189</v>
      </c>
      <c r="G234" s="7">
        <v>181</v>
      </c>
      <c r="H234" s="7" t="s">
        <v>873</v>
      </c>
      <c r="I234" s="7" t="s">
        <v>874</v>
      </c>
      <c r="J234" s="7"/>
      <c r="M234" s="7"/>
      <c r="N234" s="7" t="s">
        <v>875</v>
      </c>
      <c r="O234" s="126"/>
      <c r="P234" s="126"/>
    </row>
    <row r="235" spans="1:16" ht="15.75" customHeight="1">
      <c r="A235" s="126">
        <v>46230.015752314801</v>
      </c>
      <c r="B235" s="7">
        <v>12</v>
      </c>
      <c r="C235" s="7">
        <v>739</v>
      </c>
      <c r="D235" s="7"/>
      <c r="E235" s="7" t="s">
        <v>915</v>
      </c>
      <c r="F235" s="7" t="s">
        <v>189</v>
      </c>
      <c r="G235" s="7">
        <v>182</v>
      </c>
      <c r="H235" s="7" t="s">
        <v>876</v>
      </c>
      <c r="I235" s="7" t="s">
        <v>874</v>
      </c>
      <c r="J235" s="7"/>
      <c r="M235" s="7"/>
      <c r="N235" s="7" t="s">
        <v>875</v>
      </c>
      <c r="P235" s="126"/>
    </row>
    <row r="236" spans="1:16" ht="15.75" customHeight="1">
      <c r="A236" s="126">
        <v>46230.015752314801</v>
      </c>
      <c r="B236" s="7">
        <v>12</v>
      </c>
      <c r="C236" s="7">
        <v>739</v>
      </c>
      <c r="D236" s="7"/>
      <c r="E236" s="7" t="s">
        <v>915</v>
      </c>
      <c r="F236" s="7" t="s">
        <v>189</v>
      </c>
      <c r="G236" s="7">
        <v>174</v>
      </c>
      <c r="H236" s="7" t="s">
        <v>877</v>
      </c>
      <c r="I236" s="7" t="s">
        <v>878</v>
      </c>
      <c r="J236" s="7" t="s">
        <v>879</v>
      </c>
      <c r="M236" s="7">
        <v>100</v>
      </c>
      <c r="N236" s="7">
        <v>100</v>
      </c>
      <c r="O236" s="126"/>
      <c r="P236" s="126">
        <v>46209.706979166702</v>
      </c>
    </row>
    <row r="237" spans="1:16" ht="15.75" customHeight="1">
      <c r="A237" s="126">
        <v>46230.015752314801</v>
      </c>
      <c r="B237" s="7">
        <v>12</v>
      </c>
      <c r="C237" s="7">
        <v>739</v>
      </c>
      <c r="D237" s="7"/>
      <c r="E237" s="7" t="s">
        <v>915</v>
      </c>
      <c r="F237" s="7" t="s">
        <v>189</v>
      </c>
      <c r="G237" s="7">
        <v>180</v>
      </c>
      <c r="H237" s="7" t="s">
        <v>880</v>
      </c>
      <c r="I237" s="7" t="s">
        <v>874</v>
      </c>
      <c r="J237" s="7"/>
      <c r="M237" s="7"/>
      <c r="N237" s="7" t="s">
        <v>875</v>
      </c>
      <c r="O237" s="126"/>
      <c r="P237" s="126"/>
    </row>
    <row r="238" spans="1:16" ht="15.75" customHeight="1">
      <c r="A238" s="126">
        <v>46230.015752314801</v>
      </c>
      <c r="B238" s="7">
        <v>12</v>
      </c>
      <c r="C238" s="7">
        <v>739</v>
      </c>
      <c r="D238" s="7"/>
      <c r="E238" s="7" t="s">
        <v>915</v>
      </c>
      <c r="F238" s="7" t="s">
        <v>189</v>
      </c>
      <c r="G238" s="7">
        <v>175</v>
      </c>
      <c r="H238" s="7" t="s">
        <v>881</v>
      </c>
      <c r="I238" s="7" t="s">
        <v>878</v>
      </c>
      <c r="J238" s="7" t="s">
        <v>882</v>
      </c>
      <c r="M238" s="7">
        <v>87.5</v>
      </c>
      <c r="N238" s="7">
        <v>87.5</v>
      </c>
      <c r="O238" s="126">
        <v>46216.404189814799</v>
      </c>
      <c r="P238" s="126">
        <v>46216.404189814799</v>
      </c>
    </row>
    <row r="239" spans="1:16" ht="15.75" customHeight="1">
      <c r="A239" s="126">
        <v>46230.015752314801</v>
      </c>
      <c r="B239" s="7">
        <v>12</v>
      </c>
      <c r="C239" s="7">
        <v>739</v>
      </c>
      <c r="D239" s="7"/>
      <c r="E239" s="7" t="s">
        <v>915</v>
      </c>
      <c r="F239" s="7" t="s">
        <v>189</v>
      </c>
      <c r="G239" s="7">
        <v>177</v>
      </c>
      <c r="H239" s="7" t="s">
        <v>883</v>
      </c>
      <c r="I239" s="7" t="s">
        <v>878</v>
      </c>
      <c r="J239" s="7" t="s">
        <v>882</v>
      </c>
      <c r="M239" s="7"/>
      <c r="N239" s="7" t="s">
        <v>875</v>
      </c>
      <c r="P239" s="126"/>
    </row>
    <row r="240" spans="1:16" ht="15.75" customHeight="1">
      <c r="A240" s="126">
        <v>46230.015752314801</v>
      </c>
      <c r="B240" s="7">
        <v>12</v>
      </c>
      <c r="C240" s="7">
        <v>739</v>
      </c>
      <c r="D240" s="7"/>
      <c r="E240" s="7" t="s">
        <v>915</v>
      </c>
      <c r="F240" s="7" t="s">
        <v>189</v>
      </c>
      <c r="G240" s="7">
        <v>176</v>
      </c>
      <c r="H240" s="7" t="s">
        <v>884</v>
      </c>
      <c r="I240" s="7" t="s">
        <v>878</v>
      </c>
      <c r="J240" s="7" t="s">
        <v>882</v>
      </c>
      <c r="M240" s="7">
        <v>90</v>
      </c>
      <c r="N240" s="7">
        <v>90</v>
      </c>
      <c r="O240" s="126">
        <v>46224.5066898148</v>
      </c>
      <c r="P240" s="126">
        <v>46224.506701388898</v>
      </c>
    </row>
    <row r="241" spans="1:16" ht="15.75" customHeight="1">
      <c r="A241" s="126">
        <v>46230.015752314801</v>
      </c>
      <c r="B241" s="7">
        <v>12</v>
      </c>
      <c r="C241" s="7">
        <v>739</v>
      </c>
      <c r="D241" s="7"/>
      <c r="E241" s="7" t="s">
        <v>915</v>
      </c>
      <c r="F241" s="7" t="s">
        <v>189</v>
      </c>
      <c r="G241" s="7">
        <v>168</v>
      </c>
      <c r="H241" s="7" t="s">
        <v>885</v>
      </c>
      <c r="I241" s="7" t="s">
        <v>886</v>
      </c>
      <c r="J241" s="7"/>
      <c r="M241" s="7">
        <v>100</v>
      </c>
      <c r="N241" s="7">
        <v>100</v>
      </c>
      <c r="P241" s="126">
        <v>46209.706979166702</v>
      </c>
    </row>
    <row r="242" spans="1:16" ht="15.75" customHeight="1">
      <c r="A242" s="126">
        <v>46230.015752314801</v>
      </c>
      <c r="B242" s="7">
        <v>12</v>
      </c>
      <c r="C242" s="7">
        <v>743</v>
      </c>
      <c r="D242" s="7"/>
      <c r="E242" s="7" t="s">
        <v>916</v>
      </c>
      <c r="F242" s="7" t="s">
        <v>145</v>
      </c>
      <c r="G242" s="7">
        <v>181</v>
      </c>
      <c r="H242" s="7" t="s">
        <v>873</v>
      </c>
      <c r="I242" s="7" t="s">
        <v>874</v>
      </c>
      <c r="J242" s="7"/>
      <c r="M242" s="7"/>
      <c r="N242" s="7" t="s">
        <v>875</v>
      </c>
      <c r="O242" s="126"/>
      <c r="P242" s="126"/>
    </row>
    <row r="243" spans="1:16" ht="15.75" customHeight="1">
      <c r="A243" s="126">
        <v>46230.015752314801</v>
      </c>
      <c r="B243" s="7">
        <v>12</v>
      </c>
      <c r="C243" s="7">
        <v>743</v>
      </c>
      <c r="D243" s="7"/>
      <c r="E243" s="7" t="s">
        <v>916</v>
      </c>
      <c r="F243" s="7" t="s">
        <v>145</v>
      </c>
      <c r="G243" s="7">
        <v>182</v>
      </c>
      <c r="H243" s="7" t="s">
        <v>876</v>
      </c>
      <c r="I243" s="7" t="s">
        <v>874</v>
      </c>
      <c r="J243" s="7"/>
      <c r="M243" s="7"/>
      <c r="N243" s="7" t="s">
        <v>875</v>
      </c>
      <c r="O243" s="126"/>
      <c r="P243" s="126"/>
    </row>
    <row r="244" spans="1:16" ht="15.75" customHeight="1">
      <c r="A244" s="126">
        <v>46230.015752314801</v>
      </c>
      <c r="B244" s="7">
        <v>12</v>
      </c>
      <c r="C244" s="7">
        <v>743</v>
      </c>
      <c r="D244" s="7"/>
      <c r="E244" s="7" t="s">
        <v>916</v>
      </c>
      <c r="F244" s="7" t="s">
        <v>145</v>
      </c>
      <c r="G244" s="7">
        <v>174</v>
      </c>
      <c r="H244" s="7" t="s">
        <v>877</v>
      </c>
      <c r="I244" s="7" t="s">
        <v>878</v>
      </c>
      <c r="J244" s="7" t="s">
        <v>879</v>
      </c>
      <c r="M244" s="7">
        <v>100</v>
      </c>
      <c r="N244" s="7">
        <v>100</v>
      </c>
      <c r="O244" s="126"/>
      <c r="P244" s="126">
        <v>46209.706932870402</v>
      </c>
    </row>
    <row r="245" spans="1:16" ht="15.75" customHeight="1">
      <c r="A245" s="126">
        <v>46230.015752314801</v>
      </c>
      <c r="B245" s="7">
        <v>12</v>
      </c>
      <c r="C245" s="7">
        <v>743</v>
      </c>
      <c r="D245" s="7"/>
      <c r="E245" s="7" t="s">
        <v>916</v>
      </c>
      <c r="F245" s="7" t="s">
        <v>145</v>
      </c>
      <c r="G245" s="7">
        <v>180</v>
      </c>
      <c r="H245" s="7" t="s">
        <v>880</v>
      </c>
      <c r="I245" s="7" t="s">
        <v>874</v>
      </c>
      <c r="J245" s="7"/>
      <c r="M245" s="7"/>
      <c r="N245" s="7" t="s">
        <v>875</v>
      </c>
      <c r="O245" s="126"/>
      <c r="P245" s="126"/>
    </row>
    <row r="246" spans="1:16" ht="15.75" customHeight="1">
      <c r="A246" s="126">
        <v>46230.015752314801</v>
      </c>
      <c r="B246" s="7">
        <v>12</v>
      </c>
      <c r="C246" s="7">
        <v>743</v>
      </c>
      <c r="D246" s="7"/>
      <c r="E246" s="7" t="s">
        <v>916</v>
      </c>
      <c r="F246" s="7" t="s">
        <v>145</v>
      </c>
      <c r="G246" s="7">
        <v>175</v>
      </c>
      <c r="H246" s="7" t="s">
        <v>881</v>
      </c>
      <c r="I246" s="7" t="s">
        <v>878</v>
      </c>
      <c r="J246" s="7" t="s">
        <v>882</v>
      </c>
      <c r="M246" s="7">
        <v>87.5</v>
      </c>
      <c r="N246" s="7">
        <v>87.5</v>
      </c>
      <c r="O246" s="126">
        <v>46215.848194444399</v>
      </c>
      <c r="P246" s="126">
        <v>46215.848194444399</v>
      </c>
    </row>
    <row r="247" spans="1:16" ht="15.75" customHeight="1">
      <c r="A247" s="126">
        <v>46230.015752314801</v>
      </c>
      <c r="B247" s="7">
        <v>12</v>
      </c>
      <c r="C247" s="7">
        <v>743</v>
      </c>
      <c r="D247" s="7"/>
      <c r="E247" s="7" t="s">
        <v>916</v>
      </c>
      <c r="F247" s="7" t="s">
        <v>145</v>
      </c>
      <c r="G247" s="7">
        <v>177</v>
      </c>
      <c r="H247" s="7" t="s">
        <v>883</v>
      </c>
      <c r="I247" s="7" t="s">
        <v>878</v>
      </c>
      <c r="J247" s="7" t="s">
        <v>882</v>
      </c>
      <c r="M247" s="7"/>
      <c r="N247" s="7" t="s">
        <v>875</v>
      </c>
      <c r="P247" s="126"/>
    </row>
    <row r="248" spans="1:16" ht="15.75" customHeight="1">
      <c r="A248" s="126">
        <v>46230.015752314801</v>
      </c>
      <c r="B248" s="7">
        <v>12</v>
      </c>
      <c r="C248" s="7">
        <v>743</v>
      </c>
      <c r="D248" s="7"/>
      <c r="E248" s="7" t="s">
        <v>916</v>
      </c>
      <c r="F248" s="7" t="s">
        <v>145</v>
      </c>
      <c r="G248" s="7">
        <v>176</v>
      </c>
      <c r="H248" s="7" t="s">
        <v>884</v>
      </c>
      <c r="I248" s="7" t="s">
        <v>878</v>
      </c>
      <c r="J248" s="7" t="s">
        <v>882</v>
      </c>
      <c r="M248" s="7">
        <v>90</v>
      </c>
      <c r="N248" s="7">
        <v>90</v>
      </c>
      <c r="O248" s="126">
        <v>46223.851180555597</v>
      </c>
      <c r="P248" s="126">
        <v>46223.851180555597</v>
      </c>
    </row>
    <row r="249" spans="1:16" ht="15.75" customHeight="1">
      <c r="A249" s="126">
        <v>46230.015752314801</v>
      </c>
      <c r="B249" s="7">
        <v>12</v>
      </c>
      <c r="C249" s="7">
        <v>743</v>
      </c>
      <c r="D249" s="7"/>
      <c r="E249" s="7" t="s">
        <v>916</v>
      </c>
      <c r="F249" s="7" t="s">
        <v>145</v>
      </c>
      <c r="G249" s="7">
        <v>168</v>
      </c>
      <c r="H249" s="7" t="s">
        <v>885</v>
      </c>
      <c r="I249" s="7" t="s">
        <v>886</v>
      </c>
      <c r="J249" s="7"/>
      <c r="M249" s="7">
        <v>100</v>
      </c>
      <c r="N249" s="7">
        <v>100</v>
      </c>
      <c r="O249" s="126"/>
      <c r="P249" s="126">
        <v>46209.706932870402</v>
      </c>
    </row>
    <row r="250" spans="1:16" ht="15.75" customHeight="1">
      <c r="A250" s="126">
        <v>46230.015752314801</v>
      </c>
      <c r="B250" s="7">
        <v>12</v>
      </c>
      <c r="C250" s="7">
        <v>806</v>
      </c>
      <c r="D250" s="7"/>
      <c r="E250" s="7" t="s">
        <v>917</v>
      </c>
      <c r="F250" s="7" t="s">
        <v>658</v>
      </c>
      <c r="G250" s="7">
        <v>181</v>
      </c>
      <c r="H250" s="7" t="s">
        <v>873</v>
      </c>
      <c r="I250" s="7" t="s">
        <v>874</v>
      </c>
      <c r="J250" s="7"/>
      <c r="M250" s="7"/>
      <c r="N250" s="7" t="s">
        <v>875</v>
      </c>
      <c r="O250" s="126"/>
      <c r="P250" s="126"/>
    </row>
    <row r="251" spans="1:16" ht="15.75" customHeight="1">
      <c r="A251" s="126">
        <v>46230.015752314801</v>
      </c>
      <c r="B251" s="7">
        <v>12</v>
      </c>
      <c r="C251" s="7">
        <v>806</v>
      </c>
      <c r="D251" s="7"/>
      <c r="E251" s="7" t="s">
        <v>917</v>
      </c>
      <c r="F251" s="7" t="s">
        <v>658</v>
      </c>
      <c r="G251" s="7">
        <v>182</v>
      </c>
      <c r="H251" s="7" t="s">
        <v>876</v>
      </c>
      <c r="I251" s="7" t="s">
        <v>874</v>
      </c>
      <c r="J251" s="7"/>
      <c r="M251" s="7"/>
      <c r="N251" s="7" t="s">
        <v>875</v>
      </c>
      <c r="O251" s="126"/>
      <c r="P251" s="126"/>
    </row>
    <row r="252" spans="1:16" ht="15.75" customHeight="1">
      <c r="A252" s="126">
        <v>46230.015752314801</v>
      </c>
      <c r="B252" s="7">
        <v>12</v>
      </c>
      <c r="C252" s="7">
        <v>806</v>
      </c>
      <c r="D252" s="7"/>
      <c r="E252" s="7" t="s">
        <v>917</v>
      </c>
      <c r="F252" s="7" t="s">
        <v>658</v>
      </c>
      <c r="G252" s="7">
        <v>174</v>
      </c>
      <c r="H252" s="7" t="s">
        <v>877</v>
      </c>
      <c r="I252" s="7" t="s">
        <v>878</v>
      </c>
      <c r="J252" s="7" t="s">
        <v>879</v>
      </c>
      <c r="M252" s="7">
        <v>100</v>
      </c>
      <c r="N252" s="7">
        <v>100</v>
      </c>
      <c r="O252" s="126"/>
      <c r="P252" s="126">
        <v>46211.4046296296</v>
      </c>
    </row>
    <row r="253" spans="1:16" ht="15.75" customHeight="1">
      <c r="A253" s="126">
        <v>46230.015752314801</v>
      </c>
      <c r="B253" s="7">
        <v>12</v>
      </c>
      <c r="C253" s="7">
        <v>806</v>
      </c>
      <c r="D253" s="7"/>
      <c r="E253" s="7" t="s">
        <v>917</v>
      </c>
      <c r="F253" s="7" t="s">
        <v>658</v>
      </c>
      <c r="G253" s="7">
        <v>180</v>
      </c>
      <c r="H253" s="7" t="s">
        <v>880</v>
      </c>
      <c r="I253" s="7" t="s">
        <v>874</v>
      </c>
      <c r="J253" s="7"/>
      <c r="M253" s="7"/>
      <c r="N253" s="7" t="s">
        <v>875</v>
      </c>
      <c r="O253" s="126"/>
      <c r="P253" s="126"/>
    </row>
    <row r="254" spans="1:16" ht="15.75" customHeight="1">
      <c r="A254" s="126">
        <v>46230.015752314801</v>
      </c>
      <c r="B254" s="7">
        <v>12</v>
      </c>
      <c r="C254" s="7">
        <v>806</v>
      </c>
      <c r="D254" s="7"/>
      <c r="E254" s="7" t="s">
        <v>917</v>
      </c>
      <c r="F254" s="7" t="s">
        <v>658</v>
      </c>
      <c r="G254" s="7">
        <v>175</v>
      </c>
      <c r="H254" s="7" t="s">
        <v>881</v>
      </c>
      <c r="I254" s="7" t="s">
        <v>878</v>
      </c>
      <c r="J254" s="7" t="s">
        <v>882</v>
      </c>
      <c r="M254" s="7">
        <v>87.5</v>
      </c>
      <c r="N254" s="7">
        <v>87.5</v>
      </c>
      <c r="O254" s="126">
        <v>46214.409375000003</v>
      </c>
      <c r="P254" s="126">
        <v>46214.409375000003</v>
      </c>
    </row>
    <row r="255" spans="1:16" ht="15.75" customHeight="1">
      <c r="A255" s="126">
        <v>46230.015752314801</v>
      </c>
      <c r="B255" s="7">
        <v>12</v>
      </c>
      <c r="C255" s="7">
        <v>806</v>
      </c>
      <c r="D255" s="7"/>
      <c r="E255" s="7" t="s">
        <v>917</v>
      </c>
      <c r="F255" s="7" t="s">
        <v>658</v>
      </c>
      <c r="G255" s="7">
        <v>177</v>
      </c>
      <c r="H255" s="7" t="s">
        <v>883</v>
      </c>
      <c r="I255" s="7" t="s">
        <v>878</v>
      </c>
      <c r="J255" s="7" t="s">
        <v>882</v>
      </c>
      <c r="M255" s="7"/>
      <c r="N255" s="7" t="s">
        <v>875</v>
      </c>
      <c r="O255" s="126"/>
      <c r="P255" s="126"/>
    </row>
    <row r="256" spans="1:16" ht="15.75" customHeight="1">
      <c r="A256" s="126">
        <v>46230.015752314801</v>
      </c>
      <c r="B256" s="7">
        <v>12</v>
      </c>
      <c r="C256" s="7">
        <v>806</v>
      </c>
      <c r="E256" s="7" t="s">
        <v>917</v>
      </c>
      <c r="F256" s="7" t="s">
        <v>658</v>
      </c>
      <c r="G256" s="7">
        <v>176</v>
      </c>
      <c r="H256" s="7" t="s">
        <v>884</v>
      </c>
      <c r="I256" s="7" t="s">
        <v>878</v>
      </c>
      <c r="J256" s="7" t="s">
        <v>882</v>
      </c>
      <c r="M256" s="7"/>
      <c r="N256" s="7" t="s">
        <v>875</v>
      </c>
      <c r="O256" s="126"/>
      <c r="P256" s="126"/>
    </row>
    <row r="257" spans="1:16" ht="15.75" customHeight="1">
      <c r="A257" s="126">
        <v>46230.015752314801</v>
      </c>
      <c r="B257" s="7">
        <v>12</v>
      </c>
      <c r="C257" s="7">
        <v>806</v>
      </c>
      <c r="E257" s="7" t="s">
        <v>917</v>
      </c>
      <c r="F257" s="7" t="s">
        <v>658</v>
      </c>
      <c r="G257" s="7">
        <v>168</v>
      </c>
      <c r="H257" s="7" t="s">
        <v>885</v>
      </c>
      <c r="I257" s="7" t="s">
        <v>886</v>
      </c>
      <c r="J257" s="7"/>
      <c r="M257" s="7">
        <v>100</v>
      </c>
      <c r="N257" s="7">
        <v>100</v>
      </c>
      <c r="P257" s="126">
        <v>46211.4046296296</v>
      </c>
    </row>
    <row r="258" spans="1:16" ht="15.75" customHeight="1">
      <c r="A258" s="126">
        <v>46230.015752314801</v>
      </c>
      <c r="B258" s="7">
        <v>12</v>
      </c>
      <c r="C258" s="7">
        <v>346</v>
      </c>
      <c r="D258" s="7"/>
      <c r="E258" s="7" t="s">
        <v>918</v>
      </c>
      <c r="F258" s="7" t="s">
        <v>155</v>
      </c>
      <c r="G258" s="7">
        <v>181</v>
      </c>
      <c r="H258" s="7" t="s">
        <v>873</v>
      </c>
      <c r="I258" s="7" t="s">
        <v>874</v>
      </c>
      <c r="J258" s="7"/>
      <c r="M258" s="7"/>
      <c r="N258" s="7" t="s">
        <v>875</v>
      </c>
      <c r="O258" s="126"/>
      <c r="P258" s="126"/>
    </row>
    <row r="259" spans="1:16" ht="15.75" customHeight="1">
      <c r="A259" s="126">
        <v>46230.015752314801</v>
      </c>
      <c r="B259" s="7">
        <v>12</v>
      </c>
      <c r="C259" s="7">
        <v>346</v>
      </c>
      <c r="D259" s="7"/>
      <c r="E259" s="7" t="s">
        <v>918</v>
      </c>
      <c r="F259" s="7" t="s">
        <v>155</v>
      </c>
      <c r="G259" s="7">
        <v>182</v>
      </c>
      <c r="H259" s="7" t="s">
        <v>876</v>
      </c>
      <c r="I259" s="7" t="s">
        <v>874</v>
      </c>
      <c r="J259" s="7"/>
      <c r="M259" s="7"/>
      <c r="N259" s="7" t="s">
        <v>875</v>
      </c>
      <c r="P259" s="126"/>
    </row>
    <row r="260" spans="1:16" ht="15.75" customHeight="1">
      <c r="A260" s="126">
        <v>46230.015752314801</v>
      </c>
      <c r="B260" s="7">
        <v>12</v>
      </c>
      <c r="C260" s="7">
        <v>346</v>
      </c>
      <c r="E260" s="7" t="s">
        <v>918</v>
      </c>
      <c r="F260" s="7" t="s">
        <v>155</v>
      </c>
      <c r="G260" s="7">
        <v>174</v>
      </c>
      <c r="H260" s="7" t="s">
        <v>877</v>
      </c>
      <c r="I260" s="7" t="s">
        <v>878</v>
      </c>
      <c r="J260" s="7" t="s">
        <v>879</v>
      </c>
      <c r="M260" s="7">
        <v>100</v>
      </c>
      <c r="N260" s="7">
        <v>100</v>
      </c>
      <c r="O260" s="126"/>
      <c r="P260" s="126">
        <v>46209.709745370397</v>
      </c>
    </row>
    <row r="261" spans="1:16" ht="15.75" customHeight="1">
      <c r="A261" s="126">
        <v>46230.015752314801</v>
      </c>
      <c r="B261" s="7">
        <v>12</v>
      </c>
      <c r="C261" s="7">
        <v>346</v>
      </c>
      <c r="E261" s="7" t="s">
        <v>918</v>
      </c>
      <c r="F261" s="7" t="s">
        <v>155</v>
      </c>
      <c r="G261" s="7">
        <v>180</v>
      </c>
      <c r="H261" s="7" t="s">
        <v>880</v>
      </c>
      <c r="I261" s="7" t="s">
        <v>874</v>
      </c>
      <c r="J261" s="7"/>
      <c r="M261" s="7"/>
      <c r="N261" s="7" t="s">
        <v>875</v>
      </c>
      <c r="O261" s="126"/>
      <c r="P261" s="126"/>
    </row>
    <row r="262" spans="1:16" ht="15.75" customHeight="1">
      <c r="A262" s="126">
        <v>46230.015752314801</v>
      </c>
      <c r="B262" s="7">
        <v>12</v>
      </c>
      <c r="C262" s="7">
        <v>346</v>
      </c>
      <c r="D262" s="7"/>
      <c r="E262" s="7" t="s">
        <v>918</v>
      </c>
      <c r="F262" s="7" t="s">
        <v>155</v>
      </c>
      <c r="G262" s="7">
        <v>175</v>
      </c>
      <c r="H262" s="7" t="s">
        <v>881</v>
      </c>
      <c r="I262" s="7" t="s">
        <v>878</v>
      </c>
      <c r="J262" s="7" t="s">
        <v>882</v>
      </c>
      <c r="M262" s="7">
        <v>100</v>
      </c>
      <c r="N262" s="7">
        <v>100</v>
      </c>
      <c r="O262" s="126">
        <v>46215.942534722199</v>
      </c>
      <c r="P262" s="126">
        <v>46215.942534722199</v>
      </c>
    </row>
    <row r="263" spans="1:16" ht="15.75" customHeight="1">
      <c r="A263" s="126">
        <v>46230.015752314801</v>
      </c>
      <c r="B263" s="7">
        <v>12</v>
      </c>
      <c r="C263" s="7">
        <v>346</v>
      </c>
      <c r="D263" s="7"/>
      <c r="E263" s="7" t="s">
        <v>918</v>
      </c>
      <c r="F263" s="7" t="s">
        <v>155</v>
      </c>
      <c r="G263" s="7">
        <v>177</v>
      </c>
      <c r="H263" s="7" t="s">
        <v>883</v>
      </c>
      <c r="I263" s="7" t="s">
        <v>878</v>
      </c>
      <c r="J263" s="7" t="s">
        <v>882</v>
      </c>
      <c r="M263" s="7"/>
      <c r="N263" s="7" t="s">
        <v>875</v>
      </c>
      <c r="P263" s="126"/>
    </row>
    <row r="264" spans="1:16" ht="15.75" customHeight="1">
      <c r="A264" s="126">
        <v>46230.015752314801</v>
      </c>
      <c r="B264" s="7">
        <v>12</v>
      </c>
      <c r="C264" s="7">
        <v>346</v>
      </c>
      <c r="D264" s="7"/>
      <c r="E264" s="7" t="s">
        <v>918</v>
      </c>
      <c r="F264" s="7" t="s">
        <v>155</v>
      </c>
      <c r="G264" s="7">
        <v>176</v>
      </c>
      <c r="H264" s="7" t="s">
        <v>884</v>
      </c>
      <c r="I264" s="7" t="s">
        <v>878</v>
      </c>
      <c r="J264" s="7" t="s">
        <v>882</v>
      </c>
      <c r="M264" s="7">
        <v>100</v>
      </c>
      <c r="N264" s="7">
        <v>100</v>
      </c>
      <c r="O264" s="126">
        <v>46224.713819444398</v>
      </c>
      <c r="P264" s="126">
        <v>46224.713831018496</v>
      </c>
    </row>
    <row r="265" spans="1:16" ht="15.75" customHeight="1">
      <c r="A265" s="126">
        <v>46230.015752314801</v>
      </c>
      <c r="B265" s="7">
        <v>12</v>
      </c>
      <c r="C265" s="7">
        <v>346</v>
      </c>
      <c r="D265" s="7"/>
      <c r="E265" s="7" t="s">
        <v>918</v>
      </c>
      <c r="F265" s="7" t="s">
        <v>155</v>
      </c>
      <c r="G265" s="7">
        <v>168</v>
      </c>
      <c r="H265" s="7" t="s">
        <v>885</v>
      </c>
      <c r="I265" s="7" t="s">
        <v>886</v>
      </c>
      <c r="J265" s="7"/>
      <c r="M265" s="7">
        <v>100</v>
      </c>
      <c r="N265" s="7">
        <v>100</v>
      </c>
      <c r="P265" s="126">
        <v>46209.709745370397</v>
      </c>
    </row>
    <row r="266" spans="1:16" ht="15.75" customHeight="1">
      <c r="A266" s="126">
        <v>46230.015752314801</v>
      </c>
      <c r="B266" s="7">
        <v>12</v>
      </c>
      <c r="C266" s="7">
        <v>378</v>
      </c>
      <c r="D266" s="7"/>
      <c r="E266" s="7" t="s">
        <v>919</v>
      </c>
      <c r="F266" s="7" t="s">
        <v>589</v>
      </c>
      <c r="G266" s="7">
        <v>181</v>
      </c>
      <c r="H266" s="7" t="s">
        <v>873</v>
      </c>
      <c r="I266" s="7" t="s">
        <v>874</v>
      </c>
      <c r="J266" s="7"/>
      <c r="M266" s="7"/>
      <c r="N266" s="7" t="s">
        <v>875</v>
      </c>
      <c r="O266" s="126"/>
      <c r="P266" s="126"/>
    </row>
    <row r="267" spans="1:16" ht="15.75" customHeight="1">
      <c r="A267" s="126">
        <v>46230.015752314801</v>
      </c>
      <c r="B267" s="7">
        <v>12</v>
      </c>
      <c r="C267" s="7">
        <v>378</v>
      </c>
      <c r="D267" s="7"/>
      <c r="E267" s="7" t="s">
        <v>919</v>
      </c>
      <c r="F267" s="7" t="s">
        <v>589</v>
      </c>
      <c r="G267" s="7">
        <v>182</v>
      </c>
      <c r="H267" s="7" t="s">
        <v>876</v>
      </c>
      <c r="I267" s="7" t="s">
        <v>874</v>
      </c>
      <c r="J267" s="7"/>
      <c r="M267" s="7"/>
      <c r="N267" s="7" t="s">
        <v>875</v>
      </c>
      <c r="O267" s="126"/>
      <c r="P267" s="126"/>
    </row>
    <row r="268" spans="1:16" ht="15.75" customHeight="1">
      <c r="A268" s="126">
        <v>46230.015752314801</v>
      </c>
      <c r="B268" s="7">
        <v>12</v>
      </c>
      <c r="C268" s="7">
        <v>378</v>
      </c>
      <c r="E268" s="7" t="s">
        <v>919</v>
      </c>
      <c r="F268" s="7" t="s">
        <v>589</v>
      </c>
      <c r="G268" s="7">
        <v>174</v>
      </c>
      <c r="H268" s="7" t="s">
        <v>877</v>
      </c>
      <c r="I268" s="7" t="s">
        <v>878</v>
      </c>
      <c r="J268" s="7" t="s">
        <v>879</v>
      </c>
      <c r="M268" s="7">
        <v>100</v>
      </c>
      <c r="N268" s="7">
        <v>100</v>
      </c>
      <c r="O268" s="126"/>
      <c r="P268" s="126">
        <v>46210.425370370402</v>
      </c>
    </row>
    <row r="269" spans="1:16" ht="15.75" customHeight="1">
      <c r="A269" s="126">
        <v>46230.015752314801</v>
      </c>
      <c r="B269" s="7">
        <v>12</v>
      </c>
      <c r="C269" s="7">
        <v>378</v>
      </c>
      <c r="E269" s="7" t="s">
        <v>919</v>
      </c>
      <c r="F269" s="7" t="s">
        <v>589</v>
      </c>
      <c r="G269" s="7">
        <v>180</v>
      </c>
      <c r="H269" s="7" t="s">
        <v>880</v>
      </c>
      <c r="I269" s="7" t="s">
        <v>874</v>
      </c>
      <c r="J269" s="7"/>
      <c r="M269" s="7"/>
      <c r="N269" s="7" t="s">
        <v>875</v>
      </c>
      <c r="O269" s="126"/>
      <c r="P269" s="126"/>
    </row>
    <row r="270" spans="1:16" ht="15.75" customHeight="1">
      <c r="A270" s="126">
        <v>46230.015752314801</v>
      </c>
      <c r="B270" s="7">
        <v>12</v>
      </c>
      <c r="C270" s="7">
        <v>378</v>
      </c>
      <c r="E270" s="7" t="s">
        <v>919</v>
      </c>
      <c r="F270" s="7" t="s">
        <v>589</v>
      </c>
      <c r="G270" s="7">
        <v>175</v>
      </c>
      <c r="H270" s="7" t="s">
        <v>881</v>
      </c>
      <c r="I270" s="7" t="s">
        <v>878</v>
      </c>
      <c r="J270" s="7" t="s">
        <v>882</v>
      </c>
      <c r="M270" s="7"/>
      <c r="N270" s="7" t="s">
        <v>875</v>
      </c>
      <c r="O270" s="126"/>
      <c r="P270" s="126"/>
    </row>
    <row r="271" spans="1:16" ht="15.75" customHeight="1">
      <c r="A271" s="126">
        <v>46230.015752314801</v>
      </c>
      <c r="B271" s="7">
        <v>12</v>
      </c>
      <c r="C271" s="7">
        <v>378</v>
      </c>
      <c r="E271" s="7" t="s">
        <v>919</v>
      </c>
      <c r="F271" s="7" t="s">
        <v>589</v>
      </c>
      <c r="G271" s="7">
        <v>177</v>
      </c>
      <c r="H271" s="7" t="s">
        <v>883</v>
      </c>
      <c r="I271" s="7" t="s">
        <v>878</v>
      </c>
      <c r="J271" s="7" t="s">
        <v>882</v>
      </c>
      <c r="M271" s="7"/>
      <c r="N271" s="7" t="s">
        <v>875</v>
      </c>
      <c r="P271" s="126"/>
    </row>
    <row r="272" spans="1:16" ht="15.75" customHeight="1">
      <c r="A272" s="126">
        <v>46230.015752314801</v>
      </c>
      <c r="B272" s="7">
        <v>12</v>
      </c>
      <c r="C272" s="7">
        <v>378</v>
      </c>
      <c r="E272" s="7" t="s">
        <v>919</v>
      </c>
      <c r="F272" s="7" t="s">
        <v>589</v>
      </c>
      <c r="G272" s="7">
        <v>176</v>
      </c>
      <c r="H272" s="7" t="s">
        <v>884</v>
      </c>
      <c r="I272" s="7" t="s">
        <v>878</v>
      </c>
      <c r="J272" s="7" t="s">
        <v>882</v>
      </c>
      <c r="M272" s="7">
        <v>90</v>
      </c>
      <c r="N272" s="7">
        <v>90</v>
      </c>
      <c r="O272" s="126">
        <v>46229.479699074102</v>
      </c>
      <c r="P272" s="126">
        <v>46229.479699074102</v>
      </c>
    </row>
    <row r="273" spans="1:16" ht="15.75" customHeight="1">
      <c r="A273" s="126">
        <v>46230.015752314801</v>
      </c>
      <c r="B273" s="7">
        <v>12</v>
      </c>
      <c r="C273" s="7">
        <v>378</v>
      </c>
      <c r="E273" s="7" t="s">
        <v>919</v>
      </c>
      <c r="F273" s="7" t="s">
        <v>589</v>
      </c>
      <c r="G273" s="7">
        <v>168</v>
      </c>
      <c r="H273" s="7" t="s">
        <v>885</v>
      </c>
      <c r="I273" s="7" t="s">
        <v>886</v>
      </c>
      <c r="J273" s="7"/>
      <c r="M273" s="7">
        <v>100</v>
      </c>
      <c r="N273" s="7">
        <v>100</v>
      </c>
      <c r="O273" s="126"/>
      <c r="P273" s="126">
        <v>46210.425370370402</v>
      </c>
    </row>
    <row r="274" spans="1:16" ht="15.75" customHeight="1">
      <c r="A274" s="126">
        <v>46230.015752314801</v>
      </c>
      <c r="B274" s="7">
        <v>12</v>
      </c>
      <c r="C274" s="7">
        <v>742</v>
      </c>
      <c r="D274" s="7">
        <v>161393</v>
      </c>
      <c r="E274" s="7" t="s">
        <v>920</v>
      </c>
      <c r="F274" s="7" t="s">
        <v>67</v>
      </c>
      <c r="G274" s="7">
        <v>181</v>
      </c>
      <c r="H274" s="7" t="s">
        <v>873</v>
      </c>
      <c r="I274" s="7" t="s">
        <v>874</v>
      </c>
      <c r="J274" s="7"/>
      <c r="M274" s="7"/>
      <c r="N274" s="7" t="s">
        <v>875</v>
      </c>
      <c r="O274" s="126"/>
      <c r="P274" s="126"/>
    </row>
    <row r="275" spans="1:16" ht="15.75" customHeight="1">
      <c r="A275" s="126">
        <v>46230.015752314801</v>
      </c>
      <c r="B275" s="7">
        <v>12</v>
      </c>
      <c r="C275" s="7">
        <v>742</v>
      </c>
      <c r="D275" s="7">
        <v>161393</v>
      </c>
      <c r="E275" s="7" t="s">
        <v>920</v>
      </c>
      <c r="F275" s="7" t="s">
        <v>67</v>
      </c>
      <c r="G275" s="7">
        <v>182</v>
      </c>
      <c r="H275" s="7" t="s">
        <v>876</v>
      </c>
      <c r="I275" s="7" t="s">
        <v>874</v>
      </c>
      <c r="J275" s="7"/>
      <c r="M275" s="7"/>
      <c r="N275" s="7" t="s">
        <v>875</v>
      </c>
      <c r="P275" s="126"/>
    </row>
    <row r="276" spans="1:16" ht="15.75" customHeight="1">
      <c r="A276" s="126">
        <v>46230.015752314801</v>
      </c>
      <c r="B276" s="7">
        <v>12</v>
      </c>
      <c r="C276" s="7">
        <v>742</v>
      </c>
      <c r="D276" s="7">
        <v>161393</v>
      </c>
      <c r="E276" s="7" t="s">
        <v>920</v>
      </c>
      <c r="F276" s="7" t="s">
        <v>67</v>
      </c>
      <c r="G276" s="7">
        <v>174</v>
      </c>
      <c r="H276" s="7" t="s">
        <v>877</v>
      </c>
      <c r="I276" s="7" t="s">
        <v>878</v>
      </c>
      <c r="J276" s="7" t="s">
        <v>879</v>
      </c>
      <c r="M276" s="7">
        <v>100</v>
      </c>
      <c r="N276" s="7">
        <v>100</v>
      </c>
      <c r="O276" s="126"/>
      <c r="P276" s="126">
        <v>46209.647615740701</v>
      </c>
    </row>
    <row r="277" spans="1:16" ht="15.75" customHeight="1">
      <c r="A277" s="126">
        <v>46230.015752314801</v>
      </c>
      <c r="B277" s="7">
        <v>12</v>
      </c>
      <c r="C277" s="7">
        <v>742</v>
      </c>
      <c r="D277" s="7">
        <v>161393</v>
      </c>
      <c r="E277" s="7" t="s">
        <v>920</v>
      </c>
      <c r="F277" s="7" t="s">
        <v>67</v>
      </c>
      <c r="G277" s="7">
        <v>180</v>
      </c>
      <c r="H277" s="7" t="s">
        <v>880</v>
      </c>
      <c r="I277" s="7" t="s">
        <v>874</v>
      </c>
      <c r="J277" s="7"/>
      <c r="M277" s="7"/>
      <c r="N277" s="7" t="s">
        <v>875</v>
      </c>
      <c r="O277" s="126"/>
      <c r="P277" s="126"/>
    </row>
    <row r="278" spans="1:16" ht="15.75" customHeight="1">
      <c r="A278" s="126">
        <v>46230.015752314801</v>
      </c>
      <c r="B278" s="7">
        <v>12</v>
      </c>
      <c r="C278" s="7">
        <v>742</v>
      </c>
      <c r="D278" s="7">
        <v>161393</v>
      </c>
      <c r="E278" s="7" t="s">
        <v>920</v>
      </c>
      <c r="F278" s="7" t="s">
        <v>67</v>
      </c>
      <c r="G278" s="7">
        <v>175</v>
      </c>
      <c r="H278" s="7" t="s">
        <v>881</v>
      </c>
      <c r="I278" s="7" t="s">
        <v>878</v>
      </c>
      <c r="J278" s="7" t="s">
        <v>882</v>
      </c>
      <c r="M278" s="7">
        <v>100</v>
      </c>
      <c r="N278" s="7">
        <v>100</v>
      </c>
      <c r="O278" s="126">
        <v>46216.409120370401</v>
      </c>
      <c r="P278" s="126">
        <v>46216.409120370401</v>
      </c>
    </row>
    <row r="279" spans="1:16" ht="15.75" customHeight="1">
      <c r="A279" s="126">
        <v>46230.015752314801</v>
      </c>
      <c r="B279" s="7">
        <v>12</v>
      </c>
      <c r="C279" s="7">
        <v>742</v>
      </c>
      <c r="D279" s="7">
        <v>161393</v>
      </c>
      <c r="E279" s="7" t="s">
        <v>920</v>
      </c>
      <c r="F279" s="7" t="s">
        <v>67</v>
      </c>
      <c r="G279" s="7">
        <v>177</v>
      </c>
      <c r="H279" s="7" t="s">
        <v>883</v>
      </c>
      <c r="I279" s="7" t="s">
        <v>878</v>
      </c>
      <c r="J279" s="7" t="s">
        <v>882</v>
      </c>
      <c r="M279" s="7"/>
      <c r="N279" s="7" t="s">
        <v>875</v>
      </c>
      <c r="O279" s="126"/>
      <c r="P279" s="126"/>
    </row>
    <row r="280" spans="1:16" ht="15.75" customHeight="1">
      <c r="A280" s="126">
        <v>46230.015752314801</v>
      </c>
      <c r="B280" s="7">
        <v>12</v>
      </c>
      <c r="C280" s="7">
        <v>742</v>
      </c>
      <c r="D280" s="7">
        <v>161393</v>
      </c>
      <c r="E280" s="7" t="s">
        <v>920</v>
      </c>
      <c r="F280" s="7" t="s">
        <v>67</v>
      </c>
      <c r="G280" s="7">
        <v>176</v>
      </c>
      <c r="H280" s="7" t="s">
        <v>884</v>
      </c>
      <c r="I280" s="7" t="s">
        <v>878</v>
      </c>
      <c r="J280" s="7" t="s">
        <v>882</v>
      </c>
      <c r="M280" s="7">
        <v>100</v>
      </c>
      <c r="N280" s="7">
        <v>100</v>
      </c>
      <c r="O280" s="126">
        <v>46229.826724537001</v>
      </c>
      <c r="P280" s="126">
        <v>46229.826724537001</v>
      </c>
    </row>
    <row r="281" spans="1:16" ht="15.75" customHeight="1">
      <c r="A281" s="126">
        <v>46230.015752314801</v>
      </c>
      <c r="B281" s="7">
        <v>12</v>
      </c>
      <c r="C281" s="7">
        <v>742</v>
      </c>
      <c r="D281" s="7">
        <v>161393</v>
      </c>
      <c r="E281" s="7" t="s">
        <v>920</v>
      </c>
      <c r="F281" s="7" t="s">
        <v>67</v>
      </c>
      <c r="G281" s="7">
        <v>168</v>
      </c>
      <c r="H281" s="7" t="s">
        <v>885</v>
      </c>
      <c r="I281" s="7" t="s">
        <v>886</v>
      </c>
      <c r="J281" s="7"/>
      <c r="M281" s="7">
        <v>100</v>
      </c>
      <c r="N281" s="7">
        <v>100</v>
      </c>
      <c r="P281" s="126">
        <v>46209.647615740701</v>
      </c>
    </row>
    <row r="282" spans="1:16" ht="15.75" customHeight="1">
      <c r="A282" s="126">
        <v>46230.015752314801</v>
      </c>
      <c r="B282" s="7">
        <v>12</v>
      </c>
      <c r="C282" s="7">
        <v>708</v>
      </c>
      <c r="D282" s="7"/>
      <c r="E282" s="7" t="s">
        <v>921</v>
      </c>
      <c r="F282" s="7" t="s">
        <v>470</v>
      </c>
      <c r="G282" s="7">
        <v>181</v>
      </c>
      <c r="H282" s="7" t="s">
        <v>873</v>
      </c>
      <c r="I282" s="7" t="s">
        <v>874</v>
      </c>
      <c r="J282" s="7"/>
      <c r="M282" s="7"/>
      <c r="N282" s="7" t="s">
        <v>875</v>
      </c>
      <c r="P282" s="126"/>
    </row>
    <row r="283" spans="1:16" ht="15.75" customHeight="1">
      <c r="A283" s="126">
        <v>46230.015752314801</v>
      </c>
      <c r="B283" s="7">
        <v>12</v>
      </c>
      <c r="C283" s="7">
        <v>708</v>
      </c>
      <c r="D283" s="7"/>
      <c r="E283" s="7" t="s">
        <v>921</v>
      </c>
      <c r="F283" s="7" t="s">
        <v>470</v>
      </c>
      <c r="G283" s="7">
        <v>182</v>
      </c>
      <c r="H283" s="7" t="s">
        <v>876</v>
      </c>
      <c r="I283" s="7" t="s">
        <v>874</v>
      </c>
      <c r="J283" s="7"/>
      <c r="M283" s="7"/>
      <c r="N283" s="7" t="s">
        <v>875</v>
      </c>
      <c r="P283" s="126"/>
    </row>
    <row r="284" spans="1:16" ht="15.75" customHeight="1">
      <c r="A284" s="126">
        <v>46230.015752314801</v>
      </c>
      <c r="B284" s="7">
        <v>12</v>
      </c>
      <c r="C284" s="7">
        <v>708</v>
      </c>
      <c r="D284" s="7"/>
      <c r="E284" s="7" t="s">
        <v>921</v>
      </c>
      <c r="F284" s="7" t="s">
        <v>470</v>
      </c>
      <c r="G284" s="7">
        <v>174</v>
      </c>
      <c r="H284" s="7" t="s">
        <v>877</v>
      </c>
      <c r="I284" s="7" t="s">
        <v>878</v>
      </c>
      <c r="J284" s="7" t="s">
        <v>879</v>
      </c>
      <c r="M284" s="7">
        <v>100</v>
      </c>
      <c r="N284" s="7">
        <v>100</v>
      </c>
      <c r="O284" s="126"/>
      <c r="P284" s="126">
        <v>46209.706944444399</v>
      </c>
    </row>
    <row r="285" spans="1:16" ht="15.75" customHeight="1">
      <c r="A285" s="126">
        <v>46230.015752314801</v>
      </c>
      <c r="B285" s="7">
        <v>12</v>
      </c>
      <c r="C285" s="7">
        <v>708</v>
      </c>
      <c r="D285" s="7"/>
      <c r="E285" s="7" t="s">
        <v>921</v>
      </c>
      <c r="F285" s="7" t="s">
        <v>470</v>
      </c>
      <c r="G285" s="7">
        <v>180</v>
      </c>
      <c r="H285" s="7" t="s">
        <v>880</v>
      </c>
      <c r="I285" s="7" t="s">
        <v>874</v>
      </c>
      <c r="J285" s="7"/>
      <c r="M285" s="7"/>
      <c r="N285" s="7" t="s">
        <v>875</v>
      </c>
      <c r="O285" s="126"/>
      <c r="P285" s="126"/>
    </row>
    <row r="286" spans="1:16" ht="15.75" customHeight="1">
      <c r="A286" s="126">
        <v>46230.015752314801</v>
      </c>
      <c r="B286" s="7">
        <v>12</v>
      </c>
      <c r="C286" s="7">
        <v>708</v>
      </c>
      <c r="D286" s="7"/>
      <c r="E286" s="7" t="s">
        <v>921</v>
      </c>
      <c r="F286" s="7" t="s">
        <v>470</v>
      </c>
      <c r="G286" s="7">
        <v>175</v>
      </c>
      <c r="H286" s="7" t="s">
        <v>881</v>
      </c>
      <c r="I286" s="7" t="s">
        <v>878</v>
      </c>
      <c r="J286" s="7" t="s">
        <v>882</v>
      </c>
      <c r="M286" s="7">
        <v>87.5</v>
      </c>
      <c r="N286" s="7">
        <v>87.5</v>
      </c>
      <c r="O286" s="126">
        <v>46227.979583333297</v>
      </c>
      <c r="P286" s="126">
        <v>46227.979583333297</v>
      </c>
    </row>
    <row r="287" spans="1:16" ht="15.75" customHeight="1">
      <c r="A287" s="126">
        <v>46230.015752314801</v>
      </c>
      <c r="B287" s="7">
        <v>12</v>
      </c>
      <c r="C287" s="7">
        <v>708</v>
      </c>
      <c r="D287" s="7"/>
      <c r="E287" s="7" t="s">
        <v>921</v>
      </c>
      <c r="F287" s="7" t="s">
        <v>470</v>
      </c>
      <c r="G287" s="7">
        <v>177</v>
      </c>
      <c r="H287" s="7" t="s">
        <v>883</v>
      </c>
      <c r="I287" s="7" t="s">
        <v>878</v>
      </c>
      <c r="J287" s="7" t="s">
        <v>882</v>
      </c>
      <c r="M287" s="7"/>
      <c r="N287" s="7" t="s">
        <v>875</v>
      </c>
      <c r="O287" s="126"/>
      <c r="P287" s="126"/>
    </row>
    <row r="288" spans="1:16" ht="15.75" customHeight="1">
      <c r="A288" s="126">
        <v>46230.015752314801</v>
      </c>
      <c r="B288" s="7">
        <v>12</v>
      </c>
      <c r="C288" s="7">
        <v>708</v>
      </c>
      <c r="D288" s="7"/>
      <c r="E288" s="7" t="s">
        <v>921</v>
      </c>
      <c r="F288" s="7" t="s">
        <v>470</v>
      </c>
      <c r="G288" s="7">
        <v>176</v>
      </c>
      <c r="H288" s="7" t="s">
        <v>884</v>
      </c>
      <c r="I288" s="7" t="s">
        <v>878</v>
      </c>
      <c r="J288" s="7" t="s">
        <v>882</v>
      </c>
      <c r="M288" s="7">
        <v>90</v>
      </c>
      <c r="N288" s="7">
        <v>90</v>
      </c>
      <c r="O288" s="126">
        <v>46227.972928240699</v>
      </c>
      <c r="P288" s="126">
        <v>46227.972928240699</v>
      </c>
    </row>
    <row r="289" spans="1:16" ht="15.75" customHeight="1">
      <c r="A289" s="126">
        <v>46230.015752314801</v>
      </c>
      <c r="B289" s="7">
        <v>12</v>
      </c>
      <c r="C289" s="7">
        <v>708</v>
      </c>
      <c r="D289" s="7"/>
      <c r="E289" s="7" t="s">
        <v>921</v>
      </c>
      <c r="F289" s="7" t="s">
        <v>470</v>
      </c>
      <c r="G289" s="7">
        <v>168</v>
      </c>
      <c r="H289" s="7" t="s">
        <v>885</v>
      </c>
      <c r="I289" s="7" t="s">
        <v>886</v>
      </c>
      <c r="M289" s="7">
        <v>100</v>
      </c>
      <c r="N289" s="7">
        <v>100</v>
      </c>
      <c r="P289" s="126">
        <v>46209.706944444399</v>
      </c>
    </row>
    <row r="290" spans="1:16" ht="15.75" customHeight="1">
      <c r="A290" s="126">
        <v>46230.015752314801</v>
      </c>
      <c r="B290" s="7">
        <v>12</v>
      </c>
      <c r="C290" s="7">
        <v>358</v>
      </c>
      <c r="E290" s="7" t="s">
        <v>922</v>
      </c>
      <c r="F290" s="7" t="s">
        <v>520</v>
      </c>
      <c r="G290" s="7">
        <v>181</v>
      </c>
      <c r="H290" s="7" t="s">
        <v>873</v>
      </c>
      <c r="I290" s="7" t="s">
        <v>874</v>
      </c>
      <c r="J290" s="7"/>
      <c r="M290" s="7"/>
      <c r="N290" s="7" t="s">
        <v>875</v>
      </c>
      <c r="O290" s="126"/>
      <c r="P290" s="126"/>
    </row>
    <row r="291" spans="1:16" ht="15.75" customHeight="1">
      <c r="A291" s="126">
        <v>46230.015752314801</v>
      </c>
      <c r="B291" s="7">
        <v>12</v>
      </c>
      <c r="C291" s="7">
        <v>358</v>
      </c>
      <c r="E291" s="7" t="s">
        <v>922</v>
      </c>
      <c r="F291" s="7" t="s">
        <v>520</v>
      </c>
      <c r="G291" s="7">
        <v>182</v>
      </c>
      <c r="H291" s="7" t="s">
        <v>876</v>
      </c>
      <c r="I291" s="7" t="s">
        <v>874</v>
      </c>
      <c r="J291" s="7"/>
      <c r="M291" s="7"/>
      <c r="N291" s="7" t="s">
        <v>875</v>
      </c>
      <c r="O291" s="126"/>
      <c r="P291" s="126"/>
    </row>
    <row r="292" spans="1:16" ht="15.75" customHeight="1">
      <c r="A292" s="126">
        <v>46230.015752314801</v>
      </c>
      <c r="B292" s="7">
        <v>12</v>
      </c>
      <c r="C292" s="7">
        <v>358</v>
      </c>
      <c r="E292" s="7" t="s">
        <v>922</v>
      </c>
      <c r="F292" s="7" t="s">
        <v>520</v>
      </c>
      <c r="G292" s="7">
        <v>174</v>
      </c>
      <c r="H292" s="7" t="s">
        <v>877</v>
      </c>
      <c r="I292" s="7" t="s">
        <v>878</v>
      </c>
      <c r="J292" s="7" t="s">
        <v>879</v>
      </c>
      <c r="M292" s="7">
        <v>100</v>
      </c>
      <c r="N292" s="7">
        <v>100</v>
      </c>
      <c r="O292" s="126"/>
      <c r="P292" s="126">
        <v>46209.706944444399</v>
      </c>
    </row>
    <row r="293" spans="1:16" ht="15.75" customHeight="1">
      <c r="A293" s="126">
        <v>46230.015752314801</v>
      </c>
      <c r="B293" s="7">
        <v>12</v>
      </c>
      <c r="C293" s="7">
        <v>358</v>
      </c>
      <c r="E293" s="7" t="s">
        <v>922</v>
      </c>
      <c r="F293" s="7" t="s">
        <v>520</v>
      </c>
      <c r="G293" s="7">
        <v>180</v>
      </c>
      <c r="H293" s="7" t="s">
        <v>880</v>
      </c>
      <c r="I293" s="7" t="s">
        <v>874</v>
      </c>
      <c r="J293" s="7"/>
      <c r="M293" s="7"/>
      <c r="N293" s="7" t="s">
        <v>875</v>
      </c>
      <c r="O293" s="126"/>
      <c r="P293" s="126"/>
    </row>
    <row r="294" spans="1:16" ht="15.75" customHeight="1">
      <c r="A294" s="126">
        <v>46230.015752314801</v>
      </c>
      <c r="B294" s="7">
        <v>12</v>
      </c>
      <c r="C294" s="7">
        <v>358</v>
      </c>
      <c r="D294" s="7"/>
      <c r="E294" s="7" t="s">
        <v>922</v>
      </c>
      <c r="F294" s="7" t="s">
        <v>520</v>
      </c>
      <c r="G294" s="7">
        <v>175</v>
      </c>
      <c r="H294" s="7" t="s">
        <v>881</v>
      </c>
      <c r="I294" s="7" t="s">
        <v>878</v>
      </c>
      <c r="J294" s="7" t="s">
        <v>882</v>
      </c>
      <c r="M294" s="7">
        <v>100</v>
      </c>
      <c r="N294" s="7">
        <v>100</v>
      </c>
      <c r="O294" s="126">
        <v>46213.8805671296</v>
      </c>
      <c r="P294" s="126">
        <v>46213.8805671296</v>
      </c>
    </row>
    <row r="295" spans="1:16" ht="15.75" customHeight="1">
      <c r="A295" s="126">
        <v>46230.015752314801</v>
      </c>
      <c r="B295" s="7">
        <v>12</v>
      </c>
      <c r="C295" s="7">
        <v>358</v>
      </c>
      <c r="D295" s="7"/>
      <c r="E295" s="7" t="s">
        <v>922</v>
      </c>
      <c r="F295" s="7" t="s">
        <v>520</v>
      </c>
      <c r="G295" s="7">
        <v>177</v>
      </c>
      <c r="H295" s="7" t="s">
        <v>883</v>
      </c>
      <c r="I295" s="7" t="s">
        <v>878</v>
      </c>
      <c r="J295" s="7" t="s">
        <v>882</v>
      </c>
      <c r="M295" s="7"/>
      <c r="N295" s="7" t="s">
        <v>875</v>
      </c>
      <c r="P295" s="126"/>
    </row>
    <row r="296" spans="1:16" ht="15.75" customHeight="1">
      <c r="A296" s="126">
        <v>46230.015752314801</v>
      </c>
      <c r="B296" s="7">
        <v>12</v>
      </c>
      <c r="C296" s="7">
        <v>358</v>
      </c>
      <c r="D296" s="7"/>
      <c r="E296" s="7" t="s">
        <v>922</v>
      </c>
      <c r="F296" s="7" t="s">
        <v>520</v>
      </c>
      <c r="G296" s="7">
        <v>176</v>
      </c>
      <c r="H296" s="7" t="s">
        <v>884</v>
      </c>
      <c r="I296" s="7" t="s">
        <v>878</v>
      </c>
      <c r="J296" s="7" t="s">
        <v>882</v>
      </c>
      <c r="M296" s="7">
        <v>85</v>
      </c>
      <c r="N296" s="7">
        <v>85</v>
      </c>
      <c r="O296" s="126">
        <v>46224.938321759299</v>
      </c>
      <c r="P296" s="126">
        <v>46224.938321759299</v>
      </c>
    </row>
    <row r="297" spans="1:16" ht="15.75" customHeight="1">
      <c r="A297" s="126">
        <v>46230.015752314801</v>
      </c>
      <c r="B297" s="7">
        <v>12</v>
      </c>
      <c r="C297" s="7">
        <v>358</v>
      </c>
      <c r="D297" s="7"/>
      <c r="E297" s="7" t="s">
        <v>922</v>
      </c>
      <c r="F297" s="7" t="s">
        <v>520</v>
      </c>
      <c r="G297" s="7">
        <v>168</v>
      </c>
      <c r="H297" s="7" t="s">
        <v>885</v>
      </c>
      <c r="I297" s="7" t="s">
        <v>886</v>
      </c>
      <c r="J297" s="7"/>
      <c r="M297" s="7">
        <v>100</v>
      </c>
      <c r="N297" s="7">
        <v>100</v>
      </c>
      <c r="O297" s="126"/>
      <c r="P297" s="126">
        <v>46209.706944444399</v>
      </c>
    </row>
    <row r="298" spans="1:16" ht="15.75" customHeight="1">
      <c r="A298" s="126">
        <v>46230.015752314801</v>
      </c>
      <c r="B298" s="7">
        <v>12</v>
      </c>
      <c r="C298" s="7">
        <v>622</v>
      </c>
      <c r="D298" s="7"/>
      <c r="E298" s="7" t="s">
        <v>923</v>
      </c>
      <c r="F298" s="7" t="s">
        <v>528</v>
      </c>
      <c r="G298" s="7">
        <v>181</v>
      </c>
      <c r="H298" s="7" t="s">
        <v>873</v>
      </c>
      <c r="I298" s="7" t="s">
        <v>874</v>
      </c>
      <c r="J298" s="7"/>
      <c r="M298" s="7"/>
      <c r="N298" s="7" t="s">
        <v>875</v>
      </c>
      <c r="O298" s="126"/>
      <c r="P298" s="126"/>
    </row>
    <row r="299" spans="1:16" ht="15.75" customHeight="1">
      <c r="A299" s="126">
        <v>46230.015752314801</v>
      </c>
      <c r="B299" s="7">
        <v>12</v>
      </c>
      <c r="C299" s="7">
        <v>622</v>
      </c>
      <c r="D299" s="7"/>
      <c r="E299" s="7" t="s">
        <v>923</v>
      </c>
      <c r="F299" s="7" t="s">
        <v>528</v>
      </c>
      <c r="G299" s="7">
        <v>182</v>
      </c>
      <c r="H299" s="7" t="s">
        <v>876</v>
      </c>
      <c r="I299" s="7" t="s">
        <v>874</v>
      </c>
      <c r="J299" s="7"/>
      <c r="M299" s="7"/>
      <c r="N299" s="7" t="s">
        <v>875</v>
      </c>
      <c r="P299" s="126"/>
    </row>
    <row r="300" spans="1:16" ht="15.75" customHeight="1">
      <c r="A300" s="126">
        <v>46230.015752314801</v>
      </c>
      <c r="B300" s="7">
        <v>12</v>
      </c>
      <c r="C300" s="7">
        <v>622</v>
      </c>
      <c r="D300" s="7"/>
      <c r="E300" s="7" t="s">
        <v>923</v>
      </c>
      <c r="F300" s="7" t="s">
        <v>528</v>
      </c>
      <c r="G300" s="7">
        <v>174</v>
      </c>
      <c r="H300" s="7" t="s">
        <v>877</v>
      </c>
      <c r="I300" s="7" t="s">
        <v>878</v>
      </c>
      <c r="J300" s="7" t="s">
        <v>879</v>
      </c>
      <c r="M300" s="7">
        <v>100</v>
      </c>
      <c r="N300" s="7">
        <v>100</v>
      </c>
      <c r="P300" s="126">
        <v>46209.706956018497</v>
      </c>
    </row>
    <row r="301" spans="1:16" ht="15.75" customHeight="1">
      <c r="A301" s="126">
        <v>46230.015752314801</v>
      </c>
      <c r="B301" s="7">
        <v>12</v>
      </c>
      <c r="C301" s="7">
        <v>622</v>
      </c>
      <c r="D301" s="7"/>
      <c r="E301" s="7" t="s">
        <v>923</v>
      </c>
      <c r="F301" s="7" t="s">
        <v>528</v>
      </c>
      <c r="G301" s="7">
        <v>180</v>
      </c>
      <c r="H301" s="7" t="s">
        <v>880</v>
      </c>
      <c r="I301" s="7" t="s">
        <v>874</v>
      </c>
      <c r="J301" s="7"/>
      <c r="M301" s="7"/>
      <c r="N301" s="7" t="s">
        <v>875</v>
      </c>
      <c r="O301" s="126"/>
      <c r="P301" s="126"/>
    </row>
    <row r="302" spans="1:16" ht="15.75" customHeight="1">
      <c r="A302" s="126">
        <v>46230.015752314801</v>
      </c>
      <c r="B302" s="7">
        <v>12</v>
      </c>
      <c r="C302" s="7">
        <v>622</v>
      </c>
      <c r="D302" s="7"/>
      <c r="E302" s="7" t="s">
        <v>923</v>
      </c>
      <c r="F302" s="7" t="s">
        <v>528</v>
      </c>
      <c r="G302" s="7">
        <v>175</v>
      </c>
      <c r="H302" s="7" t="s">
        <v>881</v>
      </c>
      <c r="I302" s="7" t="s">
        <v>878</v>
      </c>
      <c r="J302" s="7" t="s">
        <v>882</v>
      </c>
      <c r="M302" s="7">
        <v>100</v>
      </c>
      <c r="N302" s="7">
        <v>100</v>
      </c>
      <c r="O302" s="126">
        <v>46216.618321759299</v>
      </c>
      <c r="P302" s="126">
        <v>46216.618321759299</v>
      </c>
    </row>
    <row r="303" spans="1:16" ht="15.75" customHeight="1">
      <c r="A303" s="126">
        <v>46230.015752314801</v>
      </c>
      <c r="B303" s="7">
        <v>12</v>
      </c>
      <c r="C303" s="7">
        <v>622</v>
      </c>
      <c r="D303" s="7"/>
      <c r="E303" s="7" t="s">
        <v>923</v>
      </c>
      <c r="F303" s="7" t="s">
        <v>528</v>
      </c>
      <c r="G303" s="7">
        <v>177</v>
      </c>
      <c r="H303" s="7" t="s">
        <v>883</v>
      </c>
      <c r="I303" s="7" t="s">
        <v>878</v>
      </c>
      <c r="J303" s="7" t="s">
        <v>882</v>
      </c>
      <c r="M303" s="7"/>
      <c r="N303" s="7" t="s">
        <v>875</v>
      </c>
      <c r="O303" s="126"/>
      <c r="P303" s="126"/>
    </row>
    <row r="304" spans="1:16" ht="15.75" customHeight="1">
      <c r="A304" s="126">
        <v>46230.015752314801</v>
      </c>
      <c r="B304" s="7">
        <v>12</v>
      </c>
      <c r="C304" s="7">
        <v>622</v>
      </c>
      <c r="D304" s="7"/>
      <c r="E304" s="7" t="s">
        <v>923</v>
      </c>
      <c r="F304" s="7" t="s">
        <v>528</v>
      </c>
      <c r="G304" s="7">
        <v>176</v>
      </c>
      <c r="H304" s="7" t="s">
        <v>884</v>
      </c>
      <c r="I304" s="7" t="s">
        <v>878</v>
      </c>
      <c r="J304" s="7" t="s">
        <v>882</v>
      </c>
      <c r="M304" s="7">
        <v>100</v>
      </c>
      <c r="N304" s="7">
        <v>100</v>
      </c>
      <c r="O304" s="126">
        <v>46226.536377314798</v>
      </c>
      <c r="P304" s="126">
        <v>46226.536388888897</v>
      </c>
    </row>
    <row r="305" spans="1:16" ht="15.75" customHeight="1">
      <c r="A305" s="126">
        <v>46230.015752314801</v>
      </c>
      <c r="B305" s="7">
        <v>12</v>
      </c>
      <c r="C305" s="7">
        <v>622</v>
      </c>
      <c r="D305" s="7"/>
      <c r="E305" s="7" t="s">
        <v>923</v>
      </c>
      <c r="F305" s="7" t="s">
        <v>528</v>
      </c>
      <c r="G305" s="7">
        <v>168</v>
      </c>
      <c r="H305" s="7" t="s">
        <v>885</v>
      </c>
      <c r="I305" s="7" t="s">
        <v>886</v>
      </c>
      <c r="J305" s="7"/>
      <c r="M305" s="7">
        <v>100</v>
      </c>
      <c r="N305" s="7">
        <v>100</v>
      </c>
      <c r="P305" s="126">
        <v>46209.706956018497</v>
      </c>
    </row>
    <row r="306" spans="1:16" ht="15.75" customHeight="1">
      <c r="A306" s="126">
        <v>46230.015752314801</v>
      </c>
      <c r="B306" s="7">
        <v>12</v>
      </c>
      <c r="C306" s="7">
        <v>613</v>
      </c>
      <c r="D306" s="7"/>
      <c r="E306" s="7" t="s">
        <v>924</v>
      </c>
      <c r="F306" s="7" t="s">
        <v>405</v>
      </c>
      <c r="G306" s="7">
        <v>181</v>
      </c>
      <c r="H306" s="7" t="s">
        <v>873</v>
      </c>
      <c r="I306" s="7" t="s">
        <v>874</v>
      </c>
      <c r="J306" s="7"/>
      <c r="M306" s="7"/>
      <c r="N306" s="7" t="s">
        <v>875</v>
      </c>
      <c r="P306" s="126"/>
    </row>
    <row r="307" spans="1:16" ht="15.75" customHeight="1">
      <c r="A307" s="126">
        <v>46230.015752314801</v>
      </c>
      <c r="B307" s="7">
        <v>12</v>
      </c>
      <c r="C307" s="7">
        <v>613</v>
      </c>
      <c r="D307" s="7"/>
      <c r="E307" s="7" t="s">
        <v>924</v>
      </c>
      <c r="F307" s="7" t="s">
        <v>405</v>
      </c>
      <c r="G307" s="7">
        <v>182</v>
      </c>
      <c r="H307" s="7" t="s">
        <v>876</v>
      </c>
      <c r="I307" s="7" t="s">
        <v>874</v>
      </c>
      <c r="J307" s="7"/>
      <c r="M307" s="7"/>
      <c r="N307" s="7" t="s">
        <v>875</v>
      </c>
      <c r="P307" s="126"/>
    </row>
    <row r="308" spans="1:16" ht="15.75" customHeight="1">
      <c r="A308" s="126">
        <v>46230.015752314801</v>
      </c>
      <c r="B308" s="7">
        <v>12</v>
      </c>
      <c r="C308" s="7">
        <v>613</v>
      </c>
      <c r="D308" s="7"/>
      <c r="E308" s="7" t="s">
        <v>924</v>
      </c>
      <c r="F308" s="7" t="s">
        <v>405</v>
      </c>
      <c r="G308" s="7">
        <v>174</v>
      </c>
      <c r="H308" s="7" t="s">
        <v>877</v>
      </c>
      <c r="I308" s="7" t="s">
        <v>878</v>
      </c>
      <c r="J308" s="7" t="s">
        <v>879</v>
      </c>
      <c r="M308" s="7">
        <v>100</v>
      </c>
      <c r="N308" s="7">
        <v>100</v>
      </c>
      <c r="O308" s="126"/>
      <c r="P308" s="126">
        <v>46209.6463657407</v>
      </c>
    </row>
    <row r="309" spans="1:16" ht="15.75" customHeight="1">
      <c r="A309" s="126">
        <v>46230.015752314801</v>
      </c>
      <c r="B309" s="7">
        <v>12</v>
      </c>
      <c r="C309" s="7">
        <v>613</v>
      </c>
      <c r="D309" s="7"/>
      <c r="E309" s="7" t="s">
        <v>924</v>
      </c>
      <c r="F309" s="7" t="s">
        <v>405</v>
      </c>
      <c r="G309" s="7">
        <v>180</v>
      </c>
      <c r="H309" s="7" t="s">
        <v>880</v>
      </c>
      <c r="I309" s="7" t="s">
        <v>874</v>
      </c>
      <c r="J309" s="7"/>
      <c r="M309" s="7"/>
      <c r="N309" s="7" t="s">
        <v>875</v>
      </c>
      <c r="O309" s="126"/>
      <c r="P309" s="126"/>
    </row>
    <row r="310" spans="1:16" ht="15.75" customHeight="1">
      <c r="A310" s="126">
        <v>46230.015752314801</v>
      </c>
      <c r="B310" s="7">
        <v>12</v>
      </c>
      <c r="C310" s="7">
        <v>613</v>
      </c>
      <c r="D310" s="7"/>
      <c r="E310" s="7" t="s">
        <v>924</v>
      </c>
      <c r="F310" s="7" t="s">
        <v>405</v>
      </c>
      <c r="G310" s="7">
        <v>175</v>
      </c>
      <c r="H310" s="7" t="s">
        <v>881</v>
      </c>
      <c r="I310" s="7" t="s">
        <v>878</v>
      </c>
      <c r="J310" s="7" t="s">
        <v>882</v>
      </c>
      <c r="M310" s="7">
        <v>50</v>
      </c>
      <c r="N310" s="7">
        <v>50</v>
      </c>
      <c r="O310" s="126">
        <v>46216.595312500001</v>
      </c>
      <c r="P310" s="126">
        <v>46216.595312500001</v>
      </c>
    </row>
    <row r="311" spans="1:16" ht="15.75" customHeight="1">
      <c r="A311" s="126">
        <v>46230.015752314801</v>
      </c>
      <c r="B311" s="7">
        <v>12</v>
      </c>
      <c r="C311" s="7">
        <v>613</v>
      </c>
      <c r="D311" s="7"/>
      <c r="E311" s="7" t="s">
        <v>924</v>
      </c>
      <c r="F311" s="7" t="s">
        <v>405</v>
      </c>
      <c r="G311" s="7">
        <v>177</v>
      </c>
      <c r="H311" s="7" t="s">
        <v>883</v>
      </c>
      <c r="I311" s="7" t="s">
        <v>878</v>
      </c>
      <c r="J311" s="7" t="s">
        <v>882</v>
      </c>
      <c r="M311" s="7"/>
      <c r="N311" s="7" t="s">
        <v>875</v>
      </c>
      <c r="P311" s="126"/>
    </row>
    <row r="312" spans="1:16" ht="15.75" customHeight="1">
      <c r="A312" s="126">
        <v>46230.015752314801</v>
      </c>
      <c r="B312" s="7">
        <v>12</v>
      </c>
      <c r="C312" s="7">
        <v>613</v>
      </c>
      <c r="D312" s="7"/>
      <c r="E312" s="7" t="s">
        <v>924</v>
      </c>
      <c r="F312" s="7" t="s">
        <v>405</v>
      </c>
      <c r="G312" s="7">
        <v>176</v>
      </c>
      <c r="H312" s="7" t="s">
        <v>884</v>
      </c>
      <c r="I312" s="7" t="s">
        <v>878</v>
      </c>
      <c r="J312" s="7" t="s">
        <v>882</v>
      </c>
      <c r="M312" s="7">
        <v>100</v>
      </c>
      <c r="N312" s="7">
        <v>100</v>
      </c>
      <c r="O312" s="126">
        <v>46225.737743055601</v>
      </c>
      <c r="P312" s="126">
        <v>46225.737743055601</v>
      </c>
    </row>
    <row r="313" spans="1:16" ht="15.75" customHeight="1">
      <c r="A313" s="126">
        <v>46230.015752314801</v>
      </c>
      <c r="B313" s="7">
        <v>12</v>
      </c>
      <c r="C313" s="7">
        <v>613</v>
      </c>
      <c r="D313" s="7"/>
      <c r="E313" s="7" t="s">
        <v>924</v>
      </c>
      <c r="F313" s="7" t="s">
        <v>405</v>
      </c>
      <c r="G313" s="7">
        <v>168</v>
      </c>
      <c r="H313" s="7" t="s">
        <v>885</v>
      </c>
      <c r="I313" s="7" t="s">
        <v>886</v>
      </c>
      <c r="J313" s="7"/>
      <c r="M313" s="7">
        <v>100</v>
      </c>
      <c r="N313" s="7">
        <v>100</v>
      </c>
      <c r="P313" s="126">
        <v>46209.6463657407</v>
      </c>
    </row>
    <row r="314" spans="1:16" ht="15.75" customHeight="1">
      <c r="A314" s="126">
        <v>46230.015752314801</v>
      </c>
      <c r="B314" s="7">
        <v>12</v>
      </c>
      <c r="C314" s="7">
        <v>647</v>
      </c>
      <c r="D314" s="7"/>
      <c r="E314" s="7" t="s">
        <v>925</v>
      </c>
      <c r="F314" s="7" t="s">
        <v>407</v>
      </c>
      <c r="G314" s="7">
        <v>181</v>
      </c>
      <c r="H314" s="7" t="s">
        <v>873</v>
      </c>
      <c r="I314" s="7" t="s">
        <v>874</v>
      </c>
      <c r="J314" s="7"/>
      <c r="M314" s="7"/>
      <c r="N314" s="7" t="s">
        <v>875</v>
      </c>
      <c r="O314" s="126"/>
      <c r="P314" s="126"/>
    </row>
    <row r="315" spans="1:16" ht="15.75" customHeight="1">
      <c r="A315" s="126">
        <v>46230.015752314801</v>
      </c>
      <c r="B315" s="7">
        <v>12</v>
      </c>
      <c r="C315" s="7">
        <v>647</v>
      </c>
      <c r="D315" s="7"/>
      <c r="E315" s="7" t="s">
        <v>925</v>
      </c>
      <c r="F315" s="7" t="s">
        <v>407</v>
      </c>
      <c r="G315" s="7">
        <v>182</v>
      </c>
      <c r="H315" s="7" t="s">
        <v>876</v>
      </c>
      <c r="I315" s="7" t="s">
        <v>874</v>
      </c>
      <c r="J315" s="7"/>
      <c r="M315" s="7"/>
      <c r="N315" s="7" t="s">
        <v>875</v>
      </c>
      <c r="O315" s="126"/>
      <c r="P315" s="126"/>
    </row>
    <row r="316" spans="1:16" ht="15.75" customHeight="1">
      <c r="A316" s="126">
        <v>46230.015752314801</v>
      </c>
      <c r="B316" s="7">
        <v>12</v>
      </c>
      <c r="C316" s="7">
        <v>647</v>
      </c>
      <c r="D316" s="7"/>
      <c r="E316" s="7" t="s">
        <v>925</v>
      </c>
      <c r="F316" s="7" t="s">
        <v>407</v>
      </c>
      <c r="G316" s="7">
        <v>174</v>
      </c>
      <c r="H316" s="7" t="s">
        <v>877</v>
      </c>
      <c r="I316" s="7" t="s">
        <v>878</v>
      </c>
      <c r="J316" s="7" t="s">
        <v>879</v>
      </c>
      <c r="M316" s="7">
        <v>100</v>
      </c>
      <c r="N316" s="7">
        <v>100</v>
      </c>
      <c r="O316" s="126"/>
      <c r="P316" s="126">
        <v>46209.706967592603</v>
      </c>
    </row>
    <row r="317" spans="1:16" ht="15.75" customHeight="1">
      <c r="A317" s="126">
        <v>46230.015752314801</v>
      </c>
      <c r="B317" s="7">
        <v>12</v>
      </c>
      <c r="C317" s="7">
        <v>647</v>
      </c>
      <c r="D317" s="7"/>
      <c r="E317" s="7" t="s">
        <v>925</v>
      </c>
      <c r="F317" s="7" t="s">
        <v>407</v>
      </c>
      <c r="G317" s="7">
        <v>180</v>
      </c>
      <c r="H317" s="7" t="s">
        <v>880</v>
      </c>
      <c r="I317" s="7" t="s">
        <v>874</v>
      </c>
      <c r="J317" s="7"/>
      <c r="M317" s="7"/>
      <c r="N317" s="7" t="s">
        <v>875</v>
      </c>
      <c r="O317" s="126"/>
      <c r="P317" s="126"/>
    </row>
    <row r="318" spans="1:16" ht="15.75" customHeight="1">
      <c r="A318" s="126">
        <v>46230.015752314801</v>
      </c>
      <c r="B318" s="7">
        <v>12</v>
      </c>
      <c r="C318" s="7">
        <v>647</v>
      </c>
      <c r="D318" s="7"/>
      <c r="E318" s="7" t="s">
        <v>925</v>
      </c>
      <c r="F318" s="7" t="s">
        <v>407</v>
      </c>
      <c r="G318" s="7">
        <v>175</v>
      </c>
      <c r="H318" s="7" t="s">
        <v>881</v>
      </c>
      <c r="I318" s="7" t="s">
        <v>878</v>
      </c>
      <c r="J318" s="7" t="s">
        <v>882</v>
      </c>
      <c r="M318" s="7">
        <v>100</v>
      </c>
      <c r="N318" s="7">
        <v>100</v>
      </c>
      <c r="O318" s="126">
        <v>46213.829722222203</v>
      </c>
      <c r="P318" s="126">
        <v>46213.829722222203</v>
      </c>
    </row>
    <row r="319" spans="1:16" ht="15.75" customHeight="1">
      <c r="A319" s="126">
        <v>46230.015752314801</v>
      </c>
      <c r="B319" s="7">
        <v>12</v>
      </c>
      <c r="C319" s="7">
        <v>647</v>
      </c>
      <c r="D319" s="7"/>
      <c r="E319" s="7" t="s">
        <v>925</v>
      </c>
      <c r="F319" s="7" t="s">
        <v>407</v>
      </c>
      <c r="G319" s="7">
        <v>177</v>
      </c>
      <c r="H319" s="7" t="s">
        <v>883</v>
      </c>
      <c r="I319" s="7" t="s">
        <v>878</v>
      </c>
      <c r="J319" s="7" t="s">
        <v>882</v>
      </c>
      <c r="M319" s="7"/>
      <c r="N319" s="7" t="s">
        <v>875</v>
      </c>
      <c r="P319" s="126"/>
    </row>
    <row r="320" spans="1:16" ht="15.75" customHeight="1">
      <c r="A320" s="126">
        <v>46230.015752314801</v>
      </c>
      <c r="B320" s="7">
        <v>12</v>
      </c>
      <c r="C320" s="7">
        <v>647</v>
      </c>
      <c r="D320" s="7"/>
      <c r="E320" s="7" t="s">
        <v>925</v>
      </c>
      <c r="F320" s="7" t="s">
        <v>407</v>
      </c>
      <c r="G320" s="7">
        <v>176</v>
      </c>
      <c r="H320" s="7" t="s">
        <v>884</v>
      </c>
      <c r="I320" s="7" t="s">
        <v>878</v>
      </c>
      <c r="J320" s="7" t="s">
        <v>882</v>
      </c>
      <c r="M320" s="7">
        <v>100</v>
      </c>
      <c r="N320" s="7">
        <v>100</v>
      </c>
      <c r="O320" s="126">
        <v>46224.684618055602</v>
      </c>
      <c r="P320" s="126">
        <v>46224.684618055602</v>
      </c>
    </row>
    <row r="321" spans="1:16" ht="15.75" customHeight="1">
      <c r="A321" s="126">
        <v>46230.015752314801</v>
      </c>
      <c r="B321" s="7">
        <v>12</v>
      </c>
      <c r="C321" s="7">
        <v>647</v>
      </c>
      <c r="D321" s="7"/>
      <c r="E321" s="7" t="s">
        <v>925</v>
      </c>
      <c r="F321" s="7" t="s">
        <v>407</v>
      </c>
      <c r="G321" s="7">
        <v>168</v>
      </c>
      <c r="H321" s="7" t="s">
        <v>885</v>
      </c>
      <c r="I321" s="7" t="s">
        <v>886</v>
      </c>
      <c r="J321" s="7"/>
      <c r="M321" s="7">
        <v>100</v>
      </c>
      <c r="N321" s="7">
        <v>100</v>
      </c>
      <c r="O321" s="126"/>
      <c r="P321" s="126">
        <v>46209.706967592603</v>
      </c>
    </row>
    <row r="322" spans="1:16" ht="15.75" customHeight="1">
      <c r="A322" s="126">
        <v>46230.015752314801</v>
      </c>
      <c r="B322" s="7">
        <v>12</v>
      </c>
      <c r="C322" s="7">
        <v>696</v>
      </c>
      <c r="D322" s="7"/>
      <c r="E322" s="7" t="s">
        <v>926</v>
      </c>
      <c r="F322" s="7" t="s">
        <v>413</v>
      </c>
      <c r="G322" s="7">
        <v>181</v>
      </c>
      <c r="H322" s="7" t="s">
        <v>873</v>
      </c>
      <c r="I322" s="7" t="s">
        <v>874</v>
      </c>
      <c r="J322" s="7"/>
      <c r="M322" s="7"/>
      <c r="N322" s="7" t="s">
        <v>875</v>
      </c>
      <c r="O322" s="126"/>
      <c r="P322" s="126"/>
    </row>
    <row r="323" spans="1:16" ht="15.75" customHeight="1">
      <c r="A323" s="126">
        <v>46230.015752314801</v>
      </c>
      <c r="B323" s="7">
        <v>12</v>
      </c>
      <c r="C323" s="7">
        <v>696</v>
      </c>
      <c r="D323" s="7"/>
      <c r="E323" s="7" t="s">
        <v>926</v>
      </c>
      <c r="F323" s="7" t="s">
        <v>413</v>
      </c>
      <c r="G323" s="7">
        <v>182</v>
      </c>
      <c r="H323" s="7" t="s">
        <v>876</v>
      </c>
      <c r="I323" s="7" t="s">
        <v>874</v>
      </c>
      <c r="J323" s="7"/>
      <c r="M323" s="7"/>
      <c r="N323" s="7" t="s">
        <v>875</v>
      </c>
      <c r="O323" s="126"/>
      <c r="P323" s="126"/>
    </row>
    <row r="324" spans="1:16" ht="15.75" customHeight="1">
      <c r="A324" s="126">
        <v>46230.015752314801</v>
      </c>
      <c r="B324" s="7">
        <v>12</v>
      </c>
      <c r="C324" s="7">
        <v>696</v>
      </c>
      <c r="D324" s="7"/>
      <c r="E324" s="7" t="s">
        <v>926</v>
      </c>
      <c r="F324" s="7" t="s">
        <v>413</v>
      </c>
      <c r="G324" s="7">
        <v>174</v>
      </c>
      <c r="H324" s="7" t="s">
        <v>877</v>
      </c>
      <c r="I324" s="7" t="s">
        <v>878</v>
      </c>
      <c r="J324" s="7" t="s">
        <v>879</v>
      </c>
      <c r="M324" s="7">
        <v>100</v>
      </c>
      <c r="N324" s="7">
        <v>100</v>
      </c>
      <c r="O324" s="126"/>
      <c r="P324" s="126">
        <v>46209.706967592603</v>
      </c>
    </row>
    <row r="325" spans="1:16" ht="15.75" customHeight="1">
      <c r="A325" s="126">
        <v>46230.015752314801</v>
      </c>
      <c r="B325" s="7">
        <v>12</v>
      </c>
      <c r="C325" s="7">
        <v>696</v>
      </c>
      <c r="D325" s="7"/>
      <c r="E325" s="7" t="s">
        <v>926</v>
      </c>
      <c r="F325" s="7" t="s">
        <v>413</v>
      </c>
      <c r="G325" s="7">
        <v>180</v>
      </c>
      <c r="H325" s="7" t="s">
        <v>880</v>
      </c>
      <c r="I325" s="7" t="s">
        <v>874</v>
      </c>
      <c r="J325" s="7"/>
      <c r="M325" s="7"/>
      <c r="N325" s="7" t="s">
        <v>875</v>
      </c>
      <c r="O325" s="126"/>
      <c r="P325" s="126"/>
    </row>
    <row r="326" spans="1:16" ht="15.75" customHeight="1">
      <c r="A326" s="126">
        <v>46230.015752314801</v>
      </c>
      <c r="B326" s="7">
        <v>12</v>
      </c>
      <c r="C326" s="7">
        <v>696</v>
      </c>
      <c r="D326" s="7"/>
      <c r="E326" s="7" t="s">
        <v>926</v>
      </c>
      <c r="F326" s="7" t="s">
        <v>413</v>
      </c>
      <c r="G326" s="7">
        <v>175</v>
      </c>
      <c r="H326" s="7" t="s">
        <v>881</v>
      </c>
      <c r="I326" s="7" t="s">
        <v>878</v>
      </c>
      <c r="J326" s="7" t="s">
        <v>882</v>
      </c>
      <c r="M326" s="7">
        <v>100</v>
      </c>
      <c r="N326" s="7">
        <v>100</v>
      </c>
      <c r="O326" s="126">
        <v>46216.553437499999</v>
      </c>
      <c r="P326" s="126">
        <v>46216.553437499999</v>
      </c>
    </row>
    <row r="327" spans="1:16" ht="15.75" customHeight="1">
      <c r="A327" s="126">
        <v>46230.015752314801</v>
      </c>
      <c r="B327" s="7">
        <v>12</v>
      </c>
      <c r="C327" s="7">
        <v>696</v>
      </c>
      <c r="D327" s="7"/>
      <c r="E327" s="7" t="s">
        <v>926</v>
      </c>
      <c r="F327" s="7" t="s">
        <v>413</v>
      </c>
      <c r="G327" s="7">
        <v>177</v>
      </c>
      <c r="H327" s="7" t="s">
        <v>883</v>
      </c>
      <c r="I327" s="7" t="s">
        <v>878</v>
      </c>
      <c r="J327" s="7" t="s">
        <v>882</v>
      </c>
      <c r="M327" s="7"/>
      <c r="N327" s="7" t="s">
        <v>875</v>
      </c>
      <c r="O327" s="126"/>
      <c r="P327" s="126"/>
    </row>
    <row r="328" spans="1:16" ht="15.75" customHeight="1">
      <c r="A328" s="126">
        <v>46230.015752314801</v>
      </c>
      <c r="B328" s="7">
        <v>12</v>
      </c>
      <c r="C328" s="7">
        <v>696</v>
      </c>
      <c r="D328" s="7"/>
      <c r="E328" s="7" t="s">
        <v>926</v>
      </c>
      <c r="F328" s="7" t="s">
        <v>413</v>
      </c>
      <c r="G328" s="7">
        <v>176</v>
      </c>
      <c r="H328" s="7" t="s">
        <v>884</v>
      </c>
      <c r="I328" s="7" t="s">
        <v>878</v>
      </c>
      <c r="J328" s="7" t="s">
        <v>882</v>
      </c>
      <c r="M328" s="7">
        <v>90</v>
      </c>
      <c r="N328" s="7">
        <v>90</v>
      </c>
      <c r="O328" s="126">
        <v>46223.770497685196</v>
      </c>
      <c r="P328" s="126">
        <v>46223.793657407397</v>
      </c>
    </row>
    <row r="329" spans="1:16" ht="15.75" customHeight="1">
      <c r="A329" s="126">
        <v>46230.015752314801</v>
      </c>
      <c r="B329" s="7">
        <v>12</v>
      </c>
      <c r="C329" s="7">
        <v>696</v>
      </c>
      <c r="D329" s="7"/>
      <c r="E329" s="7" t="s">
        <v>926</v>
      </c>
      <c r="F329" s="7" t="s">
        <v>413</v>
      </c>
      <c r="G329" s="7">
        <v>168</v>
      </c>
      <c r="H329" s="7" t="s">
        <v>885</v>
      </c>
      <c r="I329" s="7" t="s">
        <v>886</v>
      </c>
      <c r="J329" s="7"/>
      <c r="M329" s="7">
        <v>100</v>
      </c>
      <c r="N329" s="7">
        <v>100</v>
      </c>
      <c r="P329" s="126">
        <v>46209.706967592603</v>
      </c>
    </row>
    <row r="330" spans="1:16" ht="15.75" customHeight="1">
      <c r="A330" s="126">
        <v>46230.015752314801</v>
      </c>
      <c r="B330" s="7">
        <v>12</v>
      </c>
      <c r="C330" s="7">
        <v>600</v>
      </c>
      <c r="D330" s="7"/>
      <c r="E330" s="7" t="s">
        <v>927</v>
      </c>
      <c r="F330" s="7" t="s">
        <v>224</v>
      </c>
      <c r="G330" s="7">
        <v>181</v>
      </c>
      <c r="H330" s="7" t="s">
        <v>873</v>
      </c>
      <c r="I330" s="7" t="s">
        <v>874</v>
      </c>
      <c r="J330" s="7"/>
      <c r="M330" s="7"/>
      <c r="N330" s="7" t="s">
        <v>875</v>
      </c>
      <c r="O330" s="126"/>
      <c r="P330" s="126"/>
    </row>
    <row r="331" spans="1:16" ht="15.75" customHeight="1">
      <c r="A331" s="126">
        <v>46230.015752314801</v>
      </c>
      <c r="B331" s="7">
        <v>12</v>
      </c>
      <c r="C331" s="7">
        <v>600</v>
      </c>
      <c r="D331" s="7"/>
      <c r="E331" s="7" t="s">
        <v>927</v>
      </c>
      <c r="F331" s="7" t="s">
        <v>224</v>
      </c>
      <c r="G331" s="7">
        <v>182</v>
      </c>
      <c r="H331" s="7" t="s">
        <v>876</v>
      </c>
      <c r="I331" s="7" t="s">
        <v>874</v>
      </c>
      <c r="J331" s="7"/>
      <c r="M331" s="7"/>
      <c r="N331" s="7" t="s">
        <v>875</v>
      </c>
      <c r="P331" s="126"/>
    </row>
    <row r="332" spans="1:16" ht="15.75" customHeight="1">
      <c r="A332" s="126">
        <v>46230.015752314801</v>
      </c>
      <c r="B332" s="7">
        <v>12</v>
      </c>
      <c r="C332" s="7">
        <v>600</v>
      </c>
      <c r="D332" s="7"/>
      <c r="E332" s="7" t="s">
        <v>927</v>
      </c>
      <c r="F332" s="7" t="s">
        <v>224</v>
      </c>
      <c r="G332" s="7">
        <v>174</v>
      </c>
      <c r="H332" s="7" t="s">
        <v>877</v>
      </c>
      <c r="I332" s="7" t="s">
        <v>878</v>
      </c>
      <c r="J332" s="7" t="s">
        <v>879</v>
      </c>
      <c r="M332" s="7">
        <v>100</v>
      </c>
      <c r="N332" s="7">
        <v>100</v>
      </c>
      <c r="O332" s="126"/>
      <c r="P332" s="126">
        <v>46210.4163541667</v>
      </c>
    </row>
    <row r="333" spans="1:16" ht="15.75" customHeight="1">
      <c r="A333" s="126">
        <v>46230.015752314801</v>
      </c>
      <c r="B333" s="7">
        <v>12</v>
      </c>
      <c r="C333" s="7">
        <v>600</v>
      </c>
      <c r="D333" s="7"/>
      <c r="E333" s="7" t="s">
        <v>927</v>
      </c>
      <c r="F333" s="7" t="s">
        <v>224</v>
      </c>
      <c r="G333" s="7">
        <v>180</v>
      </c>
      <c r="H333" s="7" t="s">
        <v>880</v>
      </c>
      <c r="I333" s="7" t="s">
        <v>874</v>
      </c>
      <c r="J333" s="7"/>
      <c r="M333" s="7"/>
      <c r="N333" s="7" t="s">
        <v>875</v>
      </c>
      <c r="O333" s="126"/>
      <c r="P333" s="126"/>
    </row>
    <row r="334" spans="1:16" ht="15.75" customHeight="1">
      <c r="A334" s="126">
        <v>46230.015752314801</v>
      </c>
      <c r="B334" s="7">
        <v>12</v>
      </c>
      <c r="C334" s="7">
        <v>600</v>
      </c>
      <c r="D334" s="7"/>
      <c r="E334" s="7" t="s">
        <v>927</v>
      </c>
      <c r="F334" s="7" t="s">
        <v>224</v>
      </c>
      <c r="G334" s="7">
        <v>175</v>
      </c>
      <c r="H334" s="7" t="s">
        <v>881</v>
      </c>
      <c r="I334" s="7" t="s">
        <v>878</v>
      </c>
      <c r="J334" s="7" t="s">
        <v>882</v>
      </c>
      <c r="M334" s="7">
        <v>100</v>
      </c>
      <c r="N334" s="7">
        <v>100</v>
      </c>
      <c r="O334" s="126">
        <v>46216.311157407399</v>
      </c>
      <c r="P334" s="126">
        <v>46216.311157407399</v>
      </c>
    </row>
    <row r="335" spans="1:16" ht="15.75" customHeight="1">
      <c r="A335" s="126">
        <v>46230.015752314801</v>
      </c>
      <c r="B335" s="7">
        <v>12</v>
      </c>
      <c r="C335" s="7">
        <v>600</v>
      </c>
      <c r="D335" s="7"/>
      <c r="E335" s="7" t="s">
        <v>927</v>
      </c>
      <c r="F335" s="7" t="s">
        <v>224</v>
      </c>
      <c r="G335" s="7">
        <v>177</v>
      </c>
      <c r="H335" s="7" t="s">
        <v>883</v>
      </c>
      <c r="I335" s="7" t="s">
        <v>878</v>
      </c>
      <c r="J335" s="7" t="s">
        <v>882</v>
      </c>
      <c r="N335" s="7" t="s">
        <v>875</v>
      </c>
    </row>
    <row r="336" spans="1:16" ht="15.75" customHeight="1">
      <c r="A336" s="126">
        <v>46230.015752314801</v>
      </c>
      <c r="B336" s="7">
        <v>12</v>
      </c>
      <c r="C336" s="7">
        <v>600</v>
      </c>
      <c r="D336" s="7"/>
      <c r="E336" s="7" t="s">
        <v>927</v>
      </c>
      <c r="F336" s="7" t="s">
        <v>224</v>
      </c>
      <c r="G336" s="7">
        <v>176</v>
      </c>
      <c r="H336" s="7" t="s">
        <v>884</v>
      </c>
      <c r="I336" s="7" t="s">
        <v>878</v>
      </c>
      <c r="J336" s="7" t="s">
        <v>882</v>
      </c>
      <c r="M336" s="7">
        <v>80</v>
      </c>
      <c r="N336" s="7">
        <v>80</v>
      </c>
      <c r="O336" s="126">
        <v>46226.443518518499</v>
      </c>
      <c r="P336" s="126">
        <v>46226.443518518499</v>
      </c>
    </row>
    <row r="337" spans="1:16" ht="15.75" customHeight="1">
      <c r="A337" s="126">
        <v>46230.015752314801</v>
      </c>
      <c r="B337" s="7">
        <v>12</v>
      </c>
      <c r="C337" s="7">
        <v>600</v>
      </c>
      <c r="D337" s="7"/>
      <c r="E337" s="7" t="s">
        <v>927</v>
      </c>
      <c r="F337" s="7" t="s">
        <v>224</v>
      </c>
      <c r="G337" s="7">
        <v>168</v>
      </c>
      <c r="H337" s="7" t="s">
        <v>885</v>
      </c>
      <c r="I337" s="7" t="s">
        <v>886</v>
      </c>
      <c r="J337" s="7"/>
      <c r="M337" s="7">
        <v>100</v>
      </c>
      <c r="N337" s="7">
        <v>100</v>
      </c>
      <c r="P337" s="126">
        <v>46210.4163541667</v>
      </c>
    </row>
    <row r="338" spans="1:16" ht="15.75" customHeight="1">
      <c r="A338" s="126">
        <v>46230.015752314801</v>
      </c>
      <c r="B338" s="7">
        <v>12</v>
      </c>
      <c r="C338" s="7">
        <v>669</v>
      </c>
      <c r="D338" s="7"/>
      <c r="E338" s="7" t="s">
        <v>928</v>
      </c>
      <c r="F338" s="7" t="s">
        <v>707</v>
      </c>
      <c r="G338" s="7">
        <v>181</v>
      </c>
      <c r="H338" s="7" t="s">
        <v>873</v>
      </c>
      <c r="I338" s="7" t="s">
        <v>874</v>
      </c>
      <c r="J338" s="7"/>
      <c r="M338" s="7"/>
      <c r="N338" s="7" t="s">
        <v>875</v>
      </c>
      <c r="O338" s="126"/>
      <c r="P338" s="126"/>
    </row>
    <row r="339" spans="1:16" ht="15.75" customHeight="1">
      <c r="A339" s="126">
        <v>46230.015752314801</v>
      </c>
      <c r="B339" s="7">
        <v>12</v>
      </c>
      <c r="C339" s="7">
        <v>669</v>
      </c>
      <c r="D339" s="7"/>
      <c r="E339" s="7" t="s">
        <v>928</v>
      </c>
      <c r="F339" s="7" t="s">
        <v>707</v>
      </c>
      <c r="G339" s="7">
        <v>182</v>
      </c>
      <c r="H339" s="7" t="s">
        <v>876</v>
      </c>
      <c r="I339" s="7" t="s">
        <v>874</v>
      </c>
      <c r="J339" s="7"/>
      <c r="M339" s="7"/>
      <c r="N339" s="7" t="s">
        <v>875</v>
      </c>
      <c r="O339" s="126"/>
      <c r="P339" s="126"/>
    </row>
    <row r="340" spans="1:16" ht="15.75" customHeight="1">
      <c r="A340" s="126">
        <v>46230.015752314801</v>
      </c>
      <c r="B340" s="7">
        <v>12</v>
      </c>
      <c r="C340" s="7">
        <v>669</v>
      </c>
      <c r="D340" s="7"/>
      <c r="E340" s="7" t="s">
        <v>928</v>
      </c>
      <c r="F340" s="7" t="s">
        <v>707</v>
      </c>
      <c r="G340" s="7">
        <v>174</v>
      </c>
      <c r="H340" s="7" t="s">
        <v>877</v>
      </c>
      <c r="I340" s="7" t="s">
        <v>878</v>
      </c>
      <c r="J340" s="7" t="s">
        <v>879</v>
      </c>
      <c r="M340" s="7">
        <v>100</v>
      </c>
      <c r="N340" s="7">
        <v>100</v>
      </c>
      <c r="O340" s="126"/>
      <c r="P340" s="126">
        <v>46209.684988425899</v>
      </c>
    </row>
    <row r="341" spans="1:16" ht="15.75" customHeight="1">
      <c r="A341" s="126">
        <v>46230.015752314801</v>
      </c>
      <c r="B341" s="7">
        <v>12</v>
      </c>
      <c r="C341" s="7">
        <v>669</v>
      </c>
      <c r="D341" s="7"/>
      <c r="E341" s="7" t="s">
        <v>928</v>
      </c>
      <c r="F341" s="7" t="s">
        <v>707</v>
      </c>
      <c r="G341" s="7">
        <v>180</v>
      </c>
      <c r="H341" s="7" t="s">
        <v>880</v>
      </c>
      <c r="I341" s="7" t="s">
        <v>874</v>
      </c>
      <c r="J341" s="7"/>
      <c r="M341" s="7"/>
      <c r="N341" s="7" t="s">
        <v>875</v>
      </c>
      <c r="O341" s="126"/>
      <c r="P341" s="126"/>
    </row>
    <row r="342" spans="1:16" ht="15.75" customHeight="1">
      <c r="A342" s="126">
        <v>46230.015752314801</v>
      </c>
      <c r="B342" s="7">
        <v>12</v>
      </c>
      <c r="C342" s="7">
        <v>669</v>
      </c>
      <c r="D342" s="7"/>
      <c r="E342" s="7" t="s">
        <v>928</v>
      </c>
      <c r="F342" s="7" t="s">
        <v>707</v>
      </c>
      <c r="G342" s="7">
        <v>175</v>
      </c>
      <c r="H342" s="7" t="s">
        <v>881</v>
      </c>
      <c r="I342" s="7" t="s">
        <v>878</v>
      </c>
      <c r="J342" s="7" t="s">
        <v>882</v>
      </c>
      <c r="M342" s="7">
        <v>100</v>
      </c>
      <c r="N342" s="7">
        <v>100</v>
      </c>
      <c r="O342" s="126">
        <v>46214.526377314804</v>
      </c>
      <c r="P342" s="126">
        <v>46214.526377314804</v>
      </c>
    </row>
    <row r="343" spans="1:16" ht="15.75" customHeight="1">
      <c r="A343" s="126">
        <v>46230.015752314801</v>
      </c>
      <c r="B343" s="7">
        <v>12</v>
      </c>
      <c r="C343" s="7">
        <v>669</v>
      </c>
      <c r="D343" s="7"/>
      <c r="E343" s="7" t="s">
        <v>928</v>
      </c>
      <c r="F343" s="7" t="s">
        <v>707</v>
      </c>
      <c r="G343" s="7">
        <v>177</v>
      </c>
      <c r="H343" s="7" t="s">
        <v>883</v>
      </c>
      <c r="I343" s="7" t="s">
        <v>878</v>
      </c>
      <c r="J343" s="7" t="s">
        <v>882</v>
      </c>
      <c r="M343" s="7"/>
      <c r="N343" s="7" t="s">
        <v>875</v>
      </c>
      <c r="P343" s="126"/>
    </row>
    <row r="344" spans="1:16" ht="15.75" customHeight="1">
      <c r="A344" s="126">
        <v>46230.015752314801</v>
      </c>
      <c r="B344" s="7">
        <v>12</v>
      </c>
      <c r="C344" s="7">
        <v>669</v>
      </c>
      <c r="D344" s="7"/>
      <c r="E344" s="7" t="s">
        <v>928</v>
      </c>
      <c r="F344" s="7" t="s">
        <v>707</v>
      </c>
      <c r="G344" s="7">
        <v>176</v>
      </c>
      <c r="H344" s="7" t="s">
        <v>884</v>
      </c>
      <c r="I344" s="7" t="s">
        <v>878</v>
      </c>
      <c r="J344" s="7" t="s">
        <v>882</v>
      </c>
      <c r="M344" s="7">
        <v>100</v>
      </c>
      <c r="N344" s="7">
        <v>100</v>
      </c>
      <c r="O344" s="126">
        <v>46224.863090277802</v>
      </c>
      <c r="P344" s="126">
        <v>46224.863090277802</v>
      </c>
    </row>
    <row r="345" spans="1:16" ht="15.75" customHeight="1">
      <c r="A345" s="126">
        <v>46230.015752314801</v>
      </c>
      <c r="B345" s="7">
        <v>12</v>
      </c>
      <c r="C345" s="7">
        <v>669</v>
      </c>
      <c r="D345" s="7"/>
      <c r="E345" s="7" t="s">
        <v>928</v>
      </c>
      <c r="F345" s="7" t="s">
        <v>707</v>
      </c>
      <c r="G345" s="7">
        <v>168</v>
      </c>
      <c r="H345" s="7" t="s">
        <v>885</v>
      </c>
      <c r="I345" s="7" t="s">
        <v>886</v>
      </c>
      <c r="J345" s="7"/>
      <c r="M345" s="7">
        <v>100</v>
      </c>
      <c r="N345" s="7">
        <v>100</v>
      </c>
      <c r="P345" s="126">
        <v>46209.684988425899</v>
      </c>
    </row>
    <row r="346" spans="1:16" ht="15.75" customHeight="1">
      <c r="A346" s="126">
        <v>46230.015752314801</v>
      </c>
      <c r="B346" s="7">
        <v>12</v>
      </c>
      <c r="C346" s="7">
        <v>664</v>
      </c>
      <c r="D346" s="7"/>
      <c r="E346" s="7" t="s">
        <v>929</v>
      </c>
      <c r="F346" s="7" t="s">
        <v>22</v>
      </c>
      <c r="G346" s="7">
        <v>181</v>
      </c>
      <c r="H346" s="7" t="s">
        <v>873</v>
      </c>
      <c r="I346" s="7" t="s">
        <v>874</v>
      </c>
      <c r="J346" s="7"/>
      <c r="M346" s="7"/>
      <c r="N346" s="7" t="s">
        <v>875</v>
      </c>
      <c r="P346" s="126"/>
    </row>
    <row r="347" spans="1:16" ht="15.75" customHeight="1">
      <c r="A347" s="126">
        <v>46230.015752314801</v>
      </c>
      <c r="B347" s="7">
        <v>12</v>
      </c>
      <c r="C347" s="7">
        <v>664</v>
      </c>
      <c r="D347" s="7"/>
      <c r="E347" s="7" t="s">
        <v>929</v>
      </c>
      <c r="F347" s="7" t="s">
        <v>22</v>
      </c>
      <c r="G347" s="7">
        <v>182</v>
      </c>
      <c r="H347" s="7" t="s">
        <v>876</v>
      </c>
      <c r="I347" s="7" t="s">
        <v>874</v>
      </c>
      <c r="J347" s="7"/>
      <c r="M347" s="7"/>
      <c r="N347" s="7" t="s">
        <v>875</v>
      </c>
      <c r="P347" s="126"/>
    </row>
    <row r="348" spans="1:16" ht="15.75" customHeight="1">
      <c r="A348" s="126">
        <v>46230.015752314801</v>
      </c>
      <c r="B348" s="7">
        <v>12</v>
      </c>
      <c r="C348" s="7">
        <v>664</v>
      </c>
      <c r="D348" s="7"/>
      <c r="E348" s="7" t="s">
        <v>929</v>
      </c>
      <c r="F348" s="7" t="s">
        <v>22</v>
      </c>
      <c r="G348" s="7">
        <v>174</v>
      </c>
      <c r="H348" s="7" t="s">
        <v>877</v>
      </c>
      <c r="I348" s="7" t="s">
        <v>878</v>
      </c>
      <c r="J348" s="7" t="s">
        <v>879</v>
      </c>
      <c r="M348" s="7">
        <v>100</v>
      </c>
      <c r="N348" s="7">
        <v>100</v>
      </c>
      <c r="O348" s="126"/>
      <c r="P348" s="126">
        <v>46209.706967592603</v>
      </c>
    </row>
    <row r="349" spans="1:16" ht="15.75" customHeight="1">
      <c r="A349" s="126">
        <v>46230.015752314801</v>
      </c>
      <c r="B349" s="7">
        <v>12</v>
      </c>
      <c r="C349" s="7">
        <v>664</v>
      </c>
      <c r="D349" s="7"/>
      <c r="E349" s="7" t="s">
        <v>929</v>
      </c>
      <c r="F349" s="7" t="s">
        <v>22</v>
      </c>
      <c r="G349" s="7">
        <v>180</v>
      </c>
      <c r="H349" s="7" t="s">
        <v>880</v>
      </c>
      <c r="I349" s="7" t="s">
        <v>874</v>
      </c>
      <c r="J349" s="7"/>
      <c r="M349" s="7"/>
      <c r="N349" s="7" t="s">
        <v>875</v>
      </c>
      <c r="P349" s="126"/>
    </row>
    <row r="350" spans="1:16" ht="15.75" customHeight="1">
      <c r="A350" s="126">
        <v>46230.015752314801</v>
      </c>
      <c r="B350" s="7">
        <v>12</v>
      </c>
      <c r="C350" s="7">
        <v>664</v>
      </c>
      <c r="D350" s="7"/>
      <c r="E350" s="7" t="s">
        <v>929</v>
      </c>
      <c r="F350" s="7" t="s">
        <v>22</v>
      </c>
      <c r="G350" s="7">
        <v>175</v>
      </c>
      <c r="H350" s="7" t="s">
        <v>881</v>
      </c>
      <c r="I350" s="7" t="s">
        <v>878</v>
      </c>
      <c r="J350" s="7" t="s">
        <v>882</v>
      </c>
      <c r="M350" s="7">
        <v>100</v>
      </c>
      <c r="N350" s="7">
        <v>100</v>
      </c>
      <c r="O350" s="126">
        <v>46225.922719907401</v>
      </c>
      <c r="P350" s="126">
        <v>46225.922719907401</v>
      </c>
    </row>
    <row r="351" spans="1:16" ht="15.75" customHeight="1">
      <c r="A351" s="126">
        <v>46230.015752314801</v>
      </c>
      <c r="B351" s="7">
        <v>12</v>
      </c>
      <c r="C351" s="7">
        <v>664</v>
      </c>
      <c r="D351" s="7"/>
      <c r="E351" s="7" t="s">
        <v>929</v>
      </c>
      <c r="F351" s="7" t="s">
        <v>22</v>
      </c>
      <c r="G351" s="7">
        <v>177</v>
      </c>
      <c r="H351" s="7" t="s">
        <v>883</v>
      </c>
      <c r="I351" s="7" t="s">
        <v>878</v>
      </c>
      <c r="J351" s="7" t="s">
        <v>882</v>
      </c>
      <c r="M351" s="7"/>
      <c r="N351" s="7" t="s">
        <v>875</v>
      </c>
      <c r="O351" s="126"/>
      <c r="P351" s="126"/>
    </row>
    <row r="352" spans="1:16" ht="15.75" customHeight="1">
      <c r="A352" s="126">
        <v>46230.015752314801</v>
      </c>
      <c r="B352" s="7">
        <v>12</v>
      </c>
      <c r="C352" s="7">
        <v>664</v>
      </c>
      <c r="D352" s="7"/>
      <c r="E352" s="7" t="s">
        <v>929</v>
      </c>
      <c r="F352" s="7" t="s">
        <v>22</v>
      </c>
      <c r="G352" s="7">
        <v>176</v>
      </c>
      <c r="H352" s="7" t="s">
        <v>884</v>
      </c>
      <c r="I352" s="7" t="s">
        <v>878</v>
      </c>
      <c r="J352" s="7" t="s">
        <v>882</v>
      </c>
      <c r="M352" s="7">
        <v>100</v>
      </c>
      <c r="N352" s="7">
        <v>100</v>
      </c>
      <c r="O352" s="126">
        <v>46225.924340277801</v>
      </c>
      <c r="P352" s="126">
        <v>46225.924340277801</v>
      </c>
    </row>
    <row r="353" spans="1:16" ht="15.75" customHeight="1">
      <c r="A353" s="126">
        <v>46230.015752314801</v>
      </c>
      <c r="B353" s="7">
        <v>12</v>
      </c>
      <c r="C353" s="7">
        <v>664</v>
      </c>
      <c r="D353" s="7"/>
      <c r="E353" s="7" t="s">
        <v>929</v>
      </c>
      <c r="F353" s="7" t="s">
        <v>22</v>
      </c>
      <c r="G353" s="7">
        <v>168</v>
      </c>
      <c r="H353" s="7" t="s">
        <v>885</v>
      </c>
      <c r="I353" s="7" t="s">
        <v>886</v>
      </c>
      <c r="J353" s="7"/>
      <c r="M353" s="7">
        <v>100</v>
      </c>
      <c r="N353" s="7">
        <v>100</v>
      </c>
      <c r="P353" s="126">
        <v>46209.706967592603</v>
      </c>
    </row>
    <row r="354" spans="1:16" ht="15.75" customHeight="1">
      <c r="A354" s="126">
        <v>46230.015752314801</v>
      </c>
      <c r="B354" s="7">
        <v>12</v>
      </c>
      <c r="C354" s="7">
        <v>649</v>
      </c>
      <c r="D354" s="7"/>
      <c r="E354" s="7" t="s">
        <v>930</v>
      </c>
      <c r="F354" s="7" t="s">
        <v>670</v>
      </c>
      <c r="G354" s="7">
        <v>181</v>
      </c>
      <c r="H354" s="7" t="s">
        <v>873</v>
      </c>
      <c r="I354" s="7" t="s">
        <v>874</v>
      </c>
      <c r="J354" s="7"/>
      <c r="M354" s="7"/>
      <c r="N354" s="7" t="s">
        <v>875</v>
      </c>
      <c r="P354" s="126"/>
    </row>
    <row r="355" spans="1:16" ht="15.75" customHeight="1">
      <c r="A355" s="126">
        <v>46230.015752314801</v>
      </c>
      <c r="B355" s="7">
        <v>12</v>
      </c>
      <c r="C355" s="7">
        <v>649</v>
      </c>
      <c r="D355" s="7"/>
      <c r="E355" s="7" t="s">
        <v>930</v>
      </c>
      <c r="F355" s="7" t="s">
        <v>670</v>
      </c>
      <c r="G355" s="7">
        <v>182</v>
      </c>
      <c r="H355" s="7" t="s">
        <v>876</v>
      </c>
      <c r="I355" s="7" t="s">
        <v>874</v>
      </c>
      <c r="J355" s="7"/>
      <c r="M355" s="7"/>
      <c r="N355" s="7" t="s">
        <v>875</v>
      </c>
      <c r="P355" s="126"/>
    </row>
    <row r="356" spans="1:16" ht="15.75" customHeight="1">
      <c r="A356" s="126">
        <v>46230.015752314801</v>
      </c>
      <c r="B356" s="7">
        <v>12</v>
      </c>
      <c r="C356" s="7">
        <v>649</v>
      </c>
      <c r="D356" s="7"/>
      <c r="E356" s="7" t="s">
        <v>930</v>
      </c>
      <c r="F356" s="7" t="s">
        <v>670</v>
      </c>
      <c r="G356" s="7">
        <v>174</v>
      </c>
      <c r="H356" s="7" t="s">
        <v>877</v>
      </c>
      <c r="I356" s="7" t="s">
        <v>878</v>
      </c>
      <c r="J356" s="7" t="s">
        <v>879</v>
      </c>
      <c r="M356" s="7">
        <v>100</v>
      </c>
      <c r="N356" s="7">
        <v>100</v>
      </c>
      <c r="O356" s="126"/>
      <c r="P356" s="126">
        <v>46209.706932870402</v>
      </c>
    </row>
    <row r="357" spans="1:16" ht="15.75" customHeight="1">
      <c r="A357" s="126">
        <v>46230.015752314801</v>
      </c>
      <c r="B357" s="7">
        <v>12</v>
      </c>
      <c r="C357" s="7">
        <v>649</v>
      </c>
      <c r="D357" s="7"/>
      <c r="E357" s="7" t="s">
        <v>930</v>
      </c>
      <c r="F357" s="7" t="s">
        <v>670</v>
      </c>
      <c r="G357" s="7">
        <v>180</v>
      </c>
      <c r="H357" s="7" t="s">
        <v>880</v>
      </c>
      <c r="I357" s="7" t="s">
        <v>874</v>
      </c>
      <c r="J357" s="7"/>
      <c r="M357" s="7"/>
      <c r="N357" s="7" t="s">
        <v>875</v>
      </c>
      <c r="O357" s="126"/>
      <c r="P357" s="126"/>
    </row>
    <row r="358" spans="1:16" ht="15.75" customHeight="1">
      <c r="A358" s="126">
        <v>46230.015752314801</v>
      </c>
      <c r="B358" s="7">
        <v>12</v>
      </c>
      <c r="C358" s="7">
        <v>649</v>
      </c>
      <c r="D358" s="7"/>
      <c r="E358" s="7" t="s">
        <v>930</v>
      </c>
      <c r="F358" s="7" t="s">
        <v>670</v>
      </c>
      <c r="G358" s="7">
        <v>175</v>
      </c>
      <c r="H358" s="7" t="s">
        <v>881</v>
      </c>
      <c r="I358" s="7" t="s">
        <v>878</v>
      </c>
      <c r="J358" s="7" t="s">
        <v>882</v>
      </c>
      <c r="M358" s="7">
        <v>100</v>
      </c>
      <c r="N358" s="7">
        <v>100</v>
      </c>
      <c r="O358" s="126">
        <v>46214.661956018499</v>
      </c>
      <c r="P358" s="126">
        <v>46214.661956018499</v>
      </c>
    </row>
    <row r="359" spans="1:16" ht="15.75" customHeight="1">
      <c r="A359" s="126">
        <v>46230.015752314801</v>
      </c>
      <c r="B359" s="7">
        <v>12</v>
      </c>
      <c r="C359" s="7">
        <v>649</v>
      </c>
      <c r="D359" s="7"/>
      <c r="E359" s="7" t="s">
        <v>930</v>
      </c>
      <c r="F359" s="7" t="s">
        <v>670</v>
      </c>
      <c r="G359" s="7">
        <v>177</v>
      </c>
      <c r="H359" s="7" t="s">
        <v>883</v>
      </c>
      <c r="I359" s="7" t="s">
        <v>878</v>
      </c>
      <c r="J359" s="7" t="s">
        <v>882</v>
      </c>
      <c r="M359" s="7"/>
      <c r="N359" s="7" t="s">
        <v>875</v>
      </c>
      <c r="O359" s="126"/>
      <c r="P359" s="126"/>
    </row>
    <row r="360" spans="1:16" ht="15.75" customHeight="1">
      <c r="A360" s="126">
        <v>46230.015752314801</v>
      </c>
      <c r="B360" s="7">
        <v>12</v>
      </c>
      <c r="C360" s="7">
        <v>649</v>
      </c>
      <c r="D360" s="7"/>
      <c r="E360" s="7" t="s">
        <v>930</v>
      </c>
      <c r="F360" s="7" t="s">
        <v>670</v>
      </c>
      <c r="G360" s="7">
        <v>176</v>
      </c>
      <c r="H360" s="7" t="s">
        <v>884</v>
      </c>
      <c r="I360" s="7" t="s">
        <v>878</v>
      </c>
      <c r="J360" s="7" t="s">
        <v>882</v>
      </c>
      <c r="M360" s="7">
        <v>100</v>
      </c>
      <c r="N360" s="7">
        <v>100</v>
      </c>
      <c r="O360" s="126">
        <v>46223.922303240703</v>
      </c>
      <c r="P360" s="126">
        <v>46223.922303240703</v>
      </c>
    </row>
    <row r="361" spans="1:16" ht="15.75" customHeight="1">
      <c r="A361" s="126">
        <v>46230.015752314801</v>
      </c>
      <c r="B361" s="7">
        <v>12</v>
      </c>
      <c r="C361" s="7">
        <v>649</v>
      </c>
      <c r="D361" s="7"/>
      <c r="E361" s="7" t="s">
        <v>930</v>
      </c>
      <c r="F361" s="7" t="s">
        <v>670</v>
      </c>
      <c r="G361" s="7">
        <v>168</v>
      </c>
      <c r="H361" s="7" t="s">
        <v>885</v>
      </c>
      <c r="I361" s="7" t="s">
        <v>886</v>
      </c>
      <c r="M361" s="7">
        <v>100</v>
      </c>
      <c r="N361" s="7">
        <v>100</v>
      </c>
      <c r="P361" s="126">
        <v>46209.706932870402</v>
      </c>
    </row>
    <row r="362" spans="1:16" ht="15.75" customHeight="1">
      <c r="A362" s="126">
        <v>46230.015752314801</v>
      </c>
      <c r="B362" s="7">
        <v>12</v>
      </c>
      <c r="C362" s="7">
        <v>728</v>
      </c>
      <c r="D362" s="7"/>
      <c r="E362" s="7" t="s">
        <v>931</v>
      </c>
      <c r="F362" s="7" t="s">
        <v>435</v>
      </c>
      <c r="G362" s="7">
        <v>181</v>
      </c>
      <c r="H362" s="7" t="s">
        <v>873</v>
      </c>
      <c r="I362" s="7" t="s">
        <v>874</v>
      </c>
      <c r="J362" s="7"/>
      <c r="M362" s="7"/>
      <c r="N362" s="7" t="s">
        <v>875</v>
      </c>
      <c r="P362" s="126"/>
    </row>
    <row r="363" spans="1:16" ht="15.75" customHeight="1">
      <c r="A363" s="126">
        <v>46230.015752314801</v>
      </c>
      <c r="B363" s="7">
        <v>12</v>
      </c>
      <c r="C363" s="7">
        <v>728</v>
      </c>
      <c r="D363" s="7"/>
      <c r="E363" s="7" t="s">
        <v>931</v>
      </c>
      <c r="F363" s="7" t="s">
        <v>435</v>
      </c>
      <c r="G363" s="7">
        <v>182</v>
      </c>
      <c r="H363" s="7" t="s">
        <v>876</v>
      </c>
      <c r="I363" s="7" t="s">
        <v>874</v>
      </c>
      <c r="J363" s="7"/>
      <c r="M363" s="7"/>
      <c r="N363" s="7" t="s">
        <v>875</v>
      </c>
      <c r="O363" s="126"/>
      <c r="P363" s="126"/>
    </row>
    <row r="364" spans="1:16" ht="15.75" customHeight="1">
      <c r="A364" s="126">
        <v>46230.015752314801</v>
      </c>
      <c r="B364" s="7">
        <v>12</v>
      </c>
      <c r="C364" s="7">
        <v>728</v>
      </c>
      <c r="D364" s="7"/>
      <c r="E364" s="7" t="s">
        <v>931</v>
      </c>
      <c r="F364" s="7" t="s">
        <v>435</v>
      </c>
      <c r="G364" s="7">
        <v>174</v>
      </c>
      <c r="H364" s="7" t="s">
        <v>877</v>
      </c>
      <c r="I364" s="7" t="s">
        <v>878</v>
      </c>
      <c r="J364" s="7" t="s">
        <v>879</v>
      </c>
      <c r="M364" s="7">
        <v>100</v>
      </c>
      <c r="N364" s="7">
        <v>100</v>
      </c>
      <c r="O364" s="126"/>
      <c r="P364" s="126">
        <v>46209.706967592603</v>
      </c>
    </row>
    <row r="365" spans="1:16" ht="15.75" customHeight="1">
      <c r="A365" s="126">
        <v>46230.015752314801</v>
      </c>
      <c r="B365" s="7">
        <v>12</v>
      </c>
      <c r="C365" s="7">
        <v>728</v>
      </c>
      <c r="D365" s="7"/>
      <c r="E365" s="7" t="s">
        <v>931</v>
      </c>
      <c r="F365" s="7" t="s">
        <v>435</v>
      </c>
      <c r="G365" s="7">
        <v>180</v>
      </c>
      <c r="H365" s="7" t="s">
        <v>880</v>
      </c>
      <c r="I365" s="7" t="s">
        <v>874</v>
      </c>
      <c r="J365" s="7"/>
      <c r="M365" s="7"/>
      <c r="N365" s="7" t="s">
        <v>875</v>
      </c>
      <c r="O365" s="126"/>
      <c r="P365" s="126"/>
    </row>
    <row r="366" spans="1:16" ht="15.75" customHeight="1">
      <c r="A366" s="126">
        <v>46230.015752314801</v>
      </c>
      <c r="B366" s="7">
        <v>12</v>
      </c>
      <c r="C366" s="7">
        <v>728</v>
      </c>
      <c r="D366" s="7"/>
      <c r="E366" s="7" t="s">
        <v>931</v>
      </c>
      <c r="F366" s="7" t="s">
        <v>435</v>
      </c>
      <c r="G366" s="7">
        <v>175</v>
      </c>
      <c r="H366" s="7" t="s">
        <v>881</v>
      </c>
      <c r="I366" s="7" t="s">
        <v>878</v>
      </c>
      <c r="J366" s="7" t="s">
        <v>882</v>
      </c>
      <c r="M366" s="7">
        <v>100</v>
      </c>
      <c r="N366" s="7">
        <v>100</v>
      </c>
      <c r="O366" s="126">
        <v>46214.849814814799</v>
      </c>
      <c r="P366" s="126">
        <v>46214.849814814799</v>
      </c>
    </row>
    <row r="367" spans="1:16" ht="15.75" customHeight="1">
      <c r="A367" s="126">
        <v>46230.015752314801</v>
      </c>
      <c r="B367" s="7">
        <v>12</v>
      </c>
      <c r="C367" s="7">
        <v>728</v>
      </c>
      <c r="D367" s="7"/>
      <c r="E367" s="7" t="s">
        <v>931</v>
      </c>
      <c r="F367" s="7" t="s">
        <v>435</v>
      </c>
      <c r="G367" s="7">
        <v>177</v>
      </c>
      <c r="H367" s="7" t="s">
        <v>883</v>
      </c>
      <c r="I367" s="7" t="s">
        <v>878</v>
      </c>
      <c r="J367" s="7" t="s">
        <v>882</v>
      </c>
      <c r="M367" s="7"/>
      <c r="N367" s="7" t="s">
        <v>875</v>
      </c>
      <c r="P367" s="126"/>
    </row>
    <row r="368" spans="1:16" ht="15.75" customHeight="1">
      <c r="A368" s="126">
        <v>46230.015752314801</v>
      </c>
      <c r="B368" s="7">
        <v>12</v>
      </c>
      <c r="C368" s="7">
        <v>728</v>
      </c>
      <c r="D368" s="7"/>
      <c r="E368" s="7" t="s">
        <v>931</v>
      </c>
      <c r="F368" s="7" t="s">
        <v>435</v>
      </c>
      <c r="G368" s="7">
        <v>176</v>
      </c>
      <c r="H368" s="7" t="s">
        <v>884</v>
      </c>
      <c r="I368" s="7" t="s">
        <v>878</v>
      </c>
      <c r="J368" s="7" t="s">
        <v>882</v>
      </c>
      <c r="M368" s="7">
        <v>100</v>
      </c>
      <c r="N368" s="7">
        <v>100</v>
      </c>
      <c r="O368" s="126">
        <v>46225.781493055598</v>
      </c>
      <c r="P368" s="126">
        <v>46225.781493055598</v>
      </c>
    </row>
    <row r="369" spans="1:16" ht="15.75" customHeight="1">
      <c r="A369" s="126">
        <v>46230.015752314801</v>
      </c>
      <c r="B369" s="7">
        <v>12</v>
      </c>
      <c r="C369" s="7">
        <v>728</v>
      </c>
      <c r="D369" s="7"/>
      <c r="E369" s="7" t="s">
        <v>931</v>
      </c>
      <c r="F369" s="7" t="s">
        <v>435</v>
      </c>
      <c r="G369" s="7">
        <v>168</v>
      </c>
      <c r="H369" s="7" t="s">
        <v>885</v>
      </c>
      <c r="I369" s="7" t="s">
        <v>886</v>
      </c>
      <c r="J369" s="7"/>
      <c r="M369" s="7">
        <v>100</v>
      </c>
      <c r="N369" s="7">
        <v>100</v>
      </c>
      <c r="O369" s="126"/>
      <c r="P369" s="126">
        <v>46209.706967592603</v>
      </c>
    </row>
    <row r="370" spans="1:16" ht="15.75" customHeight="1">
      <c r="A370" s="126">
        <v>46230.015752314801</v>
      </c>
      <c r="B370" s="7">
        <v>12</v>
      </c>
      <c r="C370" s="7">
        <v>598</v>
      </c>
      <c r="D370" s="7"/>
      <c r="E370" s="7" t="s">
        <v>932</v>
      </c>
      <c r="F370" s="7" t="s">
        <v>377</v>
      </c>
      <c r="G370" s="7">
        <v>181</v>
      </c>
      <c r="H370" s="7" t="s">
        <v>873</v>
      </c>
      <c r="I370" s="7" t="s">
        <v>874</v>
      </c>
      <c r="J370" s="7"/>
      <c r="M370" s="7"/>
      <c r="N370" s="7" t="s">
        <v>875</v>
      </c>
      <c r="O370" s="126"/>
      <c r="P370" s="126"/>
    </row>
    <row r="371" spans="1:16" ht="15.75" customHeight="1">
      <c r="A371" s="126">
        <v>46230.015752314801</v>
      </c>
      <c r="B371" s="7">
        <v>12</v>
      </c>
      <c r="C371" s="7">
        <v>598</v>
      </c>
      <c r="D371" s="7"/>
      <c r="E371" s="7" t="s">
        <v>932</v>
      </c>
      <c r="F371" s="7" t="s">
        <v>377</v>
      </c>
      <c r="G371" s="7">
        <v>182</v>
      </c>
      <c r="H371" s="7" t="s">
        <v>876</v>
      </c>
      <c r="I371" s="7" t="s">
        <v>874</v>
      </c>
      <c r="J371" s="7"/>
      <c r="M371" s="7"/>
      <c r="N371" s="7" t="s">
        <v>875</v>
      </c>
      <c r="P371" s="126"/>
    </row>
    <row r="372" spans="1:16" ht="15.75" customHeight="1">
      <c r="A372" s="126">
        <v>46230.015752314801</v>
      </c>
      <c r="B372" s="7">
        <v>12</v>
      </c>
      <c r="C372" s="7">
        <v>598</v>
      </c>
      <c r="D372" s="7"/>
      <c r="E372" s="7" t="s">
        <v>932</v>
      </c>
      <c r="F372" s="7" t="s">
        <v>377</v>
      </c>
      <c r="G372" s="7">
        <v>174</v>
      </c>
      <c r="H372" s="7" t="s">
        <v>877</v>
      </c>
      <c r="I372" s="7" t="s">
        <v>878</v>
      </c>
      <c r="J372" s="7" t="s">
        <v>879</v>
      </c>
      <c r="M372" s="7">
        <v>100</v>
      </c>
      <c r="N372" s="7">
        <v>100</v>
      </c>
      <c r="P372" s="126">
        <v>46209.703993055598</v>
      </c>
    </row>
    <row r="373" spans="1:16" ht="15.75" customHeight="1">
      <c r="A373" s="126">
        <v>46230.015752314801</v>
      </c>
      <c r="B373" s="7">
        <v>12</v>
      </c>
      <c r="C373" s="7">
        <v>598</v>
      </c>
      <c r="D373" s="7"/>
      <c r="E373" s="7" t="s">
        <v>932</v>
      </c>
      <c r="F373" s="7" t="s">
        <v>377</v>
      </c>
      <c r="G373" s="7">
        <v>180</v>
      </c>
      <c r="H373" s="7" t="s">
        <v>880</v>
      </c>
      <c r="I373" s="7" t="s">
        <v>874</v>
      </c>
      <c r="J373" s="7"/>
      <c r="M373" s="7"/>
      <c r="N373" s="7" t="s">
        <v>875</v>
      </c>
      <c r="O373" s="126"/>
      <c r="P373" s="126"/>
    </row>
    <row r="374" spans="1:16" ht="15.75" customHeight="1">
      <c r="A374" s="126">
        <v>46230.015752314801</v>
      </c>
      <c r="B374" s="7">
        <v>12</v>
      </c>
      <c r="C374" s="7">
        <v>598</v>
      </c>
      <c r="D374" s="7"/>
      <c r="E374" s="7" t="s">
        <v>932</v>
      </c>
      <c r="F374" s="7" t="s">
        <v>377</v>
      </c>
      <c r="G374" s="7">
        <v>175</v>
      </c>
      <c r="H374" s="7" t="s">
        <v>881</v>
      </c>
      <c r="I374" s="7" t="s">
        <v>878</v>
      </c>
      <c r="J374" s="7" t="s">
        <v>882</v>
      </c>
      <c r="M374" s="7">
        <v>87.5</v>
      </c>
      <c r="N374" s="7">
        <v>87.5</v>
      </c>
      <c r="O374" s="126">
        <v>46215.845937500002</v>
      </c>
      <c r="P374" s="126">
        <v>46215.845937500002</v>
      </c>
    </row>
    <row r="375" spans="1:16" ht="15.75" customHeight="1">
      <c r="A375" s="126">
        <v>46230.015752314801</v>
      </c>
      <c r="B375" s="7">
        <v>12</v>
      </c>
      <c r="C375" s="7">
        <v>598</v>
      </c>
      <c r="D375" s="7"/>
      <c r="E375" s="7" t="s">
        <v>932</v>
      </c>
      <c r="F375" s="7" t="s">
        <v>377</v>
      </c>
      <c r="G375" s="7">
        <v>177</v>
      </c>
      <c r="H375" s="7" t="s">
        <v>883</v>
      </c>
      <c r="I375" s="7" t="s">
        <v>878</v>
      </c>
      <c r="J375" s="7" t="s">
        <v>882</v>
      </c>
      <c r="M375" s="7"/>
      <c r="N375" s="7" t="s">
        <v>875</v>
      </c>
      <c r="O375" s="126"/>
      <c r="P375" s="126"/>
    </row>
    <row r="376" spans="1:16" ht="15.75" customHeight="1">
      <c r="A376" s="126">
        <v>46230.015752314801</v>
      </c>
      <c r="B376" s="7">
        <v>12</v>
      </c>
      <c r="C376" s="7">
        <v>598</v>
      </c>
      <c r="D376" s="7"/>
      <c r="E376" s="7" t="s">
        <v>932</v>
      </c>
      <c r="F376" s="7" t="s">
        <v>377</v>
      </c>
      <c r="G376" s="7">
        <v>176</v>
      </c>
      <c r="H376" s="7" t="s">
        <v>884</v>
      </c>
      <c r="I376" s="7" t="s">
        <v>878</v>
      </c>
      <c r="J376" s="7" t="s">
        <v>882</v>
      </c>
      <c r="M376" s="7">
        <v>100</v>
      </c>
      <c r="N376" s="7">
        <v>100</v>
      </c>
      <c r="O376" s="126">
        <v>46223.842395833301</v>
      </c>
      <c r="P376" s="126">
        <v>46223.842395833301</v>
      </c>
    </row>
    <row r="377" spans="1:16" ht="15.75" customHeight="1">
      <c r="A377" s="126">
        <v>46230.015752314801</v>
      </c>
      <c r="B377" s="7">
        <v>12</v>
      </c>
      <c r="C377" s="7">
        <v>598</v>
      </c>
      <c r="D377" s="7"/>
      <c r="E377" s="7" t="s">
        <v>932</v>
      </c>
      <c r="F377" s="7" t="s">
        <v>377</v>
      </c>
      <c r="G377" s="7">
        <v>168</v>
      </c>
      <c r="H377" s="7" t="s">
        <v>885</v>
      </c>
      <c r="I377" s="7" t="s">
        <v>886</v>
      </c>
      <c r="J377" s="7"/>
      <c r="M377" s="7">
        <v>100</v>
      </c>
      <c r="N377" s="7">
        <v>100</v>
      </c>
      <c r="O377" s="126"/>
      <c r="P377" s="126">
        <v>46209.703993055598</v>
      </c>
    </row>
    <row r="378" spans="1:16" ht="15.75" customHeight="1">
      <c r="A378" s="126">
        <v>46230.015752314801</v>
      </c>
      <c r="B378" s="7">
        <v>12</v>
      </c>
      <c r="C378" s="7">
        <v>652</v>
      </c>
      <c r="D378" s="7"/>
      <c r="E378" s="7" t="s">
        <v>933</v>
      </c>
      <c r="F378" s="7" t="s">
        <v>754</v>
      </c>
      <c r="G378" s="7">
        <v>181</v>
      </c>
      <c r="H378" s="7" t="s">
        <v>873</v>
      </c>
      <c r="I378" s="7" t="s">
        <v>874</v>
      </c>
      <c r="J378" s="7"/>
      <c r="M378" s="7"/>
      <c r="N378" s="7" t="s">
        <v>875</v>
      </c>
      <c r="O378" s="126"/>
      <c r="P378" s="126"/>
    </row>
    <row r="379" spans="1:16" ht="15.75" customHeight="1">
      <c r="A379" s="126">
        <v>46230.015752314801</v>
      </c>
      <c r="B379" s="7">
        <v>12</v>
      </c>
      <c r="C379" s="7">
        <v>652</v>
      </c>
      <c r="D379" s="7"/>
      <c r="E379" s="7" t="s">
        <v>933</v>
      </c>
      <c r="F379" s="7" t="s">
        <v>754</v>
      </c>
      <c r="G379" s="7">
        <v>182</v>
      </c>
      <c r="H379" s="7" t="s">
        <v>876</v>
      </c>
      <c r="I379" s="7" t="s">
        <v>874</v>
      </c>
      <c r="J379" s="7"/>
      <c r="M379" s="7"/>
      <c r="N379" s="7" t="s">
        <v>875</v>
      </c>
      <c r="P379" s="126"/>
    </row>
    <row r="380" spans="1:16" ht="15.75" customHeight="1">
      <c r="A380" s="126">
        <v>46230.015752314801</v>
      </c>
      <c r="B380" s="7">
        <v>12</v>
      </c>
      <c r="C380" s="7">
        <v>652</v>
      </c>
      <c r="D380" s="7"/>
      <c r="E380" s="7" t="s">
        <v>933</v>
      </c>
      <c r="F380" s="7" t="s">
        <v>754</v>
      </c>
      <c r="G380" s="7">
        <v>174</v>
      </c>
      <c r="H380" s="7" t="s">
        <v>877</v>
      </c>
      <c r="I380" s="7" t="s">
        <v>878</v>
      </c>
      <c r="J380" s="7" t="s">
        <v>879</v>
      </c>
      <c r="M380" s="7">
        <v>100</v>
      </c>
      <c r="N380" s="7">
        <v>100</v>
      </c>
      <c r="O380" s="126"/>
      <c r="P380" s="126">
        <v>46209.685138888897</v>
      </c>
    </row>
    <row r="381" spans="1:16" ht="15.75" customHeight="1">
      <c r="A381" s="126">
        <v>46230.015752314801</v>
      </c>
      <c r="B381" s="7">
        <v>12</v>
      </c>
      <c r="C381" s="7">
        <v>652</v>
      </c>
      <c r="D381" s="7"/>
      <c r="E381" s="7" t="s">
        <v>933</v>
      </c>
      <c r="F381" s="7" t="s">
        <v>754</v>
      </c>
      <c r="G381" s="7">
        <v>180</v>
      </c>
      <c r="H381" s="7" t="s">
        <v>880</v>
      </c>
      <c r="I381" s="7" t="s">
        <v>874</v>
      </c>
      <c r="J381" s="7"/>
      <c r="M381" s="7"/>
      <c r="N381" s="7" t="s">
        <v>875</v>
      </c>
      <c r="O381" s="126"/>
      <c r="P381" s="126"/>
    </row>
    <row r="382" spans="1:16" ht="15.75" customHeight="1">
      <c r="A382" s="126">
        <v>46230.015752314801</v>
      </c>
      <c r="B382" s="7">
        <v>12</v>
      </c>
      <c r="C382" s="7">
        <v>652</v>
      </c>
      <c r="D382" s="7"/>
      <c r="E382" s="7" t="s">
        <v>933</v>
      </c>
      <c r="F382" s="7" t="s">
        <v>754</v>
      </c>
      <c r="G382" s="7">
        <v>175</v>
      </c>
      <c r="H382" s="7" t="s">
        <v>881</v>
      </c>
      <c r="I382" s="7" t="s">
        <v>878</v>
      </c>
      <c r="J382" s="7" t="s">
        <v>882</v>
      </c>
      <c r="M382" s="7">
        <v>100</v>
      </c>
      <c r="N382" s="7">
        <v>100</v>
      </c>
      <c r="O382" s="126">
        <v>46216.489571759303</v>
      </c>
      <c r="P382" s="126">
        <v>46216.489571759303</v>
      </c>
    </row>
    <row r="383" spans="1:16" ht="15.75" customHeight="1">
      <c r="A383" s="126">
        <v>46230.015752314801</v>
      </c>
      <c r="B383" s="7">
        <v>12</v>
      </c>
      <c r="C383" s="7">
        <v>652</v>
      </c>
      <c r="D383" s="7"/>
      <c r="E383" s="7" t="s">
        <v>933</v>
      </c>
      <c r="F383" s="7" t="s">
        <v>754</v>
      </c>
      <c r="G383" s="7">
        <v>177</v>
      </c>
      <c r="H383" s="7" t="s">
        <v>883</v>
      </c>
      <c r="I383" s="7" t="s">
        <v>878</v>
      </c>
      <c r="J383" s="7" t="s">
        <v>882</v>
      </c>
      <c r="M383" s="7"/>
      <c r="N383" s="7" t="s">
        <v>875</v>
      </c>
      <c r="P383" s="126"/>
    </row>
    <row r="384" spans="1:16" ht="15.75" customHeight="1">
      <c r="A384" s="126">
        <v>46230.015752314801</v>
      </c>
      <c r="B384" s="7">
        <v>12</v>
      </c>
      <c r="C384" s="7">
        <v>652</v>
      </c>
      <c r="D384" s="7"/>
      <c r="E384" s="7" t="s">
        <v>933</v>
      </c>
      <c r="F384" s="7" t="s">
        <v>754</v>
      </c>
      <c r="G384" s="7">
        <v>176</v>
      </c>
      <c r="H384" s="7" t="s">
        <v>884</v>
      </c>
      <c r="I384" s="7" t="s">
        <v>878</v>
      </c>
      <c r="J384" s="7" t="s">
        <v>882</v>
      </c>
      <c r="M384" s="7">
        <v>90</v>
      </c>
      <c r="N384" s="7">
        <v>90</v>
      </c>
      <c r="O384" s="126">
        <v>46226.504999999997</v>
      </c>
      <c r="P384" s="126">
        <v>46226.504999999997</v>
      </c>
    </row>
    <row r="385" spans="1:16" ht="15.75" customHeight="1">
      <c r="A385" s="126">
        <v>46230.015752314801</v>
      </c>
      <c r="B385" s="7">
        <v>12</v>
      </c>
      <c r="C385" s="7">
        <v>652</v>
      </c>
      <c r="D385" s="7"/>
      <c r="E385" s="7" t="s">
        <v>933</v>
      </c>
      <c r="F385" s="7" t="s">
        <v>754</v>
      </c>
      <c r="G385" s="7">
        <v>168</v>
      </c>
      <c r="H385" s="7" t="s">
        <v>885</v>
      </c>
      <c r="I385" s="7" t="s">
        <v>886</v>
      </c>
      <c r="J385" s="7"/>
      <c r="M385" s="7">
        <v>100</v>
      </c>
      <c r="N385" s="7">
        <v>100</v>
      </c>
      <c r="P385" s="126">
        <v>46209.685138888897</v>
      </c>
    </row>
    <row r="386" spans="1:16" ht="15.75" customHeight="1">
      <c r="A386" s="126">
        <v>46230.015752314801</v>
      </c>
      <c r="B386" s="7">
        <v>12</v>
      </c>
      <c r="C386" s="7">
        <v>258</v>
      </c>
      <c r="D386" s="7"/>
      <c r="E386" s="7" t="s">
        <v>934</v>
      </c>
      <c r="F386" s="7" t="s">
        <v>624</v>
      </c>
      <c r="G386" s="7">
        <v>181</v>
      </c>
      <c r="H386" s="7" t="s">
        <v>873</v>
      </c>
      <c r="I386" s="7" t="s">
        <v>874</v>
      </c>
      <c r="J386" s="7"/>
      <c r="M386" s="7"/>
      <c r="N386" s="7" t="s">
        <v>875</v>
      </c>
      <c r="O386" s="126"/>
      <c r="P386" s="126"/>
    </row>
    <row r="387" spans="1:16" ht="15.75" customHeight="1">
      <c r="A387" s="126">
        <v>46230.015752314801</v>
      </c>
      <c r="B387" s="7">
        <v>12</v>
      </c>
      <c r="C387" s="7">
        <v>258</v>
      </c>
      <c r="D387" s="7"/>
      <c r="E387" s="7" t="s">
        <v>934</v>
      </c>
      <c r="F387" s="7" t="s">
        <v>624</v>
      </c>
      <c r="G387" s="7">
        <v>182</v>
      </c>
      <c r="H387" s="7" t="s">
        <v>876</v>
      </c>
      <c r="I387" s="7" t="s">
        <v>874</v>
      </c>
      <c r="J387" s="7"/>
      <c r="M387" s="7"/>
      <c r="N387" s="7" t="s">
        <v>875</v>
      </c>
      <c r="O387" s="126"/>
      <c r="P387" s="126"/>
    </row>
    <row r="388" spans="1:16" ht="15.75" customHeight="1">
      <c r="A388" s="126">
        <v>46230.015752314801</v>
      </c>
      <c r="B388" s="7">
        <v>12</v>
      </c>
      <c r="C388" s="7">
        <v>258</v>
      </c>
      <c r="D388" s="7"/>
      <c r="E388" s="7" t="s">
        <v>934</v>
      </c>
      <c r="F388" s="7" t="s">
        <v>624</v>
      </c>
      <c r="G388" s="7">
        <v>174</v>
      </c>
      <c r="H388" s="7" t="s">
        <v>877</v>
      </c>
      <c r="I388" s="7" t="s">
        <v>878</v>
      </c>
      <c r="J388" s="7" t="s">
        <v>879</v>
      </c>
      <c r="M388" s="7">
        <v>100</v>
      </c>
      <c r="N388" s="7">
        <v>100</v>
      </c>
      <c r="O388" s="126"/>
      <c r="P388" s="126">
        <v>46209.706956018497</v>
      </c>
    </row>
    <row r="389" spans="1:16" ht="15.75" customHeight="1">
      <c r="A389" s="126">
        <v>46230.015752314801</v>
      </c>
      <c r="B389" s="7">
        <v>12</v>
      </c>
      <c r="C389" s="7">
        <v>258</v>
      </c>
      <c r="D389" s="7"/>
      <c r="E389" s="7" t="s">
        <v>934</v>
      </c>
      <c r="F389" s="7" t="s">
        <v>624</v>
      </c>
      <c r="G389" s="7">
        <v>180</v>
      </c>
      <c r="H389" s="7" t="s">
        <v>880</v>
      </c>
      <c r="I389" s="7" t="s">
        <v>874</v>
      </c>
      <c r="J389" s="7"/>
      <c r="M389" s="7"/>
      <c r="N389" s="7" t="s">
        <v>875</v>
      </c>
      <c r="O389" s="126"/>
      <c r="P389" s="126"/>
    </row>
    <row r="390" spans="1:16" ht="15.75" customHeight="1">
      <c r="A390" s="126">
        <v>46230.015752314801</v>
      </c>
      <c r="B390" s="7">
        <v>12</v>
      </c>
      <c r="C390" s="7">
        <v>258</v>
      </c>
      <c r="D390" s="7"/>
      <c r="E390" s="7" t="s">
        <v>934</v>
      </c>
      <c r="F390" s="7" t="s">
        <v>624</v>
      </c>
      <c r="G390" s="7">
        <v>175</v>
      </c>
      <c r="H390" s="7" t="s">
        <v>881</v>
      </c>
      <c r="I390" s="7" t="s">
        <v>878</v>
      </c>
      <c r="J390" s="7" t="s">
        <v>882</v>
      </c>
      <c r="M390" s="7">
        <v>100</v>
      </c>
      <c r="N390" s="7">
        <v>100</v>
      </c>
      <c r="O390" s="126">
        <v>46215.932696759301</v>
      </c>
      <c r="P390" s="126">
        <v>46215.932696759301</v>
      </c>
    </row>
    <row r="391" spans="1:16" ht="15.75" customHeight="1">
      <c r="A391" s="126">
        <v>46230.015752314801</v>
      </c>
      <c r="B391" s="7">
        <v>12</v>
      </c>
      <c r="C391" s="7">
        <v>258</v>
      </c>
      <c r="D391" s="7"/>
      <c r="E391" s="7" t="s">
        <v>934</v>
      </c>
      <c r="F391" s="7" t="s">
        <v>624</v>
      </c>
      <c r="G391" s="7">
        <v>177</v>
      </c>
      <c r="H391" s="7" t="s">
        <v>883</v>
      </c>
      <c r="I391" s="7" t="s">
        <v>878</v>
      </c>
      <c r="J391" s="7" t="s">
        <v>882</v>
      </c>
      <c r="M391" s="7"/>
      <c r="N391" s="7" t="s">
        <v>875</v>
      </c>
      <c r="P391" s="126"/>
    </row>
    <row r="392" spans="1:16" ht="15.75" customHeight="1">
      <c r="A392" s="126">
        <v>46230.015752314801</v>
      </c>
      <c r="B392" s="7">
        <v>12</v>
      </c>
      <c r="C392" s="7">
        <v>258</v>
      </c>
      <c r="E392" s="7" t="s">
        <v>934</v>
      </c>
      <c r="F392" s="7" t="s">
        <v>624</v>
      </c>
      <c r="G392" s="7">
        <v>176</v>
      </c>
      <c r="H392" s="7" t="s">
        <v>884</v>
      </c>
      <c r="I392" s="7" t="s">
        <v>878</v>
      </c>
      <c r="J392" s="7" t="s">
        <v>882</v>
      </c>
      <c r="M392" s="7">
        <v>100</v>
      </c>
      <c r="N392" s="7">
        <v>100</v>
      </c>
      <c r="O392" s="126">
        <v>46225.912233796298</v>
      </c>
      <c r="P392" s="126">
        <v>46225.912233796298</v>
      </c>
    </row>
    <row r="393" spans="1:16" ht="15.75" customHeight="1">
      <c r="A393" s="126">
        <v>46230.015752314801</v>
      </c>
      <c r="B393" s="7">
        <v>12</v>
      </c>
      <c r="C393" s="7">
        <v>258</v>
      </c>
      <c r="E393" s="7" t="s">
        <v>934</v>
      </c>
      <c r="F393" s="7" t="s">
        <v>624</v>
      </c>
      <c r="G393" s="7">
        <v>168</v>
      </c>
      <c r="H393" s="7" t="s">
        <v>885</v>
      </c>
      <c r="I393" s="7" t="s">
        <v>886</v>
      </c>
      <c r="J393" s="7"/>
      <c r="M393" s="7">
        <v>100</v>
      </c>
      <c r="N393" s="7">
        <v>100</v>
      </c>
      <c r="O393" s="126"/>
      <c r="P393" s="126">
        <v>46209.706956018497</v>
      </c>
    </row>
    <row r="394" spans="1:16" ht="15.75" customHeight="1">
      <c r="A394" s="126">
        <v>46230.015752314801</v>
      </c>
      <c r="B394" s="7">
        <v>12</v>
      </c>
      <c r="C394" s="7">
        <v>246</v>
      </c>
      <c r="E394" s="7" t="s">
        <v>935</v>
      </c>
      <c r="F394" s="7" t="s">
        <v>626</v>
      </c>
      <c r="G394" s="7">
        <v>181</v>
      </c>
      <c r="H394" s="7" t="s">
        <v>873</v>
      </c>
      <c r="I394" s="7" t="s">
        <v>874</v>
      </c>
      <c r="J394" s="7"/>
      <c r="M394" s="7"/>
      <c r="N394" s="7" t="s">
        <v>875</v>
      </c>
      <c r="O394" s="126"/>
      <c r="P394" s="126"/>
    </row>
    <row r="395" spans="1:16" ht="15.75" customHeight="1">
      <c r="A395" s="126">
        <v>46230.015752314801</v>
      </c>
      <c r="B395" s="7">
        <v>12</v>
      </c>
      <c r="C395" s="7">
        <v>246</v>
      </c>
      <c r="E395" s="7" t="s">
        <v>935</v>
      </c>
      <c r="F395" s="7" t="s">
        <v>626</v>
      </c>
      <c r="G395" s="7">
        <v>182</v>
      </c>
      <c r="H395" s="7" t="s">
        <v>876</v>
      </c>
      <c r="I395" s="7" t="s">
        <v>874</v>
      </c>
      <c r="J395" s="7"/>
      <c r="M395" s="7"/>
      <c r="N395" s="7" t="s">
        <v>875</v>
      </c>
      <c r="O395" s="126"/>
      <c r="P395" s="126"/>
    </row>
    <row r="396" spans="1:16" ht="15.75" customHeight="1">
      <c r="A396" s="126">
        <v>46230.015752314801</v>
      </c>
      <c r="B396" s="7">
        <v>12</v>
      </c>
      <c r="C396" s="7">
        <v>246</v>
      </c>
      <c r="D396" s="7"/>
      <c r="E396" s="7" t="s">
        <v>935</v>
      </c>
      <c r="F396" s="7" t="s">
        <v>626</v>
      </c>
      <c r="G396" s="7">
        <v>174</v>
      </c>
      <c r="H396" s="7" t="s">
        <v>877</v>
      </c>
      <c r="I396" s="7" t="s">
        <v>878</v>
      </c>
      <c r="J396" s="7" t="s">
        <v>879</v>
      </c>
      <c r="M396" s="7">
        <v>100</v>
      </c>
      <c r="N396" s="7">
        <v>100</v>
      </c>
      <c r="O396" s="126"/>
      <c r="P396" s="126">
        <v>46209.706956018497</v>
      </c>
    </row>
    <row r="397" spans="1:16" ht="15.75" customHeight="1">
      <c r="A397" s="126">
        <v>46230.015752314801</v>
      </c>
      <c r="B397" s="7">
        <v>12</v>
      </c>
      <c r="C397" s="7">
        <v>246</v>
      </c>
      <c r="D397" s="7"/>
      <c r="E397" s="7" t="s">
        <v>935</v>
      </c>
      <c r="F397" s="7" t="s">
        <v>626</v>
      </c>
      <c r="G397" s="7">
        <v>180</v>
      </c>
      <c r="H397" s="7" t="s">
        <v>880</v>
      </c>
      <c r="I397" s="7" t="s">
        <v>874</v>
      </c>
      <c r="J397" s="7"/>
      <c r="M397" s="7"/>
      <c r="N397" s="7" t="s">
        <v>875</v>
      </c>
      <c r="O397" s="126"/>
      <c r="P397" s="126"/>
    </row>
    <row r="398" spans="1:16" ht="15.75" customHeight="1">
      <c r="A398" s="126">
        <v>46230.015752314801</v>
      </c>
      <c r="B398" s="7">
        <v>12</v>
      </c>
      <c r="C398" s="7">
        <v>246</v>
      </c>
      <c r="E398" s="7" t="s">
        <v>935</v>
      </c>
      <c r="F398" s="7" t="s">
        <v>626</v>
      </c>
      <c r="G398" s="7">
        <v>175</v>
      </c>
      <c r="H398" s="7" t="s">
        <v>881</v>
      </c>
      <c r="I398" s="7" t="s">
        <v>878</v>
      </c>
      <c r="J398" s="7" t="s">
        <v>882</v>
      </c>
      <c r="M398" s="7">
        <v>75</v>
      </c>
      <c r="N398" s="7">
        <v>75</v>
      </c>
      <c r="O398" s="126">
        <v>46213.855057870402</v>
      </c>
      <c r="P398" s="126">
        <v>46213.855057870402</v>
      </c>
    </row>
    <row r="399" spans="1:16" ht="15.75" customHeight="1">
      <c r="A399" s="126">
        <v>46230.015752314801</v>
      </c>
      <c r="B399" s="7">
        <v>12</v>
      </c>
      <c r="C399" s="7">
        <v>246</v>
      </c>
      <c r="E399" s="7" t="s">
        <v>935</v>
      </c>
      <c r="F399" s="7" t="s">
        <v>626</v>
      </c>
      <c r="G399" s="7">
        <v>177</v>
      </c>
      <c r="H399" s="7" t="s">
        <v>883</v>
      </c>
      <c r="I399" s="7" t="s">
        <v>878</v>
      </c>
      <c r="J399" s="7" t="s">
        <v>882</v>
      </c>
      <c r="M399" s="7"/>
      <c r="N399" s="7" t="s">
        <v>875</v>
      </c>
      <c r="O399" s="126"/>
      <c r="P399" s="126"/>
    </row>
    <row r="400" spans="1:16" ht="15.75" customHeight="1">
      <c r="A400" s="126">
        <v>46230.015752314801</v>
      </c>
      <c r="B400" s="7">
        <v>12</v>
      </c>
      <c r="C400" s="7">
        <v>246</v>
      </c>
      <c r="E400" s="7" t="s">
        <v>935</v>
      </c>
      <c r="F400" s="7" t="s">
        <v>626</v>
      </c>
      <c r="G400" s="7">
        <v>176</v>
      </c>
      <c r="H400" s="7" t="s">
        <v>884</v>
      </c>
      <c r="I400" s="7" t="s">
        <v>878</v>
      </c>
      <c r="J400" s="7" t="s">
        <v>882</v>
      </c>
      <c r="M400" s="7">
        <v>90</v>
      </c>
      <c r="N400" s="7">
        <v>90</v>
      </c>
      <c r="O400" s="126">
        <v>46223.730844907397</v>
      </c>
      <c r="P400" s="126">
        <v>46223.793657407397</v>
      </c>
    </row>
    <row r="401" spans="1:16" ht="15.75" customHeight="1">
      <c r="A401" s="126">
        <v>46230.015752314801</v>
      </c>
      <c r="B401" s="7">
        <v>12</v>
      </c>
      <c r="C401" s="7">
        <v>246</v>
      </c>
      <c r="E401" s="7" t="s">
        <v>935</v>
      </c>
      <c r="F401" s="7" t="s">
        <v>626</v>
      </c>
      <c r="G401" s="7">
        <v>168</v>
      </c>
      <c r="H401" s="7" t="s">
        <v>885</v>
      </c>
      <c r="I401" s="7" t="s">
        <v>886</v>
      </c>
      <c r="J401" s="7"/>
      <c r="M401" s="7">
        <v>100</v>
      </c>
      <c r="N401" s="7">
        <v>100</v>
      </c>
      <c r="P401" s="126">
        <v>46209.706956018497</v>
      </c>
    </row>
    <row r="402" spans="1:16" ht="15.75" customHeight="1">
      <c r="A402" s="126">
        <v>46230.015752314801</v>
      </c>
      <c r="B402" s="7">
        <v>12</v>
      </c>
      <c r="C402" s="7">
        <v>662</v>
      </c>
      <c r="D402" s="7"/>
      <c r="E402" s="7" t="s">
        <v>936</v>
      </c>
      <c r="F402" s="7" t="s">
        <v>127</v>
      </c>
      <c r="G402" s="7">
        <v>181</v>
      </c>
      <c r="H402" s="7" t="s">
        <v>873</v>
      </c>
      <c r="I402" s="7" t="s">
        <v>874</v>
      </c>
      <c r="J402" s="7"/>
      <c r="M402" s="7"/>
      <c r="N402" s="7" t="s">
        <v>875</v>
      </c>
      <c r="O402" s="126"/>
      <c r="P402" s="126"/>
    </row>
    <row r="403" spans="1:16" ht="15.75" customHeight="1">
      <c r="A403" s="126">
        <v>46230.015752314801</v>
      </c>
      <c r="B403" s="7">
        <v>12</v>
      </c>
      <c r="C403" s="7">
        <v>662</v>
      </c>
      <c r="D403" s="7"/>
      <c r="E403" s="7" t="s">
        <v>936</v>
      </c>
      <c r="F403" s="7" t="s">
        <v>127</v>
      </c>
      <c r="G403" s="7">
        <v>182</v>
      </c>
      <c r="H403" s="7" t="s">
        <v>876</v>
      </c>
      <c r="I403" s="7" t="s">
        <v>874</v>
      </c>
      <c r="J403" s="7"/>
      <c r="M403" s="7"/>
      <c r="N403" s="7" t="s">
        <v>875</v>
      </c>
      <c r="P403" s="126"/>
    </row>
    <row r="404" spans="1:16" ht="15.75" customHeight="1">
      <c r="A404" s="126">
        <v>46230.015752314801</v>
      </c>
      <c r="B404" s="7">
        <v>12</v>
      </c>
      <c r="C404" s="7">
        <v>662</v>
      </c>
      <c r="D404" s="7"/>
      <c r="E404" s="7" t="s">
        <v>936</v>
      </c>
      <c r="F404" s="7" t="s">
        <v>127</v>
      </c>
      <c r="G404" s="7">
        <v>174</v>
      </c>
      <c r="H404" s="7" t="s">
        <v>877</v>
      </c>
      <c r="I404" s="7" t="s">
        <v>878</v>
      </c>
      <c r="J404" s="7" t="s">
        <v>879</v>
      </c>
      <c r="M404" s="7">
        <v>100</v>
      </c>
      <c r="N404" s="7">
        <v>100</v>
      </c>
      <c r="O404" s="126"/>
      <c r="P404" s="126">
        <v>46209.692245370403</v>
      </c>
    </row>
    <row r="405" spans="1:16" ht="15.75" customHeight="1">
      <c r="A405" s="126">
        <v>46230.015752314801</v>
      </c>
      <c r="B405" s="7">
        <v>12</v>
      </c>
      <c r="C405" s="7">
        <v>662</v>
      </c>
      <c r="D405" s="7"/>
      <c r="E405" s="7" t="s">
        <v>936</v>
      </c>
      <c r="F405" s="7" t="s">
        <v>127</v>
      </c>
      <c r="G405" s="7">
        <v>180</v>
      </c>
      <c r="H405" s="7" t="s">
        <v>880</v>
      </c>
      <c r="I405" s="7" t="s">
        <v>874</v>
      </c>
      <c r="J405" s="7"/>
      <c r="M405" s="7"/>
      <c r="N405" s="7" t="s">
        <v>875</v>
      </c>
      <c r="O405" s="126"/>
      <c r="P405" s="126"/>
    </row>
    <row r="406" spans="1:16" ht="15.75" customHeight="1">
      <c r="A406" s="126">
        <v>46230.015752314801</v>
      </c>
      <c r="B406" s="7">
        <v>12</v>
      </c>
      <c r="C406" s="7">
        <v>662</v>
      </c>
      <c r="D406" s="7"/>
      <c r="E406" s="7" t="s">
        <v>936</v>
      </c>
      <c r="F406" s="7" t="s">
        <v>127</v>
      </c>
      <c r="G406" s="7">
        <v>175</v>
      </c>
      <c r="H406" s="7" t="s">
        <v>881</v>
      </c>
      <c r="I406" s="7" t="s">
        <v>878</v>
      </c>
      <c r="J406" s="7" t="s">
        <v>882</v>
      </c>
      <c r="M406" s="7">
        <v>87.5</v>
      </c>
      <c r="N406" s="7">
        <v>87.5</v>
      </c>
      <c r="O406" s="126">
        <v>46213.808738425898</v>
      </c>
      <c r="P406" s="126">
        <v>46213.808738425898</v>
      </c>
    </row>
    <row r="407" spans="1:16" ht="15.75" customHeight="1">
      <c r="A407" s="126">
        <v>46230.015752314801</v>
      </c>
      <c r="B407" s="7">
        <v>12</v>
      </c>
      <c r="C407" s="7">
        <v>662</v>
      </c>
      <c r="D407" s="7"/>
      <c r="E407" s="7" t="s">
        <v>936</v>
      </c>
      <c r="F407" s="7" t="s">
        <v>127</v>
      </c>
      <c r="G407" s="7">
        <v>177</v>
      </c>
      <c r="H407" s="7" t="s">
        <v>883</v>
      </c>
      <c r="I407" s="7" t="s">
        <v>878</v>
      </c>
      <c r="J407" s="7" t="s">
        <v>882</v>
      </c>
      <c r="N407" s="7" t="s">
        <v>875</v>
      </c>
    </row>
    <row r="408" spans="1:16" ht="15.75" customHeight="1">
      <c r="A408" s="126">
        <v>46230.015752314801</v>
      </c>
      <c r="B408" s="7">
        <v>12</v>
      </c>
      <c r="C408" s="7">
        <v>662</v>
      </c>
      <c r="D408" s="7"/>
      <c r="E408" s="7" t="s">
        <v>936</v>
      </c>
      <c r="F408" s="7" t="s">
        <v>127</v>
      </c>
      <c r="G408" s="7">
        <v>176</v>
      </c>
      <c r="H408" s="7" t="s">
        <v>884</v>
      </c>
      <c r="I408" s="7" t="s">
        <v>878</v>
      </c>
      <c r="J408" s="7" t="s">
        <v>882</v>
      </c>
      <c r="M408" s="7">
        <v>100</v>
      </c>
      <c r="N408" s="7">
        <v>100</v>
      </c>
      <c r="O408" s="126">
        <v>46224.498668981498</v>
      </c>
      <c r="P408" s="126">
        <v>46224.498668981498</v>
      </c>
    </row>
    <row r="409" spans="1:16" ht="15.75" customHeight="1">
      <c r="A409" s="126">
        <v>46230.015752314801</v>
      </c>
      <c r="B409" s="7">
        <v>12</v>
      </c>
      <c r="C409" s="7">
        <v>662</v>
      </c>
      <c r="D409" s="7"/>
      <c r="E409" s="7" t="s">
        <v>936</v>
      </c>
      <c r="F409" s="7" t="s">
        <v>127</v>
      </c>
      <c r="G409" s="7">
        <v>168</v>
      </c>
      <c r="H409" s="7" t="s">
        <v>885</v>
      </c>
      <c r="I409" s="7" t="s">
        <v>886</v>
      </c>
      <c r="J409" s="7"/>
      <c r="M409" s="7">
        <v>100</v>
      </c>
      <c r="N409" s="7">
        <v>100</v>
      </c>
      <c r="P409" s="126">
        <v>46209.692245370403</v>
      </c>
    </row>
    <row r="410" spans="1:16" ht="15.75" customHeight="1">
      <c r="A410" s="126">
        <v>46230.015752314801</v>
      </c>
      <c r="B410" s="7">
        <v>12</v>
      </c>
      <c r="C410" s="7">
        <v>685</v>
      </c>
      <c r="D410" s="7"/>
      <c r="E410" s="7" t="s">
        <v>937</v>
      </c>
      <c r="F410" s="7" t="s">
        <v>601</v>
      </c>
      <c r="G410" s="7">
        <v>181</v>
      </c>
      <c r="H410" s="7" t="s">
        <v>873</v>
      </c>
      <c r="I410" s="7" t="s">
        <v>874</v>
      </c>
      <c r="J410" s="7"/>
      <c r="M410" s="7"/>
      <c r="N410" s="7" t="s">
        <v>875</v>
      </c>
      <c r="O410" s="126"/>
      <c r="P410" s="126"/>
    </row>
    <row r="411" spans="1:16" ht="15.75" customHeight="1">
      <c r="A411" s="126">
        <v>46230.015752314801</v>
      </c>
      <c r="B411" s="7">
        <v>12</v>
      </c>
      <c r="C411" s="7">
        <v>685</v>
      </c>
      <c r="D411" s="7"/>
      <c r="E411" s="7" t="s">
        <v>937</v>
      </c>
      <c r="F411" s="7" t="s">
        <v>601</v>
      </c>
      <c r="G411" s="7">
        <v>182</v>
      </c>
      <c r="H411" s="7" t="s">
        <v>876</v>
      </c>
      <c r="I411" s="7" t="s">
        <v>874</v>
      </c>
      <c r="J411" s="7"/>
      <c r="M411" s="7"/>
      <c r="N411" s="7" t="s">
        <v>875</v>
      </c>
      <c r="O411" s="126"/>
      <c r="P411" s="126"/>
    </row>
    <row r="412" spans="1:16" ht="15.75" customHeight="1">
      <c r="A412" s="126">
        <v>46230.015752314801</v>
      </c>
      <c r="B412" s="7">
        <v>12</v>
      </c>
      <c r="C412" s="7">
        <v>685</v>
      </c>
      <c r="D412" s="7"/>
      <c r="E412" s="7" t="s">
        <v>937</v>
      </c>
      <c r="F412" s="7" t="s">
        <v>601</v>
      </c>
      <c r="G412" s="7">
        <v>174</v>
      </c>
      <c r="H412" s="7" t="s">
        <v>877</v>
      </c>
      <c r="I412" s="7" t="s">
        <v>878</v>
      </c>
      <c r="J412" s="7" t="s">
        <v>879</v>
      </c>
      <c r="M412" s="7">
        <v>100</v>
      </c>
      <c r="N412" s="7">
        <v>100</v>
      </c>
      <c r="O412" s="126"/>
      <c r="P412" s="126">
        <v>46209.706967592603</v>
      </c>
    </row>
    <row r="413" spans="1:16" ht="15.75" customHeight="1">
      <c r="A413" s="126">
        <v>46230.015752314801</v>
      </c>
      <c r="B413" s="7">
        <v>12</v>
      </c>
      <c r="C413" s="7">
        <v>685</v>
      </c>
      <c r="D413" s="7"/>
      <c r="E413" s="7" t="s">
        <v>937</v>
      </c>
      <c r="F413" s="7" t="s">
        <v>601</v>
      </c>
      <c r="G413" s="7">
        <v>180</v>
      </c>
      <c r="H413" s="7" t="s">
        <v>880</v>
      </c>
      <c r="I413" s="7" t="s">
        <v>874</v>
      </c>
      <c r="J413" s="7"/>
      <c r="M413" s="7"/>
      <c r="N413" s="7" t="s">
        <v>875</v>
      </c>
      <c r="O413" s="126"/>
      <c r="P413" s="126"/>
    </row>
    <row r="414" spans="1:16" ht="15.75" customHeight="1">
      <c r="A414" s="126">
        <v>46230.015752314801</v>
      </c>
      <c r="B414" s="7">
        <v>12</v>
      </c>
      <c r="C414" s="7">
        <v>685</v>
      </c>
      <c r="D414" s="7"/>
      <c r="E414" s="7" t="s">
        <v>937</v>
      </c>
      <c r="F414" s="7" t="s">
        <v>601</v>
      </c>
      <c r="G414" s="7">
        <v>175</v>
      </c>
      <c r="H414" s="7" t="s">
        <v>881</v>
      </c>
      <c r="I414" s="7" t="s">
        <v>878</v>
      </c>
      <c r="J414" s="7" t="s">
        <v>882</v>
      </c>
      <c r="M414" s="7">
        <v>87.5</v>
      </c>
      <c r="N414" s="7">
        <v>87.5</v>
      </c>
      <c r="O414" s="126">
        <v>46216.3491319444</v>
      </c>
      <c r="P414" s="126">
        <v>46216.3491319444</v>
      </c>
    </row>
    <row r="415" spans="1:16" ht="15.75" customHeight="1">
      <c r="A415" s="126">
        <v>46230.015752314801</v>
      </c>
      <c r="B415" s="7">
        <v>12</v>
      </c>
      <c r="C415" s="7">
        <v>685</v>
      </c>
      <c r="D415" s="7"/>
      <c r="E415" s="7" t="s">
        <v>937</v>
      </c>
      <c r="F415" s="7" t="s">
        <v>601</v>
      </c>
      <c r="G415" s="7">
        <v>177</v>
      </c>
      <c r="H415" s="7" t="s">
        <v>883</v>
      </c>
      <c r="I415" s="7" t="s">
        <v>878</v>
      </c>
      <c r="J415" s="7" t="s">
        <v>882</v>
      </c>
      <c r="M415" s="7"/>
      <c r="N415" s="7" t="s">
        <v>875</v>
      </c>
      <c r="P415" s="126"/>
    </row>
    <row r="416" spans="1:16" ht="15.75" customHeight="1">
      <c r="A416" s="126">
        <v>46230.015752314801</v>
      </c>
      <c r="B416" s="7">
        <v>12</v>
      </c>
      <c r="C416" s="7">
        <v>685</v>
      </c>
      <c r="E416" s="7" t="s">
        <v>937</v>
      </c>
      <c r="F416" s="7" t="s">
        <v>601</v>
      </c>
      <c r="G416" s="7">
        <v>176</v>
      </c>
      <c r="H416" s="7" t="s">
        <v>884</v>
      </c>
      <c r="I416" s="7" t="s">
        <v>878</v>
      </c>
      <c r="J416" s="7" t="s">
        <v>882</v>
      </c>
      <c r="M416" s="7">
        <v>95</v>
      </c>
      <c r="N416" s="7">
        <v>95</v>
      </c>
      <c r="O416" s="126">
        <v>46226.471354166701</v>
      </c>
      <c r="P416" s="126">
        <v>46226.471354166701</v>
      </c>
    </row>
    <row r="417" spans="1:16" ht="15.75" customHeight="1">
      <c r="A417" s="126">
        <v>46230.015752314801</v>
      </c>
      <c r="B417" s="7">
        <v>12</v>
      </c>
      <c r="C417" s="7">
        <v>685</v>
      </c>
      <c r="E417" s="7" t="s">
        <v>937</v>
      </c>
      <c r="F417" s="7" t="s">
        <v>601</v>
      </c>
      <c r="G417" s="7">
        <v>168</v>
      </c>
      <c r="H417" s="7" t="s">
        <v>885</v>
      </c>
      <c r="I417" s="7" t="s">
        <v>886</v>
      </c>
      <c r="J417" s="7"/>
      <c r="M417" s="7">
        <v>100</v>
      </c>
      <c r="N417" s="7">
        <v>100</v>
      </c>
      <c r="O417" s="126"/>
      <c r="P417" s="126">
        <v>46209.706967592603</v>
      </c>
    </row>
    <row r="418" spans="1:16" ht="15.75" customHeight="1">
      <c r="A418" s="126">
        <v>46230.015752314801</v>
      </c>
      <c r="B418" s="7">
        <v>12</v>
      </c>
      <c r="C418" s="7">
        <v>416</v>
      </c>
      <c r="D418" s="7"/>
      <c r="E418" s="7" t="s">
        <v>938</v>
      </c>
      <c r="F418" s="7" t="s">
        <v>505</v>
      </c>
      <c r="G418" s="7">
        <v>181</v>
      </c>
      <c r="H418" s="7" t="s">
        <v>873</v>
      </c>
      <c r="I418" s="7" t="s">
        <v>874</v>
      </c>
      <c r="J418" s="7"/>
      <c r="M418" s="7"/>
      <c r="N418" s="7" t="s">
        <v>875</v>
      </c>
      <c r="O418" s="126"/>
      <c r="P418" s="126"/>
    </row>
    <row r="419" spans="1:16" ht="15.75" customHeight="1">
      <c r="A419" s="126">
        <v>46230.015752314801</v>
      </c>
      <c r="B419" s="7">
        <v>12</v>
      </c>
      <c r="C419" s="7">
        <v>416</v>
      </c>
      <c r="D419" s="7"/>
      <c r="E419" s="7" t="s">
        <v>938</v>
      </c>
      <c r="F419" s="7" t="s">
        <v>505</v>
      </c>
      <c r="G419" s="7">
        <v>182</v>
      </c>
      <c r="H419" s="7" t="s">
        <v>876</v>
      </c>
      <c r="I419" s="7" t="s">
        <v>874</v>
      </c>
      <c r="J419" s="7"/>
      <c r="M419" s="7"/>
      <c r="N419" s="7" t="s">
        <v>875</v>
      </c>
      <c r="P419" s="126"/>
    </row>
    <row r="420" spans="1:16" ht="15.75" customHeight="1">
      <c r="A420" s="126">
        <v>46230.015752314801</v>
      </c>
      <c r="B420" s="7">
        <v>12</v>
      </c>
      <c r="C420" s="7">
        <v>416</v>
      </c>
      <c r="D420" s="7"/>
      <c r="E420" s="7" t="s">
        <v>938</v>
      </c>
      <c r="F420" s="7" t="s">
        <v>505</v>
      </c>
      <c r="G420" s="7">
        <v>174</v>
      </c>
      <c r="H420" s="7" t="s">
        <v>877</v>
      </c>
      <c r="I420" s="7" t="s">
        <v>878</v>
      </c>
      <c r="J420" s="7" t="s">
        <v>879</v>
      </c>
      <c r="M420" s="7">
        <v>100</v>
      </c>
      <c r="N420" s="7">
        <v>100</v>
      </c>
      <c r="O420" s="126"/>
      <c r="P420" s="126">
        <v>46211.507430555597</v>
      </c>
    </row>
    <row r="421" spans="1:16" ht="15.75" customHeight="1">
      <c r="A421" s="126">
        <v>46230.015752314801</v>
      </c>
      <c r="B421" s="7">
        <v>12</v>
      </c>
      <c r="C421" s="7">
        <v>416</v>
      </c>
      <c r="D421" s="7"/>
      <c r="E421" s="7" t="s">
        <v>938</v>
      </c>
      <c r="F421" s="7" t="s">
        <v>505</v>
      </c>
      <c r="G421" s="7">
        <v>180</v>
      </c>
      <c r="H421" s="7" t="s">
        <v>880</v>
      </c>
      <c r="I421" s="7" t="s">
        <v>874</v>
      </c>
      <c r="J421" s="7"/>
      <c r="M421" s="7"/>
      <c r="N421" s="7" t="s">
        <v>875</v>
      </c>
      <c r="O421" s="126"/>
      <c r="P421" s="126"/>
    </row>
    <row r="422" spans="1:16" ht="15.75" customHeight="1">
      <c r="A422" s="126">
        <v>46230.015752314801</v>
      </c>
      <c r="B422" s="7">
        <v>12</v>
      </c>
      <c r="C422" s="7">
        <v>416</v>
      </c>
      <c r="D422" s="7"/>
      <c r="E422" s="7" t="s">
        <v>938</v>
      </c>
      <c r="F422" s="7" t="s">
        <v>505</v>
      </c>
      <c r="G422" s="7">
        <v>175</v>
      </c>
      <c r="H422" s="7" t="s">
        <v>881</v>
      </c>
      <c r="I422" s="7" t="s">
        <v>878</v>
      </c>
      <c r="J422" s="7" t="s">
        <v>882</v>
      </c>
      <c r="M422" s="7">
        <v>87.5</v>
      </c>
      <c r="N422" s="7">
        <v>87.5</v>
      </c>
      <c r="O422" s="126">
        <v>46215.7347800926</v>
      </c>
      <c r="P422" s="126">
        <v>46215.7347800926</v>
      </c>
    </row>
    <row r="423" spans="1:16" ht="15.75" customHeight="1">
      <c r="A423" s="126">
        <v>46230.015752314801</v>
      </c>
      <c r="B423" s="7">
        <v>12</v>
      </c>
      <c r="C423" s="7">
        <v>416</v>
      </c>
      <c r="D423" s="7"/>
      <c r="E423" s="7" t="s">
        <v>938</v>
      </c>
      <c r="F423" s="7" t="s">
        <v>505</v>
      </c>
      <c r="G423" s="7">
        <v>177</v>
      </c>
      <c r="H423" s="7" t="s">
        <v>883</v>
      </c>
      <c r="I423" s="7" t="s">
        <v>878</v>
      </c>
      <c r="J423" s="7" t="s">
        <v>882</v>
      </c>
      <c r="M423" s="7"/>
      <c r="N423" s="7" t="s">
        <v>875</v>
      </c>
      <c r="O423" s="126"/>
      <c r="P423" s="126"/>
    </row>
    <row r="424" spans="1:16" ht="15.75" customHeight="1">
      <c r="A424" s="126">
        <v>46230.015752314801</v>
      </c>
      <c r="B424" s="7">
        <v>12</v>
      </c>
      <c r="C424" s="7">
        <v>416</v>
      </c>
      <c r="E424" s="7" t="s">
        <v>938</v>
      </c>
      <c r="F424" s="7" t="s">
        <v>505</v>
      </c>
      <c r="G424" s="7">
        <v>176</v>
      </c>
      <c r="H424" s="7" t="s">
        <v>884</v>
      </c>
      <c r="I424" s="7" t="s">
        <v>878</v>
      </c>
      <c r="J424" s="7" t="s">
        <v>882</v>
      </c>
      <c r="M424" s="7">
        <v>80</v>
      </c>
      <c r="N424" s="7">
        <v>80</v>
      </c>
      <c r="O424" s="126">
        <v>46226.657696759299</v>
      </c>
      <c r="P424" s="126">
        <v>46226.657696759299</v>
      </c>
    </row>
    <row r="425" spans="1:16" ht="15.75" customHeight="1">
      <c r="A425" s="126">
        <v>46230.015752314801</v>
      </c>
      <c r="B425" s="7">
        <v>12</v>
      </c>
      <c r="C425" s="7">
        <v>416</v>
      </c>
      <c r="E425" s="7" t="s">
        <v>938</v>
      </c>
      <c r="F425" s="7" t="s">
        <v>505</v>
      </c>
      <c r="G425" s="7">
        <v>168</v>
      </c>
      <c r="H425" s="7" t="s">
        <v>885</v>
      </c>
      <c r="I425" s="7" t="s">
        <v>886</v>
      </c>
      <c r="J425" s="7"/>
      <c r="M425" s="7">
        <v>100</v>
      </c>
      <c r="N425" s="7">
        <v>100</v>
      </c>
      <c r="P425" s="126">
        <v>46211.507430555597</v>
      </c>
    </row>
    <row r="426" spans="1:16" ht="15.75" customHeight="1">
      <c r="A426" s="126">
        <v>46230.015752314801</v>
      </c>
      <c r="B426" s="7">
        <v>12</v>
      </c>
      <c r="C426" s="7">
        <v>594</v>
      </c>
      <c r="E426" s="7" t="s">
        <v>939</v>
      </c>
      <c r="F426" s="7" t="s">
        <v>105</v>
      </c>
      <c r="G426" s="7">
        <v>181</v>
      </c>
      <c r="H426" s="7" t="s">
        <v>873</v>
      </c>
      <c r="I426" s="7" t="s">
        <v>874</v>
      </c>
      <c r="J426" s="7"/>
      <c r="N426" s="7" t="s">
        <v>875</v>
      </c>
    </row>
    <row r="427" spans="1:16" ht="15.75" customHeight="1">
      <c r="A427" s="126">
        <v>46230.015752314801</v>
      </c>
      <c r="B427" s="7">
        <v>12</v>
      </c>
      <c r="C427" s="7">
        <v>594</v>
      </c>
      <c r="E427" s="7" t="s">
        <v>939</v>
      </c>
      <c r="F427" s="7" t="s">
        <v>105</v>
      </c>
      <c r="G427" s="7">
        <v>182</v>
      </c>
      <c r="H427" s="7" t="s">
        <v>876</v>
      </c>
      <c r="I427" s="7" t="s">
        <v>874</v>
      </c>
      <c r="J427" s="7"/>
      <c r="M427" s="7"/>
      <c r="N427" s="7" t="s">
        <v>875</v>
      </c>
      <c r="P427" s="126"/>
    </row>
    <row r="428" spans="1:16" ht="15.75" customHeight="1">
      <c r="A428" s="126">
        <v>46230.015752314801</v>
      </c>
      <c r="B428" s="7">
        <v>12</v>
      </c>
      <c r="C428" s="7">
        <v>594</v>
      </c>
      <c r="D428" s="7"/>
      <c r="E428" s="7" t="s">
        <v>939</v>
      </c>
      <c r="F428" s="7" t="s">
        <v>105</v>
      </c>
      <c r="G428" s="7">
        <v>174</v>
      </c>
      <c r="H428" s="7" t="s">
        <v>877</v>
      </c>
      <c r="I428" s="7" t="s">
        <v>878</v>
      </c>
      <c r="J428" s="7" t="s">
        <v>879</v>
      </c>
      <c r="M428" s="7">
        <v>100</v>
      </c>
      <c r="N428" s="7">
        <v>100</v>
      </c>
      <c r="P428" s="126">
        <v>46209.706932870402</v>
      </c>
    </row>
    <row r="429" spans="1:16" ht="15.75" customHeight="1">
      <c r="A429" s="126">
        <v>46230.015752314801</v>
      </c>
      <c r="B429" s="7">
        <v>12</v>
      </c>
      <c r="C429" s="7">
        <v>594</v>
      </c>
      <c r="D429" s="7"/>
      <c r="E429" s="7" t="s">
        <v>939</v>
      </c>
      <c r="F429" s="7" t="s">
        <v>105</v>
      </c>
      <c r="G429" s="7">
        <v>180</v>
      </c>
      <c r="H429" s="7" t="s">
        <v>880</v>
      </c>
      <c r="I429" s="7" t="s">
        <v>874</v>
      </c>
      <c r="J429" s="7"/>
      <c r="M429" s="7"/>
      <c r="N429" s="7" t="s">
        <v>875</v>
      </c>
      <c r="O429" s="126"/>
      <c r="P429" s="126"/>
    </row>
    <row r="430" spans="1:16" ht="15.75" customHeight="1">
      <c r="A430" s="126">
        <v>46230.015752314801</v>
      </c>
      <c r="B430" s="7">
        <v>12</v>
      </c>
      <c r="C430" s="7">
        <v>594</v>
      </c>
      <c r="D430" s="7"/>
      <c r="E430" s="7" t="s">
        <v>939</v>
      </c>
      <c r="F430" s="7" t="s">
        <v>105</v>
      </c>
      <c r="G430" s="7">
        <v>175</v>
      </c>
      <c r="H430" s="7" t="s">
        <v>881</v>
      </c>
      <c r="I430" s="7" t="s">
        <v>878</v>
      </c>
      <c r="J430" s="7" t="s">
        <v>882</v>
      </c>
      <c r="M430" s="7"/>
      <c r="N430" s="7" t="s">
        <v>875</v>
      </c>
      <c r="O430" s="126"/>
      <c r="P430" s="126"/>
    </row>
    <row r="431" spans="1:16" ht="15.75" customHeight="1">
      <c r="A431" s="126">
        <v>46230.015752314801</v>
      </c>
      <c r="B431" s="7">
        <v>12</v>
      </c>
      <c r="C431" s="7">
        <v>594</v>
      </c>
      <c r="D431" s="7"/>
      <c r="E431" s="7" t="s">
        <v>939</v>
      </c>
      <c r="F431" s="7" t="s">
        <v>105</v>
      </c>
      <c r="G431" s="7">
        <v>177</v>
      </c>
      <c r="H431" s="7" t="s">
        <v>883</v>
      </c>
      <c r="I431" s="7" t="s">
        <v>878</v>
      </c>
      <c r="J431" s="7" t="s">
        <v>882</v>
      </c>
      <c r="M431" s="7"/>
      <c r="N431" s="7" t="s">
        <v>875</v>
      </c>
      <c r="O431" s="126"/>
      <c r="P431" s="126"/>
    </row>
    <row r="432" spans="1:16" ht="15.75" customHeight="1">
      <c r="A432" s="126">
        <v>46230.015752314801</v>
      </c>
      <c r="B432" s="7">
        <v>12</v>
      </c>
      <c r="C432" s="7">
        <v>594</v>
      </c>
      <c r="D432" s="7"/>
      <c r="E432" s="7" t="s">
        <v>939</v>
      </c>
      <c r="F432" s="7" t="s">
        <v>105</v>
      </c>
      <c r="G432" s="7">
        <v>176</v>
      </c>
      <c r="H432" s="7" t="s">
        <v>884</v>
      </c>
      <c r="I432" s="7" t="s">
        <v>878</v>
      </c>
      <c r="J432" s="7" t="s">
        <v>882</v>
      </c>
      <c r="M432" s="7"/>
      <c r="N432" s="7" t="s">
        <v>875</v>
      </c>
      <c r="O432" s="126"/>
      <c r="P432" s="126"/>
    </row>
    <row r="433" spans="1:16" ht="15.75" customHeight="1">
      <c r="A433" s="126">
        <v>46230.015752314801</v>
      </c>
      <c r="B433" s="7">
        <v>12</v>
      </c>
      <c r="C433" s="7">
        <v>594</v>
      </c>
      <c r="D433" s="7"/>
      <c r="E433" s="7" t="s">
        <v>939</v>
      </c>
      <c r="F433" s="7" t="s">
        <v>105</v>
      </c>
      <c r="G433" s="7">
        <v>168</v>
      </c>
      <c r="H433" s="7" t="s">
        <v>885</v>
      </c>
      <c r="I433" s="7" t="s">
        <v>886</v>
      </c>
      <c r="M433" s="7">
        <v>100</v>
      </c>
      <c r="N433" s="7">
        <v>100</v>
      </c>
      <c r="P433" s="126">
        <v>46209.706932870402</v>
      </c>
    </row>
    <row r="434" spans="1:16" ht="15.75" customHeight="1">
      <c r="A434" s="126">
        <v>46230.015752314801</v>
      </c>
      <c r="B434" s="7">
        <v>12</v>
      </c>
      <c r="C434" s="7">
        <v>413</v>
      </c>
      <c r="D434" s="7"/>
      <c r="E434" s="7" t="s">
        <v>940</v>
      </c>
      <c r="F434" s="7" t="s">
        <v>510</v>
      </c>
      <c r="G434" s="7">
        <v>181</v>
      </c>
      <c r="H434" s="7" t="s">
        <v>873</v>
      </c>
      <c r="I434" s="7" t="s">
        <v>874</v>
      </c>
      <c r="J434" s="7"/>
      <c r="M434" s="7"/>
      <c r="N434" s="7" t="s">
        <v>875</v>
      </c>
      <c r="O434" s="126"/>
      <c r="P434" s="126"/>
    </row>
    <row r="435" spans="1:16" ht="15.75" customHeight="1">
      <c r="A435" s="126">
        <v>46230.015752314801</v>
      </c>
      <c r="B435" s="7">
        <v>12</v>
      </c>
      <c r="C435" s="7">
        <v>413</v>
      </c>
      <c r="D435" s="7"/>
      <c r="E435" s="7" t="s">
        <v>940</v>
      </c>
      <c r="F435" s="7" t="s">
        <v>510</v>
      </c>
      <c r="G435" s="7">
        <v>182</v>
      </c>
      <c r="H435" s="7" t="s">
        <v>876</v>
      </c>
      <c r="I435" s="7" t="s">
        <v>874</v>
      </c>
      <c r="J435" s="7"/>
      <c r="M435" s="7"/>
      <c r="N435" s="7" t="s">
        <v>875</v>
      </c>
      <c r="O435" s="126"/>
      <c r="P435" s="126"/>
    </row>
    <row r="436" spans="1:16" ht="15.75" customHeight="1">
      <c r="A436" s="126">
        <v>46230.015752314801</v>
      </c>
      <c r="B436" s="7">
        <v>12</v>
      </c>
      <c r="C436" s="7">
        <v>413</v>
      </c>
      <c r="D436" s="7"/>
      <c r="E436" s="7" t="s">
        <v>940</v>
      </c>
      <c r="F436" s="7" t="s">
        <v>510</v>
      </c>
      <c r="G436" s="7">
        <v>174</v>
      </c>
      <c r="H436" s="7" t="s">
        <v>877</v>
      </c>
      <c r="I436" s="7" t="s">
        <v>878</v>
      </c>
      <c r="J436" s="7" t="s">
        <v>879</v>
      </c>
      <c r="M436" s="7">
        <v>100</v>
      </c>
      <c r="N436" s="7">
        <v>100</v>
      </c>
      <c r="O436" s="126"/>
      <c r="P436" s="126">
        <v>46214.9918287037</v>
      </c>
    </row>
    <row r="437" spans="1:16" ht="15.75" customHeight="1">
      <c r="A437" s="126">
        <v>46230.015752314801</v>
      </c>
      <c r="B437" s="7">
        <v>12</v>
      </c>
      <c r="C437" s="7">
        <v>413</v>
      </c>
      <c r="D437" s="7"/>
      <c r="E437" s="7" t="s">
        <v>940</v>
      </c>
      <c r="F437" s="7" t="s">
        <v>510</v>
      </c>
      <c r="G437" s="7">
        <v>180</v>
      </c>
      <c r="H437" s="7" t="s">
        <v>880</v>
      </c>
      <c r="I437" s="7" t="s">
        <v>874</v>
      </c>
      <c r="J437" s="7"/>
      <c r="M437" s="7"/>
      <c r="N437" s="7" t="s">
        <v>875</v>
      </c>
      <c r="O437" s="126"/>
      <c r="P437" s="126"/>
    </row>
    <row r="438" spans="1:16" ht="15.75" customHeight="1">
      <c r="A438" s="126">
        <v>46230.015752314801</v>
      </c>
      <c r="B438" s="7">
        <v>12</v>
      </c>
      <c r="C438" s="7">
        <v>413</v>
      </c>
      <c r="D438" s="7"/>
      <c r="E438" s="7" t="s">
        <v>940</v>
      </c>
      <c r="F438" s="7" t="s">
        <v>510</v>
      </c>
      <c r="G438" s="7">
        <v>175</v>
      </c>
      <c r="H438" s="7" t="s">
        <v>881</v>
      </c>
      <c r="I438" s="7" t="s">
        <v>878</v>
      </c>
      <c r="J438" s="7" t="s">
        <v>882</v>
      </c>
      <c r="M438" s="7">
        <v>75</v>
      </c>
      <c r="N438" s="7">
        <v>75</v>
      </c>
      <c r="O438" s="126">
        <v>46214.981585648202</v>
      </c>
      <c r="P438" s="126">
        <v>46214.981585648202</v>
      </c>
    </row>
    <row r="439" spans="1:16" ht="15.75" customHeight="1">
      <c r="A439" s="126">
        <v>46230.015752314801</v>
      </c>
      <c r="B439" s="7">
        <v>12</v>
      </c>
      <c r="C439" s="7">
        <v>413</v>
      </c>
      <c r="D439" s="7"/>
      <c r="E439" s="7" t="s">
        <v>940</v>
      </c>
      <c r="F439" s="7" t="s">
        <v>510</v>
      </c>
      <c r="G439" s="7">
        <v>177</v>
      </c>
      <c r="H439" s="7" t="s">
        <v>883</v>
      </c>
      <c r="I439" s="7" t="s">
        <v>878</v>
      </c>
      <c r="J439" s="7" t="s">
        <v>882</v>
      </c>
      <c r="M439" s="7"/>
      <c r="N439" s="7" t="s">
        <v>875</v>
      </c>
      <c r="P439" s="126"/>
    </row>
    <row r="440" spans="1:16" ht="15.75" customHeight="1">
      <c r="A440" s="126">
        <v>46230.015752314801</v>
      </c>
      <c r="B440" s="7">
        <v>12</v>
      </c>
      <c r="C440" s="7">
        <v>413</v>
      </c>
      <c r="D440" s="7"/>
      <c r="E440" s="7" t="s">
        <v>940</v>
      </c>
      <c r="F440" s="7" t="s">
        <v>510</v>
      </c>
      <c r="G440" s="7">
        <v>176</v>
      </c>
      <c r="H440" s="7" t="s">
        <v>884</v>
      </c>
      <c r="I440" s="7" t="s">
        <v>878</v>
      </c>
      <c r="J440" s="7" t="s">
        <v>882</v>
      </c>
      <c r="M440" s="7">
        <v>100</v>
      </c>
      <c r="N440" s="7">
        <v>100</v>
      </c>
      <c r="O440" s="126">
        <v>46224.8127662037</v>
      </c>
      <c r="P440" s="126">
        <v>46224.8127662037</v>
      </c>
    </row>
    <row r="441" spans="1:16" ht="15.75" customHeight="1">
      <c r="A441" s="126">
        <v>46230.015752314801</v>
      </c>
      <c r="B441" s="7">
        <v>12</v>
      </c>
      <c r="C441" s="7">
        <v>413</v>
      </c>
      <c r="D441" s="7"/>
      <c r="E441" s="7" t="s">
        <v>940</v>
      </c>
      <c r="F441" s="7" t="s">
        <v>510</v>
      </c>
      <c r="G441" s="7">
        <v>168</v>
      </c>
      <c r="H441" s="7" t="s">
        <v>885</v>
      </c>
      <c r="I441" s="7" t="s">
        <v>886</v>
      </c>
      <c r="J441" s="7"/>
      <c r="M441" s="7">
        <v>100</v>
      </c>
      <c r="N441" s="7">
        <v>100</v>
      </c>
      <c r="O441" s="126"/>
      <c r="P441" s="126">
        <v>46214.9918287037</v>
      </c>
    </row>
    <row r="442" spans="1:16" ht="15.75" customHeight="1">
      <c r="A442" s="126">
        <v>46230.015752314801</v>
      </c>
      <c r="B442" s="7">
        <v>12</v>
      </c>
      <c r="C442" s="7">
        <v>615</v>
      </c>
      <c r="D442" s="7"/>
      <c r="E442" s="7" t="s">
        <v>941</v>
      </c>
      <c r="F442" s="7" t="s">
        <v>793</v>
      </c>
      <c r="G442" s="7">
        <v>181</v>
      </c>
      <c r="H442" s="7" t="s">
        <v>873</v>
      </c>
      <c r="I442" s="7" t="s">
        <v>874</v>
      </c>
      <c r="J442" s="7"/>
      <c r="M442" s="7"/>
      <c r="N442" s="7" t="s">
        <v>875</v>
      </c>
      <c r="P442" s="126"/>
    </row>
    <row r="443" spans="1:16" ht="15.75" customHeight="1">
      <c r="A443" s="126">
        <v>46230.015752314801</v>
      </c>
      <c r="B443" s="7">
        <v>12</v>
      </c>
      <c r="C443" s="7">
        <v>615</v>
      </c>
      <c r="D443" s="7"/>
      <c r="E443" s="7" t="s">
        <v>941</v>
      </c>
      <c r="F443" s="7" t="s">
        <v>793</v>
      </c>
      <c r="G443" s="7">
        <v>182</v>
      </c>
      <c r="H443" s="7" t="s">
        <v>876</v>
      </c>
      <c r="I443" s="7" t="s">
        <v>874</v>
      </c>
      <c r="J443" s="7"/>
      <c r="M443" s="7"/>
      <c r="N443" s="7" t="s">
        <v>875</v>
      </c>
      <c r="P443" s="126"/>
    </row>
    <row r="444" spans="1:16" ht="15.75" customHeight="1">
      <c r="A444" s="126">
        <v>46230.015752314801</v>
      </c>
      <c r="B444" s="7">
        <v>12</v>
      </c>
      <c r="C444" s="7">
        <v>615</v>
      </c>
      <c r="D444" s="7"/>
      <c r="E444" s="7" t="s">
        <v>941</v>
      </c>
      <c r="F444" s="7" t="s">
        <v>793</v>
      </c>
      <c r="G444" s="7">
        <v>174</v>
      </c>
      <c r="H444" s="7" t="s">
        <v>877</v>
      </c>
      <c r="I444" s="7" t="s">
        <v>878</v>
      </c>
      <c r="J444" s="7" t="s">
        <v>879</v>
      </c>
      <c r="M444" s="7">
        <v>100</v>
      </c>
      <c r="N444" s="7">
        <v>100</v>
      </c>
      <c r="P444" s="126">
        <v>46209.706956018497</v>
      </c>
    </row>
    <row r="445" spans="1:16" ht="15.75" customHeight="1">
      <c r="A445" s="126">
        <v>46230.015752314801</v>
      </c>
      <c r="B445" s="7">
        <v>12</v>
      </c>
      <c r="C445" s="7">
        <v>615</v>
      </c>
      <c r="D445" s="7"/>
      <c r="E445" s="7" t="s">
        <v>941</v>
      </c>
      <c r="F445" s="7" t="s">
        <v>793</v>
      </c>
      <c r="G445" s="7">
        <v>180</v>
      </c>
      <c r="H445" s="7" t="s">
        <v>880</v>
      </c>
      <c r="I445" s="7" t="s">
        <v>874</v>
      </c>
      <c r="J445" s="7"/>
      <c r="M445" s="7"/>
      <c r="N445" s="7" t="s">
        <v>875</v>
      </c>
      <c r="O445" s="126"/>
      <c r="P445" s="126"/>
    </row>
    <row r="446" spans="1:16" ht="15.75" customHeight="1">
      <c r="A446" s="126">
        <v>46230.015752314801</v>
      </c>
      <c r="B446" s="7">
        <v>12</v>
      </c>
      <c r="C446" s="7">
        <v>615</v>
      </c>
      <c r="D446" s="7"/>
      <c r="E446" s="7" t="s">
        <v>941</v>
      </c>
      <c r="F446" s="7" t="s">
        <v>793</v>
      </c>
      <c r="G446" s="7">
        <v>175</v>
      </c>
      <c r="H446" s="7" t="s">
        <v>881</v>
      </c>
      <c r="I446" s="7" t="s">
        <v>878</v>
      </c>
      <c r="J446" s="7" t="s">
        <v>882</v>
      </c>
      <c r="M446" s="7">
        <v>75</v>
      </c>
      <c r="N446" s="7">
        <v>75</v>
      </c>
      <c r="O446" s="126">
        <v>46214.429351851897</v>
      </c>
      <c r="P446" s="126">
        <v>46214.429351851897</v>
      </c>
    </row>
    <row r="447" spans="1:16" ht="15.75" customHeight="1">
      <c r="A447" s="126">
        <v>46230.015752314801</v>
      </c>
      <c r="B447" s="7">
        <v>12</v>
      </c>
      <c r="C447" s="7">
        <v>615</v>
      </c>
      <c r="D447" s="7"/>
      <c r="E447" s="7" t="s">
        <v>941</v>
      </c>
      <c r="F447" s="7" t="s">
        <v>793</v>
      </c>
      <c r="G447" s="7">
        <v>177</v>
      </c>
      <c r="H447" s="7" t="s">
        <v>883</v>
      </c>
      <c r="I447" s="7" t="s">
        <v>878</v>
      </c>
      <c r="J447" s="7" t="s">
        <v>882</v>
      </c>
      <c r="M447" s="7"/>
      <c r="N447" s="7" t="s">
        <v>875</v>
      </c>
      <c r="O447" s="126"/>
      <c r="P447" s="126"/>
    </row>
    <row r="448" spans="1:16" ht="15.75" customHeight="1">
      <c r="A448" s="126">
        <v>46230.015752314801</v>
      </c>
      <c r="B448" s="7">
        <v>12</v>
      </c>
      <c r="C448" s="7">
        <v>615</v>
      </c>
      <c r="D448" s="7"/>
      <c r="E448" s="7" t="s">
        <v>941</v>
      </c>
      <c r="F448" s="7" t="s">
        <v>793</v>
      </c>
      <c r="G448" s="7">
        <v>176</v>
      </c>
      <c r="H448" s="7" t="s">
        <v>884</v>
      </c>
      <c r="I448" s="7" t="s">
        <v>878</v>
      </c>
      <c r="J448" s="7" t="s">
        <v>882</v>
      </c>
      <c r="M448" s="7">
        <v>100</v>
      </c>
      <c r="N448" s="7">
        <v>100</v>
      </c>
      <c r="O448" s="126">
        <v>46223.823043981502</v>
      </c>
      <c r="P448" s="126">
        <v>46223.823043981502</v>
      </c>
    </row>
    <row r="449" spans="1:16" ht="15.75" customHeight="1">
      <c r="A449" s="126">
        <v>46230.015752314801</v>
      </c>
      <c r="B449" s="7">
        <v>12</v>
      </c>
      <c r="C449" s="7">
        <v>615</v>
      </c>
      <c r="D449" s="7"/>
      <c r="E449" s="7" t="s">
        <v>941</v>
      </c>
      <c r="F449" s="7" t="s">
        <v>793</v>
      </c>
      <c r="G449" s="7">
        <v>168</v>
      </c>
      <c r="H449" s="7" t="s">
        <v>885</v>
      </c>
      <c r="I449" s="7" t="s">
        <v>886</v>
      </c>
      <c r="J449" s="7"/>
      <c r="M449" s="7">
        <v>100</v>
      </c>
      <c r="N449" s="7">
        <v>100</v>
      </c>
      <c r="O449" s="126"/>
      <c r="P449" s="126">
        <v>46209.706956018497</v>
      </c>
    </row>
    <row r="450" spans="1:16" ht="15.75" customHeight="1">
      <c r="A450" s="126">
        <v>46230.015752314801</v>
      </c>
      <c r="B450" s="7">
        <v>12</v>
      </c>
      <c r="C450" s="7">
        <v>497</v>
      </c>
      <c r="E450" s="7" t="s">
        <v>942</v>
      </c>
      <c r="F450" s="7" t="s">
        <v>218</v>
      </c>
      <c r="G450" s="7">
        <v>181</v>
      </c>
      <c r="H450" s="7" t="s">
        <v>873</v>
      </c>
      <c r="I450" s="7" t="s">
        <v>874</v>
      </c>
      <c r="J450" s="7"/>
      <c r="M450" s="7"/>
      <c r="N450" s="7" t="s">
        <v>875</v>
      </c>
      <c r="O450" s="126"/>
      <c r="P450" s="126"/>
    </row>
    <row r="451" spans="1:16" ht="15.75" customHeight="1">
      <c r="A451" s="126">
        <v>46230.015752314801</v>
      </c>
      <c r="B451" s="7">
        <v>12</v>
      </c>
      <c r="C451" s="7">
        <v>497</v>
      </c>
      <c r="E451" s="7" t="s">
        <v>942</v>
      </c>
      <c r="F451" s="7" t="s">
        <v>218</v>
      </c>
      <c r="G451" s="7">
        <v>182</v>
      </c>
      <c r="H451" s="7" t="s">
        <v>876</v>
      </c>
      <c r="I451" s="7" t="s">
        <v>874</v>
      </c>
      <c r="J451" s="7"/>
      <c r="M451" s="7"/>
      <c r="N451" s="7" t="s">
        <v>875</v>
      </c>
      <c r="P451" s="126"/>
    </row>
    <row r="452" spans="1:16" ht="15.75" customHeight="1">
      <c r="A452" s="126">
        <v>46230.015752314801</v>
      </c>
      <c r="B452" s="7">
        <v>12</v>
      </c>
      <c r="C452" s="7">
        <v>497</v>
      </c>
      <c r="D452" s="7"/>
      <c r="E452" s="7" t="s">
        <v>942</v>
      </c>
      <c r="F452" s="7" t="s">
        <v>218</v>
      </c>
      <c r="G452" s="7">
        <v>174</v>
      </c>
      <c r="H452" s="7" t="s">
        <v>877</v>
      </c>
      <c r="I452" s="7" t="s">
        <v>878</v>
      </c>
      <c r="J452" s="7" t="s">
        <v>879</v>
      </c>
      <c r="M452" s="7">
        <v>100</v>
      </c>
      <c r="N452" s="7">
        <v>100</v>
      </c>
      <c r="O452" s="126"/>
      <c r="P452" s="126">
        <v>46209.706967592603</v>
      </c>
    </row>
    <row r="453" spans="1:16" ht="15.75" customHeight="1">
      <c r="A453" s="126">
        <v>46230.015752314801</v>
      </c>
      <c r="B453" s="7">
        <v>12</v>
      </c>
      <c r="C453" s="7">
        <v>497</v>
      </c>
      <c r="D453" s="7"/>
      <c r="E453" s="7" t="s">
        <v>942</v>
      </c>
      <c r="F453" s="7" t="s">
        <v>218</v>
      </c>
      <c r="G453" s="7">
        <v>180</v>
      </c>
      <c r="H453" s="7" t="s">
        <v>880</v>
      </c>
      <c r="I453" s="7" t="s">
        <v>874</v>
      </c>
      <c r="J453" s="7"/>
      <c r="M453" s="7"/>
      <c r="N453" s="7" t="s">
        <v>875</v>
      </c>
      <c r="O453" s="126"/>
      <c r="P453" s="126"/>
    </row>
    <row r="454" spans="1:16" ht="15.75" customHeight="1">
      <c r="A454" s="126">
        <v>46230.015752314801</v>
      </c>
      <c r="B454" s="7">
        <v>12</v>
      </c>
      <c r="C454" s="7">
        <v>497</v>
      </c>
      <c r="E454" s="7" t="s">
        <v>942</v>
      </c>
      <c r="F454" s="7" t="s">
        <v>218</v>
      </c>
      <c r="G454" s="7">
        <v>175</v>
      </c>
      <c r="H454" s="7" t="s">
        <v>881</v>
      </c>
      <c r="I454" s="7" t="s">
        <v>878</v>
      </c>
      <c r="J454" s="7" t="s">
        <v>882</v>
      </c>
      <c r="M454" s="7"/>
      <c r="N454" s="7" t="s">
        <v>875</v>
      </c>
      <c r="O454" s="126"/>
      <c r="P454" s="126"/>
    </row>
    <row r="455" spans="1:16" ht="15.75" customHeight="1">
      <c r="A455" s="126">
        <v>46230.015752314801</v>
      </c>
      <c r="B455" s="7">
        <v>12</v>
      </c>
      <c r="C455" s="7">
        <v>497</v>
      </c>
      <c r="E455" s="7" t="s">
        <v>942</v>
      </c>
      <c r="F455" s="7" t="s">
        <v>218</v>
      </c>
      <c r="G455" s="7">
        <v>177</v>
      </c>
      <c r="H455" s="7" t="s">
        <v>883</v>
      </c>
      <c r="I455" s="7" t="s">
        <v>878</v>
      </c>
      <c r="J455" s="7" t="s">
        <v>882</v>
      </c>
      <c r="N455" s="7" t="s">
        <v>875</v>
      </c>
    </row>
    <row r="456" spans="1:16" ht="15.75" customHeight="1">
      <c r="A456" s="126">
        <v>46230.015752314801</v>
      </c>
      <c r="B456" s="7">
        <v>12</v>
      </c>
      <c r="C456" s="7">
        <v>497</v>
      </c>
      <c r="D456" s="7"/>
      <c r="E456" s="7" t="s">
        <v>942</v>
      </c>
      <c r="F456" s="7" t="s">
        <v>218</v>
      </c>
      <c r="G456" s="7">
        <v>176</v>
      </c>
      <c r="H456" s="7" t="s">
        <v>884</v>
      </c>
      <c r="I456" s="7" t="s">
        <v>878</v>
      </c>
      <c r="J456" s="7" t="s">
        <v>882</v>
      </c>
      <c r="M456" s="7"/>
      <c r="N456" s="7" t="s">
        <v>875</v>
      </c>
      <c r="O456" s="126"/>
      <c r="P456" s="126"/>
    </row>
    <row r="457" spans="1:16" ht="15.75" customHeight="1">
      <c r="A457" s="126">
        <v>46230.015752314801</v>
      </c>
      <c r="B457" s="7">
        <v>12</v>
      </c>
      <c r="C457" s="7">
        <v>497</v>
      </c>
      <c r="D457" s="7"/>
      <c r="E457" s="7" t="s">
        <v>942</v>
      </c>
      <c r="F457" s="7" t="s">
        <v>218</v>
      </c>
      <c r="G457" s="7">
        <v>168</v>
      </c>
      <c r="H457" s="7" t="s">
        <v>885</v>
      </c>
      <c r="I457" s="7" t="s">
        <v>886</v>
      </c>
      <c r="J457" s="7"/>
      <c r="M457" s="7">
        <v>100</v>
      </c>
      <c r="N457" s="7">
        <v>100</v>
      </c>
      <c r="P457" s="126">
        <v>46209.706967592603</v>
      </c>
    </row>
    <row r="458" spans="1:16" ht="15.75" customHeight="1">
      <c r="A458" s="126">
        <v>46230.015752314801</v>
      </c>
      <c r="B458" s="7">
        <v>12</v>
      </c>
      <c r="C458" s="7">
        <v>813</v>
      </c>
      <c r="D458" s="7"/>
      <c r="E458" s="7" t="s">
        <v>943</v>
      </c>
      <c r="F458" s="7" t="s">
        <v>38</v>
      </c>
      <c r="G458" s="7">
        <v>181</v>
      </c>
      <c r="H458" s="7" t="s">
        <v>873</v>
      </c>
      <c r="I458" s="7" t="s">
        <v>874</v>
      </c>
      <c r="J458" s="7"/>
      <c r="M458" s="7"/>
      <c r="N458" s="7" t="s">
        <v>875</v>
      </c>
      <c r="O458" s="126"/>
      <c r="P458" s="126"/>
    </row>
    <row r="459" spans="1:16" ht="15.75" customHeight="1">
      <c r="A459" s="126">
        <v>46230.015752314801</v>
      </c>
      <c r="B459" s="7">
        <v>12</v>
      </c>
      <c r="C459" s="7">
        <v>813</v>
      </c>
      <c r="D459" s="7"/>
      <c r="E459" s="7" t="s">
        <v>943</v>
      </c>
      <c r="F459" s="7" t="s">
        <v>38</v>
      </c>
      <c r="G459" s="7">
        <v>182</v>
      </c>
      <c r="H459" s="7" t="s">
        <v>876</v>
      </c>
      <c r="I459" s="7" t="s">
        <v>874</v>
      </c>
      <c r="J459" s="7"/>
      <c r="M459" s="7"/>
      <c r="N459" s="7" t="s">
        <v>875</v>
      </c>
      <c r="O459" s="126"/>
      <c r="P459" s="126"/>
    </row>
    <row r="460" spans="1:16" ht="15.75" customHeight="1">
      <c r="A460" s="126">
        <v>46230.015752314801</v>
      </c>
      <c r="B460" s="7">
        <v>12</v>
      </c>
      <c r="C460" s="7">
        <v>813</v>
      </c>
      <c r="D460" s="7"/>
      <c r="E460" s="7" t="s">
        <v>943</v>
      </c>
      <c r="F460" s="7" t="s">
        <v>38</v>
      </c>
      <c r="G460" s="7">
        <v>174</v>
      </c>
      <c r="H460" s="7" t="s">
        <v>877</v>
      </c>
      <c r="I460" s="7" t="s">
        <v>878</v>
      </c>
      <c r="J460" s="7" t="s">
        <v>879</v>
      </c>
      <c r="M460" s="7">
        <v>100</v>
      </c>
      <c r="N460" s="7">
        <v>100</v>
      </c>
      <c r="O460" s="126"/>
      <c r="P460" s="126">
        <v>46211.502615740697</v>
      </c>
    </row>
    <row r="461" spans="1:16" ht="15.75" customHeight="1">
      <c r="A461" s="126">
        <v>46230.015752314801</v>
      </c>
      <c r="B461" s="7">
        <v>12</v>
      </c>
      <c r="C461" s="7">
        <v>813</v>
      </c>
      <c r="D461" s="7"/>
      <c r="E461" s="7" t="s">
        <v>943</v>
      </c>
      <c r="F461" s="7" t="s">
        <v>38</v>
      </c>
      <c r="G461" s="7">
        <v>180</v>
      </c>
      <c r="H461" s="7" t="s">
        <v>880</v>
      </c>
      <c r="I461" s="7" t="s">
        <v>874</v>
      </c>
      <c r="J461" s="7"/>
      <c r="M461" s="7"/>
      <c r="N461" s="7" t="s">
        <v>875</v>
      </c>
      <c r="P461" s="126"/>
    </row>
    <row r="462" spans="1:16" ht="15.75" customHeight="1">
      <c r="A462" s="126">
        <v>46230.015752314801</v>
      </c>
      <c r="B462" s="7">
        <v>12</v>
      </c>
      <c r="C462" s="7">
        <v>813</v>
      </c>
      <c r="D462" s="7"/>
      <c r="E462" s="7" t="s">
        <v>943</v>
      </c>
      <c r="F462" s="7" t="s">
        <v>38</v>
      </c>
      <c r="G462" s="7">
        <v>175</v>
      </c>
      <c r="H462" s="7" t="s">
        <v>881</v>
      </c>
      <c r="I462" s="7" t="s">
        <v>878</v>
      </c>
      <c r="J462" s="7" t="s">
        <v>882</v>
      </c>
      <c r="M462" s="7">
        <v>100</v>
      </c>
      <c r="N462" s="7">
        <v>100</v>
      </c>
      <c r="O462" s="126">
        <v>46217.947708333297</v>
      </c>
      <c r="P462" s="126">
        <v>46217.947708333297</v>
      </c>
    </row>
    <row r="463" spans="1:16" ht="15.75" customHeight="1">
      <c r="A463" s="126">
        <v>46230.015752314801</v>
      </c>
      <c r="B463" s="7">
        <v>12</v>
      </c>
      <c r="C463" s="7">
        <v>813</v>
      </c>
      <c r="D463" s="7"/>
      <c r="E463" s="7" t="s">
        <v>943</v>
      </c>
      <c r="F463" s="7" t="s">
        <v>38</v>
      </c>
      <c r="G463" s="7">
        <v>177</v>
      </c>
      <c r="H463" s="7" t="s">
        <v>883</v>
      </c>
      <c r="I463" s="7" t="s">
        <v>878</v>
      </c>
      <c r="J463" s="7" t="s">
        <v>882</v>
      </c>
      <c r="M463" s="7"/>
      <c r="N463" s="7" t="s">
        <v>875</v>
      </c>
      <c r="P463" s="126"/>
    </row>
    <row r="464" spans="1:16" ht="15.75" customHeight="1">
      <c r="A464" s="126">
        <v>46230.015752314801</v>
      </c>
      <c r="B464" s="7">
        <v>12</v>
      </c>
      <c r="C464" s="7">
        <v>813</v>
      </c>
      <c r="D464" s="7"/>
      <c r="E464" s="7" t="s">
        <v>943</v>
      </c>
      <c r="F464" s="7" t="s">
        <v>38</v>
      </c>
      <c r="G464" s="7">
        <v>176</v>
      </c>
      <c r="H464" s="7" t="s">
        <v>884</v>
      </c>
      <c r="I464" s="7" t="s">
        <v>878</v>
      </c>
      <c r="J464" s="7" t="s">
        <v>882</v>
      </c>
      <c r="M464" s="7">
        <v>100</v>
      </c>
      <c r="N464" s="7">
        <v>100</v>
      </c>
      <c r="O464" s="126">
        <v>46229.707025463002</v>
      </c>
      <c r="P464" s="126">
        <v>46229.707025463002</v>
      </c>
    </row>
    <row r="465" spans="1:16" ht="15.75" customHeight="1">
      <c r="A465" s="126">
        <v>46230.015752314801</v>
      </c>
      <c r="B465" s="7">
        <v>12</v>
      </c>
      <c r="C465" s="7">
        <v>813</v>
      </c>
      <c r="D465" s="7"/>
      <c r="E465" s="7" t="s">
        <v>943</v>
      </c>
      <c r="F465" s="7" t="s">
        <v>38</v>
      </c>
      <c r="G465" s="7">
        <v>168</v>
      </c>
      <c r="H465" s="7" t="s">
        <v>885</v>
      </c>
      <c r="I465" s="7" t="s">
        <v>886</v>
      </c>
      <c r="J465" s="7"/>
      <c r="M465" s="7">
        <v>100</v>
      </c>
      <c r="N465" s="7">
        <v>100</v>
      </c>
      <c r="O465" s="126"/>
      <c r="P465" s="126">
        <v>46211.502615740697</v>
      </c>
    </row>
    <row r="466" spans="1:16" ht="15.75" customHeight="1">
      <c r="A466" s="126">
        <v>46230.015752314801</v>
      </c>
      <c r="B466" s="7">
        <v>12</v>
      </c>
      <c r="C466" s="7">
        <v>773</v>
      </c>
      <c r="E466" s="7" t="s">
        <v>944</v>
      </c>
      <c r="F466" s="7" t="s">
        <v>43</v>
      </c>
      <c r="G466" s="7">
        <v>181</v>
      </c>
      <c r="H466" s="7" t="s">
        <v>873</v>
      </c>
      <c r="I466" s="7" t="s">
        <v>874</v>
      </c>
      <c r="J466" s="7"/>
      <c r="M466" s="7"/>
      <c r="N466" s="7" t="s">
        <v>875</v>
      </c>
      <c r="O466" s="126"/>
      <c r="P466" s="126"/>
    </row>
    <row r="467" spans="1:16" ht="15.75" customHeight="1">
      <c r="A467" s="126">
        <v>46230.015752314801</v>
      </c>
      <c r="B467" s="7">
        <v>12</v>
      </c>
      <c r="C467" s="7">
        <v>773</v>
      </c>
      <c r="E467" s="7" t="s">
        <v>944</v>
      </c>
      <c r="F467" s="7" t="s">
        <v>43</v>
      </c>
      <c r="G467" s="7">
        <v>182</v>
      </c>
      <c r="H467" s="7" t="s">
        <v>876</v>
      </c>
      <c r="I467" s="7" t="s">
        <v>874</v>
      </c>
      <c r="J467" s="7"/>
      <c r="M467" s="7"/>
      <c r="N467" s="7" t="s">
        <v>875</v>
      </c>
      <c r="O467" s="126"/>
      <c r="P467" s="126"/>
    </row>
    <row r="468" spans="1:16" ht="15.75" customHeight="1">
      <c r="A468" s="126">
        <v>46230.015752314801</v>
      </c>
      <c r="B468" s="7">
        <v>12</v>
      </c>
      <c r="C468" s="7">
        <v>773</v>
      </c>
      <c r="E468" s="7" t="s">
        <v>944</v>
      </c>
      <c r="F468" s="7" t="s">
        <v>43</v>
      </c>
      <c r="G468" s="7">
        <v>174</v>
      </c>
      <c r="H468" s="7" t="s">
        <v>877</v>
      </c>
      <c r="I468" s="7" t="s">
        <v>878</v>
      </c>
      <c r="J468" s="7" t="s">
        <v>879</v>
      </c>
      <c r="M468" s="7">
        <v>100</v>
      </c>
      <c r="N468" s="7">
        <v>100</v>
      </c>
      <c r="O468" s="126"/>
      <c r="P468" s="126">
        <v>46209.706979166702</v>
      </c>
    </row>
    <row r="469" spans="1:16" ht="15.75" customHeight="1">
      <c r="A469" s="126">
        <v>46230.015752314801</v>
      </c>
      <c r="B469" s="7">
        <v>12</v>
      </c>
      <c r="C469" s="7">
        <v>773</v>
      </c>
      <c r="E469" s="7" t="s">
        <v>944</v>
      </c>
      <c r="F469" s="7" t="s">
        <v>43</v>
      </c>
      <c r="G469" s="7">
        <v>180</v>
      </c>
      <c r="H469" s="7" t="s">
        <v>880</v>
      </c>
      <c r="I469" s="7" t="s">
        <v>874</v>
      </c>
      <c r="J469" s="7"/>
      <c r="M469" s="7"/>
      <c r="N469" s="7" t="s">
        <v>875</v>
      </c>
      <c r="O469" s="126"/>
      <c r="P469" s="126"/>
    </row>
    <row r="470" spans="1:16" ht="15.75" customHeight="1">
      <c r="A470" s="126">
        <v>46230.015752314801</v>
      </c>
      <c r="B470" s="7">
        <v>12</v>
      </c>
      <c r="C470" s="7">
        <v>773</v>
      </c>
      <c r="D470" s="7"/>
      <c r="E470" s="7" t="s">
        <v>944</v>
      </c>
      <c r="F470" s="7" t="s">
        <v>43</v>
      </c>
      <c r="G470" s="7">
        <v>175</v>
      </c>
      <c r="H470" s="7" t="s">
        <v>881</v>
      </c>
      <c r="I470" s="7" t="s">
        <v>878</v>
      </c>
      <c r="J470" s="7" t="s">
        <v>882</v>
      </c>
      <c r="M470" s="7">
        <v>100</v>
      </c>
      <c r="N470" s="7">
        <v>100</v>
      </c>
      <c r="O470" s="126">
        <v>46225.9227314815</v>
      </c>
      <c r="P470" s="126">
        <v>46225.9227314815</v>
      </c>
    </row>
    <row r="471" spans="1:16" ht="15.75" customHeight="1">
      <c r="A471" s="126">
        <v>46230.015752314801</v>
      </c>
      <c r="B471" s="7">
        <v>12</v>
      </c>
      <c r="C471" s="7">
        <v>773</v>
      </c>
      <c r="D471" s="7"/>
      <c r="E471" s="7" t="s">
        <v>944</v>
      </c>
      <c r="F471" s="7" t="s">
        <v>43</v>
      </c>
      <c r="G471" s="7">
        <v>177</v>
      </c>
      <c r="H471" s="7" t="s">
        <v>883</v>
      </c>
      <c r="I471" s="7" t="s">
        <v>878</v>
      </c>
      <c r="J471" s="7" t="s">
        <v>882</v>
      </c>
      <c r="M471" s="7"/>
      <c r="N471" s="7" t="s">
        <v>875</v>
      </c>
      <c r="O471" s="126"/>
      <c r="P471" s="126"/>
    </row>
    <row r="472" spans="1:16" ht="15.75" customHeight="1">
      <c r="A472" s="126">
        <v>46230.015752314801</v>
      </c>
      <c r="B472" s="7">
        <v>12</v>
      </c>
      <c r="C472" s="7">
        <v>773</v>
      </c>
      <c r="D472" s="7"/>
      <c r="E472" s="7" t="s">
        <v>944</v>
      </c>
      <c r="F472" s="7" t="s">
        <v>43</v>
      </c>
      <c r="G472" s="7">
        <v>176</v>
      </c>
      <c r="H472" s="7" t="s">
        <v>884</v>
      </c>
      <c r="I472" s="7" t="s">
        <v>878</v>
      </c>
      <c r="J472" s="7" t="s">
        <v>882</v>
      </c>
      <c r="M472" s="7">
        <v>100</v>
      </c>
      <c r="N472" s="7">
        <v>100</v>
      </c>
      <c r="O472" s="126">
        <v>46225.924375000002</v>
      </c>
      <c r="P472" s="126">
        <v>46225.924375000002</v>
      </c>
    </row>
    <row r="473" spans="1:16" ht="15.75" customHeight="1">
      <c r="A473" s="126">
        <v>46230.015752314801</v>
      </c>
      <c r="B473" s="7">
        <v>12</v>
      </c>
      <c r="C473" s="7">
        <v>773</v>
      </c>
      <c r="D473" s="7"/>
      <c r="E473" s="7" t="s">
        <v>944</v>
      </c>
      <c r="F473" s="7" t="s">
        <v>43</v>
      </c>
      <c r="G473" s="7">
        <v>168</v>
      </c>
      <c r="H473" s="7" t="s">
        <v>885</v>
      </c>
      <c r="I473" s="7" t="s">
        <v>886</v>
      </c>
      <c r="J473" s="7"/>
      <c r="M473" s="7">
        <v>100</v>
      </c>
      <c r="N473" s="7">
        <v>100</v>
      </c>
      <c r="P473" s="126">
        <v>46209.706979166702</v>
      </c>
    </row>
    <row r="474" spans="1:16" ht="15.75" customHeight="1">
      <c r="A474" s="126">
        <v>46230.015752314801</v>
      </c>
      <c r="B474" s="7">
        <v>12</v>
      </c>
      <c r="C474" s="7">
        <v>253</v>
      </c>
      <c r="E474" s="7" t="s">
        <v>945</v>
      </c>
      <c r="F474" s="7" t="s">
        <v>605</v>
      </c>
      <c r="G474" s="7">
        <v>181</v>
      </c>
      <c r="H474" s="7" t="s">
        <v>873</v>
      </c>
      <c r="I474" s="7" t="s">
        <v>874</v>
      </c>
      <c r="J474" s="7"/>
      <c r="M474" s="7"/>
      <c r="N474" s="7" t="s">
        <v>875</v>
      </c>
      <c r="O474" s="126"/>
      <c r="P474" s="126"/>
    </row>
    <row r="475" spans="1:16" ht="15.75" customHeight="1">
      <c r="A475" s="126">
        <v>46230.015752314801</v>
      </c>
      <c r="B475" s="7">
        <v>12</v>
      </c>
      <c r="C475" s="7">
        <v>253</v>
      </c>
      <c r="E475" s="7" t="s">
        <v>945</v>
      </c>
      <c r="F475" s="7" t="s">
        <v>605</v>
      </c>
      <c r="G475" s="7">
        <v>182</v>
      </c>
      <c r="H475" s="7" t="s">
        <v>876</v>
      </c>
      <c r="I475" s="7" t="s">
        <v>874</v>
      </c>
      <c r="J475" s="7"/>
      <c r="M475" s="7"/>
      <c r="N475" s="7" t="s">
        <v>875</v>
      </c>
      <c r="P475" s="126"/>
    </row>
    <row r="476" spans="1:16" ht="15.75" customHeight="1">
      <c r="A476" s="126">
        <v>46230.015752314801</v>
      </c>
      <c r="B476" s="7">
        <v>12</v>
      </c>
      <c r="C476" s="7">
        <v>253</v>
      </c>
      <c r="D476" s="7"/>
      <c r="E476" s="7" t="s">
        <v>945</v>
      </c>
      <c r="F476" s="7" t="s">
        <v>605</v>
      </c>
      <c r="G476" s="7">
        <v>174</v>
      </c>
      <c r="H476" s="7" t="s">
        <v>877</v>
      </c>
      <c r="I476" s="7" t="s">
        <v>878</v>
      </c>
      <c r="J476" s="7" t="s">
        <v>879</v>
      </c>
      <c r="M476" s="7">
        <v>100</v>
      </c>
      <c r="N476" s="7">
        <v>100</v>
      </c>
      <c r="O476" s="126"/>
      <c r="P476" s="126">
        <v>46216.418159722198</v>
      </c>
    </row>
    <row r="477" spans="1:16" ht="15.75" customHeight="1">
      <c r="A477" s="126">
        <v>46230.015752314801</v>
      </c>
      <c r="B477" s="7">
        <v>12</v>
      </c>
      <c r="C477" s="7">
        <v>253</v>
      </c>
      <c r="D477" s="7"/>
      <c r="E477" s="7" t="s">
        <v>945</v>
      </c>
      <c r="F477" s="7" t="s">
        <v>605</v>
      </c>
      <c r="G477" s="7">
        <v>180</v>
      </c>
      <c r="H477" s="7" t="s">
        <v>880</v>
      </c>
      <c r="I477" s="7" t="s">
        <v>874</v>
      </c>
      <c r="J477" s="7"/>
      <c r="M477" s="7"/>
      <c r="N477" s="7" t="s">
        <v>875</v>
      </c>
      <c r="O477" s="126"/>
      <c r="P477" s="126"/>
    </row>
    <row r="478" spans="1:16" ht="15.75" customHeight="1">
      <c r="A478" s="126">
        <v>46230.015752314801</v>
      </c>
      <c r="B478" s="7">
        <v>12</v>
      </c>
      <c r="C478" s="7">
        <v>253</v>
      </c>
      <c r="D478" s="7"/>
      <c r="E478" s="7" t="s">
        <v>945</v>
      </c>
      <c r="F478" s="7" t="s">
        <v>605</v>
      </c>
      <c r="G478" s="7">
        <v>175</v>
      </c>
      <c r="H478" s="7" t="s">
        <v>881</v>
      </c>
      <c r="I478" s="7" t="s">
        <v>878</v>
      </c>
      <c r="J478" s="7" t="s">
        <v>882</v>
      </c>
      <c r="M478" s="7">
        <v>87.5</v>
      </c>
      <c r="N478" s="7">
        <v>87.5</v>
      </c>
      <c r="O478" s="126">
        <v>46216.417337963001</v>
      </c>
      <c r="P478" s="126">
        <v>46216.417337963001</v>
      </c>
    </row>
    <row r="479" spans="1:16" ht="15.75" customHeight="1">
      <c r="A479" s="126">
        <v>46230.015752314801</v>
      </c>
      <c r="B479" s="7">
        <v>12</v>
      </c>
      <c r="C479" s="7">
        <v>253</v>
      </c>
      <c r="D479" s="7"/>
      <c r="E479" s="7" t="s">
        <v>945</v>
      </c>
      <c r="F479" s="7" t="s">
        <v>605</v>
      </c>
      <c r="G479" s="7">
        <v>177</v>
      </c>
      <c r="H479" s="7" t="s">
        <v>883</v>
      </c>
      <c r="I479" s="7" t="s">
        <v>878</v>
      </c>
      <c r="J479" s="7" t="s">
        <v>882</v>
      </c>
      <c r="M479" s="7"/>
      <c r="N479" s="7" t="s">
        <v>875</v>
      </c>
      <c r="P479" s="126"/>
    </row>
    <row r="480" spans="1:16" ht="15.75" customHeight="1">
      <c r="A480" s="126">
        <v>46230.015752314801</v>
      </c>
      <c r="B480" s="7">
        <v>12</v>
      </c>
      <c r="C480" s="7">
        <v>253</v>
      </c>
      <c r="D480" s="7"/>
      <c r="E480" s="7" t="s">
        <v>945</v>
      </c>
      <c r="F480" s="7" t="s">
        <v>605</v>
      </c>
      <c r="G480" s="7">
        <v>176</v>
      </c>
      <c r="H480" s="7" t="s">
        <v>884</v>
      </c>
      <c r="I480" s="7" t="s">
        <v>878</v>
      </c>
      <c r="J480" s="7" t="s">
        <v>882</v>
      </c>
      <c r="M480" s="7">
        <v>100</v>
      </c>
      <c r="N480" s="7">
        <v>100</v>
      </c>
      <c r="O480" s="126">
        <v>46229.731817129599</v>
      </c>
      <c r="P480" s="126">
        <v>46229.731817129599</v>
      </c>
    </row>
    <row r="481" spans="1:16" ht="15.75" customHeight="1">
      <c r="A481" s="126">
        <v>46230.015752314801</v>
      </c>
      <c r="B481" s="7">
        <v>12</v>
      </c>
      <c r="C481" s="7">
        <v>253</v>
      </c>
      <c r="D481" s="7"/>
      <c r="E481" s="7" t="s">
        <v>945</v>
      </c>
      <c r="F481" s="7" t="s">
        <v>605</v>
      </c>
      <c r="G481" s="7">
        <v>168</v>
      </c>
      <c r="H481" s="7" t="s">
        <v>885</v>
      </c>
      <c r="I481" s="7" t="s">
        <v>886</v>
      </c>
      <c r="J481" s="7"/>
      <c r="M481" s="7">
        <v>100</v>
      </c>
      <c r="N481" s="7">
        <v>100</v>
      </c>
      <c r="P481" s="126">
        <v>46216.418159722198</v>
      </c>
    </row>
    <row r="482" spans="1:16" ht="15.75" customHeight="1">
      <c r="A482" s="126">
        <v>46230.015752314801</v>
      </c>
      <c r="B482" s="7">
        <v>12</v>
      </c>
      <c r="C482" s="7">
        <v>767</v>
      </c>
      <c r="E482" s="7" t="s">
        <v>946</v>
      </c>
      <c r="F482" s="7" t="s">
        <v>734</v>
      </c>
      <c r="G482" s="7">
        <v>181</v>
      </c>
      <c r="H482" s="7" t="s">
        <v>873</v>
      </c>
      <c r="I482" s="7" t="s">
        <v>874</v>
      </c>
      <c r="J482" s="7"/>
      <c r="M482" s="7"/>
      <c r="N482" s="7" t="s">
        <v>875</v>
      </c>
      <c r="O482" s="126"/>
      <c r="P482" s="126"/>
    </row>
    <row r="483" spans="1:16" ht="15.75" customHeight="1">
      <c r="A483" s="126">
        <v>46230.015752314801</v>
      </c>
      <c r="B483" s="7">
        <v>12</v>
      </c>
      <c r="C483" s="7">
        <v>767</v>
      </c>
      <c r="E483" s="7" t="s">
        <v>946</v>
      </c>
      <c r="F483" s="7" t="s">
        <v>734</v>
      </c>
      <c r="G483" s="7">
        <v>182</v>
      </c>
      <c r="H483" s="7" t="s">
        <v>876</v>
      </c>
      <c r="I483" s="7" t="s">
        <v>874</v>
      </c>
      <c r="J483" s="7"/>
      <c r="M483" s="7"/>
      <c r="N483" s="7" t="s">
        <v>875</v>
      </c>
      <c r="O483" s="126"/>
      <c r="P483" s="126"/>
    </row>
    <row r="484" spans="1:16" ht="15.75" customHeight="1">
      <c r="A484" s="126">
        <v>46230.015752314801</v>
      </c>
      <c r="B484" s="7">
        <v>12</v>
      </c>
      <c r="C484" s="7">
        <v>767</v>
      </c>
      <c r="D484" s="7"/>
      <c r="E484" s="7" t="s">
        <v>946</v>
      </c>
      <c r="F484" s="7" t="s">
        <v>734</v>
      </c>
      <c r="G484" s="7">
        <v>174</v>
      </c>
      <c r="H484" s="7" t="s">
        <v>877</v>
      </c>
      <c r="I484" s="7" t="s">
        <v>878</v>
      </c>
      <c r="J484" s="7" t="s">
        <v>879</v>
      </c>
      <c r="M484" s="7">
        <v>100</v>
      </c>
      <c r="N484" s="7">
        <v>100</v>
      </c>
      <c r="O484" s="126"/>
      <c r="P484" s="126">
        <v>46209.706979166702</v>
      </c>
    </row>
    <row r="485" spans="1:16" ht="15.75" customHeight="1">
      <c r="A485" s="126">
        <v>46230.015752314801</v>
      </c>
      <c r="B485" s="7">
        <v>12</v>
      </c>
      <c r="C485" s="7">
        <v>767</v>
      </c>
      <c r="D485" s="7"/>
      <c r="E485" s="7" t="s">
        <v>946</v>
      </c>
      <c r="F485" s="7" t="s">
        <v>734</v>
      </c>
      <c r="G485" s="7">
        <v>180</v>
      </c>
      <c r="H485" s="7" t="s">
        <v>880</v>
      </c>
      <c r="I485" s="7" t="s">
        <v>874</v>
      </c>
      <c r="J485" s="7"/>
      <c r="M485" s="7"/>
      <c r="N485" s="7" t="s">
        <v>875</v>
      </c>
      <c r="O485" s="126"/>
      <c r="P485" s="126"/>
    </row>
    <row r="486" spans="1:16" ht="15.75" customHeight="1">
      <c r="A486" s="126">
        <v>46230.015752314801</v>
      </c>
      <c r="B486" s="7">
        <v>12</v>
      </c>
      <c r="C486" s="7">
        <v>767</v>
      </c>
      <c r="D486" s="7"/>
      <c r="E486" s="7" t="s">
        <v>946</v>
      </c>
      <c r="F486" s="7" t="s">
        <v>734</v>
      </c>
      <c r="G486" s="7">
        <v>175</v>
      </c>
      <c r="H486" s="7" t="s">
        <v>881</v>
      </c>
      <c r="I486" s="7" t="s">
        <v>878</v>
      </c>
      <c r="J486" s="7" t="s">
        <v>882</v>
      </c>
      <c r="M486" s="7">
        <v>100</v>
      </c>
      <c r="N486" s="7">
        <v>100</v>
      </c>
      <c r="O486" s="126">
        <v>46216.461064814801</v>
      </c>
      <c r="P486" s="126">
        <v>46216.461064814801</v>
      </c>
    </row>
    <row r="487" spans="1:16" ht="15.75" customHeight="1">
      <c r="A487" s="126">
        <v>46230.015752314801</v>
      </c>
      <c r="B487" s="7">
        <v>12</v>
      </c>
      <c r="C487" s="7">
        <v>767</v>
      </c>
      <c r="D487" s="7"/>
      <c r="E487" s="7" t="s">
        <v>946</v>
      </c>
      <c r="F487" s="7" t="s">
        <v>734</v>
      </c>
      <c r="G487" s="7">
        <v>177</v>
      </c>
      <c r="H487" s="7" t="s">
        <v>883</v>
      </c>
      <c r="I487" s="7" t="s">
        <v>878</v>
      </c>
      <c r="J487" s="7" t="s">
        <v>882</v>
      </c>
      <c r="M487" s="7"/>
      <c r="N487" s="7" t="s">
        <v>875</v>
      </c>
      <c r="P487" s="126"/>
    </row>
    <row r="488" spans="1:16" ht="15.75" customHeight="1">
      <c r="A488" s="126">
        <v>46230.015752314801</v>
      </c>
      <c r="B488" s="7">
        <v>12</v>
      </c>
      <c r="C488" s="7">
        <v>767</v>
      </c>
      <c r="D488" s="7"/>
      <c r="E488" s="7" t="s">
        <v>946</v>
      </c>
      <c r="F488" s="7" t="s">
        <v>734</v>
      </c>
      <c r="G488" s="7">
        <v>176</v>
      </c>
      <c r="H488" s="7" t="s">
        <v>884</v>
      </c>
      <c r="I488" s="7" t="s">
        <v>878</v>
      </c>
      <c r="J488" s="7" t="s">
        <v>882</v>
      </c>
      <c r="M488" s="7">
        <v>100</v>
      </c>
      <c r="N488" s="7">
        <v>100</v>
      </c>
      <c r="O488" s="126">
        <v>46224.615949074097</v>
      </c>
      <c r="P488" s="126">
        <v>46224.615949074097</v>
      </c>
    </row>
    <row r="489" spans="1:16" ht="15.75" customHeight="1">
      <c r="A489" s="126">
        <v>46230.015752314801</v>
      </c>
      <c r="B489" s="7">
        <v>12</v>
      </c>
      <c r="C489" s="7">
        <v>767</v>
      </c>
      <c r="D489" s="7"/>
      <c r="E489" s="7" t="s">
        <v>946</v>
      </c>
      <c r="F489" s="7" t="s">
        <v>734</v>
      </c>
      <c r="G489" s="7">
        <v>168</v>
      </c>
      <c r="H489" s="7" t="s">
        <v>885</v>
      </c>
      <c r="I489" s="7" t="s">
        <v>886</v>
      </c>
      <c r="J489" s="7"/>
      <c r="M489" s="7">
        <v>100</v>
      </c>
      <c r="N489" s="7">
        <v>100</v>
      </c>
      <c r="O489" s="126"/>
      <c r="P489" s="126">
        <v>46209.706979166702</v>
      </c>
    </row>
    <row r="490" spans="1:16" ht="15.75" customHeight="1">
      <c r="A490" s="126">
        <v>46230.015752314801</v>
      </c>
      <c r="B490" s="7">
        <v>12</v>
      </c>
      <c r="C490" s="7">
        <v>637</v>
      </c>
      <c r="E490" s="7" t="s">
        <v>947</v>
      </c>
      <c r="F490" s="7" t="s">
        <v>341</v>
      </c>
      <c r="G490" s="7">
        <v>181</v>
      </c>
      <c r="H490" s="7" t="s">
        <v>873</v>
      </c>
      <c r="I490" s="7" t="s">
        <v>874</v>
      </c>
      <c r="J490" s="7"/>
      <c r="M490" s="7"/>
      <c r="N490" s="7" t="s">
        <v>875</v>
      </c>
      <c r="O490" s="126"/>
      <c r="P490" s="126"/>
    </row>
    <row r="491" spans="1:16" ht="15.75" customHeight="1">
      <c r="A491" s="126">
        <v>46230.015752314801</v>
      </c>
      <c r="B491" s="7">
        <v>12</v>
      </c>
      <c r="C491" s="7">
        <v>637</v>
      </c>
      <c r="E491" s="7" t="s">
        <v>947</v>
      </c>
      <c r="F491" s="7" t="s">
        <v>341</v>
      </c>
      <c r="G491" s="7">
        <v>182</v>
      </c>
      <c r="H491" s="7" t="s">
        <v>876</v>
      </c>
      <c r="I491" s="7" t="s">
        <v>874</v>
      </c>
      <c r="J491" s="7"/>
      <c r="M491" s="7"/>
      <c r="N491" s="7" t="s">
        <v>875</v>
      </c>
      <c r="P491" s="126"/>
    </row>
    <row r="492" spans="1:16" ht="15.75" customHeight="1">
      <c r="A492" s="126">
        <v>46230.015752314801</v>
      </c>
      <c r="B492" s="7">
        <v>12</v>
      </c>
      <c r="C492" s="7">
        <v>637</v>
      </c>
      <c r="D492" s="7"/>
      <c r="E492" s="7" t="s">
        <v>947</v>
      </c>
      <c r="F492" s="7" t="s">
        <v>341</v>
      </c>
      <c r="G492" s="7">
        <v>174</v>
      </c>
      <c r="H492" s="7" t="s">
        <v>877</v>
      </c>
      <c r="I492" s="7" t="s">
        <v>878</v>
      </c>
      <c r="J492" s="7" t="s">
        <v>879</v>
      </c>
      <c r="M492" s="7">
        <v>100</v>
      </c>
      <c r="N492" s="7">
        <v>100</v>
      </c>
      <c r="O492" s="126"/>
      <c r="P492" s="126">
        <v>46209.706979166702</v>
      </c>
    </row>
    <row r="493" spans="1:16" ht="15.75" customHeight="1">
      <c r="A493" s="126">
        <v>46230.015752314801</v>
      </c>
      <c r="B493" s="7">
        <v>12</v>
      </c>
      <c r="C493" s="7">
        <v>637</v>
      </c>
      <c r="D493" s="7"/>
      <c r="E493" s="7" t="s">
        <v>947</v>
      </c>
      <c r="F493" s="7" t="s">
        <v>341</v>
      </c>
      <c r="G493" s="7">
        <v>180</v>
      </c>
      <c r="H493" s="7" t="s">
        <v>880</v>
      </c>
      <c r="I493" s="7" t="s">
        <v>874</v>
      </c>
      <c r="J493" s="7"/>
      <c r="M493" s="7"/>
      <c r="N493" s="7" t="s">
        <v>875</v>
      </c>
      <c r="O493" s="126"/>
      <c r="P493" s="126"/>
    </row>
    <row r="494" spans="1:16" ht="15.75" customHeight="1">
      <c r="A494" s="126">
        <v>46230.015752314801</v>
      </c>
      <c r="B494" s="7">
        <v>12</v>
      </c>
      <c r="C494" s="7">
        <v>637</v>
      </c>
      <c r="D494" s="7"/>
      <c r="E494" s="7" t="s">
        <v>947</v>
      </c>
      <c r="F494" s="7" t="s">
        <v>341</v>
      </c>
      <c r="G494" s="7">
        <v>175</v>
      </c>
      <c r="H494" s="7" t="s">
        <v>881</v>
      </c>
      <c r="I494" s="7" t="s">
        <v>878</v>
      </c>
      <c r="J494" s="7" t="s">
        <v>882</v>
      </c>
      <c r="M494" s="7">
        <v>100</v>
      </c>
      <c r="N494" s="7">
        <v>100</v>
      </c>
      <c r="O494" s="126">
        <v>46214.925960648201</v>
      </c>
      <c r="P494" s="126">
        <v>46214.925960648201</v>
      </c>
    </row>
    <row r="495" spans="1:16" ht="15.75" customHeight="1">
      <c r="A495" s="126">
        <v>46230.015752314801</v>
      </c>
      <c r="B495" s="7">
        <v>12</v>
      </c>
      <c r="C495" s="7">
        <v>637</v>
      </c>
      <c r="D495" s="7"/>
      <c r="E495" s="7" t="s">
        <v>947</v>
      </c>
      <c r="F495" s="7" t="s">
        <v>341</v>
      </c>
      <c r="G495" s="7">
        <v>177</v>
      </c>
      <c r="H495" s="7" t="s">
        <v>883</v>
      </c>
      <c r="I495" s="7" t="s">
        <v>878</v>
      </c>
      <c r="J495" s="7" t="s">
        <v>882</v>
      </c>
      <c r="M495" s="7"/>
      <c r="N495" s="7" t="s">
        <v>875</v>
      </c>
      <c r="O495" s="126"/>
      <c r="P495" s="126"/>
    </row>
    <row r="496" spans="1:16" ht="15.75" customHeight="1">
      <c r="A496" s="126">
        <v>46230.015752314801</v>
      </c>
      <c r="B496" s="7">
        <v>12</v>
      </c>
      <c r="C496" s="7">
        <v>637</v>
      </c>
      <c r="E496" s="7" t="s">
        <v>947</v>
      </c>
      <c r="F496" s="7" t="s">
        <v>341</v>
      </c>
      <c r="G496" s="7">
        <v>176</v>
      </c>
      <c r="H496" s="7" t="s">
        <v>884</v>
      </c>
      <c r="I496" s="7" t="s">
        <v>878</v>
      </c>
      <c r="J496" s="7" t="s">
        <v>882</v>
      </c>
      <c r="M496" s="7">
        <v>100</v>
      </c>
      <c r="N496" s="7">
        <v>100</v>
      </c>
      <c r="O496" s="126">
        <v>46225.768414351798</v>
      </c>
      <c r="P496" s="126">
        <v>46225.768414351798</v>
      </c>
    </row>
    <row r="497" spans="1:16" ht="15.75" customHeight="1">
      <c r="A497" s="126">
        <v>46230.015752314801</v>
      </c>
      <c r="B497" s="7">
        <v>12</v>
      </c>
      <c r="C497" s="7">
        <v>637</v>
      </c>
      <c r="E497" s="7" t="s">
        <v>947</v>
      </c>
      <c r="F497" s="7" t="s">
        <v>341</v>
      </c>
      <c r="G497" s="7">
        <v>168</v>
      </c>
      <c r="H497" s="7" t="s">
        <v>885</v>
      </c>
      <c r="I497" s="7" t="s">
        <v>886</v>
      </c>
      <c r="J497" s="7"/>
      <c r="M497" s="7">
        <v>100</v>
      </c>
      <c r="N497" s="7">
        <v>100</v>
      </c>
      <c r="P497" s="126">
        <v>46209.706979166702</v>
      </c>
    </row>
    <row r="498" spans="1:16" ht="15.75" customHeight="1">
      <c r="A498" s="126">
        <v>46230.015752314801</v>
      </c>
      <c r="B498" s="7">
        <v>12</v>
      </c>
      <c r="C498" s="7">
        <v>810</v>
      </c>
      <c r="D498" s="7">
        <v>287080</v>
      </c>
      <c r="E498" s="7" t="s">
        <v>948</v>
      </c>
      <c r="F498" s="7" t="s">
        <v>53</v>
      </c>
      <c r="G498" s="7">
        <v>181</v>
      </c>
      <c r="H498" s="7" t="s">
        <v>873</v>
      </c>
      <c r="I498" s="7" t="s">
        <v>874</v>
      </c>
      <c r="J498" s="7"/>
      <c r="N498" s="7" t="s">
        <v>875</v>
      </c>
    </row>
    <row r="499" spans="1:16" ht="15.75" customHeight="1">
      <c r="A499" s="126">
        <v>46230.015752314801</v>
      </c>
      <c r="B499" s="7">
        <v>12</v>
      </c>
      <c r="C499" s="7">
        <v>810</v>
      </c>
      <c r="D499" s="7">
        <v>287080</v>
      </c>
      <c r="E499" s="7" t="s">
        <v>948</v>
      </c>
      <c r="F499" s="7" t="s">
        <v>53</v>
      </c>
      <c r="G499" s="7">
        <v>182</v>
      </c>
      <c r="H499" s="7" t="s">
        <v>876</v>
      </c>
      <c r="I499" s="7" t="s">
        <v>874</v>
      </c>
      <c r="J499" s="7"/>
      <c r="M499" s="7"/>
      <c r="N499" s="7" t="s">
        <v>875</v>
      </c>
      <c r="P499" s="126"/>
    </row>
    <row r="500" spans="1:16" ht="15.75" customHeight="1">
      <c r="A500" s="126">
        <v>46230.015752314801</v>
      </c>
      <c r="B500" s="7">
        <v>12</v>
      </c>
      <c r="C500" s="7">
        <v>810</v>
      </c>
      <c r="D500" s="7">
        <v>287080</v>
      </c>
      <c r="E500" s="7" t="s">
        <v>948</v>
      </c>
      <c r="F500" s="7" t="s">
        <v>53</v>
      </c>
      <c r="G500" s="7">
        <v>174</v>
      </c>
      <c r="H500" s="7" t="s">
        <v>877</v>
      </c>
      <c r="I500" s="7" t="s">
        <v>878</v>
      </c>
      <c r="J500" s="7" t="s">
        <v>879</v>
      </c>
      <c r="M500" s="7">
        <v>100</v>
      </c>
      <c r="N500" s="7">
        <v>100</v>
      </c>
      <c r="O500" s="126"/>
      <c r="P500" s="126">
        <v>46222.819571759297</v>
      </c>
    </row>
    <row r="501" spans="1:16" ht="15.75" customHeight="1">
      <c r="A501" s="126">
        <v>46230.015752314801</v>
      </c>
      <c r="B501" s="7">
        <v>12</v>
      </c>
      <c r="C501" s="7">
        <v>810</v>
      </c>
      <c r="D501" s="7">
        <v>287080</v>
      </c>
      <c r="E501" s="7" t="s">
        <v>948</v>
      </c>
      <c r="F501" s="7" t="s">
        <v>53</v>
      </c>
      <c r="G501" s="7">
        <v>180</v>
      </c>
      <c r="H501" s="7" t="s">
        <v>880</v>
      </c>
      <c r="I501" s="7" t="s">
        <v>874</v>
      </c>
      <c r="J501" s="7"/>
      <c r="M501" s="7"/>
      <c r="N501" s="7" t="s">
        <v>875</v>
      </c>
      <c r="O501" s="126"/>
      <c r="P501" s="126"/>
    </row>
    <row r="502" spans="1:16" ht="15.75" customHeight="1">
      <c r="A502" s="126">
        <v>46230.015752314801</v>
      </c>
      <c r="B502" s="7">
        <v>12</v>
      </c>
      <c r="C502" s="7">
        <v>810</v>
      </c>
      <c r="D502" s="7">
        <v>287080</v>
      </c>
      <c r="E502" s="7" t="s">
        <v>948</v>
      </c>
      <c r="F502" s="7" t="s">
        <v>53</v>
      </c>
      <c r="G502" s="7">
        <v>175</v>
      </c>
      <c r="H502" s="7" t="s">
        <v>881</v>
      </c>
      <c r="I502" s="7" t="s">
        <v>878</v>
      </c>
      <c r="J502" s="7" t="s">
        <v>882</v>
      </c>
      <c r="M502" s="7">
        <v>75</v>
      </c>
      <c r="N502" s="7">
        <v>75</v>
      </c>
      <c r="O502" s="126">
        <v>46226.520370370403</v>
      </c>
      <c r="P502" s="126">
        <v>46226.520370370403</v>
      </c>
    </row>
    <row r="503" spans="1:16" ht="15.75" customHeight="1">
      <c r="A503" s="126">
        <v>46230.015752314801</v>
      </c>
      <c r="B503" s="7">
        <v>12</v>
      </c>
      <c r="C503" s="7">
        <v>810</v>
      </c>
      <c r="D503" s="7">
        <v>287080</v>
      </c>
      <c r="E503" s="7" t="s">
        <v>948</v>
      </c>
      <c r="F503" s="7" t="s">
        <v>53</v>
      </c>
      <c r="G503" s="7">
        <v>177</v>
      </c>
      <c r="H503" s="7" t="s">
        <v>883</v>
      </c>
      <c r="I503" s="7" t="s">
        <v>878</v>
      </c>
      <c r="J503" s="7" t="s">
        <v>882</v>
      </c>
      <c r="M503" s="7"/>
      <c r="N503" s="7" t="s">
        <v>875</v>
      </c>
      <c r="O503" s="126"/>
      <c r="P503" s="126"/>
    </row>
    <row r="504" spans="1:16" ht="15.75" customHeight="1">
      <c r="A504" s="126">
        <v>46230.015752314801</v>
      </c>
      <c r="B504" s="7">
        <v>12</v>
      </c>
      <c r="C504" s="7">
        <v>810</v>
      </c>
      <c r="D504" s="7">
        <v>287080</v>
      </c>
      <c r="E504" s="7" t="s">
        <v>948</v>
      </c>
      <c r="F504" s="7" t="s">
        <v>53</v>
      </c>
      <c r="G504" s="7">
        <v>176</v>
      </c>
      <c r="H504" s="7" t="s">
        <v>884</v>
      </c>
      <c r="I504" s="7" t="s">
        <v>878</v>
      </c>
      <c r="J504" s="7" t="s">
        <v>882</v>
      </c>
      <c r="M504" s="7">
        <v>90</v>
      </c>
      <c r="N504" s="7">
        <v>90</v>
      </c>
      <c r="O504" s="126">
        <v>46228.954259259299</v>
      </c>
      <c r="P504" s="126">
        <v>46228.954259259299</v>
      </c>
    </row>
    <row r="505" spans="1:16" ht="15.75" customHeight="1">
      <c r="A505" s="126">
        <v>46230.015752314801</v>
      </c>
      <c r="B505" s="7">
        <v>12</v>
      </c>
      <c r="C505" s="7">
        <v>810</v>
      </c>
      <c r="D505" s="7">
        <v>287080</v>
      </c>
      <c r="E505" s="7" t="s">
        <v>948</v>
      </c>
      <c r="F505" s="7" t="s">
        <v>53</v>
      </c>
      <c r="G505" s="7">
        <v>168</v>
      </c>
      <c r="H505" s="7" t="s">
        <v>885</v>
      </c>
      <c r="I505" s="7" t="s">
        <v>886</v>
      </c>
      <c r="M505" s="7">
        <v>100</v>
      </c>
      <c r="N505" s="7">
        <v>100</v>
      </c>
      <c r="P505" s="126">
        <v>46222.819571759297</v>
      </c>
    </row>
    <row r="506" spans="1:16" ht="15.75" customHeight="1">
      <c r="A506" s="126">
        <v>46230.015752314801</v>
      </c>
      <c r="B506" s="7">
        <v>12</v>
      </c>
      <c r="C506" s="7">
        <v>301</v>
      </c>
      <c r="E506" s="7" t="s">
        <v>949</v>
      </c>
      <c r="F506" s="7" t="s">
        <v>150</v>
      </c>
      <c r="G506" s="7">
        <v>181</v>
      </c>
      <c r="H506" s="7" t="s">
        <v>873</v>
      </c>
      <c r="I506" s="7" t="s">
        <v>874</v>
      </c>
      <c r="J506" s="7"/>
      <c r="M506" s="7"/>
      <c r="N506" s="7" t="s">
        <v>875</v>
      </c>
      <c r="O506" s="126"/>
      <c r="P506" s="126"/>
    </row>
    <row r="507" spans="1:16" ht="15.75" customHeight="1">
      <c r="A507" s="126">
        <v>46230.015752314801</v>
      </c>
      <c r="B507" s="7">
        <v>12</v>
      </c>
      <c r="C507" s="7">
        <v>301</v>
      </c>
      <c r="E507" s="7" t="s">
        <v>949</v>
      </c>
      <c r="F507" s="7" t="s">
        <v>150</v>
      </c>
      <c r="G507" s="7">
        <v>182</v>
      </c>
      <c r="H507" s="7" t="s">
        <v>876</v>
      </c>
      <c r="I507" s="7" t="s">
        <v>874</v>
      </c>
      <c r="J507" s="7"/>
      <c r="M507" s="7"/>
      <c r="N507" s="7" t="s">
        <v>875</v>
      </c>
      <c r="O507" s="126"/>
      <c r="P507" s="126"/>
    </row>
    <row r="508" spans="1:16" ht="15.75" customHeight="1">
      <c r="A508" s="126">
        <v>46230.015752314801</v>
      </c>
      <c r="B508" s="7">
        <v>12</v>
      </c>
      <c r="C508" s="7">
        <v>301</v>
      </c>
      <c r="D508" s="7"/>
      <c r="E508" s="7" t="s">
        <v>949</v>
      </c>
      <c r="F508" s="7" t="s">
        <v>150</v>
      </c>
      <c r="G508" s="7">
        <v>174</v>
      </c>
      <c r="H508" s="7" t="s">
        <v>877</v>
      </c>
      <c r="I508" s="7" t="s">
        <v>878</v>
      </c>
      <c r="J508" s="7" t="s">
        <v>879</v>
      </c>
      <c r="M508" s="7">
        <v>100</v>
      </c>
      <c r="N508" s="7">
        <v>100</v>
      </c>
      <c r="O508" s="126"/>
      <c r="P508" s="126">
        <v>46209.706932870402</v>
      </c>
    </row>
    <row r="509" spans="1:16" ht="15.75" customHeight="1">
      <c r="A509" s="126">
        <v>46230.015752314801</v>
      </c>
      <c r="B509" s="7">
        <v>12</v>
      </c>
      <c r="C509" s="7">
        <v>301</v>
      </c>
      <c r="D509" s="7"/>
      <c r="E509" s="7" t="s">
        <v>949</v>
      </c>
      <c r="F509" s="7" t="s">
        <v>150</v>
      </c>
      <c r="G509" s="7">
        <v>180</v>
      </c>
      <c r="H509" s="7" t="s">
        <v>880</v>
      </c>
      <c r="I509" s="7" t="s">
        <v>874</v>
      </c>
      <c r="J509" s="7"/>
      <c r="M509" s="7"/>
      <c r="N509" s="7" t="s">
        <v>875</v>
      </c>
      <c r="O509" s="126"/>
      <c r="P509" s="126"/>
    </row>
    <row r="510" spans="1:16" ht="15.75" customHeight="1">
      <c r="A510" s="126">
        <v>46230.015752314801</v>
      </c>
      <c r="B510" s="7">
        <v>12</v>
      </c>
      <c r="C510" s="7">
        <v>301</v>
      </c>
      <c r="D510" s="7"/>
      <c r="E510" s="7" t="s">
        <v>949</v>
      </c>
      <c r="F510" s="7" t="s">
        <v>150</v>
      </c>
      <c r="G510" s="7">
        <v>175</v>
      </c>
      <c r="H510" s="7" t="s">
        <v>881</v>
      </c>
      <c r="I510" s="7" t="s">
        <v>878</v>
      </c>
      <c r="J510" s="7" t="s">
        <v>882</v>
      </c>
      <c r="M510" s="7">
        <v>87.5</v>
      </c>
      <c r="N510" s="7">
        <v>87.5</v>
      </c>
      <c r="O510" s="126">
        <v>46216.481550925899</v>
      </c>
      <c r="P510" s="126">
        <v>46216.481550925899</v>
      </c>
    </row>
    <row r="511" spans="1:16" ht="15.75" customHeight="1">
      <c r="A511" s="126">
        <v>46230.015752314801</v>
      </c>
      <c r="B511" s="7">
        <v>12</v>
      </c>
      <c r="C511" s="7">
        <v>301</v>
      </c>
      <c r="D511" s="7"/>
      <c r="E511" s="7" t="s">
        <v>949</v>
      </c>
      <c r="F511" s="7" t="s">
        <v>150</v>
      </c>
      <c r="G511" s="7">
        <v>177</v>
      </c>
      <c r="H511" s="7" t="s">
        <v>883</v>
      </c>
      <c r="I511" s="7" t="s">
        <v>878</v>
      </c>
      <c r="J511" s="7" t="s">
        <v>882</v>
      </c>
      <c r="M511" s="7"/>
      <c r="N511" s="7" t="s">
        <v>875</v>
      </c>
      <c r="P511" s="126"/>
    </row>
    <row r="512" spans="1:16" ht="15.75" customHeight="1">
      <c r="A512" s="126">
        <v>46230.015752314801</v>
      </c>
      <c r="B512" s="7">
        <v>12</v>
      </c>
      <c r="C512" s="7">
        <v>301</v>
      </c>
      <c r="D512" s="7"/>
      <c r="E512" s="7" t="s">
        <v>949</v>
      </c>
      <c r="F512" s="7" t="s">
        <v>150</v>
      </c>
      <c r="G512" s="7">
        <v>176</v>
      </c>
      <c r="H512" s="7" t="s">
        <v>884</v>
      </c>
      <c r="I512" s="7" t="s">
        <v>878</v>
      </c>
      <c r="J512" s="7" t="s">
        <v>882</v>
      </c>
      <c r="M512" s="7">
        <v>100</v>
      </c>
      <c r="N512" s="7">
        <v>100</v>
      </c>
      <c r="O512" s="126">
        <v>46228.462256944404</v>
      </c>
      <c r="P512" s="126">
        <v>46228.462256944404</v>
      </c>
    </row>
    <row r="513" spans="1:16" ht="15.75" customHeight="1">
      <c r="A513" s="126">
        <v>46230.015752314801</v>
      </c>
      <c r="B513" s="7">
        <v>12</v>
      </c>
      <c r="C513" s="7">
        <v>301</v>
      </c>
      <c r="D513" s="7"/>
      <c r="E513" s="7" t="s">
        <v>949</v>
      </c>
      <c r="F513" s="7" t="s">
        <v>150</v>
      </c>
      <c r="G513" s="7">
        <v>168</v>
      </c>
      <c r="H513" s="7" t="s">
        <v>885</v>
      </c>
      <c r="I513" s="7" t="s">
        <v>886</v>
      </c>
      <c r="J513" s="7"/>
      <c r="M513" s="7">
        <v>100</v>
      </c>
      <c r="N513" s="7">
        <v>100</v>
      </c>
      <c r="O513" s="126"/>
      <c r="P513" s="126">
        <v>46209.706932870402</v>
      </c>
    </row>
    <row r="514" spans="1:16" ht="15.75" customHeight="1">
      <c r="A514" s="126">
        <v>46230.015752314801</v>
      </c>
      <c r="B514" s="7">
        <v>12</v>
      </c>
      <c r="C514" s="7">
        <v>329</v>
      </c>
      <c r="D514" s="7">
        <v>523089</v>
      </c>
      <c r="E514" s="7" t="s">
        <v>950</v>
      </c>
      <c r="F514" s="7" t="s">
        <v>393</v>
      </c>
      <c r="G514" s="7">
        <v>181</v>
      </c>
      <c r="H514" s="7" t="s">
        <v>873</v>
      </c>
      <c r="I514" s="7" t="s">
        <v>874</v>
      </c>
      <c r="J514" s="7"/>
      <c r="M514" s="7"/>
      <c r="N514" s="7" t="s">
        <v>875</v>
      </c>
      <c r="O514" s="126"/>
      <c r="P514" s="126"/>
    </row>
    <row r="515" spans="1:16" ht="15.75" customHeight="1">
      <c r="A515" s="126">
        <v>46230.015752314801</v>
      </c>
      <c r="B515" s="7">
        <v>12</v>
      </c>
      <c r="C515" s="7">
        <v>329</v>
      </c>
      <c r="D515" s="7">
        <v>523089</v>
      </c>
      <c r="E515" s="7" t="s">
        <v>950</v>
      </c>
      <c r="F515" s="7" t="s">
        <v>393</v>
      </c>
      <c r="G515" s="7">
        <v>182</v>
      </c>
      <c r="H515" s="7" t="s">
        <v>876</v>
      </c>
      <c r="I515" s="7" t="s">
        <v>874</v>
      </c>
      <c r="J515" s="7"/>
      <c r="M515" s="7"/>
      <c r="N515" s="7" t="s">
        <v>875</v>
      </c>
      <c r="P515" s="126"/>
    </row>
    <row r="516" spans="1:16" ht="15.75" customHeight="1">
      <c r="A516" s="126">
        <v>46230.015752314801</v>
      </c>
      <c r="B516" s="7">
        <v>12</v>
      </c>
      <c r="C516" s="7">
        <v>329</v>
      </c>
      <c r="D516" s="7">
        <v>523089</v>
      </c>
      <c r="E516" s="7" t="s">
        <v>950</v>
      </c>
      <c r="F516" s="7" t="s">
        <v>393</v>
      </c>
      <c r="G516" s="7">
        <v>174</v>
      </c>
      <c r="H516" s="7" t="s">
        <v>877</v>
      </c>
      <c r="I516" s="7" t="s">
        <v>878</v>
      </c>
      <c r="J516" s="7" t="s">
        <v>879</v>
      </c>
      <c r="M516" s="7">
        <v>100</v>
      </c>
      <c r="N516" s="7">
        <v>100</v>
      </c>
      <c r="P516" s="126">
        <v>46209.706944444399</v>
      </c>
    </row>
    <row r="517" spans="1:16" ht="15.75" customHeight="1">
      <c r="A517" s="126">
        <v>46230.015752314801</v>
      </c>
      <c r="B517" s="7">
        <v>12</v>
      </c>
      <c r="C517" s="7">
        <v>329</v>
      </c>
      <c r="D517" s="7">
        <v>523089</v>
      </c>
      <c r="E517" s="7" t="s">
        <v>950</v>
      </c>
      <c r="F517" s="7" t="s">
        <v>393</v>
      </c>
      <c r="G517" s="7">
        <v>180</v>
      </c>
      <c r="H517" s="7" t="s">
        <v>880</v>
      </c>
      <c r="I517" s="7" t="s">
        <v>874</v>
      </c>
      <c r="J517" s="7"/>
      <c r="M517" s="7"/>
      <c r="N517" s="7" t="s">
        <v>875</v>
      </c>
      <c r="O517" s="126"/>
      <c r="P517" s="126"/>
    </row>
    <row r="518" spans="1:16" ht="15.75" customHeight="1">
      <c r="A518" s="126">
        <v>46230.015752314801</v>
      </c>
      <c r="B518" s="7">
        <v>12</v>
      </c>
      <c r="C518" s="7">
        <v>329</v>
      </c>
      <c r="D518" s="7">
        <v>523089</v>
      </c>
      <c r="E518" s="7" t="s">
        <v>950</v>
      </c>
      <c r="F518" s="7" t="s">
        <v>393</v>
      </c>
      <c r="G518" s="7">
        <v>175</v>
      </c>
      <c r="H518" s="7" t="s">
        <v>881</v>
      </c>
      <c r="I518" s="7" t="s">
        <v>878</v>
      </c>
      <c r="J518" s="7" t="s">
        <v>882</v>
      </c>
      <c r="M518" s="7">
        <v>87.5</v>
      </c>
      <c r="N518" s="7">
        <v>87.5</v>
      </c>
      <c r="O518" s="126">
        <v>46215.782407407401</v>
      </c>
      <c r="P518" s="126">
        <v>46215.782407407401</v>
      </c>
    </row>
    <row r="519" spans="1:16" ht="15.75" customHeight="1">
      <c r="A519" s="126">
        <v>46230.015752314801</v>
      </c>
      <c r="B519" s="7">
        <v>12</v>
      </c>
      <c r="C519" s="7">
        <v>329</v>
      </c>
      <c r="D519" s="7">
        <v>523089</v>
      </c>
      <c r="E519" s="7" t="s">
        <v>950</v>
      </c>
      <c r="F519" s="7" t="s">
        <v>393</v>
      </c>
      <c r="G519" s="7">
        <v>177</v>
      </c>
      <c r="H519" s="7" t="s">
        <v>883</v>
      </c>
      <c r="I519" s="7" t="s">
        <v>878</v>
      </c>
      <c r="J519" s="7" t="s">
        <v>882</v>
      </c>
      <c r="M519" s="7"/>
      <c r="N519" s="7" t="s">
        <v>875</v>
      </c>
      <c r="O519" s="126"/>
      <c r="P519" s="126"/>
    </row>
    <row r="520" spans="1:16" ht="15.75" customHeight="1">
      <c r="A520" s="126">
        <v>46230.015752314801</v>
      </c>
      <c r="B520" s="7">
        <v>12</v>
      </c>
      <c r="C520" s="7">
        <v>329</v>
      </c>
      <c r="D520" s="7">
        <v>523089</v>
      </c>
      <c r="E520" s="7" t="s">
        <v>950</v>
      </c>
      <c r="F520" s="7" t="s">
        <v>393</v>
      </c>
      <c r="G520" s="7">
        <v>176</v>
      </c>
      <c r="H520" s="7" t="s">
        <v>884</v>
      </c>
      <c r="I520" s="7" t="s">
        <v>878</v>
      </c>
      <c r="J520" s="7" t="s">
        <v>882</v>
      </c>
      <c r="M520" s="7">
        <v>90</v>
      </c>
      <c r="N520" s="7">
        <v>90</v>
      </c>
      <c r="O520" s="126">
        <v>46224.813935185201</v>
      </c>
      <c r="P520" s="126">
        <v>46224.813935185201</v>
      </c>
    </row>
    <row r="521" spans="1:16" ht="15.75" customHeight="1">
      <c r="A521" s="126">
        <v>46230.015752314801</v>
      </c>
      <c r="B521" s="7">
        <v>12</v>
      </c>
      <c r="C521" s="7">
        <v>329</v>
      </c>
      <c r="D521" s="7">
        <v>523089</v>
      </c>
      <c r="E521" s="7" t="s">
        <v>950</v>
      </c>
      <c r="F521" s="7" t="s">
        <v>393</v>
      </c>
      <c r="G521" s="7">
        <v>168</v>
      </c>
      <c r="H521" s="7" t="s">
        <v>885</v>
      </c>
      <c r="I521" s="7" t="s">
        <v>886</v>
      </c>
      <c r="J521" s="7"/>
      <c r="M521" s="7">
        <v>100</v>
      </c>
      <c r="N521" s="7">
        <v>100</v>
      </c>
      <c r="O521" s="126"/>
      <c r="P521" s="126">
        <v>46209.706944444399</v>
      </c>
    </row>
    <row r="522" spans="1:16" ht="15.75" customHeight="1">
      <c r="A522" s="126">
        <v>46230.015752314801</v>
      </c>
      <c r="B522" s="7">
        <v>12</v>
      </c>
      <c r="C522" s="7">
        <v>748</v>
      </c>
      <c r="D522" s="7"/>
      <c r="E522" s="7" t="s">
        <v>951</v>
      </c>
      <c r="F522" s="7" t="s">
        <v>480</v>
      </c>
      <c r="G522" s="7">
        <v>181</v>
      </c>
      <c r="H522" s="7" t="s">
        <v>873</v>
      </c>
      <c r="I522" s="7" t="s">
        <v>874</v>
      </c>
      <c r="J522" s="7"/>
      <c r="M522" s="7"/>
      <c r="N522" s="7" t="s">
        <v>875</v>
      </c>
      <c r="P522" s="126"/>
    </row>
    <row r="523" spans="1:16" ht="15.75" customHeight="1">
      <c r="A523" s="126">
        <v>46230.015752314801</v>
      </c>
      <c r="B523" s="7">
        <v>12</v>
      </c>
      <c r="C523" s="7">
        <v>748</v>
      </c>
      <c r="D523" s="7"/>
      <c r="E523" s="7" t="s">
        <v>951</v>
      </c>
      <c r="F523" s="7" t="s">
        <v>480</v>
      </c>
      <c r="G523" s="7">
        <v>182</v>
      </c>
      <c r="H523" s="7" t="s">
        <v>876</v>
      </c>
      <c r="I523" s="7" t="s">
        <v>874</v>
      </c>
      <c r="J523" s="7"/>
      <c r="M523" s="7"/>
      <c r="N523" s="7" t="s">
        <v>875</v>
      </c>
      <c r="P523" s="126"/>
    </row>
    <row r="524" spans="1:16" ht="15.75" customHeight="1">
      <c r="A524" s="126">
        <v>46230.015752314801</v>
      </c>
      <c r="B524" s="7">
        <v>12</v>
      </c>
      <c r="C524" s="7">
        <v>748</v>
      </c>
      <c r="E524" s="7" t="s">
        <v>951</v>
      </c>
      <c r="F524" s="7" t="s">
        <v>480</v>
      </c>
      <c r="G524" s="7">
        <v>174</v>
      </c>
      <c r="H524" s="7" t="s">
        <v>877</v>
      </c>
      <c r="I524" s="7" t="s">
        <v>878</v>
      </c>
      <c r="J524" s="7" t="s">
        <v>879</v>
      </c>
      <c r="M524" s="7">
        <v>100</v>
      </c>
      <c r="N524" s="7">
        <v>100</v>
      </c>
      <c r="O524" s="126"/>
      <c r="P524" s="126">
        <v>46209.706967592603</v>
      </c>
    </row>
    <row r="525" spans="1:16" ht="15.75" customHeight="1">
      <c r="A525" s="126">
        <v>46230.015752314801</v>
      </c>
      <c r="B525" s="7">
        <v>12</v>
      </c>
      <c r="C525" s="7">
        <v>748</v>
      </c>
      <c r="E525" s="7" t="s">
        <v>951</v>
      </c>
      <c r="F525" s="7" t="s">
        <v>480</v>
      </c>
      <c r="G525" s="7">
        <v>180</v>
      </c>
      <c r="H525" s="7" t="s">
        <v>880</v>
      </c>
      <c r="I525" s="7" t="s">
        <v>874</v>
      </c>
      <c r="J525" s="7"/>
      <c r="M525" s="7"/>
      <c r="N525" s="7" t="s">
        <v>875</v>
      </c>
      <c r="O525" s="126"/>
      <c r="P525" s="126"/>
    </row>
    <row r="526" spans="1:16" ht="15.75" customHeight="1">
      <c r="A526" s="126">
        <v>46230.015752314801</v>
      </c>
      <c r="B526" s="7">
        <v>12</v>
      </c>
      <c r="C526" s="7">
        <v>748</v>
      </c>
      <c r="D526" s="7"/>
      <c r="E526" s="7" t="s">
        <v>951</v>
      </c>
      <c r="F526" s="7" t="s">
        <v>480</v>
      </c>
      <c r="G526" s="7">
        <v>175</v>
      </c>
      <c r="H526" s="7" t="s">
        <v>881</v>
      </c>
      <c r="I526" s="7" t="s">
        <v>878</v>
      </c>
      <c r="J526" s="7" t="s">
        <v>882</v>
      </c>
      <c r="M526" s="7">
        <v>87.5</v>
      </c>
      <c r="N526" s="7">
        <v>87.5</v>
      </c>
      <c r="O526" s="126">
        <v>46214.613530092603</v>
      </c>
      <c r="P526" s="126">
        <v>46214.613530092603</v>
      </c>
    </row>
    <row r="527" spans="1:16" ht="15.75" customHeight="1">
      <c r="A527" s="126">
        <v>46230.015752314801</v>
      </c>
      <c r="B527" s="7">
        <v>12</v>
      </c>
      <c r="C527" s="7">
        <v>748</v>
      </c>
      <c r="D527" s="7"/>
      <c r="E527" s="7" t="s">
        <v>951</v>
      </c>
      <c r="F527" s="7" t="s">
        <v>480</v>
      </c>
      <c r="G527" s="7">
        <v>177</v>
      </c>
      <c r="H527" s="7" t="s">
        <v>883</v>
      </c>
      <c r="I527" s="7" t="s">
        <v>878</v>
      </c>
      <c r="J527" s="7" t="s">
        <v>882</v>
      </c>
      <c r="M527" s="7"/>
      <c r="N527" s="7" t="s">
        <v>875</v>
      </c>
      <c r="P527" s="126"/>
    </row>
    <row r="528" spans="1:16" ht="15.75" customHeight="1">
      <c r="A528" s="126">
        <v>46230.015752314801</v>
      </c>
      <c r="B528" s="7">
        <v>12</v>
      </c>
      <c r="C528" s="7">
        <v>748</v>
      </c>
      <c r="E528" s="7" t="s">
        <v>951</v>
      </c>
      <c r="F528" s="7" t="s">
        <v>480</v>
      </c>
      <c r="G528" s="7">
        <v>176</v>
      </c>
      <c r="H528" s="7" t="s">
        <v>884</v>
      </c>
      <c r="I528" s="7" t="s">
        <v>878</v>
      </c>
      <c r="J528" s="7" t="s">
        <v>882</v>
      </c>
      <c r="M528" s="7">
        <v>90</v>
      </c>
      <c r="N528" s="7">
        <v>90</v>
      </c>
      <c r="O528" s="126">
        <v>46225.606770833299</v>
      </c>
      <c r="P528" s="126">
        <v>46225.606770833299</v>
      </c>
    </row>
    <row r="529" spans="1:16" ht="15.75" customHeight="1">
      <c r="A529" s="126">
        <v>46230.015752314801</v>
      </c>
      <c r="B529" s="7">
        <v>12</v>
      </c>
      <c r="C529" s="7">
        <v>748</v>
      </c>
      <c r="E529" s="7" t="s">
        <v>951</v>
      </c>
      <c r="F529" s="7" t="s">
        <v>480</v>
      </c>
      <c r="G529" s="7">
        <v>168</v>
      </c>
      <c r="H529" s="7" t="s">
        <v>885</v>
      </c>
      <c r="I529" s="7" t="s">
        <v>886</v>
      </c>
      <c r="J529" s="7"/>
      <c r="M529" s="7">
        <v>100</v>
      </c>
      <c r="N529" s="7">
        <v>100</v>
      </c>
      <c r="P529" s="126">
        <v>46209.706967592603</v>
      </c>
    </row>
    <row r="530" spans="1:16" ht="15.75" customHeight="1">
      <c r="A530" s="126">
        <v>46230.015752314801</v>
      </c>
      <c r="B530" s="7">
        <v>12</v>
      </c>
      <c r="C530" s="7">
        <v>626</v>
      </c>
      <c r="D530" s="7"/>
      <c r="E530" s="7" t="s">
        <v>952</v>
      </c>
      <c r="F530" s="7" t="s">
        <v>647</v>
      </c>
      <c r="G530" s="7">
        <v>181</v>
      </c>
      <c r="H530" s="7" t="s">
        <v>873</v>
      </c>
      <c r="I530" s="7" t="s">
        <v>874</v>
      </c>
      <c r="J530" s="7"/>
      <c r="M530" s="7"/>
      <c r="N530" s="7" t="s">
        <v>875</v>
      </c>
      <c r="O530" s="126"/>
      <c r="P530" s="126"/>
    </row>
    <row r="531" spans="1:16" ht="15.75" customHeight="1">
      <c r="A531" s="126">
        <v>46230.015752314801</v>
      </c>
      <c r="B531" s="7">
        <v>12</v>
      </c>
      <c r="C531" s="7">
        <v>626</v>
      </c>
      <c r="D531" s="7"/>
      <c r="E531" s="7" t="s">
        <v>952</v>
      </c>
      <c r="F531" s="7" t="s">
        <v>647</v>
      </c>
      <c r="G531" s="7">
        <v>182</v>
      </c>
      <c r="H531" s="7" t="s">
        <v>876</v>
      </c>
      <c r="I531" s="7" t="s">
        <v>874</v>
      </c>
      <c r="J531" s="7"/>
      <c r="M531" s="7"/>
      <c r="N531" s="7" t="s">
        <v>875</v>
      </c>
      <c r="O531" s="126"/>
      <c r="P531" s="126"/>
    </row>
    <row r="532" spans="1:16" ht="15.75" customHeight="1">
      <c r="A532" s="126">
        <v>46230.015752314801</v>
      </c>
      <c r="B532" s="7">
        <v>12</v>
      </c>
      <c r="C532" s="7">
        <v>626</v>
      </c>
      <c r="D532" s="7"/>
      <c r="E532" s="7" t="s">
        <v>952</v>
      </c>
      <c r="F532" s="7" t="s">
        <v>647</v>
      </c>
      <c r="G532" s="7">
        <v>174</v>
      </c>
      <c r="H532" s="7" t="s">
        <v>877</v>
      </c>
      <c r="I532" s="7" t="s">
        <v>878</v>
      </c>
      <c r="J532" s="7" t="s">
        <v>879</v>
      </c>
      <c r="M532" s="7">
        <v>100</v>
      </c>
      <c r="N532" s="7">
        <v>100</v>
      </c>
      <c r="O532" s="126"/>
      <c r="P532" s="126">
        <v>46209.706979166702</v>
      </c>
    </row>
    <row r="533" spans="1:16" ht="15.75" customHeight="1">
      <c r="A533" s="126">
        <v>46230.015752314801</v>
      </c>
      <c r="B533" s="7">
        <v>12</v>
      </c>
      <c r="C533" s="7">
        <v>626</v>
      </c>
      <c r="D533" s="7"/>
      <c r="E533" s="7" t="s">
        <v>952</v>
      </c>
      <c r="F533" s="7" t="s">
        <v>647</v>
      </c>
      <c r="G533" s="7">
        <v>180</v>
      </c>
      <c r="H533" s="7" t="s">
        <v>880</v>
      </c>
      <c r="I533" s="7" t="s">
        <v>874</v>
      </c>
      <c r="J533" s="7"/>
      <c r="M533" s="7"/>
      <c r="N533" s="7" t="s">
        <v>875</v>
      </c>
      <c r="O533" s="126"/>
      <c r="P533" s="126"/>
    </row>
    <row r="534" spans="1:16" ht="15.75" customHeight="1">
      <c r="A534" s="126">
        <v>46230.015752314801</v>
      </c>
      <c r="B534" s="7">
        <v>12</v>
      </c>
      <c r="C534" s="7">
        <v>626</v>
      </c>
      <c r="D534" s="7"/>
      <c r="E534" s="7" t="s">
        <v>952</v>
      </c>
      <c r="F534" s="7" t="s">
        <v>647</v>
      </c>
      <c r="G534" s="7">
        <v>175</v>
      </c>
      <c r="H534" s="7" t="s">
        <v>881</v>
      </c>
      <c r="I534" s="7" t="s">
        <v>878</v>
      </c>
      <c r="J534" s="7" t="s">
        <v>882</v>
      </c>
      <c r="M534" s="7">
        <v>62.5</v>
      </c>
      <c r="N534" s="7">
        <v>62.5</v>
      </c>
      <c r="O534" s="126">
        <v>46216.406319444402</v>
      </c>
      <c r="P534" s="126">
        <v>46216.406319444402</v>
      </c>
    </row>
    <row r="535" spans="1:16" ht="15.75" customHeight="1">
      <c r="A535" s="126">
        <v>46230.015752314801</v>
      </c>
      <c r="B535" s="7">
        <v>12</v>
      </c>
      <c r="C535" s="7">
        <v>626</v>
      </c>
      <c r="D535" s="7"/>
      <c r="E535" s="7" t="s">
        <v>952</v>
      </c>
      <c r="F535" s="7" t="s">
        <v>647</v>
      </c>
      <c r="G535" s="7">
        <v>177</v>
      </c>
      <c r="H535" s="7" t="s">
        <v>883</v>
      </c>
      <c r="I535" s="7" t="s">
        <v>878</v>
      </c>
      <c r="J535" s="7" t="s">
        <v>882</v>
      </c>
      <c r="M535" s="7"/>
      <c r="N535" s="7" t="s">
        <v>875</v>
      </c>
      <c r="P535" s="126"/>
    </row>
    <row r="536" spans="1:16" ht="15.75" customHeight="1">
      <c r="A536" s="126">
        <v>46230.015752314801</v>
      </c>
      <c r="B536" s="7">
        <v>12</v>
      </c>
      <c r="C536" s="7">
        <v>626</v>
      </c>
      <c r="D536" s="7"/>
      <c r="E536" s="7" t="s">
        <v>952</v>
      </c>
      <c r="F536" s="7" t="s">
        <v>647</v>
      </c>
      <c r="G536" s="7">
        <v>176</v>
      </c>
      <c r="H536" s="7" t="s">
        <v>884</v>
      </c>
      <c r="I536" s="7" t="s">
        <v>878</v>
      </c>
      <c r="J536" s="7" t="s">
        <v>882</v>
      </c>
      <c r="M536" s="7">
        <v>100</v>
      </c>
      <c r="N536" s="7">
        <v>100</v>
      </c>
      <c r="O536" s="126">
        <v>46223.903472222199</v>
      </c>
      <c r="P536" s="126">
        <v>46223.903472222199</v>
      </c>
    </row>
    <row r="537" spans="1:16" ht="15.75" customHeight="1">
      <c r="A537" s="126">
        <v>46230.015752314801</v>
      </c>
      <c r="B537" s="7">
        <v>12</v>
      </c>
      <c r="C537" s="7">
        <v>626</v>
      </c>
      <c r="D537" s="7"/>
      <c r="E537" s="7" t="s">
        <v>952</v>
      </c>
      <c r="F537" s="7" t="s">
        <v>647</v>
      </c>
      <c r="G537" s="7">
        <v>168</v>
      </c>
      <c r="H537" s="7" t="s">
        <v>885</v>
      </c>
      <c r="I537" s="7" t="s">
        <v>886</v>
      </c>
      <c r="J537" s="7"/>
      <c r="M537" s="7">
        <v>100</v>
      </c>
      <c r="N537" s="7">
        <v>100</v>
      </c>
      <c r="O537" s="126"/>
      <c r="P537" s="126">
        <v>46209.706979166702</v>
      </c>
    </row>
    <row r="538" spans="1:16" ht="15.75" customHeight="1">
      <c r="A538" s="126">
        <v>46230.015752314801</v>
      </c>
      <c r="B538" s="7">
        <v>12</v>
      </c>
      <c r="C538" s="7">
        <v>715</v>
      </c>
      <c r="E538" s="7" t="s">
        <v>953</v>
      </c>
      <c r="F538" s="7" t="s">
        <v>574</v>
      </c>
      <c r="G538" s="7">
        <v>181</v>
      </c>
      <c r="H538" s="7" t="s">
        <v>873</v>
      </c>
      <c r="I538" s="7" t="s">
        <v>874</v>
      </c>
      <c r="J538" s="7"/>
      <c r="M538" s="7"/>
      <c r="N538" s="7" t="s">
        <v>875</v>
      </c>
      <c r="O538" s="126"/>
      <c r="P538" s="126"/>
    </row>
    <row r="539" spans="1:16" ht="15.75" customHeight="1">
      <c r="A539" s="126">
        <v>46230.015752314801</v>
      </c>
      <c r="B539" s="7">
        <v>12</v>
      </c>
      <c r="C539" s="7">
        <v>715</v>
      </c>
      <c r="E539" s="7" t="s">
        <v>953</v>
      </c>
      <c r="F539" s="7" t="s">
        <v>574</v>
      </c>
      <c r="G539" s="7">
        <v>182</v>
      </c>
      <c r="H539" s="7" t="s">
        <v>876</v>
      </c>
      <c r="I539" s="7" t="s">
        <v>874</v>
      </c>
      <c r="J539" s="7"/>
      <c r="M539" s="7"/>
      <c r="N539" s="7" t="s">
        <v>875</v>
      </c>
      <c r="O539" s="126"/>
      <c r="P539" s="126"/>
    </row>
    <row r="540" spans="1:16" ht="15.75" customHeight="1">
      <c r="A540" s="126">
        <v>46230.015752314801</v>
      </c>
      <c r="B540" s="7">
        <v>12</v>
      </c>
      <c r="C540" s="7">
        <v>715</v>
      </c>
      <c r="E540" s="7" t="s">
        <v>953</v>
      </c>
      <c r="F540" s="7" t="s">
        <v>574</v>
      </c>
      <c r="G540" s="7">
        <v>174</v>
      </c>
      <c r="H540" s="7" t="s">
        <v>877</v>
      </c>
      <c r="I540" s="7" t="s">
        <v>878</v>
      </c>
      <c r="J540" s="7" t="s">
        <v>879</v>
      </c>
      <c r="M540" s="7">
        <v>100</v>
      </c>
      <c r="N540" s="7">
        <v>100</v>
      </c>
      <c r="P540" s="126">
        <v>46209.706979166702</v>
      </c>
    </row>
    <row r="541" spans="1:16" ht="15.75" customHeight="1">
      <c r="A541" s="126">
        <v>46230.015752314801</v>
      </c>
      <c r="B541" s="7">
        <v>12</v>
      </c>
      <c r="C541" s="7">
        <v>715</v>
      </c>
      <c r="E541" s="7" t="s">
        <v>953</v>
      </c>
      <c r="F541" s="7" t="s">
        <v>574</v>
      </c>
      <c r="G541" s="7">
        <v>180</v>
      </c>
      <c r="H541" s="7" t="s">
        <v>880</v>
      </c>
      <c r="I541" s="7" t="s">
        <v>874</v>
      </c>
      <c r="J541" s="7"/>
      <c r="M541" s="7"/>
      <c r="N541" s="7" t="s">
        <v>875</v>
      </c>
      <c r="O541" s="126"/>
      <c r="P541" s="126"/>
    </row>
    <row r="542" spans="1:16" ht="15.75" customHeight="1">
      <c r="A542" s="126">
        <v>46230.015752314801</v>
      </c>
      <c r="B542" s="7">
        <v>12</v>
      </c>
      <c r="C542" s="7">
        <v>715</v>
      </c>
      <c r="E542" s="7" t="s">
        <v>953</v>
      </c>
      <c r="F542" s="7" t="s">
        <v>574</v>
      </c>
      <c r="G542" s="7">
        <v>175</v>
      </c>
      <c r="H542" s="7" t="s">
        <v>881</v>
      </c>
      <c r="I542" s="7" t="s">
        <v>878</v>
      </c>
      <c r="J542" s="7" t="s">
        <v>882</v>
      </c>
      <c r="M542" s="7">
        <v>87.5</v>
      </c>
      <c r="N542" s="7">
        <v>87.5</v>
      </c>
      <c r="O542" s="126">
        <v>46216.553900462997</v>
      </c>
      <c r="P542" s="126">
        <v>46216.553900462997</v>
      </c>
    </row>
    <row r="543" spans="1:16" ht="15.75" customHeight="1">
      <c r="A543" s="126">
        <v>46230.015752314801</v>
      </c>
      <c r="B543" s="7">
        <v>12</v>
      </c>
      <c r="C543" s="7">
        <v>715</v>
      </c>
      <c r="E543" s="7" t="s">
        <v>953</v>
      </c>
      <c r="F543" s="7" t="s">
        <v>574</v>
      </c>
      <c r="G543" s="7">
        <v>177</v>
      </c>
      <c r="H543" s="7" t="s">
        <v>883</v>
      </c>
      <c r="I543" s="7" t="s">
        <v>878</v>
      </c>
      <c r="J543" s="7" t="s">
        <v>882</v>
      </c>
      <c r="M543" s="7"/>
      <c r="N543" s="7" t="s">
        <v>875</v>
      </c>
      <c r="O543" s="126"/>
      <c r="P543" s="126"/>
    </row>
    <row r="544" spans="1:16" ht="15.75" customHeight="1">
      <c r="A544" s="126">
        <v>46230.015752314801</v>
      </c>
      <c r="B544" s="7">
        <v>12</v>
      </c>
      <c r="C544" s="7">
        <v>715</v>
      </c>
      <c r="E544" s="7" t="s">
        <v>953</v>
      </c>
      <c r="F544" s="7" t="s">
        <v>574</v>
      </c>
      <c r="G544" s="7">
        <v>176</v>
      </c>
      <c r="H544" s="7" t="s">
        <v>884</v>
      </c>
      <c r="I544" s="7" t="s">
        <v>878</v>
      </c>
      <c r="J544" s="7" t="s">
        <v>882</v>
      </c>
      <c r="M544" s="7">
        <v>85</v>
      </c>
      <c r="N544" s="7">
        <v>85</v>
      </c>
      <c r="O544" s="126">
        <v>46224.809074074103</v>
      </c>
      <c r="P544" s="126">
        <v>46224.809074074103</v>
      </c>
    </row>
    <row r="545" spans="1:16" ht="15.75" customHeight="1">
      <c r="A545" s="126">
        <v>46230.015752314801</v>
      </c>
      <c r="B545" s="7">
        <v>12</v>
      </c>
      <c r="C545" s="7">
        <v>715</v>
      </c>
      <c r="E545" s="7" t="s">
        <v>953</v>
      </c>
      <c r="F545" s="7" t="s">
        <v>574</v>
      </c>
      <c r="G545" s="7">
        <v>168</v>
      </c>
      <c r="H545" s="7" t="s">
        <v>885</v>
      </c>
      <c r="I545" s="7" t="s">
        <v>886</v>
      </c>
      <c r="J545" s="7"/>
      <c r="M545" s="7">
        <v>100</v>
      </c>
      <c r="N545" s="7">
        <v>100</v>
      </c>
      <c r="P545" s="126">
        <v>46209.706979166702</v>
      </c>
    </row>
    <row r="546" spans="1:16" ht="15.75" customHeight="1">
      <c r="A546" s="126">
        <v>46230.015752314801</v>
      </c>
      <c r="B546" s="7">
        <v>12</v>
      </c>
      <c r="C546" s="7">
        <v>340</v>
      </c>
      <c r="D546" s="7"/>
      <c r="E546" s="7" t="s">
        <v>954</v>
      </c>
      <c r="F546" s="7" t="s">
        <v>421</v>
      </c>
      <c r="G546" s="7">
        <v>181</v>
      </c>
      <c r="H546" s="7" t="s">
        <v>873</v>
      </c>
      <c r="I546" s="7" t="s">
        <v>874</v>
      </c>
      <c r="J546" s="7"/>
      <c r="M546" s="7"/>
      <c r="N546" s="7" t="s">
        <v>875</v>
      </c>
      <c r="O546" s="126"/>
      <c r="P546" s="126"/>
    </row>
    <row r="547" spans="1:16" ht="15.75" customHeight="1">
      <c r="A547" s="126">
        <v>46230.015752314801</v>
      </c>
      <c r="B547" s="7">
        <v>12</v>
      </c>
      <c r="C547" s="7">
        <v>340</v>
      </c>
      <c r="D547" s="7"/>
      <c r="E547" s="7" t="s">
        <v>954</v>
      </c>
      <c r="F547" s="7" t="s">
        <v>421</v>
      </c>
      <c r="G547" s="7">
        <v>182</v>
      </c>
      <c r="H547" s="7" t="s">
        <v>876</v>
      </c>
      <c r="I547" s="7" t="s">
        <v>874</v>
      </c>
      <c r="J547" s="7"/>
      <c r="M547" s="7"/>
      <c r="N547" s="7" t="s">
        <v>875</v>
      </c>
      <c r="P547" s="126"/>
    </row>
    <row r="548" spans="1:16" ht="15.75" customHeight="1">
      <c r="A548" s="126">
        <v>46230.015752314801</v>
      </c>
      <c r="B548" s="7">
        <v>12</v>
      </c>
      <c r="C548" s="7">
        <v>340</v>
      </c>
      <c r="E548" s="7" t="s">
        <v>954</v>
      </c>
      <c r="F548" s="7" t="s">
        <v>421</v>
      </c>
      <c r="G548" s="7">
        <v>174</v>
      </c>
      <c r="H548" s="7" t="s">
        <v>877</v>
      </c>
      <c r="I548" s="7" t="s">
        <v>878</v>
      </c>
      <c r="J548" s="7" t="s">
        <v>879</v>
      </c>
      <c r="M548" s="7">
        <v>100</v>
      </c>
      <c r="N548" s="7">
        <v>100</v>
      </c>
      <c r="O548" s="126"/>
      <c r="P548" s="126">
        <v>46209.706979166702</v>
      </c>
    </row>
    <row r="549" spans="1:16" ht="15.75" customHeight="1">
      <c r="A549" s="126">
        <v>46230.015752314801</v>
      </c>
      <c r="B549" s="7">
        <v>12</v>
      </c>
      <c r="C549" s="7">
        <v>340</v>
      </c>
      <c r="E549" s="7" t="s">
        <v>954</v>
      </c>
      <c r="F549" s="7" t="s">
        <v>421</v>
      </c>
      <c r="G549" s="7">
        <v>180</v>
      </c>
      <c r="H549" s="7" t="s">
        <v>880</v>
      </c>
      <c r="I549" s="7" t="s">
        <v>874</v>
      </c>
      <c r="J549" s="7"/>
      <c r="M549" s="7"/>
      <c r="N549" s="7" t="s">
        <v>875</v>
      </c>
      <c r="O549" s="126"/>
      <c r="P549" s="126"/>
    </row>
    <row r="550" spans="1:16" ht="15.75" customHeight="1">
      <c r="A550" s="126">
        <v>46230.015752314801</v>
      </c>
      <c r="B550" s="7">
        <v>12</v>
      </c>
      <c r="C550" s="7">
        <v>340</v>
      </c>
      <c r="E550" s="7" t="s">
        <v>954</v>
      </c>
      <c r="F550" s="7" t="s">
        <v>421</v>
      </c>
      <c r="G550" s="7">
        <v>175</v>
      </c>
      <c r="H550" s="7" t="s">
        <v>881</v>
      </c>
      <c r="I550" s="7" t="s">
        <v>878</v>
      </c>
      <c r="J550" s="7" t="s">
        <v>882</v>
      </c>
      <c r="M550" s="7">
        <v>75</v>
      </c>
      <c r="N550" s="7">
        <v>75</v>
      </c>
      <c r="O550" s="126">
        <v>46213.774421296301</v>
      </c>
      <c r="P550" s="126">
        <v>46213.774421296301</v>
      </c>
    </row>
    <row r="551" spans="1:16" ht="15.75" customHeight="1">
      <c r="A551" s="126">
        <v>46230.015752314801</v>
      </c>
      <c r="B551" s="7">
        <v>12</v>
      </c>
      <c r="C551" s="7">
        <v>340</v>
      </c>
      <c r="E551" s="7" t="s">
        <v>954</v>
      </c>
      <c r="F551" s="7" t="s">
        <v>421</v>
      </c>
      <c r="G551" s="7">
        <v>177</v>
      </c>
      <c r="H551" s="7" t="s">
        <v>883</v>
      </c>
      <c r="I551" s="7" t="s">
        <v>878</v>
      </c>
      <c r="J551" s="7" t="s">
        <v>882</v>
      </c>
      <c r="M551" s="7"/>
      <c r="N551" s="7" t="s">
        <v>875</v>
      </c>
      <c r="P551" s="126"/>
    </row>
    <row r="552" spans="1:16" ht="15.75" customHeight="1">
      <c r="A552" s="126">
        <v>46230.015752314801</v>
      </c>
      <c r="B552" s="7">
        <v>12</v>
      </c>
      <c r="C552" s="7">
        <v>340</v>
      </c>
      <c r="E552" s="7" t="s">
        <v>954</v>
      </c>
      <c r="F552" s="7" t="s">
        <v>421</v>
      </c>
      <c r="G552" s="7">
        <v>176</v>
      </c>
      <c r="H552" s="7" t="s">
        <v>884</v>
      </c>
      <c r="I552" s="7" t="s">
        <v>878</v>
      </c>
      <c r="J552" s="7" t="s">
        <v>882</v>
      </c>
      <c r="M552" s="7">
        <v>85</v>
      </c>
      <c r="N552" s="7">
        <v>85</v>
      </c>
      <c r="O552" s="126">
        <v>46226.905659722201</v>
      </c>
      <c r="P552" s="126">
        <v>46226.905659722201</v>
      </c>
    </row>
    <row r="553" spans="1:16" ht="15.75" customHeight="1">
      <c r="A553" s="126">
        <v>46230.015752314801</v>
      </c>
      <c r="B553" s="7">
        <v>12</v>
      </c>
      <c r="C553" s="7">
        <v>340</v>
      </c>
      <c r="E553" s="7" t="s">
        <v>954</v>
      </c>
      <c r="F553" s="7" t="s">
        <v>421</v>
      </c>
      <c r="G553" s="7">
        <v>168</v>
      </c>
      <c r="H553" s="7" t="s">
        <v>885</v>
      </c>
      <c r="I553" s="7" t="s">
        <v>886</v>
      </c>
      <c r="J553" s="7"/>
      <c r="M553" s="7">
        <v>100</v>
      </c>
      <c r="N553" s="7">
        <v>100</v>
      </c>
      <c r="P553" s="126">
        <v>46209.706979166702</v>
      </c>
    </row>
    <row r="554" spans="1:16" ht="15.75" customHeight="1">
      <c r="A554" s="126">
        <v>46230.015752314801</v>
      </c>
      <c r="B554" s="7">
        <v>12</v>
      </c>
      <c r="C554" s="7">
        <v>796</v>
      </c>
      <c r="E554" s="7" t="s">
        <v>955</v>
      </c>
      <c r="F554" s="7" t="s">
        <v>780</v>
      </c>
      <c r="G554" s="7">
        <v>181</v>
      </c>
      <c r="H554" s="7" t="s">
        <v>873</v>
      </c>
      <c r="I554" s="7" t="s">
        <v>874</v>
      </c>
      <c r="J554" s="7"/>
      <c r="M554" s="7"/>
      <c r="N554" s="7" t="s">
        <v>875</v>
      </c>
      <c r="P554" s="126"/>
    </row>
    <row r="555" spans="1:16" ht="15.75" customHeight="1">
      <c r="A555" s="126">
        <v>46230.015752314801</v>
      </c>
      <c r="B555" s="7">
        <v>12</v>
      </c>
      <c r="C555" s="7">
        <v>796</v>
      </c>
      <c r="E555" s="7" t="s">
        <v>955</v>
      </c>
      <c r="F555" s="7" t="s">
        <v>780</v>
      </c>
      <c r="G555" s="7">
        <v>182</v>
      </c>
      <c r="H555" s="7" t="s">
        <v>876</v>
      </c>
      <c r="I555" s="7" t="s">
        <v>874</v>
      </c>
      <c r="J555" s="7"/>
      <c r="M555" s="7"/>
      <c r="N555" s="7" t="s">
        <v>875</v>
      </c>
      <c r="O555" s="126"/>
      <c r="P555" s="126"/>
    </row>
    <row r="556" spans="1:16" ht="15.75" customHeight="1">
      <c r="A556" s="126">
        <v>46230.015752314801</v>
      </c>
      <c r="B556" s="7">
        <v>12</v>
      </c>
      <c r="C556" s="7">
        <v>796</v>
      </c>
      <c r="D556" s="7"/>
      <c r="E556" s="7" t="s">
        <v>955</v>
      </c>
      <c r="F556" s="7" t="s">
        <v>780</v>
      </c>
      <c r="G556" s="7">
        <v>174</v>
      </c>
      <c r="H556" s="7" t="s">
        <v>877</v>
      </c>
      <c r="I556" s="7" t="s">
        <v>878</v>
      </c>
      <c r="J556" s="7" t="s">
        <v>879</v>
      </c>
      <c r="M556" s="7">
        <v>100</v>
      </c>
      <c r="N556" s="7">
        <v>100</v>
      </c>
      <c r="O556" s="126"/>
      <c r="P556" s="126">
        <v>46209.706979166702</v>
      </c>
    </row>
    <row r="557" spans="1:16" ht="15.75" customHeight="1">
      <c r="A557" s="126">
        <v>46230.015752314801</v>
      </c>
      <c r="B557" s="7">
        <v>12</v>
      </c>
      <c r="C557" s="7">
        <v>796</v>
      </c>
      <c r="D557" s="7"/>
      <c r="E557" s="7" t="s">
        <v>955</v>
      </c>
      <c r="F557" s="7" t="s">
        <v>780</v>
      </c>
      <c r="G557" s="7">
        <v>180</v>
      </c>
      <c r="H557" s="7" t="s">
        <v>880</v>
      </c>
      <c r="I557" s="7" t="s">
        <v>874</v>
      </c>
      <c r="J557" s="7"/>
      <c r="M557" s="7"/>
      <c r="N557" s="7" t="s">
        <v>875</v>
      </c>
      <c r="O557" s="126"/>
      <c r="P557" s="126"/>
    </row>
    <row r="558" spans="1:16" ht="15.75" customHeight="1">
      <c r="A558" s="126">
        <v>46230.015752314801</v>
      </c>
      <c r="B558" s="7">
        <v>12</v>
      </c>
      <c r="C558" s="7">
        <v>796</v>
      </c>
      <c r="D558" s="7"/>
      <c r="E558" s="7" t="s">
        <v>955</v>
      </c>
      <c r="F558" s="7" t="s">
        <v>780</v>
      </c>
      <c r="G558" s="7">
        <v>175</v>
      </c>
      <c r="H558" s="7" t="s">
        <v>881</v>
      </c>
      <c r="I558" s="7" t="s">
        <v>878</v>
      </c>
      <c r="J558" s="7" t="s">
        <v>882</v>
      </c>
      <c r="M558" s="7">
        <v>100</v>
      </c>
      <c r="N558" s="7">
        <v>100</v>
      </c>
      <c r="O558" s="126">
        <v>46215.539074074099</v>
      </c>
      <c r="P558" s="126">
        <v>46215.539074074099</v>
      </c>
    </row>
    <row r="559" spans="1:16" ht="15.75" customHeight="1">
      <c r="A559" s="126">
        <v>46230.015752314801</v>
      </c>
      <c r="B559" s="7">
        <v>12</v>
      </c>
      <c r="C559" s="7">
        <v>796</v>
      </c>
      <c r="D559" s="7"/>
      <c r="E559" s="7" t="s">
        <v>955</v>
      </c>
      <c r="F559" s="7" t="s">
        <v>780</v>
      </c>
      <c r="G559" s="7">
        <v>177</v>
      </c>
      <c r="H559" s="7" t="s">
        <v>883</v>
      </c>
      <c r="I559" s="7" t="s">
        <v>878</v>
      </c>
      <c r="J559" s="7" t="s">
        <v>882</v>
      </c>
      <c r="M559" s="7"/>
      <c r="N559" s="7" t="s">
        <v>875</v>
      </c>
      <c r="P559" s="126"/>
    </row>
    <row r="560" spans="1:16" ht="15.75" customHeight="1">
      <c r="A560" s="126">
        <v>46230.015752314801</v>
      </c>
      <c r="B560" s="7">
        <v>12</v>
      </c>
      <c r="C560" s="7">
        <v>796</v>
      </c>
      <c r="D560" s="7"/>
      <c r="E560" s="7" t="s">
        <v>955</v>
      </c>
      <c r="F560" s="7" t="s">
        <v>780</v>
      </c>
      <c r="G560" s="7">
        <v>176</v>
      </c>
      <c r="H560" s="7" t="s">
        <v>884</v>
      </c>
      <c r="I560" s="7" t="s">
        <v>878</v>
      </c>
      <c r="J560" s="7" t="s">
        <v>882</v>
      </c>
      <c r="M560" s="7">
        <v>100</v>
      </c>
      <c r="N560" s="7">
        <v>100</v>
      </c>
      <c r="O560" s="126">
        <v>46226.703761574099</v>
      </c>
      <c r="P560" s="126">
        <v>46226.703761574099</v>
      </c>
    </row>
    <row r="561" spans="1:16" ht="15.75" customHeight="1">
      <c r="A561" s="126">
        <v>46230.015752314801</v>
      </c>
      <c r="B561" s="7">
        <v>12</v>
      </c>
      <c r="C561" s="7">
        <v>796</v>
      </c>
      <c r="D561" s="7"/>
      <c r="E561" s="7" t="s">
        <v>955</v>
      </c>
      <c r="F561" s="7" t="s">
        <v>780</v>
      </c>
      <c r="G561" s="7">
        <v>168</v>
      </c>
      <c r="H561" s="7" t="s">
        <v>885</v>
      </c>
      <c r="I561" s="7" t="s">
        <v>886</v>
      </c>
      <c r="J561" s="7"/>
      <c r="M561" s="7">
        <v>100</v>
      </c>
      <c r="N561" s="7">
        <v>100</v>
      </c>
      <c r="O561" s="126"/>
      <c r="P561" s="126">
        <v>46209.706979166702</v>
      </c>
    </row>
    <row r="562" spans="1:16" ht="15.75" customHeight="1">
      <c r="A562" s="126">
        <v>46230.015752314801</v>
      </c>
      <c r="B562" s="7">
        <v>12</v>
      </c>
      <c r="C562" s="7">
        <v>331</v>
      </c>
      <c r="D562" s="7"/>
      <c r="E562" s="7" t="s">
        <v>956</v>
      </c>
      <c r="F562" s="7" t="s">
        <v>296</v>
      </c>
      <c r="G562" s="7">
        <v>181</v>
      </c>
      <c r="H562" s="7" t="s">
        <v>873</v>
      </c>
      <c r="I562" s="7" t="s">
        <v>874</v>
      </c>
      <c r="J562" s="7"/>
      <c r="M562" s="7"/>
      <c r="N562" s="7" t="s">
        <v>875</v>
      </c>
      <c r="O562" s="126"/>
      <c r="P562" s="126"/>
    </row>
    <row r="563" spans="1:16" ht="15.75" customHeight="1">
      <c r="A563" s="126">
        <v>46230.015752314801</v>
      </c>
      <c r="B563" s="7">
        <v>12</v>
      </c>
      <c r="C563" s="7">
        <v>331</v>
      </c>
      <c r="D563" s="7"/>
      <c r="E563" s="7" t="s">
        <v>956</v>
      </c>
      <c r="F563" s="7" t="s">
        <v>296</v>
      </c>
      <c r="G563" s="7">
        <v>182</v>
      </c>
      <c r="H563" s="7" t="s">
        <v>876</v>
      </c>
      <c r="I563" s="7" t="s">
        <v>874</v>
      </c>
      <c r="J563" s="7"/>
      <c r="M563" s="7"/>
      <c r="N563" s="7" t="s">
        <v>875</v>
      </c>
      <c r="P563" s="126"/>
    </row>
    <row r="564" spans="1:16" ht="15.75" customHeight="1">
      <c r="A564" s="126">
        <v>46230.015752314801</v>
      </c>
      <c r="B564" s="7">
        <v>12</v>
      </c>
      <c r="C564" s="7">
        <v>331</v>
      </c>
      <c r="D564" s="7"/>
      <c r="E564" s="7" t="s">
        <v>956</v>
      </c>
      <c r="F564" s="7" t="s">
        <v>296</v>
      </c>
      <c r="G564" s="7">
        <v>174</v>
      </c>
      <c r="H564" s="7" t="s">
        <v>877</v>
      </c>
      <c r="I564" s="7" t="s">
        <v>878</v>
      </c>
      <c r="J564" s="7" t="s">
        <v>879</v>
      </c>
      <c r="M564" s="7">
        <v>100</v>
      </c>
      <c r="N564" s="7">
        <v>100</v>
      </c>
      <c r="P564" s="126">
        <v>46209.706944444399</v>
      </c>
    </row>
    <row r="565" spans="1:16" ht="15.75" customHeight="1">
      <c r="A565" s="126">
        <v>46230.015752314801</v>
      </c>
      <c r="B565" s="7">
        <v>12</v>
      </c>
      <c r="C565" s="7">
        <v>331</v>
      </c>
      <c r="D565" s="7"/>
      <c r="E565" s="7" t="s">
        <v>956</v>
      </c>
      <c r="F565" s="7" t="s">
        <v>296</v>
      </c>
      <c r="G565" s="7">
        <v>180</v>
      </c>
      <c r="H565" s="7" t="s">
        <v>880</v>
      </c>
      <c r="I565" s="7" t="s">
        <v>874</v>
      </c>
      <c r="J565" s="7"/>
      <c r="M565" s="7"/>
      <c r="N565" s="7" t="s">
        <v>875</v>
      </c>
      <c r="O565" s="126"/>
      <c r="P565" s="126"/>
    </row>
    <row r="566" spans="1:16" ht="15.75" customHeight="1">
      <c r="A566" s="126">
        <v>46230.015752314801</v>
      </c>
      <c r="B566" s="7">
        <v>12</v>
      </c>
      <c r="C566" s="7">
        <v>331</v>
      </c>
      <c r="D566" s="7"/>
      <c r="E566" s="7" t="s">
        <v>956</v>
      </c>
      <c r="F566" s="7" t="s">
        <v>296</v>
      </c>
      <c r="G566" s="7">
        <v>175</v>
      </c>
      <c r="H566" s="7" t="s">
        <v>881</v>
      </c>
      <c r="I566" s="7" t="s">
        <v>878</v>
      </c>
      <c r="J566" s="7" t="s">
        <v>882</v>
      </c>
      <c r="M566" s="7">
        <v>100</v>
      </c>
      <c r="N566" s="7">
        <v>100</v>
      </c>
      <c r="O566" s="126">
        <v>46216.385775463001</v>
      </c>
      <c r="P566" s="126">
        <v>46216.385775463001</v>
      </c>
    </row>
    <row r="567" spans="1:16" ht="15.75" customHeight="1">
      <c r="A567" s="126">
        <v>46230.015752314801</v>
      </c>
      <c r="B567" s="7">
        <v>12</v>
      </c>
      <c r="C567" s="7">
        <v>331</v>
      </c>
      <c r="D567" s="7"/>
      <c r="E567" s="7" t="s">
        <v>956</v>
      </c>
      <c r="F567" s="7" t="s">
        <v>296</v>
      </c>
      <c r="G567" s="7">
        <v>177</v>
      </c>
      <c r="H567" s="7" t="s">
        <v>883</v>
      </c>
      <c r="I567" s="7" t="s">
        <v>878</v>
      </c>
      <c r="J567" s="7" t="s">
        <v>882</v>
      </c>
      <c r="M567" s="7"/>
      <c r="N567" s="7" t="s">
        <v>875</v>
      </c>
      <c r="O567" s="126"/>
      <c r="P567" s="126"/>
    </row>
    <row r="568" spans="1:16" ht="15.75" customHeight="1">
      <c r="A568" s="126">
        <v>46230.015752314801</v>
      </c>
      <c r="B568" s="7">
        <v>12</v>
      </c>
      <c r="C568" s="7">
        <v>331</v>
      </c>
      <c r="D568" s="7"/>
      <c r="E568" s="7" t="s">
        <v>956</v>
      </c>
      <c r="F568" s="7" t="s">
        <v>296</v>
      </c>
      <c r="G568" s="7">
        <v>176</v>
      </c>
      <c r="H568" s="7" t="s">
        <v>884</v>
      </c>
      <c r="I568" s="7" t="s">
        <v>878</v>
      </c>
      <c r="J568" s="7" t="s">
        <v>882</v>
      </c>
      <c r="M568" s="7">
        <v>75</v>
      </c>
      <c r="N568" s="7">
        <v>75</v>
      </c>
      <c r="O568" s="126">
        <v>46229.999305555597</v>
      </c>
      <c r="P568" s="126">
        <v>46230.000023148103</v>
      </c>
    </row>
    <row r="569" spans="1:16" ht="15.75" customHeight="1">
      <c r="A569" s="126">
        <v>46230.015752314801</v>
      </c>
      <c r="B569" s="7">
        <v>12</v>
      </c>
      <c r="C569" s="7">
        <v>331</v>
      </c>
      <c r="D569" s="7"/>
      <c r="E569" s="7" t="s">
        <v>956</v>
      </c>
      <c r="F569" s="7" t="s">
        <v>296</v>
      </c>
      <c r="G569" s="7">
        <v>168</v>
      </c>
      <c r="H569" s="7" t="s">
        <v>885</v>
      </c>
      <c r="I569" s="7" t="s">
        <v>886</v>
      </c>
      <c r="J569" s="7"/>
      <c r="M569" s="7">
        <v>100</v>
      </c>
      <c r="N569" s="7">
        <v>100</v>
      </c>
      <c r="P569" s="126">
        <v>46209.706944444399</v>
      </c>
    </row>
    <row r="570" spans="1:16" ht="15.75" customHeight="1">
      <c r="A570" s="126">
        <v>46230.015752314801</v>
      </c>
      <c r="B570" s="7">
        <v>12</v>
      </c>
      <c r="C570" s="7">
        <v>339</v>
      </c>
      <c r="D570" s="7"/>
      <c r="E570" s="7" t="s">
        <v>957</v>
      </c>
      <c r="F570" s="7" t="s">
        <v>305</v>
      </c>
      <c r="G570" s="7">
        <v>181</v>
      </c>
      <c r="H570" s="7" t="s">
        <v>873</v>
      </c>
      <c r="I570" s="7" t="s">
        <v>874</v>
      </c>
      <c r="J570" s="7"/>
      <c r="M570" s="7"/>
      <c r="N570" s="7" t="s">
        <v>875</v>
      </c>
      <c r="P570" s="126"/>
    </row>
    <row r="571" spans="1:16" ht="15.75" customHeight="1">
      <c r="A571" s="126">
        <v>46230.015752314801</v>
      </c>
      <c r="B571" s="7">
        <v>12</v>
      </c>
      <c r="C571" s="7">
        <v>339</v>
      </c>
      <c r="D571" s="7"/>
      <c r="E571" s="7" t="s">
        <v>957</v>
      </c>
      <c r="F571" s="7" t="s">
        <v>305</v>
      </c>
      <c r="G571" s="7">
        <v>182</v>
      </c>
      <c r="H571" s="7" t="s">
        <v>876</v>
      </c>
      <c r="I571" s="7" t="s">
        <v>874</v>
      </c>
      <c r="J571" s="7"/>
      <c r="M571" s="7"/>
      <c r="N571" s="7" t="s">
        <v>875</v>
      </c>
      <c r="P571" s="126"/>
    </row>
    <row r="572" spans="1:16" ht="15.75" customHeight="1">
      <c r="A572" s="126">
        <v>46230.015752314801</v>
      </c>
      <c r="B572" s="7">
        <v>12</v>
      </c>
      <c r="C572" s="7">
        <v>339</v>
      </c>
      <c r="E572" s="7" t="s">
        <v>957</v>
      </c>
      <c r="F572" s="7" t="s">
        <v>305</v>
      </c>
      <c r="G572" s="7">
        <v>174</v>
      </c>
      <c r="H572" s="7" t="s">
        <v>877</v>
      </c>
      <c r="I572" s="7" t="s">
        <v>878</v>
      </c>
      <c r="J572" s="7" t="s">
        <v>879</v>
      </c>
      <c r="M572" s="7">
        <v>100</v>
      </c>
      <c r="N572" s="7">
        <v>100</v>
      </c>
      <c r="O572" s="126"/>
      <c r="P572" s="126">
        <v>46211.6652314815</v>
      </c>
    </row>
    <row r="573" spans="1:16" ht="15.75" customHeight="1">
      <c r="A573" s="126">
        <v>46230.015752314801</v>
      </c>
      <c r="B573" s="7">
        <v>12</v>
      </c>
      <c r="C573" s="7">
        <v>339</v>
      </c>
      <c r="E573" s="7" t="s">
        <v>957</v>
      </c>
      <c r="F573" s="7" t="s">
        <v>305</v>
      </c>
      <c r="G573" s="7">
        <v>180</v>
      </c>
      <c r="H573" s="7" t="s">
        <v>880</v>
      </c>
      <c r="I573" s="7" t="s">
        <v>874</v>
      </c>
      <c r="J573" s="7"/>
      <c r="M573" s="7"/>
      <c r="N573" s="7" t="s">
        <v>875</v>
      </c>
      <c r="O573" s="126"/>
      <c r="P573" s="126"/>
    </row>
    <row r="574" spans="1:16" ht="15.75" customHeight="1">
      <c r="A574" s="126">
        <v>46230.015752314801</v>
      </c>
      <c r="B574" s="7">
        <v>12</v>
      </c>
      <c r="C574" s="7">
        <v>339</v>
      </c>
      <c r="E574" s="7" t="s">
        <v>957</v>
      </c>
      <c r="F574" s="7" t="s">
        <v>305</v>
      </c>
      <c r="G574" s="7">
        <v>175</v>
      </c>
      <c r="H574" s="7" t="s">
        <v>881</v>
      </c>
      <c r="I574" s="7" t="s">
        <v>878</v>
      </c>
      <c r="J574" s="7" t="s">
        <v>882</v>
      </c>
      <c r="M574" s="7">
        <v>87.5</v>
      </c>
      <c r="N574" s="7">
        <v>87.5</v>
      </c>
      <c r="O574" s="126">
        <v>46214.737337963001</v>
      </c>
      <c r="P574" s="126">
        <v>46214.737337963001</v>
      </c>
    </row>
    <row r="575" spans="1:16" ht="15.75" customHeight="1">
      <c r="A575" s="126">
        <v>46230.015752314801</v>
      </c>
      <c r="B575" s="7">
        <v>12</v>
      </c>
      <c r="C575" s="7">
        <v>339</v>
      </c>
      <c r="E575" s="7" t="s">
        <v>957</v>
      </c>
      <c r="F575" s="7" t="s">
        <v>305</v>
      </c>
      <c r="G575" s="7">
        <v>177</v>
      </c>
      <c r="H575" s="7" t="s">
        <v>883</v>
      </c>
      <c r="I575" s="7" t="s">
        <v>878</v>
      </c>
      <c r="J575" s="7" t="s">
        <v>882</v>
      </c>
      <c r="M575" s="7"/>
      <c r="N575" s="7" t="s">
        <v>875</v>
      </c>
      <c r="O575" s="126"/>
      <c r="P575" s="126"/>
    </row>
    <row r="576" spans="1:16" ht="15.75" customHeight="1">
      <c r="A576" s="126">
        <v>46230.015752314801</v>
      </c>
      <c r="B576" s="7">
        <v>12</v>
      </c>
      <c r="C576" s="7">
        <v>339</v>
      </c>
      <c r="E576" s="7" t="s">
        <v>957</v>
      </c>
      <c r="F576" s="7" t="s">
        <v>305</v>
      </c>
      <c r="G576" s="7">
        <v>176</v>
      </c>
      <c r="H576" s="7" t="s">
        <v>884</v>
      </c>
      <c r="I576" s="7" t="s">
        <v>878</v>
      </c>
      <c r="J576" s="7" t="s">
        <v>882</v>
      </c>
      <c r="M576" s="7">
        <v>90</v>
      </c>
      <c r="N576" s="7">
        <v>90</v>
      </c>
      <c r="O576" s="126">
        <v>46224.824016203696</v>
      </c>
      <c r="P576" s="126">
        <v>46224.824016203696</v>
      </c>
    </row>
    <row r="577" spans="1:16" ht="15.75" customHeight="1">
      <c r="A577" s="126">
        <v>46230.015752314801</v>
      </c>
      <c r="B577" s="7">
        <v>12</v>
      </c>
      <c r="C577" s="7">
        <v>339</v>
      </c>
      <c r="E577" s="7" t="s">
        <v>957</v>
      </c>
      <c r="F577" s="7" t="s">
        <v>305</v>
      </c>
      <c r="G577" s="7">
        <v>168</v>
      </c>
      <c r="H577" s="7" t="s">
        <v>885</v>
      </c>
      <c r="I577" s="7" t="s">
        <v>886</v>
      </c>
      <c r="M577" s="7">
        <v>100</v>
      </c>
      <c r="N577" s="7">
        <v>100</v>
      </c>
      <c r="P577" s="126">
        <v>46211.6652314815</v>
      </c>
    </row>
    <row r="578" spans="1:16" ht="15.75" customHeight="1">
      <c r="A578" s="126">
        <v>46230.015752314801</v>
      </c>
      <c r="B578" s="7">
        <v>12</v>
      </c>
      <c r="C578" s="7">
        <v>588</v>
      </c>
      <c r="D578" s="7">
        <v>338391</v>
      </c>
      <c r="E578" s="7" t="s">
        <v>958</v>
      </c>
      <c r="F578" s="7" t="s">
        <v>96</v>
      </c>
      <c r="G578" s="7">
        <v>181</v>
      </c>
      <c r="H578" s="7" t="s">
        <v>873</v>
      </c>
      <c r="I578" s="7" t="s">
        <v>874</v>
      </c>
      <c r="J578" s="7"/>
      <c r="M578" s="7"/>
      <c r="N578" s="7" t="s">
        <v>875</v>
      </c>
      <c r="O578" s="126"/>
      <c r="P578" s="126"/>
    </row>
    <row r="579" spans="1:16" ht="15.75" customHeight="1">
      <c r="A579" s="126">
        <v>46230.015752314801</v>
      </c>
      <c r="B579" s="7">
        <v>12</v>
      </c>
      <c r="C579" s="7">
        <v>588</v>
      </c>
      <c r="D579" s="7">
        <v>338391</v>
      </c>
      <c r="E579" s="7" t="s">
        <v>958</v>
      </c>
      <c r="F579" s="7" t="s">
        <v>96</v>
      </c>
      <c r="G579" s="7">
        <v>182</v>
      </c>
      <c r="H579" s="7" t="s">
        <v>876</v>
      </c>
      <c r="I579" s="7" t="s">
        <v>874</v>
      </c>
      <c r="J579" s="7"/>
      <c r="M579" s="7"/>
      <c r="N579" s="7" t="s">
        <v>875</v>
      </c>
      <c r="O579" s="126"/>
      <c r="P579" s="126"/>
    </row>
    <row r="580" spans="1:16" ht="15.75" customHeight="1">
      <c r="A580" s="126">
        <v>46230.015752314801</v>
      </c>
      <c r="B580" s="7">
        <v>12</v>
      </c>
      <c r="C580" s="7">
        <v>588</v>
      </c>
      <c r="D580" s="7">
        <v>338391</v>
      </c>
      <c r="E580" s="7" t="s">
        <v>958</v>
      </c>
      <c r="F580" s="7" t="s">
        <v>96</v>
      </c>
      <c r="G580" s="7">
        <v>174</v>
      </c>
      <c r="H580" s="7" t="s">
        <v>877</v>
      </c>
      <c r="I580" s="7" t="s">
        <v>878</v>
      </c>
      <c r="J580" s="7" t="s">
        <v>879</v>
      </c>
      <c r="M580" s="7">
        <v>100</v>
      </c>
      <c r="N580" s="7">
        <v>100</v>
      </c>
      <c r="O580" s="126"/>
      <c r="P580" s="126">
        <v>46209.651990740698</v>
      </c>
    </row>
    <row r="581" spans="1:16" ht="15.75" customHeight="1">
      <c r="A581" s="126">
        <v>46230.015752314801</v>
      </c>
      <c r="B581" s="7">
        <v>12</v>
      </c>
      <c r="C581" s="7">
        <v>588</v>
      </c>
      <c r="D581" s="7">
        <v>338391</v>
      </c>
      <c r="E581" s="7" t="s">
        <v>958</v>
      </c>
      <c r="F581" s="7" t="s">
        <v>96</v>
      </c>
      <c r="G581" s="7">
        <v>180</v>
      </c>
      <c r="H581" s="7" t="s">
        <v>880</v>
      </c>
      <c r="I581" s="7" t="s">
        <v>874</v>
      </c>
      <c r="J581" s="7"/>
      <c r="M581" s="7"/>
      <c r="N581" s="7" t="s">
        <v>875</v>
      </c>
      <c r="P581" s="126"/>
    </row>
    <row r="582" spans="1:16" ht="15.75" customHeight="1">
      <c r="A582" s="126">
        <v>46230.015752314801</v>
      </c>
      <c r="B582" s="7">
        <v>12</v>
      </c>
      <c r="C582" s="7">
        <v>588</v>
      </c>
      <c r="D582" s="7">
        <v>338391</v>
      </c>
      <c r="E582" s="7" t="s">
        <v>958</v>
      </c>
      <c r="F582" s="7" t="s">
        <v>96</v>
      </c>
      <c r="G582" s="7">
        <v>175</v>
      </c>
      <c r="H582" s="7" t="s">
        <v>881</v>
      </c>
      <c r="I582" s="7" t="s">
        <v>878</v>
      </c>
      <c r="J582" s="7" t="s">
        <v>882</v>
      </c>
      <c r="M582" s="7">
        <v>100</v>
      </c>
      <c r="N582" s="7">
        <v>100</v>
      </c>
      <c r="O582" s="126">
        <v>46225.535879629599</v>
      </c>
      <c r="P582" s="126">
        <v>46225.535879629599</v>
      </c>
    </row>
    <row r="583" spans="1:16" ht="15.75" customHeight="1">
      <c r="A583" s="126">
        <v>46230.015752314801</v>
      </c>
      <c r="B583" s="7">
        <v>12</v>
      </c>
      <c r="C583" s="7">
        <v>588</v>
      </c>
      <c r="D583" s="7">
        <v>338391</v>
      </c>
      <c r="E583" s="7" t="s">
        <v>958</v>
      </c>
      <c r="F583" s="7" t="s">
        <v>96</v>
      </c>
      <c r="G583" s="7">
        <v>177</v>
      </c>
      <c r="H583" s="7" t="s">
        <v>883</v>
      </c>
      <c r="I583" s="7" t="s">
        <v>878</v>
      </c>
      <c r="J583" s="7" t="s">
        <v>882</v>
      </c>
      <c r="M583" s="7"/>
      <c r="N583" s="7" t="s">
        <v>875</v>
      </c>
      <c r="P583" s="126"/>
    </row>
    <row r="584" spans="1:16" ht="15.75" customHeight="1">
      <c r="A584" s="126">
        <v>46230.015752314801</v>
      </c>
      <c r="B584" s="7">
        <v>12</v>
      </c>
      <c r="C584" s="7">
        <v>588</v>
      </c>
      <c r="D584" s="7">
        <v>338391</v>
      </c>
      <c r="E584" s="7" t="s">
        <v>958</v>
      </c>
      <c r="F584" s="7" t="s">
        <v>96</v>
      </c>
      <c r="G584" s="7">
        <v>176</v>
      </c>
      <c r="H584" s="7" t="s">
        <v>884</v>
      </c>
      <c r="I584" s="7" t="s">
        <v>878</v>
      </c>
      <c r="J584" s="7" t="s">
        <v>882</v>
      </c>
      <c r="M584" s="7">
        <v>100</v>
      </c>
      <c r="N584" s="7">
        <v>100</v>
      </c>
      <c r="O584" s="126">
        <v>46225.5410416667</v>
      </c>
      <c r="P584" s="126">
        <v>46225.5410416667</v>
      </c>
    </row>
    <row r="585" spans="1:16" ht="15.75" customHeight="1">
      <c r="A585" s="126">
        <v>46230.015752314801</v>
      </c>
      <c r="B585" s="7">
        <v>12</v>
      </c>
      <c r="C585" s="7">
        <v>588</v>
      </c>
      <c r="D585" s="7">
        <v>338391</v>
      </c>
      <c r="E585" s="7" t="s">
        <v>958</v>
      </c>
      <c r="F585" s="7" t="s">
        <v>96</v>
      </c>
      <c r="G585" s="7">
        <v>168</v>
      </c>
      <c r="H585" s="7" t="s">
        <v>885</v>
      </c>
      <c r="I585" s="7" t="s">
        <v>886</v>
      </c>
      <c r="J585" s="7"/>
      <c r="M585" s="7">
        <v>100</v>
      </c>
      <c r="N585" s="7">
        <v>100</v>
      </c>
      <c r="O585" s="126"/>
      <c r="P585" s="126">
        <v>46209.651990740698</v>
      </c>
    </row>
    <row r="586" spans="1:16" ht="15.75" customHeight="1">
      <c r="A586" s="126">
        <v>46230.015752314801</v>
      </c>
      <c r="B586" s="7">
        <v>12</v>
      </c>
      <c r="C586" s="7">
        <v>330</v>
      </c>
      <c r="D586" s="7"/>
      <c r="E586" s="7" t="s">
        <v>959</v>
      </c>
      <c r="F586" s="7" t="s">
        <v>387</v>
      </c>
      <c r="G586" s="7">
        <v>181</v>
      </c>
      <c r="H586" s="7" t="s">
        <v>873</v>
      </c>
      <c r="I586" s="7" t="s">
        <v>874</v>
      </c>
      <c r="J586" s="7"/>
      <c r="M586" s="7"/>
      <c r="N586" s="7" t="s">
        <v>875</v>
      </c>
      <c r="O586" s="126"/>
      <c r="P586" s="126"/>
    </row>
    <row r="587" spans="1:16" ht="15.75" customHeight="1">
      <c r="A587" s="126">
        <v>46230.015752314801</v>
      </c>
      <c r="B587" s="7">
        <v>12</v>
      </c>
      <c r="C587" s="7">
        <v>330</v>
      </c>
      <c r="E587" s="7" t="s">
        <v>959</v>
      </c>
      <c r="F587" s="7" t="s">
        <v>387</v>
      </c>
      <c r="G587" s="7">
        <v>182</v>
      </c>
      <c r="H587" s="7" t="s">
        <v>876</v>
      </c>
      <c r="I587" s="7" t="s">
        <v>874</v>
      </c>
      <c r="J587" s="7"/>
      <c r="M587" s="7"/>
      <c r="N587" s="7" t="s">
        <v>875</v>
      </c>
      <c r="P587" s="126"/>
    </row>
    <row r="588" spans="1:16" ht="15.75" customHeight="1">
      <c r="A588" s="126">
        <v>46230.015752314801</v>
      </c>
      <c r="B588" s="7">
        <v>12</v>
      </c>
      <c r="C588" s="7">
        <v>330</v>
      </c>
      <c r="E588" s="7" t="s">
        <v>959</v>
      </c>
      <c r="F588" s="7" t="s">
        <v>387</v>
      </c>
      <c r="G588" s="7">
        <v>174</v>
      </c>
      <c r="H588" s="7" t="s">
        <v>877</v>
      </c>
      <c r="I588" s="7" t="s">
        <v>878</v>
      </c>
      <c r="J588" s="7" t="s">
        <v>879</v>
      </c>
      <c r="M588" s="7">
        <v>100</v>
      </c>
      <c r="N588" s="7">
        <v>100</v>
      </c>
      <c r="P588" s="126">
        <v>46209.706944444399</v>
      </c>
    </row>
    <row r="589" spans="1:16" ht="15.75" customHeight="1">
      <c r="A589" s="126">
        <v>46230.015752314801</v>
      </c>
      <c r="B589" s="7">
        <v>12</v>
      </c>
      <c r="C589" s="7">
        <v>330</v>
      </c>
      <c r="E589" s="7" t="s">
        <v>959</v>
      </c>
      <c r="F589" s="7" t="s">
        <v>387</v>
      </c>
      <c r="G589" s="7">
        <v>180</v>
      </c>
      <c r="H589" s="7" t="s">
        <v>880</v>
      </c>
      <c r="I589" s="7" t="s">
        <v>874</v>
      </c>
      <c r="J589" s="7"/>
      <c r="M589" s="7"/>
      <c r="N589" s="7" t="s">
        <v>875</v>
      </c>
      <c r="O589" s="126"/>
      <c r="P589" s="126"/>
    </row>
    <row r="590" spans="1:16" ht="15.75" customHeight="1">
      <c r="A590" s="126">
        <v>46230.015752314801</v>
      </c>
      <c r="B590" s="7">
        <v>12</v>
      </c>
      <c r="C590" s="7">
        <v>330</v>
      </c>
      <c r="E590" s="7" t="s">
        <v>959</v>
      </c>
      <c r="F590" s="7" t="s">
        <v>387</v>
      </c>
      <c r="G590" s="7">
        <v>175</v>
      </c>
      <c r="H590" s="7" t="s">
        <v>881</v>
      </c>
      <c r="I590" s="7" t="s">
        <v>878</v>
      </c>
      <c r="J590" s="7" t="s">
        <v>882</v>
      </c>
      <c r="M590" s="7">
        <v>87.5</v>
      </c>
      <c r="N590" s="7">
        <v>87.5</v>
      </c>
      <c r="O590" s="126">
        <v>46216.546122685198</v>
      </c>
      <c r="P590" s="126">
        <v>46216.546122685198</v>
      </c>
    </row>
    <row r="591" spans="1:16" ht="15.75" customHeight="1">
      <c r="A591" s="126">
        <v>46230.015752314801</v>
      </c>
      <c r="B591" s="7">
        <v>12</v>
      </c>
      <c r="C591" s="7">
        <v>330</v>
      </c>
      <c r="E591" s="7" t="s">
        <v>959</v>
      </c>
      <c r="F591" s="7" t="s">
        <v>387</v>
      </c>
      <c r="G591" s="7">
        <v>177</v>
      </c>
      <c r="H591" s="7" t="s">
        <v>883</v>
      </c>
      <c r="I591" s="7" t="s">
        <v>878</v>
      </c>
      <c r="J591" s="7" t="s">
        <v>882</v>
      </c>
      <c r="M591" s="7"/>
      <c r="N591" s="7" t="s">
        <v>875</v>
      </c>
      <c r="O591" s="126"/>
      <c r="P591" s="126"/>
    </row>
    <row r="592" spans="1:16" ht="15.75" customHeight="1">
      <c r="A592" s="126">
        <v>46230.015752314801</v>
      </c>
      <c r="B592" s="7">
        <v>12</v>
      </c>
      <c r="C592" s="7">
        <v>330</v>
      </c>
      <c r="E592" s="7" t="s">
        <v>959</v>
      </c>
      <c r="F592" s="7" t="s">
        <v>387</v>
      </c>
      <c r="G592" s="7">
        <v>176</v>
      </c>
      <c r="H592" s="7" t="s">
        <v>884</v>
      </c>
      <c r="I592" s="7" t="s">
        <v>878</v>
      </c>
      <c r="J592" s="7" t="s">
        <v>882</v>
      </c>
      <c r="M592" s="7">
        <v>95</v>
      </c>
      <c r="N592" s="7">
        <v>95</v>
      </c>
      <c r="O592" s="126">
        <v>46227.403263888897</v>
      </c>
      <c r="P592" s="126">
        <v>46227.403263888897</v>
      </c>
    </row>
    <row r="593" spans="1:16" ht="15.75" customHeight="1">
      <c r="A593" s="126">
        <v>46230.015752314801</v>
      </c>
      <c r="B593" s="7">
        <v>12</v>
      </c>
      <c r="C593" s="7">
        <v>330</v>
      </c>
      <c r="E593" s="7" t="s">
        <v>959</v>
      </c>
      <c r="F593" s="7" t="s">
        <v>387</v>
      </c>
      <c r="G593" s="7">
        <v>168</v>
      </c>
      <c r="H593" s="7" t="s">
        <v>885</v>
      </c>
      <c r="I593" s="7" t="s">
        <v>886</v>
      </c>
      <c r="J593" s="7"/>
      <c r="M593" s="7">
        <v>100</v>
      </c>
      <c r="N593" s="7">
        <v>100</v>
      </c>
      <c r="O593" s="126"/>
      <c r="P593" s="126">
        <v>46209.706944444399</v>
      </c>
    </row>
    <row r="594" spans="1:16" ht="15.75" customHeight="1">
      <c r="A594" s="126">
        <v>46230.015752314801</v>
      </c>
      <c r="B594" s="7">
        <v>12</v>
      </c>
      <c r="C594" s="7">
        <v>704</v>
      </c>
      <c r="E594" s="7" t="s">
        <v>960</v>
      </c>
      <c r="F594" s="7" t="s">
        <v>548</v>
      </c>
      <c r="G594" s="7">
        <v>181</v>
      </c>
      <c r="H594" s="7" t="s">
        <v>873</v>
      </c>
      <c r="I594" s="7" t="s">
        <v>874</v>
      </c>
      <c r="J594" s="7"/>
      <c r="M594" s="7"/>
      <c r="N594" s="7" t="s">
        <v>875</v>
      </c>
      <c r="O594" s="126"/>
      <c r="P594" s="126"/>
    </row>
    <row r="595" spans="1:16" ht="15.75" customHeight="1">
      <c r="A595" s="126">
        <v>46230.015752314801</v>
      </c>
      <c r="B595" s="7">
        <v>12</v>
      </c>
      <c r="C595" s="7">
        <v>704</v>
      </c>
      <c r="E595" s="7" t="s">
        <v>960</v>
      </c>
      <c r="F595" s="7" t="s">
        <v>548</v>
      </c>
      <c r="G595" s="7">
        <v>182</v>
      </c>
      <c r="H595" s="7" t="s">
        <v>876</v>
      </c>
      <c r="I595" s="7" t="s">
        <v>874</v>
      </c>
      <c r="J595" s="7"/>
      <c r="M595" s="7"/>
      <c r="N595" s="7" t="s">
        <v>875</v>
      </c>
      <c r="P595" s="126"/>
    </row>
    <row r="596" spans="1:16" ht="15.75" customHeight="1">
      <c r="A596" s="126">
        <v>46230.015752314801</v>
      </c>
      <c r="B596" s="7">
        <v>12</v>
      </c>
      <c r="C596" s="7">
        <v>704</v>
      </c>
      <c r="E596" s="7" t="s">
        <v>960</v>
      </c>
      <c r="F596" s="7" t="s">
        <v>548</v>
      </c>
      <c r="G596" s="7">
        <v>174</v>
      </c>
      <c r="H596" s="7" t="s">
        <v>877</v>
      </c>
      <c r="I596" s="7" t="s">
        <v>878</v>
      </c>
      <c r="J596" s="7" t="s">
        <v>879</v>
      </c>
      <c r="M596" s="7">
        <v>100</v>
      </c>
      <c r="N596" s="7">
        <v>100</v>
      </c>
      <c r="O596" s="126"/>
      <c r="P596" s="126">
        <v>46209.706932870402</v>
      </c>
    </row>
    <row r="597" spans="1:16" ht="15.75" customHeight="1">
      <c r="A597" s="126">
        <v>46230.015752314801</v>
      </c>
      <c r="B597" s="7">
        <v>12</v>
      </c>
      <c r="C597" s="7">
        <v>704</v>
      </c>
      <c r="E597" s="7" t="s">
        <v>960</v>
      </c>
      <c r="F597" s="7" t="s">
        <v>548</v>
      </c>
      <c r="G597" s="7">
        <v>180</v>
      </c>
      <c r="H597" s="7" t="s">
        <v>880</v>
      </c>
      <c r="I597" s="7" t="s">
        <v>874</v>
      </c>
      <c r="J597" s="7"/>
      <c r="M597" s="7"/>
      <c r="N597" s="7" t="s">
        <v>875</v>
      </c>
      <c r="O597" s="126"/>
      <c r="P597" s="126"/>
    </row>
    <row r="598" spans="1:16" ht="15.75" customHeight="1">
      <c r="A598" s="126">
        <v>46230.015752314801</v>
      </c>
      <c r="B598" s="7">
        <v>12</v>
      </c>
      <c r="C598" s="7">
        <v>704</v>
      </c>
      <c r="E598" s="7" t="s">
        <v>960</v>
      </c>
      <c r="F598" s="7" t="s">
        <v>548</v>
      </c>
      <c r="G598" s="7">
        <v>175</v>
      </c>
      <c r="H598" s="7" t="s">
        <v>881</v>
      </c>
      <c r="I598" s="7" t="s">
        <v>878</v>
      </c>
      <c r="J598" s="7" t="s">
        <v>882</v>
      </c>
      <c r="M598" s="7">
        <v>100</v>
      </c>
      <c r="N598" s="7">
        <v>100</v>
      </c>
      <c r="O598" s="126">
        <v>46216.574016203696</v>
      </c>
      <c r="P598" s="126">
        <v>46216.574016203696</v>
      </c>
    </row>
    <row r="599" spans="1:16" ht="15.75" customHeight="1">
      <c r="A599" s="126">
        <v>46230.015752314801</v>
      </c>
      <c r="B599" s="7">
        <v>12</v>
      </c>
      <c r="C599" s="7">
        <v>704</v>
      </c>
      <c r="E599" s="7" t="s">
        <v>960</v>
      </c>
      <c r="F599" s="7" t="s">
        <v>548</v>
      </c>
      <c r="G599" s="7">
        <v>177</v>
      </c>
      <c r="H599" s="7" t="s">
        <v>883</v>
      </c>
      <c r="I599" s="7" t="s">
        <v>878</v>
      </c>
      <c r="J599" s="7" t="s">
        <v>882</v>
      </c>
      <c r="M599" s="7"/>
      <c r="N599" s="7" t="s">
        <v>875</v>
      </c>
      <c r="P599" s="126"/>
    </row>
    <row r="600" spans="1:16" ht="15.75" customHeight="1">
      <c r="A600" s="126">
        <v>46230.015752314801</v>
      </c>
      <c r="B600" s="7">
        <v>12</v>
      </c>
      <c r="C600" s="7">
        <v>704</v>
      </c>
      <c r="E600" s="7" t="s">
        <v>960</v>
      </c>
      <c r="F600" s="7" t="s">
        <v>548</v>
      </c>
      <c r="G600" s="7">
        <v>176</v>
      </c>
      <c r="H600" s="7" t="s">
        <v>884</v>
      </c>
      <c r="I600" s="7" t="s">
        <v>878</v>
      </c>
      <c r="J600" s="7" t="s">
        <v>882</v>
      </c>
      <c r="M600" s="7">
        <v>100</v>
      </c>
      <c r="N600" s="7">
        <v>100</v>
      </c>
      <c r="O600" s="126">
        <v>46229.001550925903</v>
      </c>
      <c r="P600" s="126">
        <v>46229.001550925903</v>
      </c>
    </row>
    <row r="601" spans="1:16" ht="15.75" customHeight="1">
      <c r="A601" s="126">
        <v>46230.015752314801</v>
      </c>
      <c r="B601" s="7">
        <v>12</v>
      </c>
      <c r="C601" s="7">
        <v>704</v>
      </c>
      <c r="E601" s="7" t="s">
        <v>960</v>
      </c>
      <c r="F601" s="7" t="s">
        <v>548</v>
      </c>
      <c r="G601" s="7">
        <v>168</v>
      </c>
      <c r="H601" s="7" t="s">
        <v>885</v>
      </c>
      <c r="I601" s="7" t="s">
        <v>886</v>
      </c>
      <c r="J601" s="7"/>
      <c r="M601" s="7">
        <v>100</v>
      </c>
      <c r="N601" s="7">
        <v>100</v>
      </c>
      <c r="P601" s="126">
        <v>46209.706932870402</v>
      </c>
    </row>
    <row r="602" spans="1:16" ht="15.75" customHeight="1">
      <c r="A602" s="126">
        <v>46230.015752314801</v>
      </c>
      <c r="B602" s="7">
        <v>12</v>
      </c>
      <c r="C602" s="7">
        <v>477</v>
      </c>
      <c r="E602" s="7" t="s">
        <v>961</v>
      </c>
      <c r="F602" s="7" t="s">
        <v>26</v>
      </c>
      <c r="G602" s="7">
        <v>181</v>
      </c>
      <c r="H602" s="7" t="s">
        <v>873</v>
      </c>
      <c r="I602" s="7" t="s">
        <v>874</v>
      </c>
      <c r="J602" s="7"/>
      <c r="M602" s="7"/>
      <c r="N602" s="7" t="s">
        <v>875</v>
      </c>
      <c r="O602" s="126"/>
      <c r="P602" s="126"/>
    </row>
    <row r="603" spans="1:16" ht="15.75" customHeight="1">
      <c r="A603" s="126">
        <v>46230.015752314801</v>
      </c>
      <c r="B603" s="7">
        <v>12</v>
      </c>
      <c r="C603" s="7">
        <v>477</v>
      </c>
      <c r="E603" s="7" t="s">
        <v>961</v>
      </c>
      <c r="F603" s="7" t="s">
        <v>26</v>
      </c>
      <c r="G603" s="7">
        <v>182</v>
      </c>
      <c r="H603" s="7" t="s">
        <v>876</v>
      </c>
      <c r="I603" s="7" t="s">
        <v>874</v>
      </c>
      <c r="J603" s="7"/>
      <c r="M603" s="7"/>
      <c r="N603" s="7" t="s">
        <v>875</v>
      </c>
      <c r="O603" s="126"/>
      <c r="P603" s="126"/>
    </row>
    <row r="604" spans="1:16" ht="15.75" customHeight="1">
      <c r="A604" s="126">
        <v>46230.015752314801</v>
      </c>
      <c r="B604" s="7">
        <v>12</v>
      </c>
      <c r="C604" s="7">
        <v>477</v>
      </c>
      <c r="E604" s="7" t="s">
        <v>961</v>
      </c>
      <c r="F604" s="7" t="s">
        <v>26</v>
      </c>
      <c r="G604" s="7">
        <v>174</v>
      </c>
      <c r="H604" s="7" t="s">
        <v>877</v>
      </c>
      <c r="I604" s="7" t="s">
        <v>878</v>
      </c>
      <c r="J604" s="7" t="s">
        <v>879</v>
      </c>
      <c r="M604" s="7">
        <v>100</v>
      </c>
      <c r="N604" s="7">
        <v>100</v>
      </c>
      <c r="O604" s="126"/>
      <c r="P604" s="126">
        <v>46209.706967592603</v>
      </c>
    </row>
    <row r="605" spans="1:16" ht="15.75" customHeight="1">
      <c r="A605" s="126">
        <v>46230.015752314801</v>
      </c>
      <c r="B605" s="7">
        <v>12</v>
      </c>
      <c r="C605" s="7">
        <v>477</v>
      </c>
      <c r="E605" s="7" t="s">
        <v>961</v>
      </c>
      <c r="F605" s="7" t="s">
        <v>26</v>
      </c>
      <c r="G605" s="7">
        <v>180</v>
      </c>
      <c r="H605" s="7" t="s">
        <v>880</v>
      </c>
      <c r="I605" s="7" t="s">
        <v>874</v>
      </c>
      <c r="J605" s="7"/>
      <c r="M605" s="7"/>
      <c r="N605" s="7" t="s">
        <v>875</v>
      </c>
      <c r="O605" s="126"/>
      <c r="P605" s="126"/>
    </row>
    <row r="606" spans="1:16" ht="15.75" customHeight="1">
      <c r="A606" s="126">
        <v>46230.015752314801</v>
      </c>
      <c r="B606" s="7">
        <v>12</v>
      </c>
      <c r="C606" s="7">
        <v>477</v>
      </c>
      <c r="E606" s="7" t="s">
        <v>961</v>
      </c>
      <c r="F606" s="7" t="s">
        <v>26</v>
      </c>
      <c r="G606" s="7">
        <v>175</v>
      </c>
      <c r="H606" s="7" t="s">
        <v>881</v>
      </c>
      <c r="I606" s="7" t="s">
        <v>878</v>
      </c>
      <c r="J606" s="7" t="s">
        <v>882</v>
      </c>
      <c r="M606" s="7">
        <v>100</v>
      </c>
      <c r="N606" s="7">
        <v>100</v>
      </c>
      <c r="O606" s="126">
        <v>46216.754733796297</v>
      </c>
      <c r="P606" s="126">
        <v>46216.754733796297</v>
      </c>
    </row>
    <row r="607" spans="1:16" ht="15.75" customHeight="1">
      <c r="A607" s="126">
        <v>46230.015752314801</v>
      </c>
      <c r="B607" s="7">
        <v>12</v>
      </c>
      <c r="C607" s="7">
        <v>477</v>
      </c>
      <c r="E607" s="7" t="s">
        <v>961</v>
      </c>
      <c r="F607" s="7" t="s">
        <v>26</v>
      </c>
      <c r="G607" s="7">
        <v>177</v>
      </c>
      <c r="H607" s="7" t="s">
        <v>883</v>
      </c>
      <c r="I607" s="7" t="s">
        <v>878</v>
      </c>
      <c r="J607" s="7" t="s">
        <v>882</v>
      </c>
      <c r="M607" s="7"/>
      <c r="N607" s="7" t="s">
        <v>875</v>
      </c>
      <c r="P607" s="126"/>
    </row>
    <row r="608" spans="1:16" ht="15.75" customHeight="1">
      <c r="A608" s="126">
        <v>46230.015752314801</v>
      </c>
      <c r="B608" s="7">
        <v>12</v>
      </c>
      <c r="C608" s="7">
        <v>477</v>
      </c>
      <c r="E608" s="7" t="s">
        <v>961</v>
      </c>
      <c r="F608" s="7" t="s">
        <v>26</v>
      </c>
      <c r="G608" s="7">
        <v>176</v>
      </c>
      <c r="H608" s="7" t="s">
        <v>884</v>
      </c>
      <c r="I608" s="7" t="s">
        <v>878</v>
      </c>
      <c r="J608" s="7" t="s">
        <v>882</v>
      </c>
      <c r="M608" s="7">
        <v>100</v>
      </c>
      <c r="N608" s="7">
        <v>100</v>
      </c>
      <c r="O608" s="126">
        <v>46225.562916666699</v>
      </c>
      <c r="P608" s="126">
        <v>46225.562916666699</v>
      </c>
    </row>
    <row r="609" spans="1:16" ht="15.75" customHeight="1">
      <c r="A609" s="126">
        <v>46230.015752314801</v>
      </c>
      <c r="B609" s="7">
        <v>12</v>
      </c>
      <c r="C609" s="7">
        <v>477</v>
      </c>
      <c r="E609" s="7" t="s">
        <v>961</v>
      </c>
      <c r="F609" s="7" t="s">
        <v>26</v>
      </c>
      <c r="G609" s="7">
        <v>168</v>
      </c>
      <c r="H609" s="7" t="s">
        <v>885</v>
      </c>
      <c r="I609" s="7" t="s">
        <v>886</v>
      </c>
      <c r="J609" s="7"/>
      <c r="M609" s="7">
        <v>100</v>
      </c>
      <c r="N609" s="7">
        <v>100</v>
      </c>
      <c r="O609" s="126"/>
      <c r="P609" s="126">
        <v>46209.706967592603</v>
      </c>
    </row>
    <row r="610" spans="1:16" ht="15.75" customHeight="1">
      <c r="A610" s="126">
        <v>46230.015752314801</v>
      </c>
      <c r="B610" s="7">
        <v>12</v>
      </c>
      <c r="C610" s="7">
        <v>699</v>
      </c>
      <c r="E610" s="7" t="s">
        <v>962</v>
      </c>
      <c r="F610" s="7" t="s">
        <v>136</v>
      </c>
      <c r="G610" s="7">
        <v>181</v>
      </c>
      <c r="H610" s="7" t="s">
        <v>873</v>
      </c>
      <c r="I610" s="7" t="s">
        <v>874</v>
      </c>
      <c r="J610" s="7"/>
      <c r="M610" s="7"/>
      <c r="N610" s="7" t="s">
        <v>875</v>
      </c>
      <c r="O610" s="126"/>
      <c r="P610" s="126"/>
    </row>
    <row r="611" spans="1:16" ht="15.75" customHeight="1">
      <c r="A611" s="126">
        <v>46230.015752314801</v>
      </c>
      <c r="B611" s="7">
        <v>12</v>
      </c>
      <c r="C611" s="7">
        <v>699</v>
      </c>
      <c r="E611" s="7" t="s">
        <v>962</v>
      </c>
      <c r="F611" s="7" t="s">
        <v>136</v>
      </c>
      <c r="G611" s="7">
        <v>182</v>
      </c>
      <c r="H611" s="7" t="s">
        <v>876</v>
      </c>
      <c r="I611" s="7" t="s">
        <v>874</v>
      </c>
      <c r="J611" s="7"/>
      <c r="M611" s="7"/>
      <c r="N611" s="7" t="s">
        <v>875</v>
      </c>
      <c r="O611" s="126"/>
      <c r="P611" s="126"/>
    </row>
    <row r="612" spans="1:16" ht="15.75" customHeight="1">
      <c r="A612" s="126">
        <v>46230.015752314801</v>
      </c>
      <c r="B612" s="7">
        <v>12</v>
      </c>
      <c r="C612" s="7">
        <v>699</v>
      </c>
      <c r="E612" s="7" t="s">
        <v>962</v>
      </c>
      <c r="F612" s="7" t="s">
        <v>136</v>
      </c>
      <c r="G612" s="7">
        <v>174</v>
      </c>
      <c r="H612" s="7" t="s">
        <v>877</v>
      </c>
      <c r="I612" s="7" t="s">
        <v>878</v>
      </c>
      <c r="J612" s="7" t="s">
        <v>879</v>
      </c>
      <c r="M612" s="7">
        <v>100</v>
      </c>
      <c r="N612" s="7">
        <v>100</v>
      </c>
      <c r="O612" s="126"/>
      <c r="P612" s="126">
        <v>46209.706979166702</v>
      </c>
    </row>
    <row r="613" spans="1:16" ht="15.75" customHeight="1">
      <c r="A613" s="126">
        <v>46230.015752314801</v>
      </c>
      <c r="B613" s="7">
        <v>12</v>
      </c>
      <c r="C613" s="7">
        <v>699</v>
      </c>
      <c r="E613" s="7" t="s">
        <v>962</v>
      </c>
      <c r="F613" s="7" t="s">
        <v>136</v>
      </c>
      <c r="G613" s="7">
        <v>180</v>
      </c>
      <c r="H613" s="7" t="s">
        <v>880</v>
      </c>
      <c r="I613" s="7" t="s">
        <v>874</v>
      </c>
      <c r="J613" s="7"/>
      <c r="M613" s="7"/>
      <c r="N613" s="7" t="s">
        <v>875</v>
      </c>
      <c r="O613" s="126"/>
      <c r="P613" s="126"/>
    </row>
    <row r="614" spans="1:16" ht="15.75" customHeight="1">
      <c r="A614" s="126">
        <v>46230.015752314801</v>
      </c>
      <c r="B614" s="7">
        <v>12</v>
      </c>
      <c r="C614" s="7">
        <v>699</v>
      </c>
      <c r="E614" s="7" t="s">
        <v>962</v>
      </c>
      <c r="F614" s="7" t="s">
        <v>136</v>
      </c>
      <c r="G614" s="7">
        <v>175</v>
      </c>
      <c r="H614" s="7" t="s">
        <v>881</v>
      </c>
      <c r="I614" s="7" t="s">
        <v>878</v>
      </c>
      <c r="J614" s="7" t="s">
        <v>882</v>
      </c>
      <c r="M614" s="7">
        <v>100</v>
      </c>
      <c r="N614" s="7">
        <v>100</v>
      </c>
      <c r="O614" s="126">
        <v>46215.860324074099</v>
      </c>
      <c r="P614" s="126">
        <v>46215.860324074099</v>
      </c>
    </row>
    <row r="615" spans="1:16" ht="15.75" customHeight="1">
      <c r="A615" s="126">
        <v>46230.015752314801</v>
      </c>
      <c r="B615" s="7">
        <v>12</v>
      </c>
      <c r="C615" s="7">
        <v>699</v>
      </c>
      <c r="E615" s="7" t="s">
        <v>962</v>
      </c>
      <c r="F615" s="7" t="s">
        <v>136</v>
      </c>
      <c r="G615" s="7">
        <v>177</v>
      </c>
      <c r="H615" s="7" t="s">
        <v>883</v>
      </c>
      <c r="I615" s="7" t="s">
        <v>878</v>
      </c>
      <c r="J615" s="7" t="s">
        <v>882</v>
      </c>
      <c r="M615" s="7"/>
      <c r="N615" s="7" t="s">
        <v>875</v>
      </c>
      <c r="O615" s="126"/>
      <c r="P615" s="126"/>
    </row>
    <row r="616" spans="1:16" ht="15.75" customHeight="1">
      <c r="A616" s="126">
        <v>46230.015752314801</v>
      </c>
      <c r="B616" s="7">
        <v>12</v>
      </c>
      <c r="C616" s="7">
        <v>699</v>
      </c>
      <c r="E616" s="7" t="s">
        <v>962</v>
      </c>
      <c r="F616" s="7" t="s">
        <v>136</v>
      </c>
      <c r="G616" s="7">
        <v>176</v>
      </c>
      <c r="H616" s="7" t="s">
        <v>884</v>
      </c>
      <c r="I616" s="7" t="s">
        <v>878</v>
      </c>
      <c r="J616" s="7" t="s">
        <v>882</v>
      </c>
      <c r="M616" s="7"/>
      <c r="N616" s="7" t="s">
        <v>875</v>
      </c>
      <c r="O616" s="126"/>
      <c r="P616" s="126"/>
    </row>
    <row r="617" spans="1:16" ht="15.75" customHeight="1">
      <c r="A617" s="126">
        <v>46230.015752314801</v>
      </c>
      <c r="B617" s="7">
        <v>12</v>
      </c>
      <c r="C617" s="7">
        <v>699</v>
      </c>
      <c r="E617" s="7" t="s">
        <v>962</v>
      </c>
      <c r="F617" s="7" t="s">
        <v>136</v>
      </c>
      <c r="G617" s="7">
        <v>168</v>
      </c>
      <c r="H617" s="7" t="s">
        <v>885</v>
      </c>
      <c r="I617" s="7" t="s">
        <v>886</v>
      </c>
      <c r="J617" s="7"/>
      <c r="M617" s="7">
        <v>100</v>
      </c>
      <c r="N617" s="7">
        <v>100</v>
      </c>
      <c r="P617" s="126">
        <v>46209.706979166702</v>
      </c>
    </row>
    <row r="618" spans="1:16" ht="15.75" customHeight="1">
      <c r="A618" s="126">
        <v>46230.015752314801</v>
      </c>
      <c r="B618" s="7">
        <v>12</v>
      </c>
      <c r="C618" s="7">
        <v>783</v>
      </c>
      <c r="E618" s="7" t="s">
        <v>963</v>
      </c>
      <c r="F618" s="7" t="s">
        <v>329</v>
      </c>
      <c r="G618" s="7">
        <v>181</v>
      </c>
      <c r="H618" s="7" t="s">
        <v>873</v>
      </c>
      <c r="I618" s="7" t="s">
        <v>874</v>
      </c>
      <c r="J618" s="7"/>
      <c r="M618" s="7"/>
      <c r="N618" s="7" t="s">
        <v>875</v>
      </c>
      <c r="O618" s="126"/>
      <c r="P618" s="126"/>
    </row>
    <row r="619" spans="1:16" ht="15.75" customHeight="1">
      <c r="A619" s="126">
        <v>46230.015752314801</v>
      </c>
      <c r="B619" s="7">
        <v>12</v>
      </c>
      <c r="C619" s="7">
        <v>783</v>
      </c>
      <c r="E619" s="7" t="s">
        <v>963</v>
      </c>
      <c r="F619" s="7" t="s">
        <v>329</v>
      </c>
      <c r="G619" s="7">
        <v>182</v>
      </c>
      <c r="H619" s="7" t="s">
        <v>876</v>
      </c>
      <c r="I619" s="7" t="s">
        <v>874</v>
      </c>
      <c r="J619" s="7"/>
      <c r="M619" s="7"/>
      <c r="N619" s="7" t="s">
        <v>875</v>
      </c>
      <c r="P619" s="126"/>
    </row>
    <row r="620" spans="1:16" ht="15.75" customHeight="1">
      <c r="A620" s="126">
        <v>46230.015752314801</v>
      </c>
      <c r="B620" s="7">
        <v>12</v>
      </c>
      <c r="C620" s="7">
        <v>783</v>
      </c>
      <c r="E620" s="7" t="s">
        <v>963</v>
      </c>
      <c r="F620" s="7" t="s">
        <v>329</v>
      </c>
      <c r="G620" s="7">
        <v>174</v>
      </c>
      <c r="H620" s="7" t="s">
        <v>877</v>
      </c>
      <c r="I620" s="7" t="s">
        <v>878</v>
      </c>
      <c r="J620" s="7" t="s">
        <v>879</v>
      </c>
      <c r="M620" s="7">
        <v>100</v>
      </c>
      <c r="N620" s="7">
        <v>100</v>
      </c>
      <c r="O620" s="126"/>
      <c r="P620" s="126">
        <v>46214.442812499998</v>
      </c>
    </row>
    <row r="621" spans="1:16" ht="15.75" customHeight="1">
      <c r="A621" s="126">
        <v>46230.015752314801</v>
      </c>
      <c r="B621" s="7">
        <v>12</v>
      </c>
      <c r="C621" s="7">
        <v>783</v>
      </c>
      <c r="E621" s="7" t="s">
        <v>963</v>
      </c>
      <c r="F621" s="7" t="s">
        <v>329</v>
      </c>
      <c r="G621" s="7">
        <v>180</v>
      </c>
      <c r="H621" s="7" t="s">
        <v>880</v>
      </c>
      <c r="I621" s="7" t="s">
        <v>874</v>
      </c>
      <c r="J621" s="7"/>
      <c r="M621" s="7"/>
      <c r="N621" s="7" t="s">
        <v>875</v>
      </c>
      <c r="O621" s="126"/>
      <c r="P621" s="126"/>
    </row>
    <row r="622" spans="1:16" ht="15.75" customHeight="1">
      <c r="A622" s="126">
        <v>46230.015752314801</v>
      </c>
      <c r="B622" s="7">
        <v>12</v>
      </c>
      <c r="C622" s="7">
        <v>783</v>
      </c>
      <c r="E622" s="7" t="s">
        <v>963</v>
      </c>
      <c r="F622" s="7" t="s">
        <v>329</v>
      </c>
      <c r="G622" s="7">
        <v>175</v>
      </c>
      <c r="H622" s="7" t="s">
        <v>881</v>
      </c>
      <c r="I622" s="7" t="s">
        <v>878</v>
      </c>
      <c r="J622" s="7" t="s">
        <v>882</v>
      </c>
      <c r="M622" s="7">
        <v>100</v>
      </c>
      <c r="N622" s="7">
        <v>100</v>
      </c>
      <c r="O622" s="126">
        <v>46215.409074074101</v>
      </c>
      <c r="P622" s="126">
        <v>46215.409074074101</v>
      </c>
    </row>
    <row r="623" spans="1:16" ht="15.75" customHeight="1">
      <c r="A623" s="126">
        <v>46230.015752314801</v>
      </c>
      <c r="B623" s="7">
        <v>12</v>
      </c>
      <c r="C623" s="7">
        <v>783</v>
      </c>
      <c r="E623" s="7" t="s">
        <v>963</v>
      </c>
      <c r="F623" s="7" t="s">
        <v>329</v>
      </c>
      <c r="G623" s="7">
        <v>177</v>
      </c>
      <c r="H623" s="7" t="s">
        <v>883</v>
      </c>
      <c r="I623" s="7" t="s">
        <v>878</v>
      </c>
      <c r="J623" s="7" t="s">
        <v>882</v>
      </c>
      <c r="M623" s="7"/>
      <c r="N623" s="7" t="s">
        <v>875</v>
      </c>
      <c r="P623" s="126"/>
    </row>
    <row r="624" spans="1:16" ht="15.75" customHeight="1">
      <c r="A624" s="126">
        <v>46230.015752314801</v>
      </c>
      <c r="B624" s="7">
        <v>12</v>
      </c>
      <c r="C624" s="7">
        <v>783</v>
      </c>
      <c r="E624" s="7" t="s">
        <v>963</v>
      </c>
      <c r="F624" s="7" t="s">
        <v>329</v>
      </c>
      <c r="G624" s="7">
        <v>176</v>
      </c>
      <c r="H624" s="7" t="s">
        <v>884</v>
      </c>
      <c r="I624" s="7" t="s">
        <v>878</v>
      </c>
      <c r="J624" s="7" t="s">
        <v>882</v>
      </c>
      <c r="M624" s="7">
        <v>100</v>
      </c>
      <c r="N624" s="7">
        <v>100</v>
      </c>
      <c r="O624" s="126">
        <v>46226.3733796296</v>
      </c>
      <c r="P624" s="126">
        <v>46226.3733796296</v>
      </c>
    </row>
    <row r="625" spans="1:16" ht="15.75" customHeight="1">
      <c r="A625" s="126">
        <v>46230.015752314801</v>
      </c>
      <c r="B625" s="7">
        <v>12</v>
      </c>
      <c r="C625" s="7">
        <v>783</v>
      </c>
      <c r="E625" s="7" t="s">
        <v>963</v>
      </c>
      <c r="F625" s="7" t="s">
        <v>329</v>
      </c>
      <c r="G625" s="7">
        <v>168</v>
      </c>
      <c r="H625" s="7" t="s">
        <v>885</v>
      </c>
      <c r="I625" s="7" t="s">
        <v>886</v>
      </c>
      <c r="J625" s="7"/>
      <c r="M625" s="7">
        <v>100</v>
      </c>
      <c r="N625" s="7">
        <v>100</v>
      </c>
      <c r="P625" s="126">
        <v>46214.442812499998</v>
      </c>
    </row>
    <row r="626" spans="1:16" ht="15.75" customHeight="1">
      <c r="A626" s="126">
        <v>46230.015752314801</v>
      </c>
      <c r="B626" s="7">
        <v>12</v>
      </c>
      <c r="C626" s="7">
        <v>646</v>
      </c>
      <c r="E626" s="7" t="s">
        <v>964</v>
      </c>
      <c r="F626" s="7" t="s">
        <v>570</v>
      </c>
      <c r="G626" s="7">
        <v>181</v>
      </c>
      <c r="H626" s="7" t="s">
        <v>873</v>
      </c>
      <c r="I626" s="7" t="s">
        <v>874</v>
      </c>
      <c r="J626" s="7"/>
      <c r="M626" s="7"/>
      <c r="N626" s="7" t="s">
        <v>875</v>
      </c>
      <c r="O626" s="126"/>
      <c r="P626" s="126"/>
    </row>
    <row r="627" spans="1:16" ht="15.75" customHeight="1">
      <c r="A627" s="126">
        <v>46230.015752314801</v>
      </c>
      <c r="B627" s="7">
        <v>12</v>
      </c>
      <c r="C627" s="7">
        <v>646</v>
      </c>
      <c r="E627" s="7" t="s">
        <v>964</v>
      </c>
      <c r="F627" s="7" t="s">
        <v>570</v>
      </c>
      <c r="G627" s="7">
        <v>182</v>
      </c>
      <c r="H627" s="7" t="s">
        <v>876</v>
      </c>
      <c r="I627" s="7" t="s">
        <v>874</v>
      </c>
      <c r="J627" s="7"/>
      <c r="M627" s="7"/>
      <c r="N627" s="7" t="s">
        <v>875</v>
      </c>
      <c r="O627" s="126"/>
      <c r="P627" s="126"/>
    </row>
    <row r="628" spans="1:16" ht="15.75" customHeight="1">
      <c r="A628" s="126">
        <v>46230.015752314801</v>
      </c>
      <c r="B628" s="7">
        <v>12</v>
      </c>
      <c r="C628" s="7">
        <v>646</v>
      </c>
      <c r="E628" s="7" t="s">
        <v>964</v>
      </c>
      <c r="F628" s="7" t="s">
        <v>570</v>
      </c>
      <c r="G628" s="7">
        <v>174</v>
      </c>
      <c r="H628" s="7" t="s">
        <v>877</v>
      </c>
      <c r="I628" s="7" t="s">
        <v>878</v>
      </c>
      <c r="J628" s="7" t="s">
        <v>879</v>
      </c>
      <c r="M628" s="7">
        <v>100</v>
      </c>
      <c r="N628" s="7">
        <v>100</v>
      </c>
      <c r="O628" s="126"/>
      <c r="P628" s="126">
        <v>46209.708067129599</v>
      </c>
    </row>
    <row r="629" spans="1:16" ht="15.75" customHeight="1">
      <c r="A629" s="126">
        <v>46230.015752314801</v>
      </c>
      <c r="B629" s="7">
        <v>12</v>
      </c>
      <c r="C629" s="7">
        <v>646</v>
      </c>
      <c r="E629" s="7" t="s">
        <v>964</v>
      </c>
      <c r="F629" s="7" t="s">
        <v>570</v>
      </c>
      <c r="G629" s="7">
        <v>180</v>
      </c>
      <c r="H629" s="7" t="s">
        <v>880</v>
      </c>
      <c r="I629" s="7" t="s">
        <v>874</v>
      </c>
      <c r="J629" s="7"/>
      <c r="M629" s="7"/>
      <c r="N629" s="7" t="s">
        <v>875</v>
      </c>
      <c r="O629" s="126"/>
      <c r="P629" s="126"/>
    </row>
    <row r="630" spans="1:16" ht="15.75" customHeight="1">
      <c r="A630" s="126">
        <v>46230.015752314801</v>
      </c>
      <c r="B630" s="7">
        <v>12</v>
      </c>
      <c r="C630" s="7">
        <v>646</v>
      </c>
      <c r="E630" s="7" t="s">
        <v>964</v>
      </c>
      <c r="F630" s="7" t="s">
        <v>570</v>
      </c>
      <c r="G630" s="7">
        <v>175</v>
      </c>
      <c r="H630" s="7" t="s">
        <v>881</v>
      </c>
      <c r="I630" s="7" t="s">
        <v>878</v>
      </c>
      <c r="J630" s="7" t="s">
        <v>882</v>
      </c>
      <c r="M630" s="7">
        <v>100</v>
      </c>
      <c r="N630" s="7">
        <v>100</v>
      </c>
      <c r="O630" s="126">
        <v>46216.559826388897</v>
      </c>
      <c r="P630" s="126">
        <v>46216.559826388897</v>
      </c>
    </row>
    <row r="631" spans="1:16" ht="15.75" customHeight="1">
      <c r="A631" s="126">
        <v>46230.015752314801</v>
      </c>
      <c r="B631" s="7">
        <v>12</v>
      </c>
      <c r="C631" s="7">
        <v>646</v>
      </c>
      <c r="E631" s="7" t="s">
        <v>964</v>
      </c>
      <c r="F631" s="7" t="s">
        <v>570</v>
      </c>
      <c r="G631" s="7">
        <v>177</v>
      </c>
      <c r="H631" s="7" t="s">
        <v>883</v>
      </c>
      <c r="I631" s="7" t="s">
        <v>878</v>
      </c>
      <c r="J631" s="7" t="s">
        <v>882</v>
      </c>
      <c r="M631" s="7"/>
      <c r="N631" s="7" t="s">
        <v>875</v>
      </c>
      <c r="P631" s="126"/>
    </row>
    <row r="632" spans="1:16" ht="15.75" customHeight="1">
      <c r="A632" s="126">
        <v>46230.015752314801</v>
      </c>
      <c r="B632" s="7">
        <v>12</v>
      </c>
      <c r="C632" s="7">
        <v>646</v>
      </c>
      <c r="E632" s="7" t="s">
        <v>964</v>
      </c>
      <c r="F632" s="7" t="s">
        <v>570</v>
      </c>
      <c r="G632" s="7">
        <v>176</v>
      </c>
      <c r="H632" s="7" t="s">
        <v>884</v>
      </c>
      <c r="I632" s="7" t="s">
        <v>878</v>
      </c>
      <c r="J632" s="7" t="s">
        <v>882</v>
      </c>
      <c r="M632" s="7">
        <v>90</v>
      </c>
      <c r="N632" s="7">
        <v>90</v>
      </c>
      <c r="O632" s="126">
        <v>46225.5320138889</v>
      </c>
      <c r="P632" s="126">
        <v>46225.5320138889</v>
      </c>
    </row>
    <row r="633" spans="1:16" ht="15.75" customHeight="1">
      <c r="A633" s="126">
        <v>46230.015752314801</v>
      </c>
      <c r="B633" s="7">
        <v>12</v>
      </c>
      <c r="C633" s="7">
        <v>646</v>
      </c>
      <c r="E633" s="7" t="s">
        <v>964</v>
      </c>
      <c r="F633" s="7" t="s">
        <v>570</v>
      </c>
      <c r="G633" s="7">
        <v>168</v>
      </c>
      <c r="H633" s="7" t="s">
        <v>885</v>
      </c>
      <c r="I633" s="7" t="s">
        <v>886</v>
      </c>
      <c r="J633" s="7"/>
      <c r="M633" s="7">
        <v>100</v>
      </c>
      <c r="N633" s="7">
        <v>100</v>
      </c>
      <c r="O633" s="126"/>
      <c r="P633" s="126">
        <v>46209.708067129599</v>
      </c>
    </row>
    <row r="634" spans="1:16" ht="15.75" customHeight="1">
      <c r="A634" s="126">
        <v>46230.015752314801</v>
      </c>
      <c r="B634" s="7">
        <v>12</v>
      </c>
      <c r="C634" s="7">
        <v>778</v>
      </c>
      <c r="E634" s="7" t="s">
        <v>965</v>
      </c>
      <c r="F634" s="7" t="s">
        <v>719</v>
      </c>
      <c r="G634" s="7">
        <v>181</v>
      </c>
      <c r="H634" s="7" t="s">
        <v>873</v>
      </c>
      <c r="I634" s="7" t="s">
        <v>874</v>
      </c>
      <c r="J634" s="7"/>
      <c r="M634" s="7"/>
      <c r="N634" s="7" t="s">
        <v>875</v>
      </c>
      <c r="P634" s="126"/>
    </row>
    <row r="635" spans="1:16" ht="15.75" customHeight="1">
      <c r="A635" s="126">
        <v>46230.015752314801</v>
      </c>
      <c r="B635" s="7">
        <v>12</v>
      </c>
      <c r="C635" s="7">
        <v>778</v>
      </c>
      <c r="E635" s="7" t="s">
        <v>965</v>
      </c>
      <c r="F635" s="7" t="s">
        <v>719</v>
      </c>
      <c r="G635" s="7">
        <v>182</v>
      </c>
      <c r="H635" s="7" t="s">
        <v>876</v>
      </c>
      <c r="I635" s="7" t="s">
        <v>874</v>
      </c>
      <c r="J635" s="7"/>
      <c r="M635" s="7"/>
      <c r="N635" s="7" t="s">
        <v>875</v>
      </c>
      <c r="P635" s="126"/>
    </row>
    <row r="636" spans="1:16" ht="15.75" customHeight="1">
      <c r="A636" s="126">
        <v>46230.015752314801</v>
      </c>
      <c r="B636" s="7">
        <v>12</v>
      </c>
      <c r="C636" s="7">
        <v>778</v>
      </c>
      <c r="E636" s="7" t="s">
        <v>965</v>
      </c>
      <c r="F636" s="7" t="s">
        <v>719</v>
      </c>
      <c r="G636" s="7">
        <v>174</v>
      </c>
      <c r="H636" s="7" t="s">
        <v>877</v>
      </c>
      <c r="I636" s="7" t="s">
        <v>878</v>
      </c>
      <c r="J636" s="7" t="s">
        <v>879</v>
      </c>
      <c r="M636" s="7">
        <v>100</v>
      </c>
      <c r="N636" s="7">
        <v>100</v>
      </c>
      <c r="O636" s="126"/>
      <c r="P636" s="126">
        <v>46209.690601851798</v>
      </c>
    </row>
    <row r="637" spans="1:16" ht="15.75" customHeight="1">
      <c r="A637" s="126">
        <v>46230.015752314801</v>
      </c>
      <c r="B637" s="7">
        <v>12</v>
      </c>
      <c r="C637" s="7">
        <v>778</v>
      </c>
      <c r="E637" s="7" t="s">
        <v>965</v>
      </c>
      <c r="F637" s="7" t="s">
        <v>719</v>
      </c>
      <c r="G637" s="7">
        <v>180</v>
      </c>
      <c r="H637" s="7" t="s">
        <v>880</v>
      </c>
      <c r="I637" s="7" t="s">
        <v>874</v>
      </c>
      <c r="J637" s="7"/>
      <c r="M637" s="7"/>
      <c r="N637" s="7" t="s">
        <v>875</v>
      </c>
      <c r="O637" s="126"/>
      <c r="P637" s="126"/>
    </row>
    <row r="638" spans="1:16" ht="15.75" customHeight="1">
      <c r="A638" s="126">
        <v>46230.015752314801</v>
      </c>
      <c r="B638" s="7">
        <v>12</v>
      </c>
      <c r="C638" s="7">
        <v>778</v>
      </c>
      <c r="E638" s="7" t="s">
        <v>965</v>
      </c>
      <c r="F638" s="7" t="s">
        <v>719</v>
      </c>
      <c r="G638" s="7">
        <v>175</v>
      </c>
      <c r="H638" s="7" t="s">
        <v>881</v>
      </c>
      <c r="I638" s="7" t="s">
        <v>878</v>
      </c>
      <c r="J638" s="7" t="s">
        <v>882</v>
      </c>
      <c r="M638" s="7">
        <v>75</v>
      </c>
      <c r="N638" s="7">
        <v>75</v>
      </c>
      <c r="O638" s="126">
        <v>46216.334259259304</v>
      </c>
      <c r="P638" s="126">
        <v>46216.334259259304</v>
      </c>
    </row>
    <row r="639" spans="1:16" ht="15.75" customHeight="1">
      <c r="A639" s="126">
        <v>46230.015752314801</v>
      </c>
      <c r="B639" s="7">
        <v>12</v>
      </c>
      <c r="C639" s="7">
        <v>778</v>
      </c>
      <c r="E639" s="7" t="s">
        <v>965</v>
      </c>
      <c r="F639" s="7" t="s">
        <v>719</v>
      </c>
      <c r="G639" s="7">
        <v>177</v>
      </c>
      <c r="H639" s="7" t="s">
        <v>883</v>
      </c>
      <c r="I639" s="7" t="s">
        <v>878</v>
      </c>
      <c r="J639" s="7" t="s">
        <v>882</v>
      </c>
      <c r="M639" s="7"/>
      <c r="N639" s="7" t="s">
        <v>875</v>
      </c>
      <c r="O639" s="126"/>
      <c r="P639" s="126"/>
    </row>
    <row r="640" spans="1:16" ht="15.75" customHeight="1">
      <c r="A640" s="126">
        <v>46230.015752314801</v>
      </c>
      <c r="B640" s="7">
        <v>12</v>
      </c>
      <c r="C640" s="7">
        <v>778</v>
      </c>
      <c r="E640" s="7" t="s">
        <v>965</v>
      </c>
      <c r="F640" s="7" t="s">
        <v>719</v>
      </c>
      <c r="G640" s="7">
        <v>176</v>
      </c>
      <c r="H640" s="7" t="s">
        <v>884</v>
      </c>
      <c r="I640" s="7" t="s">
        <v>878</v>
      </c>
      <c r="J640" s="7" t="s">
        <v>882</v>
      </c>
      <c r="M640" s="7">
        <v>90</v>
      </c>
      <c r="N640" s="7">
        <v>90</v>
      </c>
      <c r="O640" s="126">
        <v>46224.900844907403</v>
      </c>
      <c r="P640" s="126">
        <v>46224.900844907403</v>
      </c>
    </row>
    <row r="641" spans="1:16" ht="15.75" customHeight="1">
      <c r="A641" s="126">
        <v>46230.015752314801</v>
      </c>
      <c r="B641" s="7">
        <v>12</v>
      </c>
      <c r="C641" s="7">
        <v>778</v>
      </c>
      <c r="E641" s="7" t="s">
        <v>965</v>
      </c>
      <c r="F641" s="7" t="s">
        <v>719</v>
      </c>
      <c r="G641" s="7">
        <v>168</v>
      </c>
      <c r="H641" s="7" t="s">
        <v>885</v>
      </c>
      <c r="I641" s="7" t="s">
        <v>886</v>
      </c>
      <c r="J641" s="7"/>
      <c r="M641" s="7">
        <v>100</v>
      </c>
      <c r="N641" s="7">
        <v>100</v>
      </c>
      <c r="P641" s="126">
        <v>46209.690601851798</v>
      </c>
    </row>
    <row r="642" spans="1:16" ht="15.75" customHeight="1">
      <c r="A642" s="126">
        <v>46230.015752314801</v>
      </c>
      <c r="B642" s="7">
        <v>12</v>
      </c>
      <c r="C642" s="7">
        <v>440</v>
      </c>
      <c r="E642" s="7" t="s">
        <v>966</v>
      </c>
      <c r="F642" s="7" t="s">
        <v>502</v>
      </c>
      <c r="G642" s="7">
        <v>181</v>
      </c>
      <c r="H642" s="7" t="s">
        <v>873</v>
      </c>
      <c r="I642" s="7" t="s">
        <v>874</v>
      </c>
      <c r="J642" s="7"/>
      <c r="M642" s="7"/>
      <c r="N642" s="7" t="s">
        <v>875</v>
      </c>
      <c r="P642" s="126"/>
    </row>
    <row r="643" spans="1:16" ht="15.75" customHeight="1">
      <c r="A643" s="126">
        <v>46230.015752314801</v>
      </c>
      <c r="B643" s="7">
        <v>12</v>
      </c>
      <c r="C643" s="7">
        <v>440</v>
      </c>
      <c r="E643" s="7" t="s">
        <v>966</v>
      </c>
      <c r="F643" s="7" t="s">
        <v>502</v>
      </c>
      <c r="G643" s="7">
        <v>182</v>
      </c>
      <c r="H643" s="7" t="s">
        <v>876</v>
      </c>
      <c r="I643" s="7" t="s">
        <v>874</v>
      </c>
      <c r="J643" s="7"/>
      <c r="M643" s="7"/>
      <c r="N643" s="7" t="s">
        <v>875</v>
      </c>
      <c r="P643" s="126"/>
    </row>
    <row r="644" spans="1:16" ht="15.75" customHeight="1">
      <c r="A644" s="126">
        <v>46230.015752314801</v>
      </c>
      <c r="B644" s="7">
        <v>12</v>
      </c>
      <c r="C644" s="7">
        <v>440</v>
      </c>
      <c r="E644" s="7" t="s">
        <v>966</v>
      </c>
      <c r="F644" s="7" t="s">
        <v>502</v>
      </c>
      <c r="G644" s="7">
        <v>174</v>
      </c>
      <c r="H644" s="7" t="s">
        <v>877</v>
      </c>
      <c r="I644" s="7" t="s">
        <v>878</v>
      </c>
      <c r="J644" s="7" t="s">
        <v>879</v>
      </c>
      <c r="M644" s="7">
        <v>100</v>
      </c>
      <c r="N644" s="7">
        <v>100</v>
      </c>
      <c r="O644" s="126"/>
      <c r="P644" s="126">
        <v>46210.419606481497</v>
      </c>
    </row>
    <row r="645" spans="1:16" ht="15.75" customHeight="1">
      <c r="A645" s="126">
        <v>46230.015752314801</v>
      </c>
      <c r="B645" s="7">
        <v>12</v>
      </c>
      <c r="C645" s="7">
        <v>440</v>
      </c>
      <c r="E645" s="7" t="s">
        <v>966</v>
      </c>
      <c r="F645" s="7" t="s">
        <v>502</v>
      </c>
      <c r="G645" s="7">
        <v>180</v>
      </c>
      <c r="H645" s="7" t="s">
        <v>880</v>
      </c>
      <c r="I645" s="7" t="s">
        <v>874</v>
      </c>
      <c r="J645" s="7"/>
      <c r="M645" s="7"/>
      <c r="N645" s="7" t="s">
        <v>875</v>
      </c>
      <c r="O645" s="126"/>
      <c r="P645" s="126"/>
    </row>
    <row r="646" spans="1:16" ht="15.75" customHeight="1">
      <c r="A646" s="126">
        <v>46230.015752314801</v>
      </c>
      <c r="B646" s="7">
        <v>12</v>
      </c>
      <c r="C646" s="7">
        <v>440</v>
      </c>
      <c r="E646" s="7" t="s">
        <v>966</v>
      </c>
      <c r="F646" s="7" t="s">
        <v>502</v>
      </c>
      <c r="G646" s="7">
        <v>175</v>
      </c>
      <c r="H646" s="7" t="s">
        <v>881</v>
      </c>
      <c r="I646" s="7" t="s">
        <v>878</v>
      </c>
      <c r="J646" s="7" t="s">
        <v>882</v>
      </c>
      <c r="M646" s="7">
        <v>87.5</v>
      </c>
      <c r="N646" s="7">
        <v>87.5</v>
      </c>
      <c r="O646" s="126">
        <v>46216.463391203702</v>
      </c>
      <c r="P646" s="126">
        <v>46216.463391203702</v>
      </c>
    </row>
    <row r="647" spans="1:16" ht="15.75" customHeight="1">
      <c r="A647" s="126">
        <v>46230.015752314801</v>
      </c>
      <c r="B647" s="7">
        <v>12</v>
      </c>
      <c r="C647" s="7">
        <v>440</v>
      </c>
      <c r="E647" s="7" t="s">
        <v>966</v>
      </c>
      <c r="F647" s="7" t="s">
        <v>502</v>
      </c>
      <c r="G647" s="7">
        <v>177</v>
      </c>
      <c r="H647" s="7" t="s">
        <v>883</v>
      </c>
      <c r="I647" s="7" t="s">
        <v>878</v>
      </c>
      <c r="J647" s="7" t="s">
        <v>882</v>
      </c>
      <c r="M647" s="7"/>
      <c r="N647" s="7" t="s">
        <v>875</v>
      </c>
      <c r="O647" s="126"/>
      <c r="P647" s="126"/>
    </row>
    <row r="648" spans="1:16" ht="15.75" customHeight="1">
      <c r="A648" s="126">
        <v>46230.015752314801</v>
      </c>
      <c r="B648" s="7">
        <v>12</v>
      </c>
      <c r="C648" s="7">
        <v>440</v>
      </c>
      <c r="E648" s="7" t="s">
        <v>966</v>
      </c>
      <c r="F648" s="7" t="s">
        <v>502</v>
      </c>
      <c r="G648" s="7">
        <v>176</v>
      </c>
      <c r="H648" s="7" t="s">
        <v>884</v>
      </c>
      <c r="I648" s="7" t="s">
        <v>878</v>
      </c>
      <c r="J648" s="7" t="s">
        <v>882</v>
      </c>
      <c r="M648" s="7">
        <v>100</v>
      </c>
      <c r="N648" s="7">
        <v>100</v>
      </c>
      <c r="O648" s="126">
        <v>46228.316944444399</v>
      </c>
      <c r="P648" s="126">
        <v>46228.316944444399</v>
      </c>
    </row>
    <row r="649" spans="1:16" ht="15.75" customHeight="1">
      <c r="A649" s="126">
        <v>46230.015752314801</v>
      </c>
      <c r="B649" s="7">
        <v>12</v>
      </c>
      <c r="C649" s="7">
        <v>440</v>
      </c>
      <c r="E649" s="7" t="s">
        <v>966</v>
      </c>
      <c r="F649" s="7" t="s">
        <v>502</v>
      </c>
      <c r="G649" s="7">
        <v>168</v>
      </c>
      <c r="H649" s="7" t="s">
        <v>885</v>
      </c>
      <c r="I649" s="7" t="s">
        <v>886</v>
      </c>
      <c r="M649" s="7">
        <v>100</v>
      </c>
      <c r="N649" s="7">
        <v>100</v>
      </c>
      <c r="P649" s="126">
        <v>46210.419606481497</v>
      </c>
    </row>
    <row r="650" spans="1:16" ht="15.75" customHeight="1">
      <c r="A650" s="126">
        <v>46230.015752314801</v>
      </c>
      <c r="B650" s="7">
        <v>12</v>
      </c>
      <c r="C650" s="7">
        <v>717</v>
      </c>
      <c r="D650" s="7"/>
      <c r="E650" s="7" t="s">
        <v>967</v>
      </c>
      <c r="F650" s="7" t="s">
        <v>583</v>
      </c>
      <c r="G650" s="7">
        <v>181</v>
      </c>
      <c r="H650" s="7" t="s">
        <v>873</v>
      </c>
      <c r="I650" s="7" t="s">
        <v>874</v>
      </c>
      <c r="J650" s="7"/>
      <c r="M650" s="7"/>
      <c r="N650" s="7" t="s">
        <v>875</v>
      </c>
      <c r="O650" s="126"/>
      <c r="P650" s="126"/>
    </row>
    <row r="651" spans="1:16" ht="15.75" customHeight="1">
      <c r="A651" s="126">
        <v>46230.015752314801</v>
      </c>
      <c r="B651" s="7">
        <v>12</v>
      </c>
      <c r="C651" s="7">
        <v>717</v>
      </c>
      <c r="D651" s="7"/>
      <c r="E651" s="7" t="s">
        <v>967</v>
      </c>
      <c r="F651" s="7" t="s">
        <v>583</v>
      </c>
      <c r="G651" s="7">
        <v>182</v>
      </c>
      <c r="H651" s="7" t="s">
        <v>876</v>
      </c>
      <c r="I651" s="7" t="s">
        <v>874</v>
      </c>
      <c r="J651" s="7"/>
      <c r="M651" s="7"/>
      <c r="N651" s="7" t="s">
        <v>875</v>
      </c>
      <c r="O651" s="126"/>
      <c r="P651" s="126"/>
    </row>
    <row r="652" spans="1:16" ht="15.75" customHeight="1">
      <c r="A652" s="126">
        <v>46230.015752314801</v>
      </c>
      <c r="B652" s="7">
        <v>12</v>
      </c>
      <c r="C652" s="7">
        <v>717</v>
      </c>
      <c r="D652" s="7"/>
      <c r="E652" s="7" t="s">
        <v>967</v>
      </c>
      <c r="F652" s="7" t="s">
        <v>583</v>
      </c>
      <c r="G652" s="7">
        <v>174</v>
      </c>
      <c r="H652" s="7" t="s">
        <v>877</v>
      </c>
      <c r="I652" s="7" t="s">
        <v>878</v>
      </c>
      <c r="J652" s="7" t="s">
        <v>879</v>
      </c>
      <c r="M652" s="7">
        <v>100</v>
      </c>
      <c r="N652" s="7">
        <v>100</v>
      </c>
      <c r="O652" s="126"/>
      <c r="P652" s="126">
        <v>46209.706932870402</v>
      </c>
    </row>
    <row r="653" spans="1:16" ht="15.75" customHeight="1">
      <c r="A653" s="126">
        <v>46230.015752314801</v>
      </c>
      <c r="B653" s="7">
        <v>12</v>
      </c>
      <c r="C653" s="7">
        <v>717</v>
      </c>
      <c r="D653" s="7"/>
      <c r="E653" s="7" t="s">
        <v>967</v>
      </c>
      <c r="F653" s="7" t="s">
        <v>583</v>
      </c>
      <c r="G653" s="7">
        <v>180</v>
      </c>
      <c r="H653" s="7" t="s">
        <v>880</v>
      </c>
      <c r="I653" s="7" t="s">
        <v>874</v>
      </c>
      <c r="J653" s="7"/>
      <c r="M653" s="7"/>
      <c r="N653" s="7" t="s">
        <v>875</v>
      </c>
      <c r="O653" s="126"/>
      <c r="P653" s="126"/>
    </row>
    <row r="654" spans="1:16" ht="15.75" customHeight="1">
      <c r="A654" s="126">
        <v>46230.015752314801</v>
      </c>
      <c r="B654" s="7">
        <v>12</v>
      </c>
      <c r="C654" s="7">
        <v>717</v>
      </c>
      <c r="D654" s="7"/>
      <c r="E654" s="7" t="s">
        <v>967</v>
      </c>
      <c r="F654" s="7" t="s">
        <v>583</v>
      </c>
      <c r="G654" s="7">
        <v>175</v>
      </c>
      <c r="H654" s="7" t="s">
        <v>881</v>
      </c>
      <c r="I654" s="7" t="s">
        <v>878</v>
      </c>
      <c r="J654" s="7" t="s">
        <v>882</v>
      </c>
      <c r="M654" s="7">
        <v>100</v>
      </c>
      <c r="N654" s="7">
        <v>100</v>
      </c>
      <c r="O654" s="126">
        <v>46216.397280092599</v>
      </c>
      <c r="P654" s="126">
        <v>46216.397280092599</v>
      </c>
    </row>
    <row r="655" spans="1:16" ht="15.75" customHeight="1">
      <c r="A655" s="126">
        <v>46230.015752314801</v>
      </c>
      <c r="B655" s="7">
        <v>12</v>
      </c>
      <c r="C655" s="7">
        <v>717</v>
      </c>
      <c r="D655" s="7"/>
      <c r="E655" s="7" t="s">
        <v>967</v>
      </c>
      <c r="F655" s="7" t="s">
        <v>583</v>
      </c>
      <c r="G655" s="7">
        <v>177</v>
      </c>
      <c r="H655" s="7" t="s">
        <v>883</v>
      </c>
      <c r="I655" s="7" t="s">
        <v>878</v>
      </c>
      <c r="J655" s="7" t="s">
        <v>882</v>
      </c>
      <c r="M655" s="7"/>
      <c r="N655" s="7" t="s">
        <v>875</v>
      </c>
      <c r="P655" s="126"/>
    </row>
    <row r="656" spans="1:16" ht="15.75" customHeight="1">
      <c r="A656" s="126">
        <v>46230.015752314801</v>
      </c>
      <c r="B656" s="7">
        <v>12</v>
      </c>
      <c r="C656" s="7">
        <v>717</v>
      </c>
      <c r="D656" s="7"/>
      <c r="E656" s="7" t="s">
        <v>967</v>
      </c>
      <c r="F656" s="7" t="s">
        <v>583</v>
      </c>
      <c r="G656" s="7">
        <v>176</v>
      </c>
      <c r="H656" s="7" t="s">
        <v>884</v>
      </c>
      <c r="I656" s="7" t="s">
        <v>878</v>
      </c>
      <c r="J656" s="7" t="s">
        <v>882</v>
      </c>
      <c r="M656" s="7">
        <v>100</v>
      </c>
      <c r="N656" s="7">
        <v>100</v>
      </c>
      <c r="O656" s="126">
        <v>46228.462974536997</v>
      </c>
      <c r="P656" s="126">
        <v>46228.462974536997</v>
      </c>
    </row>
    <row r="657" spans="1:16" ht="15.75" customHeight="1">
      <c r="A657" s="126">
        <v>46230.015752314801</v>
      </c>
      <c r="B657" s="7">
        <v>12</v>
      </c>
      <c r="C657" s="7">
        <v>717</v>
      </c>
      <c r="D657" s="7"/>
      <c r="E657" s="7" t="s">
        <v>967</v>
      </c>
      <c r="F657" s="7" t="s">
        <v>583</v>
      </c>
      <c r="G657" s="7">
        <v>168</v>
      </c>
      <c r="H657" s="7" t="s">
        <v>885</v>
      </c>
      <c r="I657" s="7" t="s">
        <v>886</v>
      </c>
      <c r="J657" s="7"/>
      <c r="M657" s="7">
        <v>100</v>
      </c>
      <c r="N657" s="7">
        <v>100</v>
      </c>
      <c r="O657" s="126"/>
      <c r="P657" s="126">
        <v>46209.706932870402</v>
      </c>
    </row>
    <row r="658" spans="1:16" ht="15.75" customHeight="1">
      <c r="A658" s="126">
        <v>46230.015752314801</v>
      </c>
      <c r="B658" s="7">
        <v>12</v>
      </c>
      <c r="C658" s="7">
        <v>251</v>
      </c>
      <c r="D658" s="7"/>
      <c r="E658" s="7" t="s">
        <v>968</v>
      </c>
      <c r="F658" s="7" t="s">
        <v>550</v>
      </c>
      <c r="G658" s="7">
        <v>181</v>
      </c>
      <c r="H658" s="7" t="s">
        <v>873</v>
      </c>
      <c r="I658" s="7" t="s">
        <v>874</v>
      </c>
      <c r="J658" s="7"/>
      <c r="M658" s="7"/>
      <c r="N658" s="7" t="s">
        <v>875</v>
      </c>
      <c r="O658" s="126"/>
      <c r="P658" s="126"/>
    </row>
    <row r="659" spans="1:16" ht="15.75" customHeight="1">
      <c r="A659" s="126">
        <v>46230.015752314801</v>
      </c>
      <c r="B659" s="7">
        <v>12</v>
      </c>
      <c r="C659" s="7">
        <v>251</v>
      </c>
      <c r="D659" s="7"/>
      <c r="E659" s="7" t="s">
        <v>968</v>
      </c>
      <c r="F659" s="7" t="s">
        <v>550</v>
      </c>
      <c r="G659" s="7">
        <v>182</v>
      </c>
      <c r="H659" s="7" t="s">
        <v>876</v>
      </c>
      <c r="I659" s="7" t="s">
        <v>874</v>
      </c>
      <c r="J659" s="7"/>
      <c r="M659" s="7"/>
      <c r="N659" s="7" t="s">
        <v>875</v>
      </c>
      <c r="P659" s="126"/>
    </row>
    <row r="660" spans="1:16" ht="15.75" customHeight="1">
      <c r="A660" s="126">
        <v>46230.015752314801</v>
      </c>
      <c r="B660" s="7">
        <v>12</v>
      </c>
      <c r="C660" s="7">
        <v>251</v>
      </c>
      <c r="D660" s="7"/>
      <c r="E660" s="7" t="s">
        <v>968</v>
      </c>
      <c r="F660" s="7" t="s">
        <v>550</v>
      </c>
      <c r="G660" s="7">
        <v>174</v>
      </c>
      <c r="H660" s="7" t="s">
        <v>877</v>
      </c>
      <c r="I660" s="7" t="s">
        <v>878</v>
      </c>
      <c r="J660" s="7" t="s">
        <v>879</v>
      </c>
      <c r="M660" s="7">
        <v>100</v>
      </c>
      <c r="N660" s="7">
        <v>100</v>
      </c>
      <c r="P660" s="126">
        <v>46209.706944444399</v>
      </c>
    </row>
    <row r="661" spans="1:16" ht="15.75" customHeight="1">
      <c r="A661" s="126">
        <v>46230.015752314801</v>
      </c>
      <c r="B661" s="7">
        <v>12</v>
      </c>
      <c r="C661" s="7">
        <v>251</v>
      </c>
      <c r="D661" s="7"/>
      <c r="E661" s="7" t="s">
        <v>968</v>
      </c>
      <c r="F661" s="7" t="s">
        <v>550</v>
      </c>
      <c r="G661" s="7">
        <v>180</v>
      </c>
      <c r="H661" s="7" t="s">
        <v>880</v>
      </c>
      <c r="I661" s="7" t="s">
        <v>874</v>
      </c>
      <c r="J661" s="7"/>
      <c r="M661" s="7"/>
      <c r="N661" s="7" t="s">
        <v>875</v>
      </c>
      <c r="O661" s="126"/>
      <c r="P661" s="126"/>
    </row>
    <row r="662" spans="1:16" ht="15.75" customHeight="1">
      <c r="A662" s="126">
        <v>46230.015752314801</v>
      </c>
      <c r="B662" s="7">
        <v>12</v>
      </c>
      <c r="C662" s="7">
        <v>251</v>
      </c>
      <c r="D662" s="7"/>
      <c r="E662" s="7" t="s">
        <v>968</v>
      </c>
      <c r="F662" s="7" t="s">
        <v>550</v>
      </c>
      <c r="G662" s="7">
        <v>175</v>
      </c>
      <c r="H662" s="7" t="s">
        <v>881</v>
      </c>
      <c r="I662" s="7" t="s">
        <v>878</v>
      </c>
      <c r="J662" s="7" t="s">
        <v>882</v>
      </c>
      <c r="M662" s="7">
        <v>87.5</v>
      </c>
      <c r="N662" s="7">
        <v>87.5</v>
      </c>
      <c r="O662" s="126">
        <v>46216.5389236111</v>
      </c>
      <c r="P662" s="126">
        <v>46216.5389236111</v>
      </c>
    </row>
    <row r="663" spans="1:16" ht="15.75" customHeight="1">
      <c r="A663" s="126">
        <v>46230.015752314801</v>
      </c>
      <c r="B663" s="7">
        <v>12</v>
      </c>
      <c r="C663" s="7">
        <v>251</v>
      </c>
      <c r="D663" s="7"/>
      <c r="E663" s="7" t="s">
        <v>968</v>
      </c>
      <c r="F663" s="7" t="s">
        <v>550</v>
      </c>
      <c r="G663" s="7">
        <v>177</v>
      </c>
      <c r="H663" s="7" t="s">
        <v>883</v>
      </c>
      <c r="I663" s="7" t="s">
        <v>878</v>
      </c>
      <c r="J663" s="7" t="s">
        <v>882</v>
      </c>
      <c r="M663" s="7"/>
      <c r="N663" s="7" t="s">
        <v>875</v>
      </c>
      <c r="O663" s="126"/>
      <c r="P663" s="126"/>
    </row>
    <row r="664" spans="1:16" ht="15.75" customHeight="1">
      <c r="A664" s="126">
        <v>46230.015752314801</v>
      </c>
      <c r="B664" s="7">
        <v>12</v>
      </c>
      <c r="C664" s="7">
        <v>251</v>
      </c>
      <c r="D664" s="7"/>
      <c r="E664" s="7" t="s">
        <v>968</v>
      </c>
      <c r="F664" s="7" t="s">
        <v>550</v>
      </c>
      <c r="G664" s="7">
        <v>176</v>
      </c>
      <c r="H664" s="7" t="s">
        <v>884</v>
      </c>
      <c r="I664" s="7" t="s">
        <v>878</v>
      </c>
      <c r="J664" s="7" t="s">
        <v>882</v>
      </c>
      <c r="M664" s="7">
        <v>100</v>
      </c>
      <c r="N664" s="7">
        <v>100</v>
      </c>
      <c r="O664" s="126">
        <v>46226.889745370398</v>
      </c>
      <c r="P664" s="126">
        <v>46226.889745370398</v>
      </c>
    </row>
    <row r="665" spans="1:16" ht="15.75" customHeight="1">
      <c r="A665" s="126">
        <v>46230.015752314801</v>
      </c>
      <c r="B665" s="7">
        <v>12</v>
      </c>
      <c r="C665" s="7">
        <v>251</v>
      </c>
      <c r="D665" s="7"/>
      <c r="E665" s="7" t="s">
        <v>968</v>
      </c>
      <c r="F665" s="7" t="s">
        <v>550</v>
      </c>
      <c r="G665" s="7">
        <v>168</v>
      </c>
      <c r="H665" s="7" t="s">
        <v>885</v>
      </c>
      <c r="I665" s="7" t="s">
        <v>886</v>
      </c>
      <c r="J665" s="7"/>
      <c r="M665" s="7">
        <v>100</v>
      </c>
      <c r="N665" s="7">
        <v>100</v>
      </c>
      <c r="O665" s="126"/>
      <c r="P665" s="126">
        <v>46209.706944444399</v>
      </c>
    </row>
    <row r="666" spans="1:16" ht="15.75" customHeight="1">
      <c r="A666" s="126">
        <v>46230.015752314801</v>
      </c>
      <c r="B666" s="7">
        <v>12</v>
      </c>
      <c r="C666" s="7">
        <v>815</v>
      </c>
      <c r="D666" s="7"/>
      <c r="E666" s="7" t="s">
        <v>969</v>
      </c>
      <c r="F666" s="7" t="s">
        <v>812</v>
      </c>
      <c r="G666" s="7">
        <v>181</v>
      </c>
      <c r="H666" s="7" t="s">
        <v>873</v>
      </c>
      <c r="I666" s="7" t="s">
        <v>874</v>
      </c>
      <c r="J666" s="7"/>
      <c r="M666" s="7"/>
      <c r="N666" s="7" t="s">
        <v>875</v>
      </c>
      <c r="O666" s="126"/>
      <c r="P666" s="126"/>
    </row>
    <row r="667" spans="1:16" ht="15.75" customHeight="1">
      <c r="A667" s="126">
        <v>46230.015752314801</v>
      </c>
      <c r="B667" s="7">
        <v>12</v>
      </c>
      <c r="C667" s="7">
        <v>815</v>
      </c>
      <c r="D667" s="7"/>
      <c r="E667" s="7" t="s">
        <v>969</v>
      </c>
      <c r="F667" s="7" t="s">
        <v>812</v>
      </c>
      <c r="G667" s="7">
        <v>182</v>
      </c>
      <c r="H667" s="7" t="s">
        <v>876</v>
      </c>
      <c r="I667" s="7" t="s">
        <v>874</v>
      </c>
      <c r="J667" s="7"/>
      <c r="M667" s="7"/>
      <c r="N667" s="7" t="s">
        <v>875</v>
      </c>
      <c r="P667" s="126"/>
    </row>
    <row r="668" spans="1:16" ht="15.75" customHeight="1">
      <c r="A668" s="126">
        <v>46230.015752314801</v>
      </c>
      <c r="B668" s="7">
        <v>12</v>
      </c>
      <c r="C668" s="7">
        <v>815</v>
      </c>
      <c r="D668" s="7"/>
      <c r="E668" s="7" t="s">
        <v>969</v>
      </c>
      <c r="F668" s="7" t="s">
        <v>812</v>
      </c>
      <c r="G668" s="7">
        <v>174</v>
      </c>
      <c r="H668" s="7" t="s">
        <v>877</v>
      </c>
      <c r="I668" s="7" t="s">
        <v>878</v>
      </c>
      <c r="J668" s="7" t="s">
        <v>879</v>
      </c>
      <c r="M668" s="7">
        <v>100</v>
      </c>
      <c r="N668" s="7">
        <v>100</v>
      </c>
      <c r="O668" s="126"/>
      <c r="P668" s="126">
        <v>46212.590046296304</v>
      </c>
    </row>
    <row r="669" spans="1:16" ht="15.75" customHeight="1">
      <c r="A669" s="126">
        <v>46230.015752314801</v>
      </c>
      <c r="B669" s="7">
        <v>12</v>
      </c>
      <c r="C669" s="7">
        <v>815</v>
      </c>
      <c r="D669" s="7"/>
      <c r="E669" s="7" t="s">
        <v>969</v>
      </c>
      <c r="F669" s="7" t="s">
        <v>812</v>
      </c>
      <c r="G669" s="7">
        <v>180</v>
      </c>
      <c r="H669" s="7" t="s">
        <v>880</v>
      </c>
      <c r="I669" s="7" t="s">
        <v>874</v>
      </c>
      <c r="J669" s="7"/>
      <c r="M669" s="7"/>
      <c r="N669" s="7" t="s">
        <v>875</v>
      </c>
      <c r="O669" s="126"/>
      <c r="P669" s="126"/>
    </row>
    <row r="670" spans="1:16" ht="15.75" customHeight="1">
      <c r="A670" s="126">
        <v>46230.015752314801</v>
      </c>
      <c r="B670" s="7">
        <v>12</v>
      </c>
      <c r="C670" s="7">
        <v>815</v>
      </c>
      <c r="D670" s="7"/>
      <c r="E670" s="7" t="s">
        <v>969</v>
      </c>
      <c r="F670" s="7" t="s">
        <v>812</v>
      </c>
      <c r="G670" s="7">
        <v>175</v>
      </c>
      <c r="H670" s="7" t="s">
        <v>881</v>
      </c>
      <c r="I670" s="7" t="s">
        <v>878</v>
      </c>
      <c r="J670" s="7" t="s">
        <v>882</v>
      </c>
      <c r="M670" s="7">
        <v>87.5</v>
      </c>
      <c r="N670" s="7">
        <v>87.5</v>
      </c>
      <c r="O670" s="126">
        <v>46229.992476851898</v>
      </c>
      <c r="P670" s="126">
        <v>46229.992476851898</v>
      </c>
    </row>
    <row r="671" spans="1:16" ht="15.75" customHeight="1">
      <c r="A671" s="126">
        <v>46230.015752314801</v>
      </c>
      <c r="B671" s="7">
        <v>12</v>
      </c>
      <c r="C671" s="7">
        <v>815</v>
      </c>
      <c r="D671" s="7"/>
      <c r="E671" s="7" t="s">
        <v>969</v>
      </c>
      <c r="F671" s="7" t="s">
        <v>812</v>
      </c>
      <c r="G671" s="7">
        <v>177</v>
      </c>
      <c r="H671" s="7" t="s">
        <v>883</v>
      </c>
      <c r="I671" s="7" t="s">
        <v>878</v>
      </c>
      <c r="J671" s="7" t="s">
        <v>882</v>
      </c>
      <c r="N671" s="7" t="s">
        <v>875</v>
      </c>
    </row>
    <row r="672" spans="1:16" ht="15.75" customHeight="1">
      <c r="A672" s="126">
        <v>46230.015752314801</v>
      </c>
      <c r="B672" s="7">
        <v>12</v>
      </c>
      <c r="C672" s="7">
        <v>815</v>
      </c>
      <c r="D672" s="7"/>
      <c r="E672" s="7" t="s">
        <v>969</v>
      </c>
      <c r="F672" s="7" t="s">
        <v>812</v>
      </c>
      <c r="G672" s="7">
        <v>176</v>
      </c>
      <c r="H672" s="7" t="s">
        <v>884</v>
      </c>
      <c r="I672" s="7" t="s">
        <v>878</v>
      </c>
      <c r="J672" s="7" t="s">
        <v>882</v>
      </c>
      <c r="M672" s="7">
        <v>100</v>
      </c>
      <c r="N672" s="7">
        <v>100</v>
      </c>
      <c r="O672" s="126">
        <v>46229.986180555599</v>
      </c>
      <c r="P672" s="126">
        <v>46229.986180555599</v>
      </c>
    </row>
    <row r="673" spans="1:16" ht="15.75" customHeight="1">
      <c r="A673" s="126">
        <v>46230.015752314801</v>
      </c>
      <c r="B673" s="7">
        <v>12</v>
      </c>
      <c r="C673" s="7">
        <v>815</v>
      </c>
      <c r="D673" s="7"/>
      <c r="E673" s="7" t="s">
        <v>969</v>
      </c>
      <c r="F673" s="7" t="s">
        <v>812</v>
      </c>
      <c r="G673" s="7">
        <v>168</v>
      </c>
      <c r="H673" s="7" t="s">
        <v>885</v>
      </c>
      <c r="I673" s="7" t="s">
        <v>886</v>
      </c>
      <c r="J673" s="7"/>
      <c r="M673" s="7">
        <v>100</v>
      </c>
      <c r="N673" s="7">
        <v>100</v>
      </c>
      <c r="P673" s="126">
        <v>46212.590046296304</v>
      </c>
    </row>
    <row r="674" spans="1:16" ht="15.75" customHeight="1">
      <c r="A674" s="126">
        <v>46230.015752314801</v>
      </c>
      <c r="B674" s="7">
        <v>12</v>
      </c>
      <c r="C674" s="7">
        <v>686</v>
      </c>
      <c r="D674" s="7"/>
      <c r="E674" s="7" t="s">
        <v>970</v>
      </c>
      <c r="F674" s="7" t="s">
        <v>661</v>
      </c>
      <c r="G674" s="7">
        <v>181</v>
      </c>
      <c r="H674" s="7" t="s">
        <v>873</v>
      </c>
      <c r="I674" s="7" t="s">
        <v>874</v>
      </c>
      <c r="J674" s="7"/>
      <c r="M674" s="7"/>
      <c r="N674" s="7" t="s">
        <v>875</v>
      </c>
      <c r="O674" s="126"/>
      <c r="P674" s="126"/>
    </row>
    <row r="675" spans="1:16" ht="15.75" customHeight="1">
      <c r="A675" s="126">
        <v>46230.015752314801</v>
      </c>
      <c r="B675" s="7">
        <v>12</v>
      </c>
      <c r="C675" s="7">
        <v>686</v>
      </c>
      <c r="D675" s="7"/>
      <c r="E675" s="7" t="s">
        <v>970</v>
      </c>
      <c r="F675" s="7" t="s">
        <v>661</v>
      </c>
      <c r="G675" s="7">
        <v>182</v>
      </c>
      <c r="H675" s="7" t="s">
        <v>876</v>
      </c>
      <c r="I675" s="7" t="s">
        <v>874</v>
      </c>
      <c r="J675" s="7"/>
      <c r="M675" s="7"/>
      <c r="N675" s="7" t="s">
        <v>875</v>
      </c>
      <c r="O675" s="126"/>
      <c r="P675" s="126"/>
    </row>
    <row r="676" spans="1:16" ht="15.75" customHeight="1">
      <c r="A676" s="126">
        <v>46230.015752314801</v>
      </c>
      <c r="B676" s="7">
        <v>12</v>
      </c>
      <c r="C676" s="7">
        <v>686</v>
      </c>
      <c r="D676" s="7"/>
      <c r="E676" s="7" t="s">
        <v>970</v>
      </c>
      <c r="F676" s="7" t="s">
        <v>661</v>
      </c>
      <c r="G676" s="7">
        <v>174</v>
      </c>
      <c r="H676" s="7" t="s">
        <v>877</v>
      </c>
      <c r="I676" s="7" t="s">
        <v>878</v>
      </c>
      <c r="J676" s="7" t="s">
        <v>879</v>
      </c>
      <c r="M676" s="7">
        <v>100</v>
      </c>
      <c r="N676" s="7">
        <v>100</v>
      </c>
      <c r="P676" s="126">
        <v>46209.706932870402</v>
      </c>
    </row>
    <row r="677" spans="1:16" ht="15.75" customHeight="1">
      <c r="A677" s="126">
        <v>46230.015752314801</v>
      </c>
      <c r="B677" s="7">
        <v>12</v>
      </c>
      <c r="C677" s="7">
        <v>686</v>
      </c>
      <c r="D677" s="7"/>
      <c r="E677" s="7" t="s">
        <v>970</v>
      </c>
      <c r="F677" s="7" t="s">
        <v>661</v>
      </c>
      <c r="G677" s="7">
        <v>180</v>
      </c>
      <c r="H677" s="7" t="s">
        <v>880</v>
      </c>
      <c r="I677" s="7" t="s">
        <v>874</v>
      </c>
      <c r="J677" s="7"/>
      <c r="M677" s="7"/>
      <c r="N677" s="7" t="s">
        <v>875</v>
      </c>
      <c r="O677" s="126"/>
      <c r="P677" s="126"/>
    </row>
    <row r="678" spans="1:16" ht="15.75" customHeight="1">
      <c r="A678" s="126">
        <v>46230.015752314801</v>
      </c>
      <c r="B678" s="7">
        <v>12</v>
      </c>
      <c r="C678" s="7">
        <v>686</v>
      </c>
      <c r="D678" s="7"/>
      <c r="E678" s="7" t="s">
        <v>970</v>
      </c>
      <c r="F678" s="7" t="s">
        <v>661</v>
      </c>
      <c r="G678" s="7">
        <v>175</v>
      </c>
      <c r="H678" s="7" t="s">
        <v>881</v>
      </c>
      <c r="I678" s="7" t="s">
        <v>878</v>
      </c>
      <c r="J678" s="7" t="s">
        <v>882</v>
      </c>
      <c r="M678" s="7">
        <v>100</v>
      </c>
      <c r="N678" s="7">
        <v>100</v>
      </c>
      <c r="O678" s="126">
        <v>46215.472569444399</v>
      </c>
      <c r="P678" s="126">
        <v>46215.472569444399</v>
      </c>
    </row>
    <row r="679" spans="1:16" ht="15.75" customHeight="1">
      <c r="A679" s="126">
        <v>46230.015752314801</v>
      </c>
      <c r="B679" s="7">
        <v>12</v>
      </c>
      <c r="C679" s="7">
        <v>686</v>
      </c>
      <c r="D679" s="7"/>
      <c r="E679" s="7" t="s">
        <v>970</v>
      </c>
      <c r="F679" s="7" t="s">
        <v>661</v>
      </c>
      <c r="G679" s="7">
        <v>177</v>
      </c>
      <c r="H679" s="7" t="s">
        <v>883</v>
      </c>
      <c r="I679" s="7" t="s">
        <v>878</v>
      </c>
      <c r="J679" s="7" t="s">
        <v>882</v>
      </c>
      <c r="M679" s="7"/>
      <c r="N679" s="7" t="s">
        <v>875</v>
      </c>
      <c r="P679" s="126"/>
    </row>
    <row r="680" spans="1:16" ht="15.75" customHeight="1">
      <c r="A680" s="126">
        <v>46230.015752314801</v>
      </c>
      <c r="B680" s="7">
        <v>12</v>
      </c>
      <c r="C680" s="7">
        <v>686</v>
      </c>
      <c r="D680" s="7"/>
      <c r="E680" s="7" t="s">
        <v>970</v>
      </c>
      <c r="F680" s="7" t="s">
        <v>661</v>
      </c>
      <c r="G680" s="7">
        <v>176</v>
      </c>
      <c r="H680" s="7" t="s">
        <v>884</v>
      </c>
      <c r="I680" s="7" t="s">
        <v>878</v>
      </c>
      <c r="J680" s="7" t="s">
        <v>882</v>
      </c>
      <c r="M680" s="7">
        <v>100</v>
      </c>
      <c r="N680" s="7">
        <v>100</v>
      </c>
      <c r="O680" s="126">
        <v>46229.575798611098</v>
      </c>
      <c r="P680" s="126">
        <v>46229.575810185197</v>
      </c>
    </row>
    <row r="681" spans="1:16" ht="15.75" customHeight="1">
      <c r="A681" s="126">
        <v>46230.015752314801</v>
      </c>
      <c r="B681" s="7">
        <v>12</v>
      </c>
      <c r="C681" s="7">
        <v>686</v>
      </c>
      <c r="D681" s="7"/>
      <c r="E681" s="7" t="s">
        <v>970</v>
      </c>
      <c r="F681" s="7" t="s">
        <v>661</v>
      </c>
      <c r="G681" s="7">
        <v>168</v>
      </c>
      <c r="H681" s="7" t="s">
        <v>885</v>
      </c>
      <c r="I681" s="7" t="s">
        <v>886</v>
      </c>
      <c r="J681" s="7"/>
      <c r="M681" s="7">
        <v>100</v>
      </c>
      <c r="N681" s="7">
        <v>100</v>
      </c>
      <c r="O681" s="126"/>
      <c r="P681" s="126">
        <v>46209.706932870402</v>
      </c>
    </row>
    <row r="682" spans="1:16" ht="15.75" customHeight="1">
      <c r="A682" s="126">
        <v>46230.015752314801</v>
      </c>
      <c r="B682" s="7">
        <v>12</v>
      </c>
      <c r="C682" s="7">
        <v>738</v>
      </c>
      <c r="D682" s="7"/>
      <c r="E682" s="7" t="s">
        <v>971</v>
      </c>
      <c r="F682" s="7" t="s">
        <v>204</v>
      </c>
      <c r="G682" s="7">
        <v>181</v>
      </c>
      <c r="H682" s="7" t="s">
        <v>873</v>
      </c>
      <c r="I682" s="7" t="s">
        <v>874</v>
      </c>
      <c r="J682" s="7"/>
      <c r="M682" s="7"/>
      <c r="N682" s="7" t="s">
        <v>875</v>
      </c>
      <c r="O682" s="126"/>
      <c r="P682" s="126"/>
    </row>
    <row r="683" spans="1:16" ht="15.75" customHeight="1">
      <c r="A683" s="126">
        <v>46230.015752314801</v>
      </c>
      <c r="B683" s="7">
        <v>12</v>
      </c>
      <c r="C683" s="7">
        <v>738</v>
      </c>
      <c r="D683" s="7"/>
      <c r="E683" s="7" t="s">
        <v>971</v>
      </c>
      <c r="F683" s="7" t="s">
        <v>204</v>
      </c>
      <c r="G683" s="7">
        <v>182</v>
      </c>
      <c r="H683" s="7" t="s">
        <v>876</v>
      </c>
      <c r="I683" s="7" t="s">
        <v>874</v>
      </c>
      <c r="J683" s="7"/>
      <c r="M683" s="7"/>
      <c r="N683" s="7" t="s">
        <v>875</v>
      </c>
      <c r="O683" s="126"/>
      <c r="P683" s="126"/>
    </row>
    <row r="684" spans="1:16" ht="15.75" customHeight="1">
      <c r="A684" s="126">
        <v>46230.015752314801</v>
      </c>
      <c r="B684" s="7">
        <v>12</v>
      </c>
      <c r="C684" s="7">
        <v>738</v>
      </c>
      <c r="D684" s="7"/>
      <c r="E684" s="7" t="s">
        <v>971</v>
      </c>
      <c r="F684" s="7" t="s">
        <v>204</v>
      </c>
      <c r="G684" s="7">
        <v>174</v>
      </c>
      <c r="H684" s="7" t="s">
        <v>877</v>
      </c>
      <c r="I684" s="7" t="s">
        <v>878</v>
      </c>
      <c r="J684" s="7" t="s">
        <v>879</v>
      </c>
      <c r="M684" s="7">
        <v>100</v>
      </c>
      <c r="N684" s="7">
        <v>100</v>
      </c>
      <c r="O684" s="126"/>
      <c r="P684" s="126">
        <v>46213.619780092602</v>
      </c>
    </row>
    <row r="685" spans="1:16" ht="15.75" customHeight="1">
      <c r="A685" s="126">
        <v>46230.015752314801</v>
      </c>
      <c r="B685" s="7">
        <v>12</v>
      </c>
      <c r="C685" s="7">
        <v>738</v>
      </c>
      <c r="D685" s="7"/>
      <c r="E685" s="7" t="s">
        <v>971</v>
      </c>
      <c r="F685" s="7" t="s">
        <v>204</v>
      </c>
      <c r="G685" s="7">
        <v>180</v>
      </c>
      <c r="H685" s="7" t="s">
        <v>880</v>
      </c>
      <c r="I685" s="7" t="s">
        <v>874</v>
      </c>
      <c r="J685" s="7"/>
      <c r="M685" s="7"/>
      <c r="N685" s="7" t="s">
        <v>875</v>
      </c>
      <c r="O685" s="126"/>
      <c r="P685" s="126"/>
    </row>
    <row r="686" spans="1:16" ht="15.75" customHeight="1">
      <c r="A686" s="126">
        <v>46230.015752314801</v>
      </c>
      <c r="B686" s="7">
        <v>12</v>
      </c>
      <c r="C686" s="7">
        <v>738</v>
      </c>
      <c r="D686" s="7"/>
      <c r="E686" s="7" t="s">
        <v>971</v>
      </c>
      <c r="F686" s="7" t="s">
        <v>204</v>
      </c>
      <c r="G686" s="7">
        <v>175</v>
      </c>
      <c r="H686" s="7" t="s">
        <v>881</v>
      </c>
      <c r="I686" s="7" t="s">
        <v>878</v>
      </c>
      <c r="J686" s="7" t="s">
        <v>882</v>
      </c>
      <c r="M686" s="7">
        <v>100</v>
      </c>
      <c r="N686" s="7">
        <v>100</v>
      </c>
      <c r="O686" s="126">
        <v>46215.821354166699</v>
      </c>
      <c r="P686" s="126">
        <v>46215.821354166699</v>
      </c>
    </row>
    <row r="687" spans="1:16" ht="15.75" customHeight="1">
      <c r="A687" s="126">
        <v>46230.015752314801</v>
      </c>
      <c r="B687" s="7">
        <v>12</v>
      </c>
      <c r="C687" s="7">
        <v>738</v>
      </c>
      <c r="D687" s="7"/>
      <c r="E687" s="7" t="s">
        <v>971</v>
      </c>
      <c r="F687" s="7" t="s">
        <v>204</v>
      </c>
      <c r="G687" s="7">
        <v>177</v>
      </c>
      <c r="H687" s="7" t="s">
        <v>883</v>
      </c>
      <c r="I687" s="7" t="s">
        <v>878</v>
      </c>
      <c r="J687" s="7" t="s">
        <v>882</v>
      </c>
      <c r="M687" s="7"/>
      <c r="N687" s="7" t="s">
        <v>875</v>
      </c>
      <c r="O687" s="126"/>
      <c r="P687" s="126"/>
    </row>
    <row r="688" spans="1:16" ht="15.75" customHeight="1">
      <c r="A688" s="126">
        <v>46230.015752314801</v>
      </c>
      <c r="B688" s="7">
        <v>12</v>
      </c>
      <c r="C688" s="7">
        <v>738</v>
      </c>
      <c r="D688" s="7"/>
      <c r="E688" s="7" t="s">
        <v>971</v>
      </c>
      <c r="F688" s="7" t="s">
        <v>204</v>
      </c>
      <c r="G688" s="7">
        <v>176</v>
      </c>
      <c r="H688" s="7" t="s">
        <v>884</v>
      </c>
      <c r="I688" s="7" t="s">
        <v>878</v>
      </c>
      <c r="J688" s="7" t="s">
        <v>882</v>
      </c>
      <c r="M688" s="7">
        <v>90</v>
      </c>
      <c r="N688" s="7">
        <v>90</v>
      </c>
      <c r="O688" s="126">
        <v>46228.560462963003</v>
      </c>
      <c r="P688" s="126">
        <v>46228.560462963003</v>
      </c>
    </row>
    <row r="689" spans="1:16" ht="15.75" customHeight="1">
      <c r="A689" s="126">
        <v>46230.015752314801</v>
      </c>
      <c r="B689" s="7">
        <v>12</v>
      </c>
      <c r="C689" s="7">
        <v>738</v>
      </c>
      <c r="D689" s="7"/>
      <c r="E689" s="7" t="s">
        <v>971</v>
      </c>
      <c r="F689" s="7" t="s">
        <v>204</v>
      </c>
      <c r="G689" s="7">
        <v>168</v>
      </c>
      <c r="H689" s="7" t="s">
        <v>885</v>
      </c>
      <c r="I689" s="7" t="s">
        <v>886</v>
      </c>
      <c r="J689" s="7"/>
      <c r="M689" s="7">
        <v>100</v>
      </c>
      <c r="N689" s="7">
        <v>100</v>
      </c>
      <c r="P689" s="126">
        <v>46213.619780092602</v>
      </c>
    </row>
    <row r="690" spans="1:16" ht="15.75" customHeight="1">
      <c r="A690" s="126">
        <v>46230.015752314801</v>
      </c>
      <c r="B690" s="7">
        <v>12</v>
      </c>
      <c r="C690" s="7">
        <v>359</v>
      </c>
      <c r="D690" s="7"/>
      <c r="E690" s="7" t="s">
        <v>972</v>
      </c>
      <c r="F690" s="7" t="s">
        <v>403</v>
      </c>
      <c r="G690" s="7">
        <v>181</v>
      </c>
      <c r="H690" s="7" t="s">
        <v>873</v>
      </c>
      <c r="I690" s="7" t="s">
        <v>874</v>
      </c>
      <c r="J690" s="7"/>
      <c r="M690" s="7"/>
      <c r="N690" s="7" t="s">
        <v>875</v>
      </c>
      <c r="O690" s="126"/>
      <c r="P690" s="126"/>
    </row>
    <row r="691" spans="1:16" ht="15.75" customHeight="1">
      <c r="A691" s="126">
        <v>46230.015752314801</v>
      </c>
      <c r="B691" s="7">
        <v>12</v>
      </c>
      <c r="C691" s="7">
        <v>359</v>
      </c>
      <c r="D691" s="7"/>
      <c r="E691" s="7" t="s">
        <v>972</v>
      </c>
      <c r="F691" s="7" t="s">
        <v>403</v>
      </c>
      <c r="G691" s="7">
        <v>182</v>
      </c>
      <c r="H691" s="7" t="s">
        <v>876</v>
      </c>
      <c r="I691" s="7" t="s">
        <v>874</v>
      </c>
      <c r="J691" s="7"/>
      <c r="M691" s="7"/>
      <c r="N691" s="7" t="s">
        <v>875</v>
      </c>
      <c r="P691" s="126"/>
    </row>
    <row r="692" spans="1:16" ht="15.75" customHeight="1">
      <c r="A692" s="126">
        <v>46230.015752314801</v>
      </c>
      <c r="B692" s="7">
        <v>12</v>
      </c>
      <c r="C692" s="7">
        <v>359</v>
      </c>
      <c r="D692" s="7"/>
      <c r="E692" s="7" t="s">
        <v>972</v>
      </c>
      <c r="F692" s="7" t="s">
        <v>403</v>
      </c>
      <c r="G692" s="7">
        <v>174</v>
      </c>
      <c r="H692" s="7" t="s">
        <v>877</v>
      </c>
      <c r="I692" s="7" t="s">
        <v>878</v>
      </c>
      <c r="J692" s="7" t="s">
        <v>879</v>
      </c>
      <c r="M692" s="7">
        <v>100</v>
      </c>
      <c r="N692" s="7">
        <v>100</v>
      </c>
      <c r="O692" s="126"/>
      <c r="P692" s="126">
        <v>46210.974097222199</v>
      </c>
    </row>
    <row r="693" spans="1:16" ht="15.75" customHeight="1">
      <c r="A693" s="126">
        <v>46230.015752314801</v>
      </c>
      <c r="B693" s="7">
        <v>12</v>
      </c>
      <c r="C693" s="7">
        <v>359</v>
      </c>
      <c r="D693" s="7"/>
      <c r="E693" s="7" t="s">
        <v>972</v>
      </c>
      <c r="F693" s="7" t="s">
        <v>403</v>
      </c>
      <c r="G693" s="7">
        <v>180</v>
      </c>
      <c r="H693" s="7" t="s">
        <v>880</v>
      </c>
      <c r="I693" s="7" t="s">
        <v>874</v>
      </c>
      <c r="J693" s="7"/>
      <c r="M693" s="7"/>
      <c r="N693" s="7" t="s">
        <v>875</v>
      </c>
      <c r="O693" s="126"/>
      <c r="P693" s="126"/>
    </row>
    <row r="694" spans="1:16" ht="15.75" customHeight="1">
      <c r="A694" s="126">
        <v>46230.015752314801</v>
      </c>
      <c r="B694" s="7">
        <v>12</v>
      </c>
      <c r="C694" s="7">
        <v>359</v>
      </c>
      <c r="D694" s="7"/>
      <c r="E694" s="7" t="s">
        <v>972</v>
      </c>
      <c r="F694" s="7" t="s">
        <v>403</v>
      </c>
      <c r="G694" s="7">
        <v>175</v>
      </c>
      <c r="H694" s="7" t="s">
        <v>881</v>
      </c>
      <c r="I694" s="7" t="s">
        <v>878</v>
      </c>
      <c r="J694" s="7" t="s">
        <v>882</v>
      </c>
      <c r="M694" s="7">
        <v>75</v>
      </c>
      <c r="N694" s="7">
        <v>75</v>
      </c>
      <c r="O694" s="126">
        <v>46216.294652777797</v>
      </c>
      <c r="P694" s="126">
        <v>46216.294652777797</v>
      </c>
    </row>
    <row r="695" spans="1:16" ht="15.75" customHeight="1">
      <c r="A695" s="126">
        <v>46230.015752314801</v>
      </c>
      <c r="B695" s="7">
        <v>12</v>
      </c>
      <c r="C695" s="7">
        <v>359</v>
      </c>
      <c r="D695" s="7"/>
      <c r="E695" s="7" t="s">
        <v>972</v>
      </c>
      <c r="F695" s="7" t="s">
        <v>403</v>
      </c>
      <c r="G695" s="7">
        <v>177</v>
      </c>
      <c r="H695" s="7" t="s">
        <v>883</v>
      </c>
      <c r="I695" s="7" t="s">
        <v>878</v>
      </c>
      <c r="J695" s="7" t="s">
        <v>882</v>
      </c>
      <c r="M695" s="7"/>
      <c r="N695" s="7" t="s">
        <v>875</v>
      </c>
      <c r="P695" s="126"/>
    </row>
    <row r="696" spans="1:16" ht="15.75" customHeight="1">
      <c r="A696" s="126">
        <v>46230.015752314801</v>
      </c>
      <c r="B696" s="7">
        <v>12</v>
      </c>
      <c r="C696" s="7">
        <v>359</v>
      </c>
      <c r="D696" s="7"/>
      <c r="E696" s="7" t="s">
        <v>972</v>
      </c>
      <c r="F696" s="7" t="s">
        <v>403</v>
      </c>
      <c r="G696" s="7">
        <v>176</v>
      </c>
      <c r="H696" s="7" t="s">
        <v>884</v>
      </c>
      <c r="I696" s="7" t="s">
        <v>878</v>
      </c>
      <c r="J696" s="7" t="s">
        <v>882</v>
      </c>
      <c r="M696" s="7">
        <v>100</v>
      </c>
      <c r="N696" s="7">
        <v>100</v>
      </c>
      <c r="O696" s="126">
        <v>46224.353252314802</v>
      </c>
      <c r="P696" s="126">
        <v>46224.353252314802</v>
      </c>
    </row>
    <row r="697" spans="1:16" ht="15.75" customHeight="1">
      <c r="A697" s="126">
        <v>46230.015752314801</v>
      </c>
      <c r="B697" s="7">
        <v>12</v>
      </c>
      <c r="C697" s="7">
        <v>359</v>
      </c>
      <c r="D697" s="7"/>
      <c r="E697" s="7" t="s">
        <v>972</v>
      </c>
      <c r="F697" s="7" t="s">
        <v>403</v>
      </c>
      <c r="G697" s="7">
        <v>168</v>
      </c>
      <c r="H697" s="7" t="s">
        <v>885</v>
      </c>
      <c r="I697" s="7" t="s">
        <v>886</v>
      </c>
      <c r="J697" s="7"/>
      <c r="M697" s="7">
        <v>100</v>
      </c>
      <c r="N697" s="7">
        <v>100</v>
      </c>
      <c r="P697" s="126">
        <v>46210.974097222199</v>
      </c>
    </row>
    <row r="698" spans="1:16" ht="15.75" customHeight="1">
      <c r="A698" s="126">
        <v>46230.015752314801</v>
      </c>
      <c r="B698" s="7">
        <v>12</v>
      </c>
      <c r="C698" s="7">
        <v>625</v>
      </c>
      <c r="D698" s="7"/>
      <c r="E698" s="7" t="s">
        <v>973</v>
      </c>
      <c r="F698" s="7" t="s">
        <v>199</v>
      </c>
      <c r="G698" s="7">
        <v>181</v>
      </c>
      <c r="H698" s="7" t="s">
        <v>873</v>
      </c>
      <c r="I698" s="7" t="s">
        <v>874</v>
      </c>
      <c r="J698" s="7"/>
      <c r="M698" s="7"/>
      <c r="N698" s="7" t="s">
        <v>875</v>
      </c>
      <c r="O698" s="126"/>
      <c r="P698" s="126"/>
    </row>
    <row r="699" spans="1:16" ht="15.75" customHeight="1">
      <c r="A699" s="126">
        <v>46230.015752314801</v>
      </c>
      <c r="B699" s="7">
        <v>12</v>
      </c>
      <c r="C699" s="7">
        <v>625</v>
      </c>
      <c r="D699" s="7"/>
      <c r="E699" s="7" t="s">
        <v>973</v>
      </c>
      <c r="F699" s="7" t="s">
        <v>199</v>
      </c>
      <c r="G699" s="7">
        <v>182</v>
      </c>
      <c r="H699" s="7" t="s">
        <v>876</v>
      </c>
      <c r="I699" s="7" t="s">
        <v>874</v>
      </c>
      <c r="J699" s="7"/>
      <c r="M699" s="7"/>
      <c r="N699" s="7" t="s">
        <v>875</v>
      </c>
      <c r="O699" s="126"/>
      <c r="P699" s="126"/>
    </row>
    <row r="700" spans="1:16" ht="15.75" customHeight="1">
      <c r="A700" s="126">
        <v>46230.015752314801</v>
      </c>
      <c r="B700" s="7">
        <v>12</v>
      </c>
      <c r="C700" s="7">
        <v>625</v>
      </c>
      <c r="D700" s="7"/>
      <c r="E700" s="7" t="s">
        <v>973</v>
      </c>
      <c r="F700" s="7" t="s">
        <v>199</v>
      </c>
      <c r="G700" s="7">
        <v>174</v>
      </c>
      <c r="H700" s="7" t="s">
        <v>877</v>
      </c>
      <c r="I700" s="7" t="s">
        <v>878</v>
      </c>
      <c r="J700" s="7" t="s">
        <v>879</v>
      </c>
      <c r="M700" s="7">
        <v>100</v>
      </c>
      <c r="N700" s="7">
        <v>100</v>
      </c>
      <c r="O700" s="126"/>
      <c r="P700" s="126">
        <v>46228.489328703698</v>
      </c>
    </row>
    <row r="701" spans="1:16" ht="15.75" customHeight="1">
      <c r="A701" s="126">
        <v>46230.015752314801</v>
      </c>
      <c r="B701" s="7">
        <v>12</v>
      </c>
      <c r="C701" s="7">
        <v>625</v>
      </c>
      <c r="D701" s="7"/>
      <c r="E701" s="7" t="s">
        <v>973</v>
      </c>
      <c r="F701" s="7" t="s">
        <v>199</v>
      </c>
      <c r="G701" s="7">
        <v>180</v>
      </c>
      <c r="H701" s="7" t="s">
        <v>880</v>
      </c>
      <c r="I701" s="7" t="s">
        <v>874</v>
      </c>
      <c r="J701" s="7"/>
      <c r="M701" s="7"/>
      <c r="N701" s="7" t="s">
        <v>875</v>
      </c>
      <c r="O701" s="126"/>
      <c r="P701" s="126"/>
    </row>
    <row r="702" spans="1:16" ht="15.75" customHeight="1">
      <c r="A702" s="126">
        <v>46230.015752314801</v>
      </c>
      <c r="B702" s="7">
        <v>12</v>
      </c>
      <c r="C702" s="7">
        <v>625</v>
      </c>
      <c r="D702" s="7"/>
      <c r="E702" s="7" t="s">
        <v>973</v>
      </c>
      <c r="F702" s="7" t="s">
        <v>199</v>
      </c>
      <c r="G702" s="7">
        <v>175</v>
      </c>
      <c r="H702" s="7" t="s">
        <v>881</v>
      </c>
      <c r="I702" s="7" t="s">
        <v>878</v>
      </c>
      <c r="J702" s="7" t="s">
        <v>882</v>
      </c>
      <c r="M702" s="7">
        <v>87.5</v>
      </c>
      <c r="N702" s="7">
        <v>87.5</v>
      </c>
      <c r="O702" s="126">
        <v>46229.698912036998</v>
      </c>
      <c r="P702" s="126">
        <v>46229.698912036998</v>
      </c>
    </row>
    <row r="703" spans="1:16" ht="15.75" customHeight="1">
      <c r="A703" s="126">
        <v>46230.015752314801</v>
      </c>
      <c r="B703" s="7">
        <v>12</v>
      </c>
      <c r="C703" s="7">
        <v>625</v>
      </c>
      <c r="D703" s="7"/>
      <c r="E703" s="7" t="s">
        <v>973</v>
      </c>
      <c r="F703" s="7" t="s">
        <v>199</v>
      </c>
      <c r="G703" s="7">
        <v>177</v>
      </c>
      <c r="H703" s="7" t="s">
        <v>883</v>
      </c>
      <c r="I703" s="7" t="s">
        <v>878</v>
      </c>
      <c r="J703" s="7" t="s">
        <v>882</v>
      </c>
      <c r="M703" s="7"/>
      <c r="N703" s="7" t="s">
        <v>875</v>
      </c>
      <c r="P703" s="126"/>
    </row>
    <row r="704" spans="1:16" ht="15.75" customHeight="1">
      <c r="A704" s="126">
        <v>46230.015752314801</v>
      </c>
      <c r="B704" s="7">
        <v>12</v>
      </c>
      <c r="C704" s="7">
        <v>625</v>
      </c>
      <c r="D704" s="7"/>
      <c r="E704" s="7" t="s">
        <v>973</v>
      </c>
      <c r="F704" s="7" t="s">
        <v>199</v>
      </c>
      <c r="G704" s="7">
        <v>176</v>
      </c>
      <c r="H704" s="7" t="s">
        <v>884</v>
      </c>
      <c r="I704" s="7" t="s">
        <v>878</v>
      </c>
      <c r="J704" s="7" t="s">
        <v>882</v>
      </c>
      <c r="M704" s="7">
        <v>75</v>
      </c>
      <c r="N704" s="7">
        <v>75</v>
      </c>
      <c r="O704" s="126">
        <v>46229.712048611102</v>
      </c>
      <c r="P704" s="126">
        <v>46229.712048611102</v>
      </c>
    </row>
    <row r="705" spans="1:16" ht="15.75" customHeight="1">
      <c r="A705" s="126">
        <v>46230.015752314801</v>
      </c>
      <c r="B705" s="7">
        <v>12</v>
      </c>
      <c r="C705" s="7">
        <v>625</v>
      </c>
      <c r="D705" s="7"/>
      <c r="E705" s="7" t="s">
        <v>973</v>
      </c>
      <c r="F705" s="7" t="s">
        <v>199</v>
      </c>
      <c r="G705" s="7">
        <v>168</v>
      </c>
      <c r="H705" s="7" t="s">
        <v>885</v>
      </c>
      <c r="I705" s="7" t="s">
        <v>886</v>
      </c>
      <c r="J705" s="7"/>
      <c r="M705" s="7">
        <v>100</v>
      </c>
      <c r="N705" s="7">
        <v>100</v>
      </c>
      <c r="O705" s="126"/>
      <c r="P705" s="126">
        <v>46228.489328703698</v>
      </c>
    </row>
    <row r="706" spans="1:16" ht="15.75" customHeight="1">
      <c r="A706" s="126">
        <v>46230.015752314801</v>
      </c>
      <c r="B706" s="7">
        <v>12</v>
      </c>
      <c r="C706" s="7">
        <v>823</v>
      </c>
      <c r="D706" s="7"/>
      <c r="E706" s="7" t="s">
        <v>974</v>
      </c>
      <c r="F706" s="7" t="s">
        <v>975</v>
      </c>
      <c r="G706" s="7">
        <v>181</v>
      </c>
      <c r="H706" s="7" t="s">
        <v>873</v>
      </c>
      <c r="I706" s="7" t="s">
        <v>874</v>
      </c>
      <c r="J706" s="7"/>
      <c r="M706" s="7"/>
      <c r="N706" s="7" t="s">
        <v>875</v>
      </c>
      <c r="O706" s="126"/>
      <c r="P706" s="126"/>
    </row>
    <row r="707" spans="1:16" ht="15.75" customHeight="1">
      <c r="A707" s="126">
        <v>46230.015752314801</v>
      </c>
      <c r="B707" s="7">
        <v>12</v>
      </c>
      <c r="C707" s="7">
        <v>823</v>
      </c>
      <c r="D707" s="7"/>
      <c r="E707" s="7" t="s">
        <v>974</v>
      </c>
      <c r="F707" s="7" t="s">
        <v>975</v>
      </c>
      <c r="G707" s="7">
        <v>182</v>
      </c>
      <c r="H707" s="7" t="s">
        <v>876</v>
      </c>
      <c r="I707" s="7" t="s">
        <v>874</v>
      </c>
      <c r="J707" s="7"/>
      <c r="M707" s="7"/>
      <c r="N707" s="7" t="s">
        <v>875</v>
      </c>
      <c r="P707" s="126"/>
    </row>
    <row r="708" spans="1:16" ht="15.75" customHeight="1">
      <c r="A708" s="126">
        <v>46230.015752314801</v>
      </c>
      <c r="B708" s="7">
        <v>12</v>
      </c>
      <c r="C708" s="7">
        <v>823</v>
      </c>
      <c r="D708" s="7"/>
      <c r="E708" s="7" t="s">
        <v>974</v>
      </c>
      <c r="F708" s="7" t="s">
        <v>975</v>
      </c>
      <c r="G708" s="7">
        <v>174</v>
      </c>
      <c r="H708" s="7" t="s">
        <v>877</v>
      </c>
      <c r="I708" s="7" t="s">
        <v>878</v>
      </c>
      <c r="J708" s="7" t="s">
        <v>879</v>
      </c>
      <c r="M708" s="7"/>
      <c r="N708" s="7" t="s">
        <v>875</v>
      </c>
      <c r="O708" s="126"/>
      <c r="P708" s="126"/>
    </row>
    <row r="709" spans="1:16" ht="15.75" customHeight="1">
      <c r="A709" s="126">
        <v>46230.015752314801</v>
      </c>
      <c r="B709" s="7">
        <v>12</v>
      </c>
      <c r="C709" s="7">
        <v>823</v>
      </c>
      <c r="D709" s="7"/>
      <c r="E709" s="7" t="s">
        <v>974</v>
      </c>
      <c r="F709" s="7" t="s">
        <v>975</v>
      </c>
      <c r="G709" s="7">
        <v>180</v>
      </c>
      <c r="H709" s="7" t="s">
        <v>880</v>
      </c>
      <c r="I709" s="7" t="s">
        <v>874</v>
      </c>
      <c r="J709" s="7"/>
      <c r="M709" s="7"/>
      <c r="N709" s="7" t="s">
        <v>875</v>
      </c>
      <c r="O709" s="126"/>
      <c r="P709" s="126"/>
    </row>
    <row r="710" spans="1:16" ht="15.75" customHeight="1">
      <c r="A710" s="126">
        <v>46230.015752314801</v>
      </c>
      <c r="B710" s="7">
        <v>12</v>
      </c>
      <c r="C710" s="7">
        <v>823</v>
      </c>
      <c r="D710" s="7"/>
      <c r="E710" s="7" t="s">
        <v>974</v>
      </c>
      <c r="F710" s="7" t="s">
        <v>975</v>
      </c>
      <c r="G710" s="7">
        <v>175</v>
      </c>
      <c r="H710" s="7" t="s">
        <v>881</v>
      </c>
      <c r="I710" s="7" t="s">
        <v>878</v>
      </c>
      <c r="J710" s="7" t="s">
        <v>882</v>
      </c>
      <c r="M710" s="7">
        <v>75</v>
      </c>
      <c r="N710" s="7">
        <v>75</v>
      </c>
      <c r="O710" s="126">
        <v>46226.710254629601</v>
      </c>
      <c r="P710" s="126">
        <v>46226.710254629601</v>
      </c>
    </row>
    <row r="711" spans="1:16" ht="15.75" customHeight="1">
      <c r="A711" s="126">
        <v>46230.015752314801</v>
      </c>
      <c r="B711" s="7">
        <v>12</v>
      </c>
      <c r="C711" s="7">
        <v>823</v>
      </c>
      <c r="D711" s="7"/>
      <c r="E711" s="7" t="s">
        <v>974</v>
      </c>
      <c r="F711" s="7" t="s">
        <v>975</v>
      </c>
      <c r="G711" s="7">
        <v>177</v>
      </c>
      <c r="H711" s="7" t="s">
        <v>883</v>
      </c>
      <c r="I711" s="7" t="s">
        <v>878</v>
      </c>
      <c r="J711" s="7" t="s">
        <v>882</v>
      </c>
      <c r="M711" s="7"/>
      <c r="N711" s="7" t="s">
        <v>875</v>
      </c>
      <c r="O711" s="126"/>
      <c r="P711" s="126"/>
    </row>
    <row r="712" spans="1:16" ht="15.75" customHeight="1">
      <c r="A712" s="126">
        <v>46230.015752314801</v>
      </c>
      <c r="B712" s="7">
        <v>12</v>
      </c>
      <c r="C712" s="7">
        <v>823</v>
      </c>
      <c r="D712" s="7"/>
      <c r="E712" s="7" t="s">
        <v>974</v>
      </c>
      <c r="F712" s="7" t="s">
        <v>975</v>
      </c>
      <c r="G712" s="7">
        <v>176</v>
      </c>
      <c r="H712" s="7" t="s">
        <v>884</v>
      </c>
      <c r="I712" s="7" t="s">
        <v>878</v>
      </c>
      <c r="J712" s="7" t="s">
        <v>882</v>
      </c>
      <c r="M712" s="7">
        <v>90</v>
      </c>
      <c r="N712" s="7">
        <v>90</v>
      </c>
      <c r="O712" s="126">
        <v>46226.713263888902</v>
      </c>
      <c r="P712" s="126">
        <v>46226.713263888902</v>
      </c>
    </row>
    <row r="713" spans="1:16" ht="15.75" customHeight="1">
      <c r="A713" s="126">
        <v>46230.015752314801</v>
      </c>
      <c r="B713" s="7">
        <v>12</v>
      </c>
      <c r="C713" s="7">
        <v>823</v>
      </c>
      <c r="D713" s="7"/>
      <c r="E713" s="7" t="s">
        <v>974</v>
      </c>
      <c r="F713" s="7" t="s">
        <v>975</v>
      </c>
      <c r="G713" s="7">
        <v>168</v>
      </c>
      <c r="H713" s="7" t="s">
        <v>885</v>
      </c>
      <c r="I713" s="7" t="s">
        <v>886</v>
      </c>
      <c r="J713" s="7"/>
      <c r="M713" s="7">
        <v>90</v>
      </c>
      <c r="N713" s="7">
        <v>90</v>
      </c>
      <c r="P713" s="126">
        <v>46226.713263888902</v>
      </c>
    </row>
    <row r="714" spans="1:16" ht="15.75" customHeight="1">
      <c r="A714" s="126">
        <v>46230.015752314801</v>
      </c>
      <c r="B714" s="7">
        <v>12</v>
      </c>
      <c r="C714" s="7">
        <v>457</v>
      </c>
      <c r="D714" s="7"/>
      <c r="E714" s="7" t="s">
        <v>976</v>
      </c>
      <c r="F714" s="7" t="s">
        <v>293</v>
      </c>
      <c r="G714" s="7">
        <v>181</v>
      </c>
      <c r="H714" s="7" t="s">
        <v>873</v>
      </c>
      <c r="I714" s="7" t="s">
        <v>874</v>
      </c>
      <c r="J714" s="7"/>
      <c r="M714" s="7"/>
      <c r="N714" s="7" t="s">
        <v>875</v>
      </c>
      <c r="P714" s="126"/>
    </row>
    <row r="715" spans="1:16" ht="15.75" customHeight="1">
      <c r="A715" s="126">
        <v>46230.015752314801</v>
      </c>
      <c r="B715" s="7">
        <v>12</v>
      </c>
      <c r="C715" s="7">
        <v>457</v>
      </c>
      <c r="D715" s="7"/>
      <c r="E715" s="7" t="s">
        <v>976</v>
      </c>
      <c r="F715" s="7" t="s">
        <v>293</v>
      </c>
      <c r="G715" s="7">
        <v>182</v>
      </c>
      <c r="H715" s="7" t="s">
        <v>876</v>
      </c>
      <c r="I715" s="7" t="s">
        <v>874</v>
      </c>
      <c r="J715" s="7"/>
      <c r="M715" s="7"/>
      <c r="N715" s="7" t="s">
        <v>875</v>
      </c>
      <c r="P715" s="126"/>
    </row>
    <row r="716" spans="1:16" ht="15.75" customHeight="1">
      <c r="A716" s="126">
        <v>46230.015752314801</v>
      </c>
      <c r="B716" s="7">
        <v>12</v>
      </c>
      <c r="C716" s="7">
        <v>457</v>
      </c>
      <c r="D716" s="7"/>
      <c r="E716" s="7" t="s">
        <v>976</v>
      </c>
      <c r="F716" s="7" t="s">
        <v>293</v>
      </c>
      <c r="G716" s="7">
        <v>174</v>
      </c>
      <c r="H716" s="7" t="s">
        <v>877</v>
      </c>
      <c r="I716" s="7" t="s">
        <v>878</v>
      </c>
      <c r="J716" s="7" t="s">
        <v>879</v>
      </c>
      <c r="M716" s="7">
        <v>100</v>
      </c>
      <c r="N716" s="7">
        <v>100</v>
      </c>
      <c r="O716" s="126"/>
      <c r="P716" s="126">
        <v>46209.706932870402</v>
      </c>
    </row>
    <row r="717" spans="1:16" ht="15.75" customHeight="1">
      <c r="A717" s="126">
        <v>46230.015752314801</v>
      </c>
      <c r="B717" s="7">
        <v>12</v>
      </c>
      <c r="C717" s="7">
        <v>457</v>
      </c>
      <c r="D717" s="7"/>
      <c r="E717" s="7" t="s">
        <v>976</v>
      </c>
      <c r="F717" s="7" t="s">
        <v>293</v>
      </c>
      <c r="G717" s="7">
        <v>180</v>
      </c>
      <c r="H717" s="7" t="s">
        <v>880</v>
      </c>
      <c r="I717" s="7" t="s">
        <v>874</v>
      </c>
      <c r="J717" s="7"/>
      <c r="M717" s="7"/>
      <c r="N717" s="7" t="s">
        <v>875</v>
      </c>
      <c r="O717" s="126"/>
      <c r="P717" s="126"/>
    </row>
    <row r="718" spans="1:16" ht="15.75" customHeight="1">
      <c r="A718" s="126">
        <v>46230.015752314801</v>
      </c>
      <c r="B718" s="7">
        <v>12</v>
      </c>
      <c r="C718" s="7">
        <v>457</v>
      </c>
      <c r="D718" s="7"/>
      <c r="E718" s="7" t="s">
        <v>976</v>
      </c>
      <c r="F718" s="7" t="s">
        <v>293</v>
      </c>
      <c r="G718" s="7">
        <v>175</v>
      </c>
      <c r="H718" s="7" t="s">
        <v>881</v>
      </c>
      <c r="I718" s="7" t="s">
        <v>878</v>
      </c>
      <c r="J718" s="7" t="s">
        <v>882</v>
      </c>
      <c r="M718" s="7">
        <v>100</v>
      </c>
      <c r="N718" s="7">
        <v>100</v>
      </c>
      <c r="O718" s="126">
        <v>46216.3893634259</v>
      </c>
      <c r="P718" s="126">
        <v>46216.3893634259</v>
      </c>
    </row>
    <row r="719" spans="1:16" ht="15.75" customHeight="1">
      <c r="A719" s="126">
        <v>46230.015752314801</v>
      </c>
      <c r="B719" s="7">
        <v>12</v>
      </c>
      <c r="C719" s="7">
        <v>457</v>
      </c>
      <c r="D719" s="7"/>
      <c r="E719" s="7" t="s">
        <v>976</v>
      </c>
      <c r="F719" s="7" t="s">
        <v>293</v>
      </c>
      <c r="G719" s="7">
        <v>177</v>
      </c>
      <c r="H719" s="7" t="s">
        <v>883</v>
      </c>
      <c r="I719" s="7" t="s">
        <v>878</v>
      </c>
      <c r="J719" s="7" t="s">
        <v>882</v>
      </c>
      <c r="M719" s="7"/>
      <c r="N719" s="7" t="s">
        <v>875</v>
      </c>
      <c r="O719" s="126"/>
      <c r="P719" s="126"/>
    </row>
    <row r="720" spans="1:16" ht="15.75" customHeight="1">
      <c r="A720" s="126">
        <v>46230.015752314801</v>
      </c>
      <c r="B720" s="7">
        <v>12</v>
      </c>
      <c r="C720" s="7">
        <v>457</v>
      </c>
      <c r="D720" s="7"/>
      <c r="E720" s="7" t="s">
        <v>976</v>
      </c>
      <c r="F720" s="7" t="s">
        <v>293</v>
      </c>
      <c r="G720" s="7">
        <v>176</v>
      </c>
      <c r="H720" s="7" t="s">
        <v>884</v>
      </c>
      <c r="I720" s="7" t="s">
        <v>878</v>
      </c>
      <c r="J720" s="7" t="s">
        <v>882</v>
      </c>
      <c r="M720" s="7">
        <v>100</v>
      </c>
      <c r="N720" s="7">
        <v>100</v>
      </c>
      <c r="O720" s="126">
        <v>46225.4757060185</v>
      </c>
      <c r="P720" s="126">
        <v>46225.4757060185</v>
      </c>
    </row>
    <row r="721" spans="1:16" ht="15.75" customHeight="1">
      <c r="A721" s="126">
        <v>46230.015752314801</v>
      </c>
      <c r="B721" s="7">
        <v>12</v>
      </c>
      <c r="C721" s="7">
        <v>457</v>
      </c>
      <c r="D721" s="7"/>
      <c r="E721" s="7" t="s">
        <v>976</v>
      </c>
      <c r="F721" s="7" t="s">
        <v>293</v>
      </c>
      <c r="G721" s="7">
        <v>168</v>
      </c>
      <c r="H721" s="7" t="s">
        <v>885</v>
      </c>
      <c r="I721" s="7" t="s">
        <v>886</v>
      </c>
      <c r="M721" s="7">
        <v>100</v>
      </c>
      <c r="N721" s="7">
        <v>100</v>
      </c>
      <c r="P721" s="126">
        <v>46209.706932870402</v>
      </c>
    </row>
    <row r="722" spans="1:16" ht="15.75" customHeight="1">
      <c r="A722" s="126">
        <v>46230.015752314801</v>
      </c>
      <c r="B722" s="7">
        <v>12</v>
      </c>
      <c r="C722" s="7">
        <v>605</v>
      </c>
      <c r="E722" s="7" t="s">
        <v>977</v>
      </c>
      <c r="F722" s="7" t="s">
        <v>120</v>
      </c>
      <c r="G722" s="7">
        <v>181</v>
      </c>
      <c r="H722" s="7" t="s">
        <v>873</v>
      </c>
      <c r="I722" s="7" t="s">
        <v>874</v>
      </c>
      <c r="J722" s="7"/>
      <c r="M722" s="7"/>
      <c r="N722" s="7" t="s">
        <v>875</v>
      </c>
      <c r="O722" s="126"/>
      <c r="P722" s="126"/>
    </row>
    <row r="723" spans="1:16" ht="15.75" customHeight="1">
      <c r="A723" s="126">
        <v>46230.015752314801</v>
      </c>
      <c r="B723" s="7">
        <v>12</v>
      </c>
      <c r="C723" s="7">
        <v>605</v>
      </c>
      <c r="E723" s="7" t="s">
        <v>977</v>
      </c>
      <c r="F723" s="7" t="s">
        <v>120</v>
      </c>
      <c r="G723" s="7">
        <v>182</v>
      </c>
      <c r="H723" s="7" t="s">
        <v>876</v>
      </c>
      <c r="I723" s="7" t="s">
        <v>874</v>
      </c>
      <c r="J723" s="7"/>
      <c r="M723" s="7"/>
      <c r="N723" s="7" t="s">
        <v>875</v>
      </c>
      <c r="O723" s="126"/>
      <c r="P723" s="126"/>
    </row>
    <row r="724" spans="1:16" ht="15.75" customHeight="1">
      <c r="A724" s="126">
        <v>46230.015752314801</v>
      </c>
      <c r="B724" s="7">
        <v>12</v>
      </c>
      <c r="C724" s="7">
        <v>605</v>
      </c>
      <c r="E724" s="7" t="s">
        <v>977</v>
      </c>
      <c r="F724" s="7" t="s">
        <v>120</v>
      </c>
      <c r="G724" s="7">
        <v>174</v>
      </c>
      <c r="H724" s="7" t="s">
        <v>877</v>
      </c>
      <c r="I724" s="7" t="s">
        <v>878</v>
      </c>
      <c r="J724" s="7" t="s">
        <v>879</v>
      </c>
      <c r="M724" s="7">
        <v>100</v>
      </c>
      <c r="N724" s="7">
        <v>100</v>
      </c>
      <c r="O724" s="126"/>
      <c r="P724" s="126">
        <v>46209.706944444399</v>
      </c>
    </row>
    <row r="725" spans="1:16" ht="15.75" customHeight="1">
      <c r="A725" s="126">
        <v>46230.015752314801</v>
      </c>
      <c r="B725" s="7">
        <v>12</v>
      </c>
      <c r="C725" s="7">
        <v>605</v>
      </c>
      <c r="E725" s="7" t="s">
        <v>977</v>
      </c>
      <c r="F725" s="7" t="s">
        <v>120</v>
      </c>
      <c r="G725" s="7">
        <v>180</v>
      </c>
      <c r="H725" s="7" t="s">
        <v>880</v>
      </c>
      <c r="I725" s="7" t="s">
        <v>874</v>
      </c>
      <c r="J725" s="7"/>
      <c r="M725" s="7"/>
      <c r="N725" s="7" t="s">
        <v>875</v>
      </c>
      <c r="O725" s="126"/>
      <c r="P725" s="126"/>
    </row>
    <row r="726" spans="1:16" ht="15.75" customHeight="1">
      <c r="A726" s="126">
        <v>46230.015752314801</v>
      </c>
      <c r="B726" s="7">
        <v>12</v>
      </c>
      <c r="C726" s="7">
        <v>605</v>
      </c>
      <c r="E726" s="7" t="s">
        <v>977</v>
      </c>
      <c r="F726" s="7" t="s">
        <v>120</v>
      </c>
      <c r="G726" s="7">
        <v>175</v>
      </c>
      <c r="H726" s="7" t="s">
        <v>881</v>
      </c>
      <c r="I726" s="7" t="s">
        <v>878</v>
      </c>
      <c r="J726" s="7" t="s">
        <v>882</v>
      </c>
      <c r="M726" s="7">
        <v>87.5</v>
      </c>
      <c r="N726" s="7">
        <v>87.5</v>
      </c>
      <c r="O726" s="126">
        <v>46215.4368287037</v>
      </c>
      <c r="P726" s="126">
        <v>46215.4368287037</v>
      </c>
    </row>
    <row r="727" spans="1:16" ht="15.75" customHeight="1">
      <c r="A727" s="126">
        <v>46230.015752314801</v>
      </c>
      <c r="B727" s="7">
        <v>12</v>
      </c>
      <c r="C727" s="7">
        <v>605</v>
      </c>
      <c r="E727" s="7" t="s">
        <v>977</v>
      </c>
      <c r="F727" s="7" t="s">
        <v>120</v>
      </c>
      <c r="G727" s="7">
        <v>177</v>
      </c>
      <c r="H727" s="7" t="s">
        <v>883</v>
      </c>
      <c r="I727" s="7" t="s">
        <v>878</v>
      </c>
      <c r="J727" s="7" t="s">
        <v>882</v>
      </c>
      <c r="M727" s="7"/>
      <c r="N727" s="7" t="s">
        <v>875</v>
      </c>
      <c r="P727" s="126"/>
    </row>
    <row r="728" spans="1:16" ht="15.75" customHeight="1">
      <c r="A728" s="126">
        <v>46230.015752314801</v>
      </c>
      <c r="B728" s="7">
        <v>12</v>
      </c>
      <c r="C728" s="7">
        <v>605</v>
      </c>
      <c r="D728" s="7"/>
      <c r="E728" s="7" t="s">
        <v>977</v>
      </c>
      <c r="F728" s="7" t="s">
        <v>120</v>
      </c>
      <c r="G728" s="7">
        <v>176</v>
      </c>
      <c r="H728" s="7" t="s">
        <v>884</v>
      </c>
      <c r="I728" s="7" t="s">
        <v>878</v>
      </c>
      <c r="J728" s="7" t="s">
        <v>882</v>
      </c>
      <c r="M728" s="7">
        <v>95</v>
      </c>
      <c r="N728" s="7">
        <v>95</v>
      </c>
      <c r="O728" s="126">
        <v>46228.515706018501</v>
      </c>
      <c r="P728" s="126">
        <v>46228.515706018501</v>
      </c>
    </row>
    <row r="729" spans="1:16" ht="15.75" customHeight="1">
      <c r="A729" s="126">
        <v>46230.015752314801</v>
      </c>
      <c r="B729" s="7">
        <v>12</v>
      </c>
      <c r="C729" s="7">
        <v>605</v>
      </c>
      <c r="D729" s="7"/>
      <c r="E729" s="7" t="s">
        <v>977</v>
      </c>
      <c r="F729" s="7" t="s">
        <v>120</v>
      </c>
      <c r="G729" s="7">
        <v>168</v>
      </c>
      <c r="H729" s="7" t="s">
        <v>885</v>
      </c>
      <c r="I729" s="7" t="s">
        <v>886</v>
      </c>
      <c r="J729" s="7"/>
      <c r="M729" s="7">
        <v>100</v>
      </c>
      <c r="N729" s="7">
        <v>100</v>
      </c>
      <c r="O729" s="126"/>
      <c r="P729" s="126">
        <v>46209.706944444399</v>
      </c>
    </row>
    <row r="730" spans="1:16" ht="15.75" customHeight="1">
      <c r="A730" s="126">
        <v>46230.015752314801</v>
      </c>
      <c r="B730" s="7">
        <v>12</v>
      </c>
      <c r="C730" s="7">
        <v>709</v>
      </c>
      <c r="D730" s="7"/>
      <c r="E730" s="7" t="s">
        <v>978</v>
      </c>
      <c r="F730" s="7" t="s">
        <v>633</v>
      </c>
      <c r="G730" s="7">
        <v>181</v>
      </c>
      <c r="H730" s="7" t="s">
        <v>873</v>
      </c>
      <c r="I730" s="7" t="s">
        <v>874</v>
      </c>
      <c r="J730" s="7"/>
      <c r="M730" s="7"/>
      <c r="N730" s="7" t="s">
        <v>875</v>
      </c>
      <c r="O730" s="126"/>
      <c r="P730" s="126"/>
    </row>
    <row r="731" spans="1:16" ht="15.75" customHeight="1">
      <c r="A731" s="126">
        <v>46230.015752314801</v>
      </c>
      <c r="B731" s="7">
        <v>12</v>
      </c>
      <c r="C731" s="7">
        <v>709</v>
      </c>
      <c r="D731" s="7"/>
      <c r="E731" s="7" t="s">
        <v>978</v>
      </c>
      <c r="F731" s="7" t="s">
        <v>633</v>
      </c>
      <c r="G731" s="7">
        <v>182</v>
      </c>
      <c r="H731" s="7" t="s">
        <v>876</v>
      </c>
      <c r="I731" s="7" t="s">
        <v>874</v>
      </c>
      <c r="J731" s="7"/>
      <c r="M731" s="7"/>
      <c r="N731" s="7" t="s">
        <v>875</v>
      </c>
      <c r="P731" s="126"/>
    </row>
    <row r="732" spans="1:16" ht="15.75" customHeight="1">
      <c r="A732" s="126">
        <v>46230.015752314801</v>
      </c>
      <c r="B732" s="7">
        <v>12</v>
      </c>
      <c r="C732" s="7">
        <v>709</v>
      </c>
      <c r="D732" s="7"/>
      <c r="E732" s="7" t="s">
        <v>978</v>
      </c>
      <c r="F732" s="7" t="s">
        <v>633</v>
      </c>
      <c r="G732" s="7">
        <v>174</v>
      </c>
      <c r="H732" s="7" t="s">
        <v>877</v>
      </c>
      <c r="I732" s="7" t="s">
        <v>878</v>
      </c>
      <c r="J732" s="7" t="s">
        <v>879</v>
      </c>
      <c r="M732" s="7">
        <v>100</v>
      </c>
      <c r="N732" s="7">
        <v>100</v>
      </c>
      <c r="P732" s="126">
        <v>46209.709745370397</v>
      </c>
    </row>
    <row r="733" spans="1:16" ht="15.75" customHeight="1">
      <c r="A733" s="126">
        <v>46230.015752314801</v>
      </c>
      <c r="B733" s="7">
        <v>12</v>
      </c>
      <c r="C733" s="7">
        <v>709</v>
      </c>
      <c r="D733" s="7"/>
      <c r="E733" s="7" t="s">
        <v>978</v>
      </c>
      <c r="F733" s="7" t="s">
        <v>633</v>
      </c>
      <c r="G733" s="7">
        <v>180</v>
      </c>
      <c r="H733" s="7" t="s">
        <v>880</v>
      </c>
      <c r="I733" s="7" t="s">
        <v>874</v>
      </c>
      <c r="J733" s="7"/>
      <c r="M733" s="7"/>
      <c r="N733" s="7" t="s">
        <v>875</v>
      </c>
      <c r="P733" s="126"/>
    </row>
    <row r="734" spans="1:16" ht="15.75" customHeight="1">
      <c r="A734" s="126">
        <v>46230.015752314801</v>
      </c>
      <c r="B734" s="7">
        <v>12</v>
      </c>
      <c r="C734" s="7">
        <v>709</v>
      </c>
      <c r="D734" s="7"/>
      <c r="E734" s="7" t="s">
        <v>978</v>
      </c>
      <c r="F734" s="7" t="s">
        <v>633</v>
      </c>
      <c r="G734" s="7">
        <v>175</v>
      </c>
      <c r="H734" s="7" t="s">
        <v>881</v>
      </c>
      <c r="I734" s="7" t="s">
        <v>878</v>
      </c>
      <c r="J734" s="7" t="s">
        <v>882</v>
      </c>
      <c r="M734" s="7">
        <v>100</v>
      </c>
      <c r="N734" s="7">
        <v>100</v>
      </c>
      <c r="O734" s="126">
        <v>46214.719004629602</v>
      </c>
      <c r="P734" s="126">
        <v>46214.719004629602</v>
      </c>
    </row>
    <row r="735" spans="1:16" ht="15.75" customHeight="1">
      <c r="A735" s="126">
        <v>46230.015752314801</v>
      </c>
      <c r="B735" s="7">
        <v>12</v>
      </c>
      <c r="C735" s="7">
        <v>709</v>
      </c>
      <c r="D735" s="7"/>
      <c r="E735" s="7" t="s">
        <v>978</v>
      </c>
      <c r="F735" s="7" t="s">
        <v>633</v>
      </c>
      <c r="G735" s="7">
        <v>177</v>
      </c>
      <c r="H735" s="7" t="s">
        <v>883</v>
      </c>
      <c r="I735" s="7" t="s">
        <v>878</v>
      </c>
      <c r="J735" s="7" t="s">
        <v>882</v>
      </c>
      <c r="M735" s="7"/>
      <c r="N735" s="7" t="s">
        <v>875</v>
      </c>
      <c r="O735" s="126"/>
      <c r="P735" s="126"/>
    </row>
    <row r="736" spans="1:16" ht="15.75" customHeight="1">
      <c r="A736" s="126">
        <v>46230.015752314801</v>
      </c>
      <c r="B736" s="7">
        <v>12</v>
      </c>
      <c r="C736" s="7">
        <v>709</v>
      </c>
      <c r="D736" s="7"/>
      <c r="E736" s="7" t="s">
        <v>978</v>
      </c>
      <c r="F736" s="7" t="s">
        <v>633</v>
      </c>
      <c r="G736" s="7">
        <v>176</v>
      </c>
      <c r="H736" s="7" t="s">
        <v>884</v>
      </c>
      <c r="I736" s="7" t="s">
        <v>878</v>
      </c>
      <c r="J736" s="7" t="s">
        <v>882</v>
      </c>
      <c r="M736" s="7">
        <v>100</v>
      </c>
      <c r="N736" s="7">
        <v>100</v>
      </c>
      <c r="O736" s="126">
        <v>46223.928391203699</v>
      </c>
      <c r="P736" s="126">
        <v>46223.928391203699</v>
      </c>
    </row>
    <row r="737" spans="1:16" ht="15.75" customHeight="1">
      <c r="A737" s="126">
        <v>46230.015752314801</v>
      </c>
      <c r="B737" s="7">
        <v>12</v>
      </c>
      <c r="C737" s="7">
        <v>709</v>
      </c>
      <c r="D737" s="7"/>
      <c r="E737" s="7" t="s">
        <v>978</v>
      </c>
      <c r="F737" s="7" t="s">
        <v>633</v>
      </c>
      <c r="G737" s="7">
        <v>168</v>
      </c>
      <c r="H737" s="7" t="s">
        <v>885</v>
      </c>
      <c r="I737" s="7" t="s">
        <v>886</v>
      </c>
      <c r="J737" s="7"/>
      <c r="M737" s="7">
        <v>100</v>
      </c>
      <c r="N737" s="7">
        <v>100</v>
      </c>
      <c r="O737" s="126"/>
      <c r="P737" s="126">
        <v>46209.709745370397</v>
      </c>
    </row>
    <row r="738" spans="1:16" ht="15.75" customHeight="1">
      <c r="A738" s="126">
        <v>46230.015752314801</v>
      </c>
      <c r="B738" s="7">
        <v>12</v>
      </c>
      <c r="C738" s="7">
        <v>697</v>
      </c>
      <c r="D738" s="7"/>
      <c r="E738" s="7" t="s">
        <v>979</v>
      </c>
      <c r="F738" s="7" t="s">
        <v>761</v>
      </c>
      <c r="G738" s="7">
        <v>181</v>
      </c>
      <c r="H738" s="7" t="s">
        <v>873</v>
      </c>
      <c r="I738" s="7" t="s">
        <v>874</v>
      </c>
      <c r="J738" s="7"/>
      <c r="M738" s="7"/>
      <c r="N738" s="7" t="s">
        <v>875</v>
      </c>
      <c r="O738" s="126"/>
      <c r="P738" s="126"/>
    </row>
    <row r="739" spans="1:16" ht="15.75" customHeight="1">
      <c r="A739" s="126">
        <v>46230.015752314801</v>
      </c>
      <c r="B739" s="7">
        <v>12</v>
      </c>
      <c r="C739" s="7">
        <v>697</v>
      </c>
      <c r="D739" s="7"/>
      <c r="E739" s="7" t="s">
        <v>979</v>
      </c>
      <c r="F739" s="7" t="s">
        <v>761</v>
      </c>
      <c r="G739" s="7">
        <v>182</v>
      </c>
      <c r="H739" s="7" t="s">
        <v>876</v>
      </c>
      <c r="I739" s="7" t="s">
        <v>874</v>
      </c>
      <c r="J739" s="7"/>
      <c r="M739" s="7"/>
      <c r="N739" s="7" t="s">
        <v>875</v>
      </c>
      <c r="P739" s="126"/>
    </row>
    <row r="740" spans="1:16" ht="15.75" customHeight="1">
      <c r="A740" s="126">
        <v>46230.015752314801</v>
      </c>
      <c r="B740" s="7">
        <v>12</v>
      </c>
      <c r="C740" s="7">
        <v>697</v>
      </c>
      <c r="E740" s="7" t="s">
        <v>979</v>
      </c>
      <c r="F740" s="7" t="s">
        <v>761</v>
      </c>
      <c r="G740" s="7">
        <v>174</v>
      </c>
      <c r="H740" s="7" t="s">
        <v>877</v>
      </c>
      <c r="I740" s="7" t="s">
        <v>878</v>
      </c>
      <c r="J740" s="7" t="s">
        <v>879</v>
      </c>
      <c r="M740" s="7">
        <v>100</v>
      </c>
      <c r="N740" s="7">
        <v>100</v>
      </c>
      <c r="O740" s="126"/>
      <c r="P740" s="126">
        <v>46209.709745370397</v>
      </c>
    </row>
    <row r="741" spans="1:16" ht="15.75" customHeight="1">
      <c r="A741" s="126">
        <v>46230.015752314801</v>
      </c>
      <c r="B741" s="7">
        <v>12</v>
      </c>
      <c r="C741" s="7">
        <v>697</v>
      </c>
      <c r="E741" s="7" t="s">
        <v>979</v>
      </c>
      <c r="F741" s="7" t="s">
        <v>761</v>
      </c>
      <c r="G741" s="7">
        <v>180</v>
      </c>
      <c r="H741" s="7" t="s">
        <v>880</v>
      </c>
      <c r="I741" s="7" t="s">
        <v>874</v>
      </c>
      <c r="J741" s="7"/>
      <c r="M741" s="7"/>
      <c r="N741" s="7" t="s">
        <v>875</v>
      </c>
      <c r="O741" s="126"/>
      <c r="P741" s="126"/>
    </row>
    <row r="742" spans="1:16" ht="15.75" customHeight="1">
      <c r="A742" s="126">
        <v>46230.015752314801</v>
      </c>
      <c r="B742" s="7">
        <v>12</v>
      </c>
      <c r="C742" s="7">
        <v>697</v>
      </c>
      <c r="E742" s="7" t="s">
        <v>979</v>
      </c>
      <c r="F742" s="7" t="s">
        <v>761</v>
      </c>
      <c r="G742" s="7">
        <v>175</v>
      </c>
      <c r="H742" s="7" t="s">
        <v>881</v>
      </c>
      <c r="I742" s="7" t="s">
        <v>878</v>
      </c>
      <c r="J742" s="7" t="s">
        <v>882</v>
      </c>
      <c r="M742" s="7">
        <v>100</v>
      </c>
      <c r="N742" s="7">
        <v>100</v>
      </c>
      <c r="O742" s="126">
        <v>46225.469988425903</v>
      </c>
      <c r="P742" s="126">
        <v>46225.469988425903</v>
      </c>
    </row>
    <row r="743" spans="1:16" ht="15.75" customHeight="1">
      <c r="A743" s="126">
        <v>46230.015752314801</v>
      </c>
      <c r="B743" s="7">
        <v>12</v>
      </c>
      <c r="C743" s="7">
        <v>697</v>
      </c>
      <c r="E743" s="7" t="s">
        <v>979</v>
      </c>
      <c r="F743" s="7" t="s">
        <v>761</v>
      </c>
      <c r="G743" s="7">
        <v>177</v>
      </c>
      <c r="H743" s="7" t="s">
        <v>883</v>
      </c>
      <c r="I743" s="7" t="s">
        <v>878</v>
      </c>
      <c r="J743" s="7" t="s">
        <v>882</v>
      </c>
      <c r="M743" s="7"/>
      <c r="N743" s="7" t="s">
        <v>875</v>
      </c>
      <c r="P743" s="126"/>
    </row>
    <row r="744" spans="1:16" ht="15.75" customHeight="1">
      <c r="A744" s="126">
        <v>46230.015752314801</v>
      </c>
      <c r="B744" s="7">
        <v>12</v>
      </c>
      <c r="C744" s="7">
        <v>697</v>
      </c>
      <c r="E744" s="7" t="s">
        <v>979</v>
      </c>
      <c r="F744" s="7" t="s">
        <v>761</v>
      </c>
      <c r="G744" s="7">
        <v>176</v>
      </c>
      <c r="H744" s="7" t="s">
        <v>884</v>
      </c>
      <c r="I744" s="7" t="s">
        <v>878</v>
      </c>
      <c r="J744" s="7" t="s">
        <v>882</v>
      </c>
      <c r="M744" s="7">
        <v>100</v>
      </c>
      <c r="N744" s="7">
        <v>100</v>
      </c>
      <c r="O744" s="126">
        <v>46225.4214236111</v>
      </c>
      <c r="P744" s="126">
        <v>46225.4214236111</v>
      </c>
    </row>
    <row r="745" spans="1:16" ht="15.75" customHeight="1">
      <c r="A745" s="126">
        <v>46230.015752314801</v>
      </c>
      <c r="B745" s="7">
        <v>12</v>
      </c>
      <c r="C745" s="7">
        <v>697</v>
      </c>
      <c r="E745" s="7" t="s">
        <v>979</v>
      </c>
      <c r="F745" s="7" t="s">
        <v>761</v>
      </c>
      <c r="G745" s="7">
        <v>168</v>
      </c>
      <c r="H745" s="7" t="s">
        <v>885</v>
      </c>
      <c r="I745" s="7" t="s">
        <v>886</v>
      </c>
      <c r="J745" s="7"/>
      <c r="M745" s="7">
        <v>100</v>
      </c>
      <c r="N745" s="7">
        <v>100</v>
      </c>
      <c r="P745" s="126">
        <v>46209.709745370397</v>
      </c>
    </row>
    <row r="746" spans="1:16" ht="15.75" customHeight="1">
      <c r="A746" s="126">
        <v>46230.015752314801</v>
      </c>
      <c r="B746" s="7">
        <v>12</v>
      </c>
      <c r="C746" s="7">
        <v>269</v>
      </c>
      <c r="E746" s="7" t="s">
        <v>980</v>
      </c>
      <c r="F746" s="7" t="s">
        <v>383</v>
      </c>
      <c r="G746" s="7">
        <v>181</v>
      </c>
      <c r="H746" s="7" t="s">
        <v>873</v>
      </c>
      <c r="I746" s="7" t="s">
        <v>874</v>
      </c>
      <c r="J746" s="7"/>
      <c r="M746" s="7"/>
      <c r="N746" s="7" t="s">
        <v>875</v>
      </c>
      <c r="O746" s="126"/>
      <c r="P746" s="126"/>
    </row>
    <row r="747" spans="1:16" ht="15.75" customHeight="1">
      <c r="A747" s="126">
        <v>46230.015752314801</v>
      </c>
      <c r="B747" s="7">
        <v>12</v>
      </c>
      <c r="C747" s="7">
        <v>269</v>
      </c>
      <c r="E747" s="7" t="s">
        <v>980</v>
      </c>
      <c r="F747" s="7" t="s">
        <v>383</v>
      </c>
      <c r="G747" s="7">
        <v>182</v>
      </c>
      <c r="H747" s="7" t="s">
        <v>876</v>
      </c>
      <c r="I747" s="7" t="s">
        <v>874</v>
      </c>
      <c r="J747" s="7"/>
      <c r="M747" s="7"/>
      <c r="N747" s="7" t="s">
        <v>875</v>
      </c>
      <c r="O747" s="126"/>
      <c r="P747" s="126"/>
    </row>
    <row r="748" spans="1:16" ht="15.75" customHeight="1">
      <c r="A748" s="126">
        <v>46230.015752314801</v>
      </c>
      <c r="B748" s="7">
        <v>12</v>
      </c>
      <c r="C748" s="7">
        <v>269</v>
      </c>
      <c r="E748" s="7" t="s">
        <v>980</v>
      </c>
      <c r="F748" s="7" t="s">
        <v>383</v>
      </c>
      <c r="G748" s="7">
        <v>174</v>
      </c>
      <c r="H748" s="7" t="s">
        <v>877</v>
      </c>
      <c r="I748" s="7" t="s">
        <v>878</v>
      </c>
      <c r="J748" s="7" t="s">
        <v>879</v>
      </c>
      <c r="M748" s="7">
        <v>100</v>
      </c>
      <c r="N748" s="7">
        <v>100</v>
      </c>
      <c r="O748" s="126"/>
      <c r="P748" s="126">
        <v>46209.706932870402</v>
      </c>
    </row>
    <row r="749" spans="1:16" ht="15.75" customHeight="1">
      <c r="A749" s="126">
        <v>46230.015752314801</v>
      </c>
      <c r="B749" s="7">
        <v>12</v>
      </c>
      <c r="C749" s="7">
        <v>269</v>
      </c>
      <c r="E749" s="7" t="s">
        <v>980</v>
      </c>
      <c r="F749" s="7" t="s">
        <v>383</v>
      </c>
      <c r="G749" s="7">
        <v>180</v>
      </c>
      <c r="H749" s="7" t="s">
        <v>880</v>
      </c>
      <c r="I749" s="7" t="s">
        <v>874</v>
      </c>
      <c r="J749" s="7"/>
      <c r="M749" s="7"/>
      <c r="N749" s="7" t="s">
        <v>875</v>
      </c>
      <c r="O749" s="126"/>
      <c r="P749" s="126"/>
    </row>
    <row r="750" spans="1:16" ht="15.75" customHeight="1">
      <c r="A750" s="126">
        <v>46230.015752314801</v>
      </c>
      <c r="B750" s="7">
        <v>12</v>
      </c>
      <c r="C750" s="7">
        <v>269</v>
      </c>
      <c r="E750" s="7" t="s">
        <v>980</v>
      </c>
      <c r="F750" s="7" t="s">
        <v>383</v>
      </c>
      <c r="G750" s="7">
        <v>175</v>
      </c>
      <c r="H750" s="7" t="s">
        <v>881</v>
      </c>
      <c r="I750" s="7" t="s">
        <v>878</v>
      </c>
      <c r="J750" s="7" t="s">
        <v>882</v>
      </c>
      <c r="M750" s="7">
        <v>100</v>
      </c>
      <c r="N750" s="7">
        <v>100</v>
      </c>
      <c r="O750" s="126">
        <v>46215.554351851897</v>
      </c>
      <c r="P750" s="126">
        <v>46215.554351851897</v>
      </c>
    </row>
    <row r="751" spans="1:16" ht="15.75" customHeight="1">
      <c r="A751" s="126">
        <v>46230.015752314801</v>
      </c>
      <c r="B751" s="7">
        <v>12</v>
      </c>
      <c r="C751" s="7">
        <v>269</v>
      </c>
      <c r="E751" s="7" t="s">
        <v>980</v>
      </c>
      <c r="F751" s="7" t="s">
        <v>383</v>
      </c>
      <c r="G751" s="7">
        <v>177</v>
      </c>
      <c r="H751" s="7" t="s">
        <v>883</v>
      </c>
      <c r="I751" s="7" t="s">
        <v>878</v>
      </c>
      <c r="J751" s="7" t="s">
        <v>882</v>
      </c>
      <c r="M751" s="7"/>
      <c r="N751" s="7" t="s">
        <v>875</v>
      </c>
      <c r="P751" s="126"/>
    </row>
    <row r="752" spans="1:16" ht="15.75" customHeight="1">
      <c r="A752" s="126">
        <v>46230.015752314801</v>
      </c>
      <c r="B752" s="7">
        <v>12</v>
      </c>
      <c r="C752" s="7">
        <v>269</v>
      </c>
      <c r="D752" s="7"/>
      <c r="E752" s="7" t="s">
        <v>980</v>
      </c>
      <c r="F752" s="7" t="s">
        <v>383</v>
      </c>
      <c r="G752" s="7">
        <v>176</v>
      </c>
      <c r="H752" s="7" t="s">
        <v>884</v>
      </c>
      <c r="I752" s="7" t="s">
        <v>878</v>
      </c>
      <c r="J752" s="7" t="s">
        <v>882</v>
      </c>
      <c r="M752" s="7">
        <v>100</v>
      </c>
      <c r="N752" s="7">
        <v>100</v>
      </c>
      <c r="O752" s="126">
        <v>46223.918032407397</v>
      </c>
      <c r="P752" s="126">
        <v>46223.918032407397</v>
      </c>
    </row>
    <row r="753" spans="1:16" ht="15.75" customHeight="1">
      <c r="A753" s="126">
        <v>46230.015752314801</v>
      </c>
      <c r="B753" s="7">
        <v>12</v>
      </c>
      <c r="C753" s="7">
        <v>269</v>
      </c>
      <c r="D753" s="7"/>
      <c r="E753" s="7" t="s">
        <v>980</v>
      </c>
      <c r="F753" s="7" t="s">
        <v>383</v>
      </c>
      <c r="G753" s="7">
        <v>168</v>
      </c>
      <c r="H753" s="7" t="s">
        <v>885</v>
      </c>
      <c r="I753" s="7" t="s">
        <v>886</v>
      </c>
      <c r="J753" s="7"/>
      <c r="M753" s="7">
        <v>100</v>
      </c>
      <c r="N753" s="7">
        <v>100</v>
      </c>
      <c r="O753" s="126"/>
      <c r="P753" s="126">
        <v>46209.706932870402</v>
      </c>
    </row>
    <row r="754" spans="1:16" ht="15.75" customHeight="1">
      <c r="A754" s="126">
        <v>46230.015752314801</v>
      </c>
      <c r="B754" s="7">
        <v>12</v>
      </c>
      <c r="C754" s="7">
        <v>787</v>
      </c>
      <c r="D754" s="7"/>
      <c r="E754" s="7" t="s">
        <v>981</v>
      </c>
      <c r="F754" s="7" t="s">
        <v>28</v>
      </c>
      <c r="G754" s="7">
        <v>181</v>
      </c>
      <c r="H754" s="7" t="s">
        <v>873</v>
      </c>
      <c r="I754" s="7" t="s">
        <v>874</v>
      </c>
      <c r="J754" s="7"/>
      <c r="M754" s="7"/>
      <c r="N754" s="7" t="s">
        <v>875</v>
      </c>
      <c r="O754" s="126"/>
      <c r="P754" s="126"/>
    </row>
    <row r="755" spans="1:16" ht="15.75" customHeight="1">
      <c r="A755" s="126">
        <v>46230.015752314801</v>
      </c>
      <c r="B755" s="7">
        <v>12</v>
      </c>
      <c r="C755" s="7">
        <v>787</v>
      </c>
      <c r="D755" s="7"/>
      <c r="E755" s="7" t="s">
        <v>981</v>
      </c>
      <c r="F755" s="7" t="s">
        <v>28</v>
      </c>
      <c r="G755" s="7">
        <v>182</v>
      </c>
      <c r="H755" s="7" t="s">
        <v>876</v>
      </c>
      <c r="I755" s="7" t="s">
        <v>874</v>
      </c>
      <c r="J755" s="7"/>
      <c r="M755" s="7"/>
      <c r="N755" s="7" t="s">
        <v>875</v>
      </c>
      <c r="O755" s="126"/>
      <c r="P755" s="126"/>
    </row>
    <row r="756" spans="1:16" ht="15.75" customHeight="1">
      <c r="A756" s="126">
        <v>46230.015752314801</v>
      </c>
      <c r="B756" s="7">
        <v>12</v>
      </c>
      <c r="C756" s="7">
        <v>787</v>
      </c>
      <c r="D756" s="7"/>
      <c r="E756" s="7" t="s">
        <v>981</v>
      </c>
      <c r="F756" s="7" t="s">
        <v>28</v>
      </c>
      <c r="G756" s="7">
        <v>174</v>
      </c>
      <c r="H756" s="7" t="s">
        <v>877</v>
      </c>
      <c r="I756" s="7" t="s">
        <v>878</v>
      </c>
      <c r="J756" s="7" t="s">
        <v>879</v>
      </c>
      <c r="M756" s="7">
        <v>100</v>
      </c>
      <c r="N756" s="7">
        <v>100</v>
      </c>
      <c r="P756" s="126">
        <v>46212.434930555602</v>
      </c>
    </row>
    <row r="757" spans="1:16" ht="15.75" customHeight="1">
      <c r="A757" s="126">
        <v>46230.015752314801</v>
      </c>
      <c r="B757" s="7">
        <v>12</v>
      </c>
      <c r="C757" s="7">
        <v>787</v>
      </c>
      <c r="D757" s="7"/>
      <c r="E757" s="7" t="s">
        <v>981</v>
      </c>
      <c r="F757" s="7" t="s">
        <v>28</v>
      </c>
      <c r="G757" s="7">
        <v>180</v>
      </c>
      <c r="H757" s="7" t="s">
        <v>880</v>
      </c>
      <c r="I757" s="7" t="s">
        <v>874</v>
      </c>
      <c r="J757" s="7"/>
      <c r="M757" s="7"/>
      <c r="N757" s="7" t="s">
        <v>875</v>
      </c>
      <c r="O757" s="126"/>
      <c r="P757" s="126"/>
    </row>
    <row r="758" spans="1:16" ht="15.75" customHeight="1">
      <c r="A758" s="126">
        <v>46230.015752314801</v>
      </c>
      <c r="B758" s="7">
        <v>12</v>
      </c>
      <c r="C758" s="7">
        <v>787</v>
      </c>
      <c r="D758" s="7"/>
      <c r="E758" s="7" t="s">
        <v>981</v>
      </c>
      <c r="F758" s="7" t="s">
        <v>28</v>
      </c>
      <c r="G758" s="7">
        <v>175</v>
      </c>
      <c r="H758" s="7" t="s">
        <v>881</v>
      </c>
      <c r="I758" s="7" t="s">
        <v>878</v>
      </c>
      <c r="J758" s="7" t="s">
        <v>882</v>
      </c>
      <c r="M758" s="7">
        <v>100</v>
      </c>
      <c r="N758" s="7">
        <v>100</v>
      </c>
      <c r="O758" s="126">
        <v>46216.756678240701</v>
      </c>
      <c r="P758" s="126">
        <v>46216.756678240701</v>
      </c>
    </row>
    <row r="759" spans="1:16" ht="15.75" customHeight="1">
      <c r="A759" s="126">
        <v>46230.015752314801</v>
      </c>
      <c r="B759" s="7">
        <v>12</v>
      </c>
      <c r="C759" s="7">
        <v>787</v>
      </c>
      <c r="D759" s="7"/>
      <c r="E759" s="7" t="s">
        <v>981</v>
      </c>
      <c r="F759" s="7" t="s">
        <v>28</v>
      </c>
      <c r="G759" s="7">
        <v>177</v>
      </c>
      <c r="H759" s="7" t="s">
        <v>883</v>
      </c>
      <c r="I759" s="7" t="s">
        <v>878</v>
      </c>
      <c r="J759" s="7" t="s">
        <v>882</v>
      </c>
      <c r="M759" s="7"/>
      <c r="N759" s="7" t="s">
        <v>875</v>
      </c>
      <c r="O759" s="126"/>
      <c r="P759" s="126"/>
    </row>
    <row r="760" spans="1:16" ht="15.75" customHeight="1">
      <c r="A760" s="126">
        <v>46230.015752314801</v>
      </c>
      <c r="B760" s="7">
        <v>12</v>
      </c>
      <c r="C760" s="7">
        <v>787</v>
      </c>
      <c r="D760" s="7"/>
      <c r="E760" s="7" t="s">
        <v>981</v>
      </c>
      <c r="F760" s="7" t="s">
        <v>28</v>
      </c>
      <c r="G760" s="7">
        <v>176</v>
      </c>
      <c r="H760" s="7" t="s">
        <v>884</v>
      </c>
      <c r="I760" s="7" t="s">
        <v>878</v>
      </c>
      <c r="J760" s="7" t="s">
        <v>882</v>
      </c>
      <c r="M760" s="7">
        <v>100</v>
      </c>
      <c r="N760" s="7">
        <v>100</v>
      </c>
      <c r="O760" s="126">
        <v>46224.504606481503</v>
      </c>
      <c r="P760" s="126">
        <v>46224.504606481503</v>
      </c>
    </row>
    <row r="761" spans="1:16" ht="15.75" customHeight="1">
      <c r="A761" s="126">
        <v>46230.015752314801</v>
      </c>
      <c r="B761" s="7">
        <v>12</v>
      </c>
      <c r="C761" s="7">
        <v>787</v>
      </c>
      <c r="D761" s="7"/>
      <c r="E761" s="7" t="s">
        <v>981</v>
      </c>
      <c r="F761" s="7" t="s">
        <v>28</v>
      </c>
      <c r="G761" s="7">
        <v>168</v>
      </c>
      <c r="H761" s="7" t="s">
        <v>885</v>
      </c>
      <c r="I761" s="7" t="s">
        <v>886</v>
      </c>
      <c r="J761" s="7"/>
      <c r="M761" s="7">
        <v>100</v>
      </c>
      <c r="N761" s="7">
        <v>100</v>
      </c>
      <c r="P761" s="126">
        <v>46212.434930555602</v>
      </c>
    </row>
    <row r="762" spans="1:16" ht="15.75" customHeight="1">
      <c r="A762" s="126">
        <v>46230.015752314801</v>
      </c>
      <c r="B762" s="7">
        <v>12</v>
      </c>
      <c r="C762" s="7">
        <v>807</v>
      </c>
      <c r="D762" s="7"/>
      <c r="E762" s="7" t="s">
        <v>982</v>
      </c>
      <c r="F762" s="7" t="s">
        <v>299</v>
      </c>
      <c r="G762" s="7">
        <v>181</v>
      </c>
      <c r="H762" s="7" t="s">
        <v>873</v>
      </c>
      <c r="I762" s="7" t="s">
        <v>874</v>
      </c>
      <c r="J762" s="7"/>
      <c r="M762" s="7"/>
      <c r="N762" s="7" t="s">
        <v>875</v>
      </c>
      <c r="O762" s="126"/>
      <c r="P762" s="126"/>
    </row>
    <row r="763" spans="1:16" ht="15.75" customHeight="1">
      <c r="A763" s="126">
        <v>46230.015752314801</v>
      </c>
      <c r="B763" s="7">
        <v>12</v>
      </c>
      <c r="C763" s="7">
        <v>807</v>
      </c>
      <c r="D763" s="7"/>
      <c r="E763" s="7" t="s">
        <v>982</v>
      </c>
      <c r="F763" s="7" t="s">
        <v>299</v>
      </c>
      <c r="G763" s="7">
        <v>182</v>
      </c>
      <c r="H763" s="7" t="s">
        <v>876</v>
      </c>
      <c r="I763" s="7" t="s">
        <v>874</v>
      </c>
      <c r="J763" s="7"/>
      <c r="M763" s="7"/>
      <c r="N763" s="7" t="s">
        <v>875</v>
      </c>
      <c r="P763" s="126"/>
    </row>
    <row r="764" spans="1:16" ht="15.75" customHeight="1">
      <c r="A764" s="126">
        <v>46230.015752314801</v>
      </c>
      <c r="B764" s="7">
        <v>12</v>
      </c>
      <c r="C764" s="7">
        <v>807</v>
      </c>
      <c r="D764" s="7"/>
      <c r="E764" s="7" t="s">
        <v>982</v>
      </c>
      <c r="F764" s="7" t="s">
        <v>299</v>
      </c>
      <c r="G764" s="7">
        <v>174</v>
      </c>
      <c r="H764" s="7" t="s">
        <v>877</v>
      </c>
      <c r="I764" s="7" t="s">
        <v>878</v>
      </c>
      <c r="J764" s="7" t="s">
        <v>879</v>
      </c>
      <c r="M764" s="7">
        <v>100</v>
      </c>
      <c r="N764" s="7">
        <v>100</v>
      </c>
      <c r="O764" s="126"/>
      <c r="P764" s="126">
        <v>46211.229247685202</v>
      </c>
    </row>
    <row r="765" spans="1:16" ht="15.75" customHeight="1">
      <c r="A765" s="126">
        <v>46230.015752314801</v>
      </c>
      <c r="B765" s="7">
        <v>12</v>
      </c>
      <c r="C765" s="7">
        <v>807</v>
      </c>
      <c r="D765" s="7"/>
      <c r="E765" s="7" t="s">
        <v>982</v>
      </c>
      <c r="F765" s="7" t="s">
        <v>299</v>
      </c>
      <c r="G765" s="7">
        <v>180</v>
      </c>
      <c r="H765" s="7" t="s">
        <v>880</v>
      </c>
      <c r="I765" s="7" t="s">
        <v>874</v>
      </c>
      <c r="J765" s="7"/>
      <c r="M765" s="7"/>
      <c r="N765" s="7" t="s">
        <v>875</v>
      </c>
      <c r="O765" s="126"/>
      <c r="P765" s="126"/>
    </row>
    <row r="766" spans="1:16" ht="15.75" customHeight="1">
      <c r="A766" s="126">
        <v>46230.015752314801</v>
      </c>
      <c r="B766" s="7">
        <v>12</v>
      </c>
      <c r="C766" s="7">
        <v>807</v>
      </c>
      <c r="D766" s="7"/>
      <c r="E766" s="7" t="s">
        <v>982</v>
      </c>
      <c r="F766" s="7" t="s">
        <v>299</v>
      </c>
      <c r="G766" s="7">
        <v>175</v>
      </c>
      <c r="H766" s="7" t="s">
        <v>881</v>
      </c>
      <c r="I766" s="7" t="s">
        <v>878</v>
      </c>
      <c r="J766" s="7" t="s">
        <v>882</v>
      </c>
      <c r="M766" s="7">
        <v>62.5</v>
      </c>
      <c r="N766" s="7">
        <v>62.5</v>
      </c>
      <c r="O766" s="126">
        <v>46216.388564814799</v>
      </c>
      <c r="P766" s="126">
        <v>46216.388564814799</v>
      </c>
    </row>
    <row r="767" spans="1:16" ht="15.75" customHeight="1">
      <c r="A767" s="126">
        <v>46230.015752314801</v>
      </c>
      <c r="B767" s="7">
        <v>12</v>
      </c>
      <c r="C767" s="7">
        <v>807</v>
      </c>
      <c r="D767" s="7"/>
      <c r="E767" s="7" t="s">
        <v>982</v>
      </c>
      <c r="F767" s="7" t="s">
        <v>299</v>
      </c>
      <c r="G767" s="7">
        <v>177</v>
      </c>
      <c r="H767" s="7" t="s">
        <v>883</v>
      </c>
      <c r="I767" s="7" t="s">
        <v>878</v>
      </c>
      <c r="J767" s="7" t="s">
        <v>882</v>
      </c>
      <c r="N767" s="7" t="s">
        <v>875</v>
      </c>
    </row>
    <row r="768" spans="1:16" ht="15.75" customHeight="1">
      <c r="A768" s="126">
        <v>46230.015752314801</v>
      </c>
      <c r="B768" s="7">
        <v>12</v>
      </c>
      <c r="C768" s="7">
        <v>807</v>
      </c>
      <c r="D768" s="7"/>
      <c r="E768" s="7" t="s">
        <v>982</v>
      </c>
      <c r="F768" s="7" t="s">
        <v>299</v>
      </c>
      <c r="G768" s="7">
        <v>176</v>
      </c>
      <c r="H768" s="7" t="s">
        <v>884</v>
      </c>
      <c r="I768" s="7" t="s">
        <v>878</v>
      </c>
      <c r="J768" s="7" t="s">
        <v>882</v>
      </c>
      <c r="M768" s="7">
        <v>70</v>
      </c>
      <c r="N768" s="7">
        <v>70</v>
      </c>
      <c r="O768" s="126">
        <v>46228.730358796303</v>
      </c>
      <c r="P768" s="126">
        <v>46228.730358796303</v>
      </c>
    </row>
    <row r="769" spans="1:16" ht="15.75" customHeight="1">
      <c r="A769" s="126">
        <v>46230.015752314801</v>
      </c>
      <c r="B769" s="7">
        <v>12</v>
      </c>
      <c r="C769" s="7">
        <v>807</v>
      </c>
      <c r="D769" s="7"/>
      <c r="E769" s="7" t="s">
        <v>982</v>
      </c>
      <c r="F769" s="7" t="s">
        <v>299</v>
      </c>
      <c r="G769" s="7">
        <v>168</v>
      </c>
      <c r="H769" s="7" t="s">
        <v>885</v>
      </c>
      <c r="I769" s="7" t="s">
        <v>886</v>
      </c>
      <c r="J769" s="7"/>
      <c r="M769" s="7">
        <v>100</v>
      </c>
      <c r="N769" s="7">
        <v>100</v>
      </c>
      <c r="P769" s="126">
        <v>46211.229247685202</v>
      </c>
    </row>
    <row r="770" spans="1:16" ht="15.75" customHeight="1">
      <c r="A770" s="126">
        <v>46230.015752314801</v>
      </c>
      <c r="B770" s="7">
        <v>12</v>
      </c>
      <c r="C770" s="7">
        <v>720</v>
      </c>
      <c r="E770" s="7" t="s">
        <v>983</v>
      </c>
      <c r="F770" s="7" t="s">
        <v>668</v>
      </c>
      <c r="G770" s="7">
        <v>181</v>
      </c>
      <c r="H770" s="7" t="s">
        <v>873</v>
      </c>
      <c r="I770" s="7" t="s">
        <v>874</v>
      </c>
      <c r="J770" s="7"/>
      <c r="M770" s="7"/>
      <c r="N770" s="7" t="s">
        <v>875</v>
      </c>
      <c r="O770" s="126"/>
      <c r="P770" s="126"/>
    </row>
    <row r="771" spans="1:16" ht="15.75" customHeight="1">
      <c r="A771" s="126">
        <v>46230.015752314801</v>
      </c>
      <c r="B771" s="7">
        <v>12</v>
      </c>
      <c r="C771" s="7">
        <v>720</v>
      </c>
      <c r="E771" s="7" t="s">
        <v>983</v>
      </c>
      <c r="F771" s="7" t="s">
        <v>668</v>
      </c>
      <c r="G771" s="7">
        <v>182</v>
      </c>
      <c r="H771" s="7" t="s">
        <v>876</v>
      </c>
      <c r="I771" s="7" t="s">
        <v>874</v>
      </c>
      <c r="J771" s="7"/>
      <c r="M771" s="7"/>
      <c r="N771" s="7" t="s">
        <v>875</v>
      </c>
      <c r="O771" s="126"/>
      <c r="P771" s="126"/>
    </row>
    <row r="772" spans="1:16" ht="15.75" customHeight="1">
      <c r="A772" s="126">
        <v>46230.015752314801</v>
      </c>
      <c r="B772" s="7">
        <v>12</v>
      </c>
      <c r="C772" s="7">
        <v>720</v>
      </c>
      <c r="E772" s="7" t="s">
        <v>983</v>
      </c>
      <c r="F772" s="7" t="s">
        <v>668</v>
      </c>
      <c r="G772" s="7">
        <v>174</v>
      </c>
      <c r="H772" s="7" t="s">
        <v>877</v>
      </c>
      <c r="I772" s="7" t="s">
        <v>878</v>
      </c>
      <c r="J772" s="7" t="s">
        <v>879</v>
      </c>
      <c r="M772" s="7">
        <v>100</v>
      </c>
      <c r="N772" s="7">
        <v>100</v>
      </c>
      <c r="O772" s="126"/>
      <c r="P772" s="126">
        <v>46209.706932870402</v>
      </c>
    </row>
    <row r="773" spans="1:16" ht="15.75" customHeight="1">
      <c r="A773" s="126">
        <v>46230.015752314801</v>
      </c>
      <c r="B773" s="7">
        <v>12</v>
      </c>
      <c r="C773" s="7">
        <v>720</v>
      </c>
      <c r="E773" s="7" t="s">
        <v>983</v>
      </c>
      <c r="F773" s="7" t="s">
        <v>668</v>
      </c>
      <c r="G773" s="7">
        <v>180</v>
      </c>
      <c r="H773" s="7" t="s">
        <v>880</v>
      </c>
      <c r="I773" s="7" t="s">
        <v>874</v>
      </c>
      <c r="J773" s="7"/>
      <c r="M773" s="7"/>
      <c r="N773" s="7" t="s">
        <v>875</v>
      </c>
      <c r="O773" s="126"/>
      <c r="P773" s="126"/>
    </row>
    <row r="774" spans="1:16" ht="15.75" customHeight="1">
      <c r="A774" s="126">
        <v>46230.015752314801</v>
      </c>
      <c r="B774" s="7">
        <v>12</v>
      </c>
      <c r="C774" s="7">
        <v>720</v>
      </c>
      <c r="E774" s="7" t="s">
        <v>983</v>
      </c>
      <c r="F774" s="7" t="s">
        <v>668</v>
      </c>
      <c r="G774" s="7">
        <v>175</v>
      </c>
      <c r="H774" s="7" t="s">
        <v>881</v>
      </c>
      <c r="I774" s="7" t="s">
        <v>878</v>
      </c>
      <c r="J774" s="7" t="s">
        <v>882</v>
      </c>
      <c r="M774" s="7">
        <v>75</v>
      </c>
      <c r="N774" s="7">
        <v>75</v>
      </c>
      <c r="O774" s="126">
        <v>46216.3430324074</v>
      </c>
      <c r="P774" s="126">
        <v>46216.3430324074</v>
      </c>
    </row>
    <row r="775" spans="1:16" ht="15.75" customHeight="1">
      <c r="A775" s="126">
        <v>46230.015752314801</v>
      </c>
      <c r="B775" s="7">
        <v>12</v>
      </c>
      <c r="C775" s="7">
        <v>720</v>
      </c>
      <c r="E775" s="7" t="s">
        <v>983</v>
      </c>
      <c r="F775" s="7" t="s">
        <v>668</v>
      </c>
      <c r="G775" s="7">
        <v>177</v>
      </c>
      <c r="H775" s="7" t="s">
        <v>883</v>
      </c>
      <c r="I775" s="7" t="s">
        <v>878</v>
      </c>
      <c r="J775" s="7" t="s">
        <v>882</v>
      </c>
      <c r="M775" s="7"/>
      <c r="N775" s="7" t="s">
        <v>875</v>
      </c>
      <c r="P775" s="126"/>
    </row>
    <row r="776" spans="1:16" ht="15.75" customHeight="1">
      <c r="A776" s="126">
        <v>46230.015752314801</v>
      </c>
      <c r="B776" s="7">
        <v>12</v>
      </c>
      <c r="C776" s="7">
        <v>720</v>
      </c>
      <c r="E776" s="7" t="s">
        <v>983</v>
      </c>
      <c r="F776" s="7" t="s">
        <v>668</v>
      </c>
      <c r="G776" s="7">
        <v>176</v>
      </c>
      <c r="H776" s="7" t="s">
        <v>884</v>
      </c>
      <c r="I776" s="7" t="s">
        <v>878</v>
      </c>
      <c r="J776" s="7" t="s">
        <v>882</v>
      </c>
      <c r="M776" s="7">
        <v>100</v>
      </c>
      <c r="N776" s="7">
        <v>100</v>
      </c>
      <c r="O776" s="126">
        <v>46225.741157407399</v>
      </c>
      <c r="P776" s="126">
        <v>46225.741157407399</v>
      </c>
    </row>
    <row r="777" spans="1:16" ht="15.75" customHeight="1">
      <c r="A777" s="126">
        <v>46230.015752314801</v>
      </c>
      <c r="B777" s="7">
        <v>12</v>
      </c>
      <c r="C777" s="7">
        <v>720</v>
      </c>
      <c r="E777" s="7" t="s">
        <v>983</v>
      </c>
      <c r="F777" s="7" t="s">
        <v>668</v>
      </c>
      <c r="G777" s="7">
        <v>168</v>
      </c>
      <c r="H777" s="7" t="s">
        <v>885</v>
      </c>
      <c r="I777" s="7" t="s">
        <v>886</v>
      </c>
      <c r="J777" s="7"/>
      <c r="M777" s="7">
        <v>100</v>
      </c>
      <c r="N777" s="7">
        <v>100</v>
      </c>
      <c r="O777" s="126"/>
      <c r="P777" s="126">
        <v>46209.706932870402</v>
      </c>
    </row>
    <row r="778" spans="1:16" ht="15.75" customHeight="1">
      <c r="A778" s="126">
        <v>46230.015752314801</v>
      </c>
      <c r="B778" s="7">
        <v>12</v>
      </c>
      <c r="C778" s="7">
        <v>606</v>
      </c>
      <c r="E778" s="7" t="s">
        <v>984</v>
      </c>
      <c r="F778" s="7" t="s">
        <v>609</v>
      </c>
      <c r="G778" s="7">
        <v>181</v>
      </c>
      <c r="H778" s="7" t="s">
        <v>873</v>
      </c>
      <c r="I778" s="7" t="s">
        <v>874</v>
      </c>
      <c r="J778" s="7"/>
      <c r="M778" s="7"/>
      <c r="N778" s="7" t="s">
        <v>875</v>
      </c>
      <c r="O778" s="126"/>
      <c r="P778" s="126"/>
    </row>
    <row r="779" spans="1:16" ht="15.75" customHeight="1">
      <c r="A779" s="126">
        <v>46230.015752314801</v>
      </c>
      <c r="B779" s="7">
        <v>12</v>
      </c>
      <c r="C779" s="7">
        <v>606</v>
      </c>
      <c r="E779" s="7" t="s">
        <v>984</v>
      </c>
      <c r="F779" s="7" t="s">
        <v>609</v>
      </c>
      <c r="G779" s="7">
        <v>182</v>
      </c>
      <c r="H779" s="7" t="s">
        <v>876</v>
      </c>
      <c r="I779" s="7" t="s">
        <v>874</v>
      </c>
      <c r="J779" s="7"/>
      <c r="M779" s="7"/>
      <c r="N779" s="7" t="s">
        <v>875</v>
      </c>
      <c r="P779" s="126"/>
    </row>
    <row r="780" spans="1:16" ht="15.75" customHeight="1">
      <c r="A780" s="126">
        <v>46230.015752314801</v>
      </c>
      <c r="B780" s="7">
        <v>12</v>
      </c>
      <c r="C780" s="7">
        <v>606</v>
      </c>
      <c r="E780" s="7" t="s">
        <v>984</v>
      </c>
      <c r="F780" s="7" t="s">
        <v>609</v>
      </c>
      <c r="G780" s="7">
        <v>174</v>
      </c>
      <c r="H780" s="7" t="s">
        <v>877</v>
      </c>
      <c r="I780" s="7" t="s">
        <v>878</v>
      </c>
      <c r="J780" s="7" t="s">
        <v>879</v>
      </c>
      <c r="M780" s="7">
        <v>100</v>
      </c>
      <c r="N780" s="7">
        <v>100</v>
      </c>
      <c r="O780" s="126"/>
      <c r="P780" s="126">
        <v>46209.706932870402</v>
      </c>
    </row>
    <row r="781" spans="1:16" ht="15.75" customHeight="1">
      <c r="A781" s="126">
        <v>46230.015752314801</v>
      </c>
      <c r="B781" s="7">
        <v>12</v>
      </c>
      <c r="C781" s="7">
        <v>606</v>
      </c>
      <c r="E781" s="7" t="s">
        <v>984</v>
      </c>
      <c r="F781" s="7" t="s">
        <v>609</v>
      </c>
      <c r="G781" s="7">
        <v>180</v>
      </c>
      <c r="H781" s="7" t="s">
        <v>880</v>
      </c>
      <c r="I781" s="7" t="s">
        <v>874</v>
      </c>
      <c r="J781" s="7"/>
      <c r="M781" s="7"/>
      <c r="N781" s="7" t="s">
        <v>875</v>
      </c>
      <c r="O781" s="126"/>
      <c r="P781" s="126"/>
    </row>
    <row r="782" spans="1:16" ht="15.75" customHeight="1">
      <c r="A782" s="126">
        <v>46230.015752314801</v>
      </c>
      <c r="B782" s="7">
        <v>12</v>
      </c>
      <c r="C782" s="7">
        <v>606</v>
      </c>
      <c r="D782" s="7"/>
      <c r="E782" s="7" t="s">
        <v>984</v>
      </c>
      <c r="F782" s="7" t="s">
        <v>609</v>
      </c>
      <c r="G782" s="7">
        <v>175</v>
      </c>
      <c r="H782" s="7" t="s">
        <v>881</v>
      </c>
      <c r="I782" s="7" t="s">
        <v>878</v>
      </c>
      <c r="J782" s="7" t="s">
        <v>882</v>
      </c>
      <c r="M782" s="7">
        <v>87.5</v>
      </c>
      <c r="N782" s="7">
        <v>87.5</v>
      </c>
      <c r="O782" s="126">
        <v>46216.437256944402</v>
      </c>
      <c r="P782" s="126">
        <v>46216.437256944402</v>
      </c>
    </row>
    <row r="783" spans="1:16" ht="15.75" customHeight="1">
      <c r="A783" s="126">
        <v>46230.015752314801</v>
      </c>
      <c r="B783" s="7">
        <v>12</v>
      </c>
      <c r="C783" s="7">
        <v>606</v>
      </c>
      <c r="D783" s="7"/>
      <c r="E783" s="7" t="s">
        <v>984</v>
      </c>
      <c r="F783" s="7" t="s">
        <v>609</v>
      </c>
      <c r="G783" s="7">
        <v>177</v>
      </c>
      <c r="H783" s="7" t="s">
        <v>883</v>
      </c>
      <c r="I783" s="7" t="s">
        <v>878</v>
      </c>
      <c r="J783" s="7" t="s">
        <v>882</v>
      </c>
      <c r="M783" s="7"/>
      <c r="N783" s="7" t="s">
        <v>875</v>
      </c>
      <c r="O783" s="126"/>
      <c r="P783" s="126"/>
    </row>
    <row r="784" spans="1:16" ht="15.75" customHeight="1">
      <c r="A784" s="126">
        <v>46230.015752314801</v>
      </c>
      <c r="B784" s="7">
        <v>12</v>
      </c>
      <c r="C784" s="7">
        <v>606</v>
      </c>
      <c r="D784" s="7"/>
      <c r="E784" s="7" t="s">
        <v>984</v>
      </c>
      <c r="F784" s="7" t="s">
        <v>609</v>
      </c>
      <c r="G784" s="7">
        <v>176</v>
      </c>
      <c r="H784" s="7" t="s">
        <v>884</v>
      </c>
      <c r="I784" s="7" t="s">
        <v>878</v>
      </c>
      <c r="J784" s="7" t="s">
        <v>882</v>
      </c>
      <c r="M784" s="7">
        <v>100</v>
      </c>
      <c r="N784" s="7">
        <v>100</v>
      </c>
      <c r="O784" s="126">
        <v>46225.345590277801</v>
      </c>
      <c r="P784" s="126">
        <v>46225.345590277801</v>
      </c>
    </row>
    <row r="785" spans="1:16" ht="15.75" customHeight="1">
      <c r="A785" s="126">
        <v>46230.015752314801</v>
      </c>
      <c r="B785" s="7">
        <v>12</v>
      </c>
      <c r="C785" s="7">
        <v>606</v>
      </c>
      <c r="D785" s="7"/>
      <c r="E785" s="7" t="s">
        <v>984</v>
      </c>
      <c r="F785" s="7" t="s">
        <v>609</v>
      </c>
      <c r="G785" s="7">
        <v>168</v>
      </c>
      <c r="H785" s="7" t="s">
        <v>885</v>
      </c>
      <c r="I785" s="7" t="s">
        <v>886</v>
      </c>
      <c r="J785" s="7"/>
      <c r="M785" s="7">
        <v>100</v>
      </c>
      <c r="N785" s="7">
        <v>100</v>
      </c>
      <c r="P785" s="126">
        <v>46209.706932870402</v>
      </c>
    </row>
    <row r="786" spans="1:16" ht="15.75" customHeight="1">
      <c r="A786" s="126">
        <v>46230.015752314801</v>
      </c>
      <c r="B786" s="7">
        <v>12</v>
      </c>
      <c r="C786" s="7">
        <v>248</v>
      </c>
      <c r="D786" s="7"/>
      <c r="E786" s="7" t="s">
        <v>985</v>
      </c>
      <c r="F786" s="7" t="s">
        <v>186</v>
      </c>
      <c r="G786" s="7">
        <v>181</v>
      </c>
      <c r="H786" s="7" t="s">
        <v>873</v>
      </c>
      <c r="I786" s="7" t="s">
        <v>874</v>
      </c>
      <c r="J786" s="7"/>
      <c r="M786" s="7"/>
      <c r="N786" s="7" t="s">
        <v>875</v>
      </c>
      <c r="P786" s="126"/>
    </row>
    <row r="787" spans="1:16" ht="15.75" customHeight="1">
      <c r="A787" s="126">
        <v>46230.015752314801</v>
      </c>
      <c r="B787" s="7">
        <v>12</v>
      </c>
      <c r="C787" s="7">
        <v>248</v>
      </c>
      <c r="D787" s="7"/>
      <c r="E787" s="7" t="s">
        <v>985</v>
      </c>
      <c r="F787" s="7" t="s">
        <v>186</v>
      </c>
      <c r="G787" s="7">
        <v>182</v>
      </c>
      <c r="H787" s="7" t="s">
        <v>876</v>
      </c>
      <c r="I787" s="7" t="s">
        <v>874</v>
      </c>
      <c r="J787" s="7"/>
      <c r="M787" s="7"/>
      <c r="N787" s="7" t="s">
        <v>875</v>
      </c>
      <c r="P787" s="126"/>
    </row>
    <row r="788" spans="1:16" ht="15.75" customHeight="1">
      <c r="A788" s="126">
        <v>46230.015752314801</v>
      </c>
      <c r="B788" s="7">
        <v>12</v>
      </c>
      <c r="C788" s="7">
        <v>248</v>
      </c>
      <c r="E788" s="7" t="s">
        <v>985</v>
      </c>
      <c r="F788" s="7" t="s">
        <v>186</v>
      </c>
      <c r="G788" s="7">
        <v>174</v>
      </c>
      <c r="H788" s="7" t="s">
        <v>877</v>
      </c>
      <c r="I788" s="7" t="s">
        <v>878</v>
      </c>
      <c r="J788" s="7" t="s">
        <v>879</v>
      </c>
      <c r="M788" s="7">
        <v>100</v>
      </c>
      <c r="N788" s="7">
        <v>100</v>
      </c>
      <c r="P788" s="126">
        <v>46209.706979166702</v>
      </c>
    </row>
    <row r="789" spans="1:16" ht="15.75" customHeight="1">
      <c r="A789" s="126">
        <v>46230.015752314801</v>
      </c>
      <c r="B789" s="7">
        <v>12</v>
      </c>
      <c r="C789" s="7">
        <v>248</v>
      </c>
      <c r="E789" s="7" t="s">
        <v>985</v>
      </c>
      <c r="F789" s="7" t="s">
        <v>186</v>
      </c>
      <c r="G789" s="7">
        <v>180</v>
      </c>
      <c r="H789" s="7" t="s">
        <v>880</v>
      </c>
      <c r="I789" s="7" t="s">
        <v>874</v>
      </c>
      <c r="J789" s="7"/>
      <c r="M789" s="7"/>
      <c r="N789" s="7" t="s">
        <v>875</v>
      </c>
      <c r="O789" s="126"/>
      <c r="P789" s="126"/>
    </row>
    <row r="790" spans="1:16" ht="15.75" customHeight="1">
      <c r="A790" s="126">
        <v>46230.015752314801</v>
      </c>
      <c r="B790" s="7">
        <v>12</v>
      </c>
      <c r="C790" s="7">
        <v>248</v>
      </c>
      <c r="E790" s="7" t="s">
        <v>985</v>
      </c>
      <c r="F790" s="7" t="s">
        <v>186</v>
      </c>
      <c r="G790" s="7">
        <v>175</v>
      </c>
      <c r="H790" s="7" t="s">
        <v>881</v>
      </c>
      <c r="I790" s="7" t="s">
        <v>878</v>
      </c>
      <c r="J790" s="7" t="s">
        <v>882</v>
      </c>
      <c r="M790" s="7">
        <v>62.5</v>
      </c>
      <c r="N790" s="7">
        <v>62.5</v>
      </c>
      <c r="O790" s="126">
        <v>46216.4863541667</v>
      </c>
      <c r="P790" s="126">
        <v>46216.4863541667</v>
      </c>
    </row>
    <row r="791" spans="1:16" ht="15.75" customHeight="1">
      <c r="A791" s="126">
        <v>46230.015752314801</v>
      </c>
      <c r="B791" s="7">
        <v>12</v>
      </c>
      <c r="C791" s="7">
        <v>248</v>
      </c>
      <c r="E791" s="7" t="s">
        <v>985</v>
      </c>
      <c r="F791" s="7" t="s">
        <v>186</v>
      </c>
      <c r="G791" s="7">
        <v>177</v>
      </c>
      <c r="H791" s="7" t="s">
        <v>883</v>
      </c>
      <c r="I791" s="7" t="s">
        <v>878</v>
      </c>
      <c r="J791" s="7" t="s">
        <v>882</v>
      </c>
      <c r="M791" s="7"/>
      <c r="N791" s="7" t="s">
        <v>875</v>
      </c>
      <c r="P791" s="126"/>
    </row>
    <row r="792" spans="1:16" ht="15.75" customHeight="1">
      <c r="A792" s="126">
        <v>46230.015752314801</v>
      </c>
      <c r="B792" s="7">
        <v>12</v>
      </c>
      <c r="C792" s="7">
        <v>248</v>
      </c>
      <c r="E792" s="7" t="s">
        <v>985</v>
      </c>
      <c r="F792" s="7" t="s">
        <v>186</v>
      </c>
      <c r="G792" s="7">
        <v>176</v>
      </c>
      <c r="H792" s="7" t="s">
        <v>884</v>
      </c>
      <c r="I792" s="7" t="s">
        <v>878</v>
      </c>
      <c r="J792" s="7" t="s">
        <v>882</v>
      </c>
      <c r="M792" s="7">
        <v>100</v>
      </c>
      <c r="N792" s="7">
        <v>100</v>
      </c>
      <c r="O792" s="126">
        <v>46227.352222222202</v>
      </c>
      <c r="P792" s="126">
        <v>46227.352222222202</v>
      </c>
    </row>
    <row r="793" spans="1:16" ht="15.75" customHeight="1">
      <c r="A793" s="126">
        <v>46230.015752314801</v>
      </c>
      <c r="B793" s="7">
        <v>12</v>
      </c>
      <c r="C793" s="7">
        <v>248</v>
      </c>
      <c r="E793" s="7" t="s">
        <v>985</v>
      </c>
      <c r="F793" s="7" t="s">
        <v>186</v>
      </c>
      <c r="G793" s="7">
        <v>168</v>
      </c>
      <c r="H793" s="7" t="s">
        <v>885</v>
      </c>
      <c r="I793" s="7" t="s">
        <v>886</v>
      </c>
      <c r="M793" s="7">
        <v>100</v>
      </c>
      <c r="N793" s="7">
        <v>100</v>
      </c>
      <c r="P793" s="126">
        <v>46209.706979166702</v>
      </c>
    </row>
    <row r="794" spans="1:16" ht="15.75" customHeight="1">
      <c r="A794" s="126">
        <v>46230.015752314801</v>
      </c>
      <c r="B794" s="7">
        <v>12</v>
      </c>
      <c r="C794" s="7">
        <v>342</v>
      </c>
      <c r="E794" s="7" t="s">
        <v>986</v>
      </c>
      <c r="F794" s="7" t="s">
        <v>464</v>
      </c>
      <c r="G794" s="7">
        <v>181</v>
      </c>
      <c r="H794" s="7" t="s">
        <v>873</v>
      </c>
      <c r="I794" s="7" t="s">
        <v>874</v>
      </c>
      <c r="J794" s="7"/>
      <c r="M794" s="7"/>
      <c r="N794" s="7" t="s">
        <v>875</v>
      </c>
      <c r="O794" s="126"/>
      <c r="P794" s="126"/>
    </row>
    <row r="795" spans="1:16" ht="15.75" customHeight="1">
      <c r="A795" s="126">
        <v>46230.015752314801</v>
      </c>
      <c r="B795" s="7">
        <v>12</v>
      </c>
      <c r="C795" s="7">
        <v>342</v>
      </c>
      <c r="E795" s="7" t="s">
        <v>986</v>
      </c>
      <c r="F795" s="7" t="s">
        <v>464</v>
      </c>
      <c r="G795" s="7">
        <v>182</v>
      </c>
      <c r="H795" s="7" t="s">
        <v>876</v>
      </c>
      <c r="I795" s="7" t="s">
        <v>874</v>
      </c>
      <c r="J795" s="7"/>
      <c r="M795" s="7"/>
      <c r="N795" s="7" t="s">
        <v>875</v>
      </c>
      <c r="O795" s="126"/>
      <c r="P795" s="126"/>
    </row>
    <row r="796" spans="1:16" ht="15.75" customHeight="1">
      <c r="A796" s="126">
        <v>46230.015752314801</v>
      </c>
      <c r="B796" s="7">
        <v>12</v>
      </c>
      <c r="C796" s="7">
        <v>342</v>
      </c>
      <c r="E796" s="7" t="s">
        <v>986</v>
      </c>
      <c r="F796" s="7" t="s">
        <v>464</v>
      </c>
      <c r="G796" s="7">
        <v>174</v>
      </c>
      <c r="H796" s="7" t="s">
        <v>877</v>
      </c>
      <c r="I796" s="7" t="s">
        <v>878</v>
      </c>
      <c r="J796" s="7" t="s">
        <v>879</v>
      </c>
      <c r="M796" s="7">
        <v>100</v>
      </c>
      <c r="N796" s="7">
        <v>100</v>
      </c>
      <c r="O796" s="126"/>
      <c r="P796" s="126">
        <v>46209.706944444399</v>
      </c>
    </row>
    <row r="797" spans="1:16" ht="15.75" customHeight="1">
      <c r="A797" s="126">
        <v>46230.015752314801</v>
      </c>
      <c r="B797" s="7">
        <v>12</v>
      </c>
      <c r="C797" s="7">
        <v>342</v>
      </c>
      <c r="E797" s="7" t="s">
        <v>986</v>
      </c>
      <c r="F797" s="7" t="s">
        <v>464</v>
      </c>
      <c r="G797" s="7">
        <v>180</v>
      </c>
      <c r="H797" s="7" t="s">
        <v>880</v>
      </c>
      <c r="I797" s="7" t="s">
        <v>874</v>
      </c>
      <c r="J797" s="7"/>
      <c r="M797" s="7"/>
      <c r="N797" s="7" t="s">
        <v>875</v>
      </c>
      <c r="O797" s="126"/>
      <c r="P797" s="126"/>
    </row>
    <row r="798" spans="1:16" ht="15.75" customHeight="1">
      <c r="A798" s="126">
        <v>46230.015752314801</v>
      </c>
      <c r="B798" s="7">
        <v>12</v>
      </c>
      <c r="C798" s="7">
        <v>342</v>
      </c>
      <c r="E798" s="7" t="s">
        <v>986</v>
      </c>
      <c r="F798" s="7" t="s">
        <v>464</v>
      </c>
      <c r="G798" s="7">
        <v>175</v>
      </c>
      <c r="H798" s="7" t="s">
        <v>881</v>
      </c>
      <c r="I798" s="7" t="s">
        <v>878</v>
      </c>
      <c r="J798" s="7" t="s">
        <v>882</v>
      </c>
      <c r="M798" s="7">
        <v>100</v>
      </c>
      <c r="N798" s="7">
        <v>100</v>
      </c>
      <c r="O798" s="126">
        <v>46214.725925925901</v>
      </c>
      <c r="P798" s="126">
        <v>46214.725925925901</v>
      </c>
    </row>
    <row r="799" spans="1:16" ht="15.75" customHeight="1">
      <c r="A799" s="126">
        <v>46230.015752314801</v>
      </c>
      <c r="B799" s="7">
        <v>12</v>
      </c>
      <c r="C799" s="7">
        <v>342</v>
      </c>
      <c r="E799" s="7" t="s">
        <v>986</v>
      </c>
      <c r="F799" s="7" t="s">
        <v>464</v>
      </c>
      <c r="G799" s="7">
        <v>177</v>
      </c>
      <c r="H799" s="7" t="s">
        <v>883</v>
      </c>
      <c r="I799" s="7" t="s">
        <v>878</v>
      </c>
      <c r="J799" s="7" t="s">
        <v>882</v>
      </c>
      <c r="M799" s="7"/>
      <c r="N799" s="7" t="s">
        <v>875</v>
      </c>
      <c r="P799" s="126"/>
    </row>
    <row r="800" spans="1:16" ht="15.75" customHeight="1">
      <c r="A800" s="126">
        <v>46230.015752314801</v>
      </c>
      <c r="B800" s="7">
        <v>12</v>
      </c>
      <c r="C800" s="7">
        <v>342</v>
      </c>
      <c r="E800" s="7" t="s">
        <v>986</v>
      </c>
      <c r="F800" s="7" t="s">
        <v>464</v>
      </c>
      <c r="G800" s="7">
        <v>176</v>
      </c>
      <c r="H800" s="7" t="s">
        <v>884</v>
      </c>
      <c r="I800" s="7" t="s">
        <v>878</v>
      </c>
      <c r="J800" s="7" t="s">
        <v>882</v>
      </c>
      <c r="M800" s="7">
        <v>90</v>
      </c>
      <c r="N800" s="7">
        <v>90</v>
      </c>
      <c r="O800" s="126">
        <v>46226.3816898148</v>
      </c>
      <c r="P800" s="126">
        <v>46226.3816898148</v>
      </c>
    </row>
    <row r="801" spans="1:16" ht="15.75" customHeight="1">
      <c r="A801" s="126">
        <v>46230.015752314801</v>
      </c>
      <c r="B801" s="7">
        <v>12</v>
      </c>
      <c r="C801" s="7">
        <v>342</v>
      </c>
      <c r="E801" s="7" t="s">
        <v>986</v>
      </c>
      <c r="F801" s="7" t="s">
        <v>464</v>
      </c>
      <c r="G801" s="7">
        <v>168</v>
      </c>
      <c r="H801" s="7" t="s">
        <v>885</v>
      </c>
      <c r="I801" s="7" t="s">
        <v>886</v>
      </c>
      <c r="J801" s="7"/>
      <c r="M801" s="7">
        <v>100</v>
      </c>
      <c r="N801" s="7">
        <v>100</v>
      </c>
      <c r="O801" s="126"/>
      <c r="P801" s="126">
        <v>46209.706944444399</v>
      </c>
    </row>
    <row r="802" spans="1:16" ht="15.75" customHeight="1">
      <c r="A802" s="126">
        <v>46230.015752314801</v>
      </c>
      <c r="B802" s="7">
        <v>12</v>
      </c>
      <c r="C802" s="7">
        <v>689</v>
      </c>
      <c r="E802" s="7" t="s">
        <v>987</v>
      </c>
      <c r="F802" s="7" t="s">
        <v>675</v>
      </c>
      <c r="G802" s="7">
        <v>181</v>
      </c>
      <c r="H802" s="7" t="s">
        <v>873</v>
      </c>
      <c r="I802" s="7" t="s">
        <v>874</v>
      </c>
      <c r="J802" s="7"/>
      <c r="M802" s="7"/>
      <c r="N802" s="7" t="s">
        <v>875</v>
      </c>
      <c r="O802" s="126"/>
      <c r="P802" s="126"/>
    </row>
    <row r="803" spans="1:16" ht="15.75" customHeight="1">
      <c r="A803" s="126">
        <v>46230.015752314801</v>
      </c>
      <c r="B803" s="7">
        <v>12</v>
      </c>
      <c r="C803" s="7">
        <v>689</v>
      </c>
      <c r="E803" s="7" t="s">
        <v>987</v>
      </c>
      <c r="F803" s="7" t="s">
        <v>675</v>
      </c>
      <c r="G803" s="7">
        <v>182</v>
      </c>
      <c r="H803" s="7" t="s">
        <v>876</v>
      </c>
      <c r="I803" s="7" t="s">
        <v>874</v>
      </c>
      <c r="J803" s="7"/>
      <c r="M803" s="7"/>
      <c r="N803" s="7" t="s">
        <v>875</v>
      </c>
      <c r="P803" s="126"/>
    </row>
    <row r="804" spans="1:16" ht="15.75" customHeight="1">
      <c r="A804" s="126">
        <v>46230.015752314801</v>
      </c>
      <c r="B804" s="7">
        <v>12</v>
      </c>
      <c r="C804" s="7">
        <v>689</v>
      </c>
      <c r="E804" s="7" t="s">
        <v>987</v>
      </c>
      <c r="F804" s="7" t="s">
        <v>675</v>
      </c>
      <c r="G804" s="7">
        <v>174</v>
      </c>
      <c r="H804" s="7" t="s">
        <v>877</v>
      </c>
      <c r="I804" s="7" t="s">
        <v>878</v>
      </c>
      <c r="J804" s="7" t="s">
        <v>879</v>
      </c>
      <c r="M804" s="7">
        <v>100</v>
      </c>
      <c r="N804" s="7">
        <v>100</v>
      </c>
      <c r="P804" s="126">
        <v>46209.706944444399</v>
      </c>
    </row>
    <row r="805" spans="1:16" ht="15.75" customHeight="1">
      <c r="A805" s="126">
        <v>46230.015752314801</v>
      </c>
      <c r="B805" s="7">
        <v>12</v>
      </c>
      <c r="C805" s="7">
        <v>689</v>
      </c>
      <c r="E805" s="7" t="s">
        <v>987</v>
      </c>
      <c r="F805" s="7" t="s">
        <v>675</v>
      </c>
      <c r="G805" s="7">
        <v>180</v>
      </c>
      <c r="H805" s="7" t="s">
        <v>880</v>
      </c>
      <c r="I805" s="7" t="s">
        <v>874</v>
      </c>
      <c r="J805" s="7"/>
      <c r="M805" s="7"/>
      <c r="N805" s="7" t="s">
        <v>875</v>
      </c>
      <c r="O805" s="126"/>
      <c r="P805" s="126"/>
    </row>
    <row r="806" spans="1:16" ht="15.75" customHeight="1">
      <c r="A806" s="126">
        <v>46230.015752314801</v>
      </c>
      <c r="B806" s="7">
        <v>12</v>
      </c>
      <c r="C806" s="7">
        <v>689</v>
      </c>
      <c r="E806" s="7" t="s">
        <v>987</v>
      </c>
      <c r="F806" s="7" t="s">
        <v>675</v>
      </c>
      <c r="G806" s="7">
        <v>175</v>
      </c>
      <c r="H806" s="7" t="s">
        <v>881</v>
      </c>
      <c r="I806" s="7" t="s">
        <v>878</v>
      </c>
      <c r="J806" s="7" t="s">
        <v>882</v>
      </c>
      <c r="M806" s="7">
        <v>87.5</v>
      </c>
      <c r="N806" s="7">
        <v>87.5</v>
      </c>
      <c r="O806" s="126">
        <v>46216.563842592601</v>
      </c>
      <c r="P806" s="126">
        <v>46216.563842592601</v>
      </c>
    </row>
    <row r="807" spans="1:16" ht="15.75" customHeight="1">
      <c r="A807" s="126">
        <v>46230.015752314801</v>
      </c>
      <c r="B807" s="7">
        <v>12</v>
      </c>
      <c r="C807" s="7">
        <v>689</v>
      </c>
      <c r="E807" s="7" t="s">
        <v>987</v>
      </c>
      <c r="F807" s="7" t="s">
        <v>675</v>
      </c>
      <c r="G807" s="7">
        <v>177</v>
      </c>
      <c r="H807" s="7" t="s">
        <v>883</v>
      </c>
      <c r="I807" s="7" t="s">
        <v>878</v>
      </c>
      <c r="J807" s="7" t="s">
        <v>882</v>
      </c>
      <c r="M807" s="7"/>
      <c r="N807" s="7" t="s">
        <v>875</v>
      </c>
      <c r="O807" s="126"/>
      <c r="P807" s="126"/>
    </row>
    <row r="808" spans="1:16" ht="15.75" customHeight="1">
      <c r="A808" s="126">
        <v>46230.015752314801</v>
      </c>
      <c r="B808" s="7">
        <v>12</v>
      </c>
      <c r="C808" s="7">
        <v>689</v>
      </c>
      <c r="E808" s="7" t="s">
        <v>987</v>
      </c>
      <c r="F808" s="7" t="s">
        <v>675</v>
      </c>
      <c r="G808" s="7">
        <v>176</v>
      </c>
      <c r="H808" s="7" t="s">
        <v>884</v>
      </c>
      <c r="I808" s="7" t="s">
        <v>878</v>
      </c>
      <c r="J808" s="7" t="s">
        <v>882</v>
      </c>
      <c r="M808" s="7">
        <v>95</v>
      </c>
      <c r="N808" s="7">
        <v>95</v>
      </c>
      <c r="O808" s="126">
        <v>46224.518344907403</v>
      </c>
      <c r="P808" s="126">
        <v>46224.518344907403</v>
      </c>
    </row>
    <row r="809" spans="1:16" ht="15.75" customHeight="1">
      <c r="A809" s="126">
        <v>46230.015752314801</v>
      </c>
      <c r="B809" s="7">
        <v>12</v>
      </c>
      <c r="C809" s="7">
        <v>689</v>
      </c>
      <c r="E809" s="7" t="s">
        <v>987</v>
      </c>
      <c r="F809" s="7" t="s">
        <v>675</v>
      </c>
      <c r="G809" s="7">
        <v>168</v>
      </c>
      <c r="H809" s="7" t="s">
        <v>885</v>
      </c>
      <c r="I809" s="7" t="s">
        <v>886</v>
      </c>
      <c r="J809" s="7"/>
      <c r="M809" s="7">
        <v>100</v>
      </c>
      <c r="N809" s="7">
        <v>100</v>
      </c>
      <c r="O809" s="126"/>
      <c r="P809" s="126">
        <v>46209.706944444399</v>
      </c>
    </row>
    <row r="810" spans="1:16" ht="15.75" customHeight="1">
      <c r="A810" s="126">
        <v>46230.015752314801</v>
      </c>
      <c r="B810" s="7">
        <v>12</v>
      </c>
      <c r="C810" s="7">
        <v>450</v>
      </c>
      <c r="E810" s="7" t="s">
        <v>988</v>
      </c>
      <c r="F810" s="7" t="s">
        <v>431</v>
      </c>
      <c r="G810" s="7">
        <v>181</v>
      </c>
      <c r="H810" s="7" t="s">
        <v>873</v>
      </c>
      <c r="I810" s="7" t="s">
        <v>874</v>
      </c>
      <c r="J810" s="7"/>
      <c r="M810" s="7"/>
      <c r="N810" s="7" t="s">
        <v>875</v>
      </c>
      <c r="O810" s="126"/>
      <c r="P810" s="126"/>
    </row>
    <row r="811" spans="1:16" ht="15.75" customHeight="1">
      <c r="A811" s="126">
        <v>46230.015752314801</v>
      </c>
      <c r="B811" s="7">
        <v>12</v>
      </c>
      <c r="C811" s="7">
        <v>450</v>
      </c>
      <c r="E811" s="7" t="s">
        <v>988</v>
      </c>
      <c r="F811" s="7" t="s">
        <v>431</v>
      </c>
      <c r="G811" s="7">
        <v>182</v>
      </c>
      <c r="H811" s="7" t="s">
        <v>876</v>
      </c>
      <c r="I811" s="7" t="s">
        <v>874</v>
      </c>
      <c r="J811" s="7"/>
      <c r="M811" s="7"/>
      <c r="N811" s="7" t="s">
        <v>875</v>
      </c>
      <c r="P811" s="126"/>
    </row>
    <row r="812" spans="1:16" ht="15.75" customHeight="1">
      <c r="A812" s="126">
        <v>46230.015752314801</v>
      </c>
      <c r="B812" s="7">
        <v>12</v>
      </c>
      <c r="C812" s="7">
        <v>450</v>
      </c>
      <c r="E812" s="7" t="s">
        <v>988</v>
      </c>
      <c r="F812" s="7" t="s">
        <v>431</v>
      </c>
      <c r="G812" s="7">
        <v>174</v>
      </c>
      <c r="H812" s="7" t="s">
        <v>877</v>
      </c>
      <c r="I812" s="7" t="s">
        <v>878</v>
      </c>
      <c r="J812" s="7" t="s">
        <v>879</v>
      </c>
      <c r="M812" s="7">
        <v>100</v>
      </c>
      <c r="N812" s="7">
        <v>100</v>
      </c>
      <c r="O812" s="126"/>
      <c r="P812" s="126">
        <v>46209.706956018497</v>
      </c>
    </row>
    <row r="813" spans="1:16" ht="15.75" customHeight="1">
      <c r="A813" s="126">
        <v>46230.015752314801</v>
      </c>
      <c r="B813" s="7">
        <v>12</v>
      </c>
      <c r="C813" s="7">
        <v>450</v>
      </c>
      <c r="E813" s="7" t="s">
        <v>988</v>
      </c>
      <c r="F813" s="7" t="s">
        <v>431</v>
      </c>
      <c r="G813" s="7">
        <v>180</v>
      </c>
      <c r="H813" s="7" t="s">
        <v>880</v>
      </c>
      <c r="I813" s="7" t="s">
        <v>874</v>
      </c>
      <c r="J813" s="7"/>
      <c r="M813" s="7"/>
      <c r="N813" s="7" t="s">
        <v>875</v>
      </c>
      <c r="O813" s="126"/>
      <c r="P813" s="126"/>
    </row>
    <row r="814" spans="1:16" ht="15.75" customHeight="1">
      <c r="A814" s="126">
        <v>46230.015752314801</v>
      </c>
      <c r="B814" s="7">
        <v>12</v>
      </c>
      <c r="C814" s="7">
        <v>450</v>
      </c>
      <c r="E814" s="7" t="s">
        <v>988</v>
      </c>
      <c r="F814" s="7" t="s">
        <v>431</v>
      </c>
      <c r="G814" s="7">
        <v>175</v>
      </c>
      <c r="H814" s="7" t="s">
        <v>881</v>
      </c>
      <c r="I814" s="7" t="s">
        <v>878</v>
      </c>
      <c r="J814" s="7" t="s">
        <v>882</v>
      </c>
      <c r="M814" s="7">
        <v>87.5</v>
      </c>
      <c r="N814" s="7">
        <v>87.5</v>
      </c>
      <c r="O814" s="126">
        <v>46216.5719791667</v>
      </c>
      <c r="P814" s="126">
        <v>46216.5719791667</v>
      </c>
    </row>
    <row r="815" spans="1:16" ht="15.75" customHeight="1">
      <c r="A815" s="126">
        <v>46230.015752314801</v>
      </c>
      <c r="B815" s="7">
        <v>12</v>
      </c>
      <c r="C815" s="7">
        <v>450</v>
      </c>
      <c r="E815" s="7" t="s">
        <v>988</v>
      </c>
      <c r="F815" s="7" t="s">
        <v>431</v>
      </c>
      <c r="G815" s="7">
        <v>177</v>
      </c>
      <c r="H815" s="7" t="s">
        <v>883</v>
      </c>
      <c r="I815" s="7" t="s">
        <v>878</v>
      </c>
      <c r="J815" s="7" t="s">
        <v>882</v>
      </c>
      <c r="M815" s="7"/>
      <c r="N815" s="7" t="s">
        <v>875</v>
      </c>
      <c r="P815" s="126"/>
    </row>
    <row r="816" spans="1:16" ht="15.75" customHeight="1">
      <c r="A816" s="126">
        <v>46230.015752314801</v>
      </c>
      <c r="B816" s="7">
        <v>12</v>
      </c>
      <c r="C816" s="7">
        <v>450</v>
      </c>
      <c r="E816" s="7" t="s">
        <v>988</v>
      </c>
      <c r="F816" s="7" t="s">
        <v>431</v>
      </c>
      <c r="G816" s="7">
        <v>176</v>
      </c>
      <c r="H816" s="7" t="s">
        <v>884</v>
      </c>
      <c r="I816" s="7" t="s">
        <v>878</v>
      </c>
      <c r="J816" s="7" t="s">
        <v>882</v>
      </c>
      <c r="M816" s="7"/>
      <c r="N816" s="7" t="s">
        <v>875</v>
      </c>
      <c r="O816" s="126"/>
      <c r="P816" s="126"/>
    </row>
    <row r="817" spans="1:16" ht="15.75" customHeight="1">
      <c r="A817" s="126">
        <v>46230.015752314801</v>
      </c>
      <c r="B817" s="7">
        <v>12</v>
      </c>
      <c r="C817" s="7">
        <v>450</v>
      </c>
      <c r="E817" s="7" t="s">
        <v>988</v>
      </c>
      <c r="F817" s="7" t="s">
        <v>431</v>
      </c>
      <c r="G817" s="7">
        <v>168</v>
      </c>
      <c r="H817" s="7" t="s">
        <v>885</v>
      </c>
      <c r="I817" s="7" t="s">
        <v>886</v>
      </c>
      <c r="J817" s="7"/>
      <c r="M817" s="7">
        <v>100</v>
      </c>
      <c r="N817" s="7">
        <v>100</v>
      </c>
      <c r="P817" s="126">
        <v>46209.706956018497</v>
      </c>
    </row>
    <row r="818" spans="1:16" ht="15.75" customHeight="1">
      <c r="A818" s="126">
        <v>46230.015752314801</v>
      </c>
      <c r="B818" s="7">
        <v>12</v>
      </c>
      <c r="C818" s="7">
        <v>710</v>
      </c>
      <c r="E818" s="7" t="s">
        <v>989</v>
      </c>
      <c r="F818" s="7" t="s">
        <v>216</v>
      </c>
      <c r="G818" s="7">
        <v>181</v>
      </c>
      <c r="H818" s="7" t="s">
        <v>873</v>
      </c>
      <c r="I818" s="7" t="s">
        <v>874</v>
      </c>
      <c r="J818" s="7"/>
      <c r="M818" s="7"/>
      <c r="N818" s="7" t="s">
        <v>875</v>
      </c>
      <c r="O818" s="126"/>
      <c r="P818" s="126"/>
    </row>
    <row r="819" spans="1:16" ht="15.75" customHeight="1">
      <c r="A819" s="126">
        <v>46230.015752314801</v>
      </c>
      <c r="B819" s="7">
        <v>12</v>
      </c>
      <c r="C819" s="7">
        <v>710</v>
      </c>
      <c r="E819" s="7" t="s">
        <v>989</v>
      </c>
      <c r="F819" s="7" t="s">
        <v>216</v>
      </c>
      <c r="G819" s="7">
        <v>182</v>
      </c>
      <c r="H819" s="7" t="s">
        <v>876</v>
      </c>
      <c r="I819" s="7" t="s">
        <v>874</v>
      </c>
      <c r="J819" s="7"/>
      <c r="M819" s="7"/>
      <c r="N819" s="7" t="s">
        <v>875</v>
      </c>
      <c r="O819" s="126"/>
      <c r="P819" s="126"/>
    </row>
    <row r="820" spans="1:16" ht="15.75" customHeight="1">
      <c r="A820" s="126">
        <v>46230.015752314801</v>
      </c>
      <c r="B820" s="7">
        <v>12</v>
      </c>
      <c r="C820" s="7">
        <v>710</v>
      </c>
      <c r="E820" s="7" t="s">
        <v>989</v>
      </c>
      <c r="F820" s="7" t="s">
        <v>216</v>
      </c>
      <c r="G820" s="7">
        <v>174</v>
      </c>
      <c r="H820" s="7" t="s">
        <v>877</v>
      </c>
      <c r="I820" s="7" t="s">
        <v>878</v>
      </c>
      <c r="J820" s="7" t="s">
        <v>879</v>
      </c>
      <c r="M820" s="7">
        <v>100</v>
      </c>
      <c r="N820" s="7">
        <v>100</v>
      </c>
      <c r="O820" s="126"/>
      <c r="P820" s="126">
        <v>46209.706956018497</v>
      </c>
    </row>
    <row r="821" spans="1:16" ht="15.75" customHeight="1">
      <c r="A821" s="126">
        <v>46230.015752314801</v>
      </c>
      <c r="B821" s="7">
        <v>12</v>
      </c>
      <c r="C821" s="7">
        <v>710</v>
      </c>
      <c r="E821" s="7" t="s">
        <v>989</v>
      </c>
      <c r="F821" s="7" t="s">
        <v>216</v>
      </c>
      <c r="G821" s="7">
        <v>180</v>
      </c>
      <c r="H821" s="7" t="s">
        <v>880</v>
      </c>
      <c r="I821" s="7" t="s">
        <v>874</v>
      </c>
      <c r="J821" s="7"/>
      <c r="M821" s="7"/>
      <c r="N821" s="7" t="s">
        <v>875</v>
      </c>
      <c r="O821" s="126"/>
      <c r="P821" s="126"/>
    </row>
    <row r="822" spans="1:16" ht="15.75" customHeight="1">
      <c r="A822" s="126">
        <v>46230.015752314801</v>
      </c>
      <c r="B822" s="7">
        <v>12</v>
      </c>
      <c r="C822" s="7">
        <v>710</v>
      </c>
      <c r="E822" s="7" t="s">
        <v>989</v>
      </c>
      <c r="F822" s="7" t="s">
        <v>216</v>
      </c>
      <c r="G822" s="7">
        <v>175</v>
      </c>
      <c r="H822" s="7" t="s">
        <v>881</v>
      </c>
      <c r="I822" s="7" t="s">
        <v>878</v>
      </c>
      <c r="J822" s="7" t="s">
        <v>882</v>
      </c>
      <c r="M822" s="7">
        <v>100</v>
      </c>
      <c r="N822" s="7">
        <v>100</v>
      </c>
      <c r="O822" s="126">
        <v>46218.342430555596</v>
      </c>
      <c r="P822" s="126">
        <v>46218.342430555596</v>
      </c>
    </row>
    <row r="823" spans="1:16" ht="15.75" customHeight="1">
      <c r="A823" s="126">
        <v>46230.015752314801</v>
      </c>
      <c r="B823" s="7">
        <v>12</v>
      </c>
      <c r="C823" s="7">
        <v>710</v>
      </c>
      <c r="E823" s="7" t="s">
        <v>989</v>
      </c>
      <c r="F823" s="7" t="s">
        <v>216</v>
      </c>
      <c r="G823" s="7">
        <v>177</v>
      </c>
      <c r="H823" s="7" t="s">
        <v>883</v>
      </c>
      <c r="I823" s="7" t="s">
        <v>878</v>
      </c>
      <c r="J823" s="7" t="s">
        <v>882</v>
      </c>
      <c r="M823" s="7"/>
      <c r="N823" s="7" t="s">
        <v>875</v>
      </c>
      <c r="P823" s="126"/>
    </row>
    <row r="824" spans="1:16" ht="15.75" customHeight="1">
      <c r="A824" s="126">
        <v>46230.015752314801</v>
      </c>
      <c r="B824" s="7">
        <v>12</v>
      </c>
      <c r="C824" s="7">
        <v>710</v>
      </c>
      <c r="E824" s="7" t="s">
        <v>989</v>
      </c>
      <c r="F824" s="7" t="s">
        <v>216</v>
      </c>
      <c r="G824" s="7">
        <v>176</v>
      </c>
      <c r="H824" s="7" t="s">
        <v>884</v>
      </c>
      <c r="I824" s="7" t="s">
        <v>878</v>
      </c>
      <c r="J824" s="7" t="s">
        <v>882</v>
      </c>
      <c r="M824" s="7">
        <v>90</v>
      </c>
      <c r="N824" s="7">
        <v>90</v>
      </c>
      <c r="O824" s="126">
        <v>46228.256134259304</v>
      </c>
      <c r="P824" s="126">
        <v>46228.256134259304</v>
      </c>
    </row>
    <row r="825" spans="1:16" ht="15.75" customHeight="1">
      <c r="A825" s="126">
        <v>46230.015752314801</v>
      </c>
      <c r="B825" s="7">
        <v>12</v>
      </c>
      <c r="C825" s="7">
        <v>710</v>
      </c>
      <c r="E825" s="7" t="s">
        <v>989</v>
      </c>
      <c r="F825" s="7" t="s">
        <v>216</v>
      </c>
      <c r="G825" s="7">
        <v>168</v>
      </c>
      <c r="H825" s="7" t="s">
        <v>885</v>
      </c>
      <c r="I825" s="7" t="s">
        <v>886</v>
      </c>
      <c r="J825" s="7"/>
      <c r="M825" s="7">
        <v>100</v>
      </c>
      <c r="N825" s="7">
        <v>100</v>
      </c>
      <c r="O825" s="126"/>
      <c r="P825" s="126">
        <v>46209.706956018497</v>
      </c>
    </row>
    <row r="826" spans="1:16" ht="15.75" customHeight="1">
      <c r="A826" s="126">
        <v>46230.015752314801</v>
      </c>
      <c r="B826" s="7">
        <v>12</v>
      </c>
      <c r="C826" s="7">
        <v>691</v>
      </c>
      <c r="E826" s="7" t="s">
        <v>990</v>
      </c>
      <c r="F826" s="7" t="s">
        <v>587</v>
      </c>
      <c r="G826" s="7">
        <v>181</v>
      </c>
      <c r="H826" s="7" t="s">
        <v>873</v>
      </c>
      <c r="I826" s="7" t="s">
        <v>874</v>
      </c>
      <c r="J826" s="7"/>
      <c r="M826" s="7"/>
      <c r="N826" s="7" t="s">
        <v>875</v>
      </c>
      <c r="O826" s="126"/>
      <c r="P826" s="126"/>
    </row>
    <row r="827" spans="1:16" ht="15.75" customHeight="1">
      <c r="A827" s="126">
        <v>46230.015752314801</v>
      </c>
      <c r="B827" s="7">
        <v>12</v>
      </c>
      <c r="C827" s="7">
        <v>691</v>
      </c>
      <c r="E827" s="7" t="s">
        <v>990</v>
      </c>
      <c r="F827" s="7" t="s">
        <v>587</v>
      </c>
      <c r="G827" s="7">
        <v>182</v>
      </c>
      <c r="H827" s="7" t="s">
        <v>876</v>
      </c>
      <c r="I827" s="7" t="s">
        <v>874</v>
      </c>
      <c r="J827" s="7"/>
      <c r="M827" s="7"/>
      <c r="N827" s="7" t="s">
        <v>875</v>
      </c>
      <c r="O827" s="126"/>
      <c r="P827" s="126"/>
    </row>
    <row r="828" spans="1:16" ht="15.75" customHeight="1">
      <c r="A828" s="126">
        <v>46230.015752314801</v>
      </c>
      <c r="B828" s="7">
        <v>12</v>
      </c>
      <c r="C828" s="7">
        <v>691</v>
      </c>
      <c r="E828" s="7" t="s">
        <v>990</v>
      </c>
      <c r="F828" s="7" t="s">
        <v>587</v>
      </c>
      <c r="G828" s="7">
        <v>174</v>
      </c>
      <c r="H828" s="7" t="s">
        <v>877</v>
      </c>
      <c r="I828" s="7" t="s">
        <v>878</v>
      </c>
      <c r="J828" s="7" t="s">
        <v>879</v>
      </c>
      <c r="M828" s="7">
        <v>100</v>
      </c>
      <c r="N828" s="7">
        <v>100</v>
      </c>
      <c r="O828" s="126"/>
      <c r="P828" s="126">
        <v>46209.706932870402</v>
      </c>
    </row>
    <row r="829" spans="1:16" ht="15.75" customHeight="1">
      <c r="A829" s="126">
        <v>46230.015752314801</v>
      </c>
      <c r="B829" s="7">
        <v>12</v>
      </c>
      <c r="C829" s="7">
        <v>691</v>
      </c>
      <c r="E829" s="7" t="s">
        <v>990</v>
      </c>
      <c r="F829" s="7" t="s">
        <v>587</v>
      </c>
      <c r="G829" s="7">
        <v>180</v>
      </c>
      <c r="H829" s="7" t="s">
        <v>880</v>
      </c>
      <c r="I829" s="7" t="s">
        <v>874</v>
      </c>
      <c r="J829" s="7"/>
      <c r="M829" s="7"/>
      <c r="N829" s="7" t="s">
        <v>875</v>
      </c>
      <c r="O829" s="126"/>
      <c r="P829" s="126"/>
    </row>
    <row r="830" spans="1:16" ht="15.75" customHeight="1">
      <c r="A830" s="126">
        <v>46230.015752314801</v>
      </c>
      <c r="B830" s="7">
        <v>12</v>
      </c>
      <c r="C830" s="7">
        <v>691</v>
      </c>
      <c r="E830" s="7" t="s">
        <v>990</v>
      </c>
      <c r="F830" s="7" t="s">
        <v>587</v>
      </c>
      <c r="G830" s="7">
        <v>175</v>
      </c>
      <c r="H830" s="7" t="s">
        <v>881</v>
      </c>
      <c r="I830" s="7" t="s">
        <v>878</v>
      </c>
      <c r="J830" s="7" t="s">
        <v>882</v>
      </c>
      <c r="M830" s="7">
        <v>75</v>
      </c>
      <c r="N830" s="7">
        <v>75</v>
      </c>
      <c r="O830" s="126">
        <v>46213.726898148103</v>
      </c>
      <c r="P830" s="126">
        <v>46213.726898148103</v>
      </c>
    </row>
    <row r="831" spans="1:16" ht="15.75" customHeight="1">
      <c r="A831" s="126">
        <v>46230.015752314801</v>
      </c>
      <c r="B831" s="7">
        <v>12</v>
      </c>
      <c r="C831" s="7">
        <v>691</v>
      </c>
      <c r="E831" s="7" t="s">
        <v>990</v>
      </c>
      <c r="F831" s="7" t="s">
        <v>587</v>
      </c>
      <c r="G831" s="7">
        <v>177</v>
      </c>
      <c r="H831" s="7" t="s">
        <v>883</v>
      </c>
      <c r="I831" s="7" t="s">
        <v>878</v>
      </c>
      <c r="J831" s="7" t="s">
        <v>882</v>
      </c>
      <c r="M831" s="7"/>
      <c r="N831" s="7" t="s">
        <v>875</v>
      </c>
      <c r="O831" s="126"/>
      <c r="P831" s="126"/>
    </row>
    <row r="832" spans="1:16" ht="15.75" customHeight="1">
      <c r="A832" s="126">
        <v>46230.015752314801</v>
      </c>
      <c r="B832" s="7">
        <v>12</v>
      </c>
      <c r="C832" s="7">
        <v>691</v>
      </c>
      <c r="E832" s="7" t="s">
        <v>990</v>
      </c>
      <c r="F832" s="7" t="s">
        <v>587</v>
      </c>
      <c r="G832" s="7">
        <v>176</v>
      </c>
      <c r="H832" s="7" t="s">
        <v>884</v>
      </c>
      <c r="I832" s="7" t="s">
        <v>878</v>
      </c>
      <c r="J832" s="7" t="s">
        <v>882</v>
      </c>
      <c r="M832" s="7">
        <v>90</v>
      </c>
      <c r="N832" s="7">
        <v>90</v>
      </c>
      <c r="O832" s="126">
        <v>46224.927986111099</v>
      </c>
      <c r="P832" s="126">
        <v>46224.927986111099</v>
      </c>
    </row>
    <row r="833" spans="1:16" ht="15.75" customHeight="1">
      <c r="A833" s="126">
        <v>46230.015752314801</v>
      </c>
      <c r="B833" s="7">
        <v>12</v>
      </c>
      <c r="C833" s="7">
        <v>691</v>
      </c>
      <c r="E833" s="7" t="s">
        <v>990</v>
      </c>
      <c r="F833" s="7" t="s">
        <v>587</v>
      </c>
      <c r="G833" s="7">
        <v>168</v>
      </c>
      <c r="H833" s="7" t="s">
        <v>885</v>
      </c>
      <c r="I833" s="7" t="s">
        <v>886</v>
      </c>
      <c r="J833" s="7"/>
      <c r="M833" s="7">
        <v>100</v>
      </c>
      <c r="N833" s="7">
        <v>100</v>
      </c>
      <c r="P833" s="126">
        <v>46209.706932870402</v>
      </c>
    </row>
    <row r="834" spans="1:16" ht="15.75" customHeight="1">
      <c r="A834" s="126">
        <v>46230.015752314801</v>
      </c>
      <c r="B834" s="7">
        <v>12</v>
      </c>
      <c r="C834" s="7">
        <v>322</v>
      </c>
      <c r="E834" s="7" t="s">
        <v>991</v>
      </c>
      <c r="F834" s="7" t="s">
        <v>152</v>
      </c>
      <c r="G834" s="7">
        <v>181</v>
      </c>
      <c r="H834" s="7" t="s">
        <v>873</v>
      </c>
      <c r="I834" s="7" t="s">
        <v>874</v>
      </c>
      <c r="J834" s="7"/>
      <c r="M834" s="7"/>
      <c r="N834" s="7" t="s">
        <v>875</v>
      </c>
      <c r="O834" s="126"/>
      <c r="P834" s="126"/>
    </row>
    <row r="835" spans="1:16" ht="15.75" customHeight="1">
      <c r="A835" s="126">
        <v>46230.015752314801</v>
      </c>
      <c r="B835" s="7">
        <v>12</v>
      </c>
      <c r="C835" s="7">
        <v>322</v>
      </c>
      <c r="E835" s="7" t="s">
        <v>991</v>
      </c>
      <c r="F835" s="7" t="s">
        <v>152</v>
      </c>
      <c r="G835" s="7">
        <v>182</v>
      </c>
      <c r="H835" s="7" t="s">
        <v>876</v>
      </c>
      <c r="I835" s="7" t="s">
        <v>874</v>
      </c>
      <c r="J835" s="7"/>
      <c r="M835" s="7"/>
      <c r="N835" s="7" t="s">
        <v>875</v>
      </c>
      <c r="P835" s="126"/>
    </row>
    <row r="836" spans="1:16" ht="15.75" customHeight="1">
      <c r="A836" s="126">
        <v>46230.015752314801</v>
      </c>
      <c r="B836" s="7">
        <v>12</v>
      </c>
      <c r="C836" s="7">
        <v>322</v>
      </c>
      <c r="E836" s="7" t="s">
        <v>991</v>
      </c>
      <c r="F836" s="7" t="s">
        <v>152</v>
      </c>
      <c r="G836" s="7">
        <v>174</v>
      </c>
      <c r="H836" s="7" t="s">
        <v>877</v>
      </c>
      <c r="I836" s="7" t="s">
        <v>878</v>
      </c>
      <c r="J836" s="7" t="s">
        <v>879</v>
      </c>
      <c r="M836" s="7">
        <v>100</v>
      </c>
      <c r="N836" s="7">
        <v>100</v>
      </c>
      <c r="O836" s="126"/>
      <c r="P836" s="126">
        <v>46209.706932870402</v>
      </c>
    </row>
    <row r="837" spans="1:16" ht="15.75" customHeight="1">
      <c r="A837" s="126">
        <v>46230.015752314801</v>
      </c>
      <c r="B837" s="7">
        <v>12</v>
      </c>
      <c r="C837" s="7">
        <v>322</v>
      </c>
      <c r="E837" s="7" t="s">
        <v>991</v>
      </c>
      <c r="F837" s="7" t="s">
        <v>152</v>
      </c>
      <c r="G837" s="7">
        <v>180</v>
      </c>
      <c r="H837" s="7" t="s">
        <v>880</v>
      </c>
      <c r="I837" s="7" t="s">
        <v>874</v>
      </c>
      <c r="J837" s="7"/>
      <c r="M837" s="7"/>
      <c r="N837" s="7" t="s">
        <v>875</v>
      </c>
      <c r="O837" s="126"/>
      <c r="P837" s="126"/>
    </row>
    <row r="838" spans="1:16" ht="15.75" customHeight="1">
      <c r="A838" s="126">
        <v>46230.015752314801</v>
      </c>
      <c r="B838" s="7">
        <v>12</v>
      </c>
      <c r="C838" s="7">
        <v>322</v>
      </c>
      <c r="E838" s="7" t="s">
        <v>991</v>
      </c>
      <c r="F838" s="7" t="s">
        <v>152</v>
      </c>
      <c r="G838" s="7">
        <v>175</v>
      </c>
      <c r="H838" s="7" t="s">
        <v>881</v>
      </c>
      <c r="I838" s="7" t="s">
        <v>878</v>
      </c>
      <c r="J838" s="7" t="s">
        <v>882</v>
      </c>
      <c r="M838" s="7">
        <v>87.5</v>
      </c>
      <c r="N838" s="7">
        <v>87.5</v>
      </c>
      <c r="O838" s="126">
        <v>46214.5690972222</v>
      </c>
      <c r="P838" s="126">
        <v>46214.5690972222</v>
      </c>
    </row>
    <row r="839" spans="1:16" ht="15.75" customHeight="1">
      <c r="A839" s="126">
        <v>46230.015752314801</v>
      </c>
      <c r="B839" s="7">
        <v>12</v>
      </c>
      <c r="C839" s="7">
        <v>322</v>
      </c>
      <c r="E839" s="7" t="s">
        <v>991</v>
      </c>
      <c r="F839" s="7" t="s">
        <v>152</v>
      </c>
      <c r="G839" s="7">
        <v>177</v>
      </c>
      <c r="H839" s="7" t="s">
        <v>883</v>
      </c>
      <c r="I839" s="7" t="s">
        <v>878</v>
      </c>
      <c r="J839" s="7" t="s">
        <v>882</v>
      </c>
      <c r="M839" s="7"/>
      <c r="N839" s="7" t="s">
        <v>875</v>
      </c>
      <c r="P839" s="126"/>
    </row>
    <row r="840" spans="1:16" ht="15.75" customHeight="1">
      <c r="A840" s="126">
        <v>46230.015752314801</v>
      </c>
      <c r="B840" s="7">
        <v>12</v>
      </c>
      <c r="C840" s="7">
        <v>322</v>
      </c>
      <c r="E840" s="7" t="s">
        <v>991</v>
      </c>
      <c r="F840" s="7" t="s">
        <v>152</v>
      </c>
      <c r="G840" s="7">
        <v>176</v>
      </c>
      <c r="H840" s="7" t="s">
        <v>884</v>
      </c>
      <c r="I840" s="7" t="s">
        <v>878</v>
      </c>
      <c r="J840" s="7" t="s">
        <v>882</v>
      </c>
      <c r="M840" s="7">
        <v>90</v>
      </c>
      <c r="N840" s="7">
        <v>90</v>
      </c>
      <c r="O840" s="126">
        <v>46227.504374999997</v>
      </c>
      <c r="P840" s="126">
        <v>46227.504374999997</v>
      </c>
    </row>
    <row r="841" spans="1:16" ht="15.75" customHeight="1">
      <c r="A841" s="126">
        <v>46230.015752314801</v>
      </c>
      <c r="B841" s="7">
        <v>12</v>
      </c>
      <c r="C841" s="7">
        <v>322</v>
      </c>
      <c r="E841" s="7" t="s">
        <v>991</v>
      </c>
      <c r="F841" s="7" t="s">
        <v>152</v>
      </c>
      <c r="G841" s="7">
        <v>168</v>
      </c>
      <c r="H841" s="7" t="s">
        <v>885</v>
      </c>
      <c r="I841" s="7" t="s">
        <v>886</v>
      </c>
      <c r="J841" s="7"/>
      <c r="M841" s="7">
        <v>100</v>
      </c>
      <c r="N841" s="7">
        <v>100</v>
      </c>
      <c r="P841" s="126">
        <v>46209.706932870402</v>
      </c>
    </row>
    <row r="842" spans="1:16" ht="15.75" customHeight="1">
      <c r="A842" s="126">
        <v>46230.015752314801</v>
      </c>
      <c r="B842" s="7">
        <v>12</v>
      </c>
      <c r="C842" s="7">
        <v>412</v>
      </c>
      <c r="E842" s="7" t="s">
        <v>992</v>
      </c>
      <c r="F842" s="7" t="s">
        <v>209</v>
      </c>
      <c r="G842" s="7">
        <v>181</v>
      </c>
      <c r="H842" s="7" t="s">
        <v>873</v>
      </c>
      <c r="I842" s="7" t="s">
        <v>874</v>
      </c>
      <c r="J842" s="7"/>
      <c r="M842" s="7"/>
      <c r="N842" s="7" t="s">
        <v>875</v>
      </c>
      <c r="O842" s="126"/>
      <c r="P842" s="126"/>
    </row>
    <row r="843" spans="1:16" ht="15.75" customHeight="1">
      <c r="A843" s="126">
        <v>46230.015752314801</v>
      </c>
      <c r="B843" s="7">
        <v>12</v>
      </c>
      <c r="C843" s="7">
        <v>412</v>
      </c>
      <c r="E843" s="7" t="s">
        <v>992</v>
      </c>
      <c r="F843" s="7" t="s">
        <v>209</v>
      </c>
      <c r="G843" s="7">
        <v>182</v>
      </c>
      <c r="H843" s="7" t="s">
        <v>876</v>
      </c>
      <c r="I843" s="7" t="s">
        <v>874</v>
      </c>
      <c r="J843" s="7"/>
      <c r="M843" s="7"/>
      <c r="N843" s="7" t="s">
        <v>875</v>
      </c>
      <c r="O843" s="126"/>
      <c r="P843" s="126"/>
    </row>
    <row r="844" spans="1:16" ht="15.75" customHeight="1">
      <c r="A844" s="126">
        <v>46230.015752314801</v>
      </c>
      <c r="B844" s="7">
        <v>12</v>
      </c>
      <c r="C844" s="7">
        <v>412</v>
      </c>
      <c r="E844" s="7" t="s">
        <v>992</v>
      </c>
      <c r="F844" s="7" t="s">
        <v>209</v>
      </c>
      <c r="G844" s="7">
        <v>174</v>
      </c>
      <c r="H844" s="7" t="s">
        <v>877</v>
      </c>
      <c r="I844" s="7" t="s">
        <v>878</v>
      </c>
      <c r="J844" s="7" t="s">
        <v>879</v>
      </c>
      <c r="M844" s="7">
        <v>100</v>
      </c>
      <c r="N844" s="7">
        <v>100</v>
      </c>
      <c r="O844" s="126"/>
      <c r="P844" s="126">
        <v>46210.431157407402</v>
      </c>
    </row>
    <row r="845" spans="1:16" ht="15.75" customHeight="1">
      <c r="A845" s="126">
        <v>46230.015752314801</v>
      </c>
      <c r="B845" s="7">
        <v>12</v>
      </c>
      <c r="C845" s="7">
        <v>412</v>
      </c>
      <c r="E845" s="7" t="s">
        <v>992</v>
      </c>
      <c r="F845" s="7" t="s">
        <v>209</v>
      </c>
      <c r="G845" s="7">
        <v>180</v>
      </c>
      <c r="H845" s="7" t="s">
        <v>880</v>
      </c>
      <c r="I845" s="7" t="s">
        <v>874</v>
      </c>
      <c r="J845" s="7"/>
      <c r="M845" s="7"/>
      <c r="N845" s="7" t="s">
        <v>875</v>
      </c>
      <c r="O845" s="126"/>
      <c r="P845" s="126"/>
    </row>
    <row r="846" spans="1:16" ht="15.75" customHeight="1">
      <c r="A846" s="126">
        <v>46230.015752314801</v>
      </c>
      <c r="B846" s="7">
        <v>12</v>
      </c>
      <c r="C846" s="7">
        <v>412</v>
      </c>
      <c r="E846" s="7" t="s">
        <v>992</v>
      </c>
      <c r="F846" s="7" t="s">
        <v>209</v>
      </c>
      <c r="G846" s="7">
        <v>175</v>
      </c>
      <c r="H846" s="7" t="s">
        <v>881</v>
      </c>
      <c r="I846" s="7" t="s">
        <v>878</v>
      </c>
      <c r="J846" s="7" t="s">
        <v>882</v>
      </c>
      <c r="M846" s="7">
        <v>87.5</v>
      </c>
      <c r="N846" s="7">
        <v>87.5</v>
      </c>
      <c r="O846" s="126">
        <v>46215.785208333298</v>
      </c>
      <c r="P846" s="126">
        <v>46215.785208333298</v>
      </c>
    </row>
    <row r="847" spans="1:16" ht="15.75" customHeight="1">
      <c r="A847" s="126">
        <v>46230.015752314801</v>
      </c>
      <c r="B847" s="7">
        <v>12</v>
      </c>
      <c r="C847" s="7">
        <v>412</v>
      </c>
      <c r="E847" s="7" t="s">
        <v>992</v>
      </c>
      <c r="F847" s="7" t="s">
        <v>209</v>
      </c>
      <c r="G847" s="7">
        <v>177</v>
      </c>
      <c r="H847" s="7" t="s">
        <v>883</v>
      </c>
      <c r="I847" s="7" t="s">
        <v>878</v>
      </c>
      <c r="J847" s="7" t="s">
        <v>882</v>
      </c>
      <c r="M847" s="7"/>
      <c r="N847" s="7" t="s">
        <v>875</v>
      </c>
      <c r="P847" s="126"/>
    </row>
    <row r="848" spans="1:16" ht="15.75" customHeight="1">
      <c r="A848" s="126">
        <v>46230.015752314801</v>
      </c>
      <c r="B848" s="7">
        <v>12</v>
      </c>
      <c r="C848" s="7">
        <v>412</v>
      </c>
      <c r="D848" s="7"/>
      <c r="E848" s="7" t="s">
        <v>992</v>
      </c>
      <c r="F848" s="7" t="s">
        <v>209</v>
      </c>
      <c r="G848" s="7">
        <v>176</v>
      </c>
      <c r="H848" s="7" t="s">
        <v>884</v>
      </c>
      <c r="I848" s="7" t="s">
        <v>878</v>
      </c>
      <c r="J848" s="7" t="s">
        <v>882</v>
      </c>
      <c r="M848" s="7">
        <v>100</v>
      </c>
      <c r="N848" s="7">
        <v>100</v>
      </c>
      <c r="O848" s="126">
        <v>46223.747499999998</v>
      </c>
      <c r="P848" s="126">
        <v>46223.793657407397</v>
      </c>
    </row>
    <row r="849" spans="1:16" ht="15.75" customHeight="1">
      <c r="A849" s="126">
        <v>46230.015752314801</v>
      </c>
      <c r="B849" s="7">
        <v>12</v>
      </c>
      <c r="C849" s="7">
        <v>412</v>
      </c>
      <c r="D849" s="7"/>
      <c r="E849" s="7" t="s">
        <v>992</v>
      </c>
      <c r="F849" s="7" t="s">
        <v>209</v>
      </c>
      <c r="G849" s="7">
        <v>168</v>
      </c>
      <c r="H849" s="7" t="s">
        <v>885</v>
      </c>
      <c r="I849" s="7" t="s">
        <v>886</v>
      </c>
      <c r="J849" s="7"/>
      <c r="M849" s="7">
        <v>100</v>
      </c>
      <c r="N849" s="7">
        <v>100</v>
      </c>
      <c r="O849" s="126"/>
      <c r="P849" s="126">
        <v>46210.431157407402</v>
      </c>
    </row>
    <row r="850" spans="1:16" ht="15.75" customHeight="1">
      <c r="A850" s="126">
        <v>46230.015752314801</v>
      </c>
      <c r="B850" s="7">
        <v>12</v>
      </c>
      <c r="C850" s="7">
        <v>268</v>
      </c>
      <c r="D850" s="7"/>
      <c r="E850" s="7" t="s">
        <v>993</v>
      </c>
      <c r="F850" s="7" t="s">
        <v>555</v>
      </c>
      <c r="G850" s="7">
        <v>181</v>
      </c>
      <c r="H850" s="7" t="s">
        <v>873</v>
      </c>
      <c r="I850" s="7" t="s">
        <v>874</v>
      </c>
      <c r="J850" s="7"/>
      <c r="M850" s="7"/>
      <c r="N850" s="7" t="s">
        <v>875</v>
      </c>
      <c r="O850" s="126"/>
      <c r="P850" s="126"/>
    </row>
    <row r="851" spans="1:16" ht="15.75" customHeight="1">
      <c r="A851" s="126">
        <v>46230.015752314801</v>
      </c>
      <c r="B851" s="7">
        <v>12</v>
      </c>
      <c r="C851" s="7">
        <v>268</v>
      </c>
      <c r="D851" s="7"/>
      <c r="E851" s="7" t="s">
        <v>993</v>
      </c>
      <c r="F851" s="7" t="s">
        <v>555</v>
      </c>
      <c r="G851" s="7">
        <v>182</v>
      </c>
      <c r="H851" s="7" t="s">
        <v>876</v>
      </c>
      <c r="I851" s="7" t="s">
        <v>874</v>
      </c>
      <c r="J851" s="7"/>
      <c r="M851" s="7"/>
      <c r="N851" s="7" t="s">
        <v>875</v>
      </c>
      <c r="P851" s="126"/>
    </row>
    <row r="852" spans="1:16" ht="15.75" customHeight="1">
      <c r="A852" s="126">
        <v>46230.015752314801</v>
      </c>
      <c r="B852" s="7">
        <v>12</v>
      </c>
      <c r="C852" s="7">
        <v>268</v>
      </c>
      <c r="D852" s="7"/>
      <c r="E852" s="7" t="s">
        <v>993</v>
      </c>
      <c r="F852" s="7" t="s">
        <v>555</v>
      </c>
      <c r="G852" s="7">
        <v>174</v>
      </c>
      <c r="H852" s="7" t="s">
        <v>877</v>
      </c>
      <c r="I852" s="7" t="s">
        <v>878</v>
      </c>
      <c r="J852" s="7" t="s">
        <v>879</v>
      </c>
      <c r="M852" s="7">
        <v>100</v>
      </c>
      <c r="N852" s="7">
        <v>100</v>
      </c>
      <c r="O852" s="126"/>
      <c r="P852" s="126">
        <v>46209.706944444399</v>
      </c>
    </row>
    <row r="853" spans="1:16" ht="15.75" customHeight="1">
      <c r="A853" s="126">
        <v>46230.015752314801</v>
      </c>
      <c r="B853" s="7">
        <v>12</v>
      </c>
      <c r="C853" s="7">
        <v>268</v>
      </c>
      <c r="D853" s="7"/>
      <c r="E853" s="7" t="s">
        <v>993</v>
      </c>
      <c r="F853" s="7" t="s">
        <v>555</v>
      </c>
      <c r="G853" s="7">
        <v>180</v>
      </c>
      <c r="H853" s="7" t="s">
        <v>880</v>
      </c>
      <c r="I853" s="7" t="s">
        <v>874</v>
      </c>
      <c r="J853" s="7"/>
      <c r="M853" s="7"/>
      <c r="N853" s="7" t="s">
        <v>875</v>
      </c>
      <c r="O853" s="126"/>
      <c r="P853" s="126"/>
    </row>
    <row r="854" spans="1:16" ht="15.75" customHeight="1">
      <c r="A854" s="126">
        <v>46230.015752314801</v>
      </c>
      <c r="B854" s="7">
        <v>12</v>
      </c>
      <c r="C854" s="7">
        <v>268</v>
      </c>
      <c r="E854" s="7" t="s">
        <v>993</v>
      </c>
      <c r="F854" s="7" t="s">
        <v>555</v>
      </c>
      <c r="G854" s="7">
        <v>175</v>
      </c>
      <c r="H854" s="7" t="s">
        <v>881</v>
      </c>
      <c r="I854" s="7" t="s">
        <v>878</v>
      </c>
      <c r="J854" s="7" t="s">
        <v>882</v>
      </c>
      <c r="M854" s="7">
        <v>100</v>
      </c>
      <c r="N854" s="7">
        <v>100</v>
      </c>
      <c r="O854" s="126">
        <v>46216.600127314799</v>
      </c>
      <c r="P854" s="126">
        <v>46216.600127314799</v>
      </c>
    </row>
    <row r="855" spans="1:16" ht="15.75" customHeight="1">
      <c r="A855" s="126">
        <v>46230.015752314801</v>
      </c>
      <c r="B855" s="7">
        <v>12</v>
      </c>
      <c r="C855" s="7">
        <v>268</v>
      </c>
      <c r="E855" s="7" t="s">
        <v>993</v>
      </c>
      <c r="F855" s="7" t="s">
        <v>555</v>
      </c>
      <c r="G855" s="7">
        <v>177</v>
      </c>
      <c r="H855" s="7" t="s">
        <v>883</v>
      </c>
      <c r="I855" s="7" t="s">
        <v>878</v>
      </c>
      <c r="J855" s="7" t="s">
        <v>882</v>
      </c>
      <c r="M855" s="7"/>
      <c r="N855" s="7" t="s">
        <v>875</v>
      </c>
      <c r="O855" s="126"/>
      <c r="P855" s="126"/>
    </row>
    <row r="856" spans="1:16" ht="15.75" customHeight="1">
      <c r="A856" s="126">
        <v>46230.015752314801</v>
      </c>
      <c r="B856" s="7">
        <v>12</v>
      </c>
      <c r="C856" s="7">
        <v>268</v>
      </c>
      <c r="E856" s="7" t="s">
        <v>993</v>
      </c>
      <c r="F856" s="7" t="s">
        <v>555</v>
      </c>
      <c r="G856" s="7">
        <v>176</v>
      </c>
      <c r="H856" s="7" t="s">
        <v>884</v>
      </c>
      <c r="I856" s="7" t="s">
        <v>878</v>
      </c>
      <c r="J856" s="7" t="s">
        <v>882</v>
      </c>
      <c r="M856" s="7">
        <v>90</v>
      </c>
      <c r="N856" s="7">
        <v>90</v>
      </c>
      <c r="O856" s="126">
        <v>46229.495810185203</v>
      </c>
      <c r="P856" s="126">
        <v>46229.495810185203</v>
      </c>
    </row>
    <row r="857" spans="1:16" ht="15.75" customHeight="1">
      <c r="A857" s="126">
        <v>46230.015752314801</v>
      </c>
      <c r="B857" s="7">
        <v>12</v>
      </c>
      <c r="C857" s="7">
        <v>268</v>
      </c>
      <c r="E857" s="7" t="s">
        <v>993</v>
      </c>
      <c r="F857" s="7" t="s">
        <v>555</v>
      </c>
      <c r="G857" s="7">
        <v>168</v>
      </c>
      <c r="H857" s="7" t="s">
        <v>885</v>
      </c>
      <c r="I857" s="7" t="s">
        <v>886</v>
      </c>
      <c r="J857" s="7"/>
      <c r="M857" s="7">
        <v>100</v>
      </c>
      <c r="N857" s="7">
        <v>100</v>
      </c>
      <c r="P857" s="126">
        <v>46209.706944444399</v>
      </c>
    </row>
    <row r="858" spans="1:16" ht="15.75" customHeight="1">
      <c r="A858" s="126">
        <v>46230.015752314801</v>
      </c>
      <c r="B858" s="7">
        <v>12</v>
      </c>
      <c r="C858" s="7">
        <v>437</v>
      </c>
      <c r="E858" s="7" t="s">
        <v>994</v>
      </c>
      <c r="F858" s="7" t="s">
        <v>472</v>
      </c>
      <c r="G858" s="7">
        <v>181</v>
      </c>
      <c r="H858" s="7" t="s">
        <v>873</v>
      </c>
      <c r="I858" s="7" t="s">
        <v>874</v>
      </c>
      <c r="J858" s="7"/>
      <c r="M858" s="7"/>
      <c r="N858" s="7" t="s">
        <v>875</v>
      </c>
      <c r="P858" s="126"/>
    </row>
    <row r="859" spans="1:16" ht="15.75" customHeight="1">
      <c r="A859" s="126">
        <v>46230.015752314801</v>
      </c>
      <c r="B859" s="7">
        <v>12</v>
      </c>
      <c r="C859" s="7">
        <v>437</v>
      </c>
      <c r="E859" s="7" t="s">
        <v>994</v>
      </c>
      <c r="F859" s="7" t="s">
        <v>472</v>
      </c>
      <c r="G859" s="7">
        <v>182</v>
      </c>
      <c r="H859" s="7" t="s">
        <v>876</v>
      </c>
      <c r="I859" s="7" t="s">
        <v>874</v>
      </c>
      <c r="J859" s="7"/>
      <c r="M859" s="7"/>
      <c r="N859" s="7" t="s">
        <v>875</v>
      </c>
      <c r="P859" s="126"/>
    </row>
    <row r="860" spans="1:16" ht="15.75" customHeight="1">
      <c r="A860" s="126">
        <v>46230.015752314801</v>
      </c>
      <c r="B860" s="7">
        <v>12</v>
      </c>
      <c r="C860" s="7">
        <v>437</v>
      </c>
      <c r="E860" s="7" t="s">
        <v>994</v>
      </c>
      <c r="F860" s="7" t="s">
        <v>472</v>
      </c>
      <c r="G860" s="7">
        <v>174</v>
      </c>
      <c r="H860" s="7" t="s">
        <v>877</v>
      </c>
      <c r="I860" s="7" t="s">
        <v>878</v>
      </c>
      <c r="J860" s="7" t="s">
        <v>879</v>
      </c>
      <c r="M860" s="7">
        <v>100</v>
      </c>
      <c r="N860" s="7">
        <v>100</v>
      </c>
      <c r="O860" s="126"/>
      <c r="P860" s="126">
        <v>46209.706956018497</v>
      </c>
    </row>
    <row r="861" spans="1:16" ht="15.75" customHeight="1">
      <c r="A861" s="126">
        <v>46230.015752314801</v>
      </c>
      <c r="B861" s="7">
        <v>12</v>
      </c>
      <c r="C861" s="7">
        <v>437</v>
      </c>
      <c r="E861" s="7" t="s">
        <v>994</v>
      </c>
      <c r="F861" s="7" t="s">
        <v>472</v>
      </c>
      <c r="G861" s="7">
        <v>180</v>
      </c>
      <c r="H861" s="7" t="s">
        <v>880</v>
      </c>
      <c r="I861" s="7" t="s">
        <v>874</v>
      </c>
      <c r="J861" s="7"/>
      <c r="M861" s="7"/>
      <c r="N861" s="7" t="s">
        <v>875</v>
      </c>
      <c r="O861" s="126"/>
      <c r="P861" s="126"/>
    </row>
    <row r="862" spans="1:16" ht="15.75" customHeight="1">
      <c r="A862" s="126">
        <v>46230.015752314801</v>
      </c>
      <c r="B862" s="7">
        <v>12</v>
      </c>
      <c r="C862" s="7">
        <v>437</v>
      </c>
      <c r="E862" s="7" t="s">
        <v>994</v>
      </c>
      <c r="F862" s="7" t="s">
        <v>472</v>
      </c>
      <c r="G862" s="7">
        <v>175</v>
      </c>
      <c r="H862" s="7" t="s">
        <v>881</v>
      </c>
      <c r="I862" s="7" t="s">
        <v>878</v>
      </c>
      <c r="J862" s="7" t="s">
        <v>882</v>
      </c>
      <c r="M862" s="7">
        <v>75</v>
      </c>
      <c r="N862" s="7">
        <v>75</v>
      </c>
      <c r="O862" s="126">
        <v>46216.2868171296</v>
      </c>
      <c r="P862" s="126">
        <v>46216.2868171296</v>
      </c>
    </row>
    <row r="863" spans="1:16" ht="15.75" customHeight="1">
      <c r="A863" s="126">
        <v>46230.015752314801</v>
      </c>
      <c r="B863" s="7">
        <v>12</v>
      </c>
      <c r="C863" s="7">
        <v>437</v>
      </c>
      <c r="E863" s="7" t="s">
        <v>994</v>
      </c>
      <c r="F863" s="7" t="s">
        <v>472</v>
      </c>
      <c r="G863" s="7">
        <v>177</v>
      </c>
      <c r="H863" s="7" t="s">
        <v>883</v>
      </c>
      <c r="I863" s="7" t="s">
        <v>878</v>
      </c>
      <c r="J863" s="7" t="s">
        <v>882</v>
      </c>
      <c r="M863" s="7"/>
      <c r="N863" s="7" t="s">
        <v>875</v>
      </c>
      <c r="O863" s="126"/>
      <c r="P863" s="126"/>
    </row>
    <row r="864" spans="1:16" ht="15.75" customHeight="1">
      <c r="A864" s="126">
        <v>46230.015752314801</v>
      </c>
      <c r="B864" s="7">
        <v>12</v>
      </c>
      <c r="C864" s="7">
        <v>437</v>
      </c>
      <c r="E864" s="7" t="s">
        <v>994</v>
      </c>
      <c r="F864" s="7" t="s">
        <v>472</v>
      </c>
      <c r="G864" s="7">
        <v>176</v>
      </c>
      <c r="H864" s="7" t="s">
        <v>884</v>
      </c>
      <c r="I864" s="7" t="s">
        <v>878</v>
      </c>
      <c r="J864" s="7" t="s">
        <v>882</v>
      </c>
      <c r="M864" s="7"/>
      <c r="N864" s="7" t="s">
        <v>875</v>
      </c>
      <c r="O864" s="126"/>
      <c r="P864" s="126"/>
    </row>
    <row r="865" spans="1:16" ht="15.75" customHeight="1">
      <c r="A865" s="126">
        <v>46230.015752314801</v>
      </c>
      <c r="B865" s="7">
        <v>12</v>
      </c>
      <c r="C865" s="7">
        <v>437</v>
      </c>
      <c r="E865" s="7" t="s">
        <v>994</v>
      </c>
      <c r="F865" s="7" t="s">
        <v>472</v>
      </c>
      <c r="G865" s="7">
        <v>168</v>
      </c>
      <c r="H865" s="7" t="s">
        <v>885</v>
      </c>
      <c r="I865" s="7" t="s">
        <v>886</v>
      </c>
      <c r="M865" s="7">
        <v>100</v>
      </c>
      <c r="N865" s="7">
        <v>100</v>
      </c>
      <c r="P865" s="126">
        <v>46209.706956018497</v>
      </c>
    </row>
    <row r="866" spans="1:16" ht="15.75" customHeight="1">
      <c r="A866" s="126">
        <v>46230.015752314801</v>
      </c>
      <c r="B866" s="7">
        <v>12</v>
      </c>
      <c r="C866" s="7">
        <v>505</v>
      </c>
      <c r="E866" s="7" t="s">
        <v>995</v>
      </c>
      <c r="F866" s="7" t="s">
        <v>14</v>
      </c>
      <c r="G866" s="7">
        <v>181</v>
      </c>
      <c r="H866" s="7" t="s">
        <v>873</v>
      </c>
      <c r="I866" s="7" t="s">
        <v>874</v>
      </c>
      <c r="J866" s="7"/>
      <c r="M866" s="7"/>
      <c r="N866" s="7" t="s">
        <v>875</v>
      </c>
      <c r="O866" s="126"/>
      <c r="P866" s="126"/>
    </row>
    <row r="867" spans="1:16" ht="15.75" customHeight="1">
      <c r="A867" s="126">
        <v>46230.015752314801</v>
      </c>
      <c r="B867" s="7">
        <v>12</v>
      </c>
      <c r="C867" s="7">
        <v>505</v>
      </c>
      <c r="E867" s="7" t="s">
        <v>995</v>
      </c>
      <c r="F867" s="7" t="s">
        <v>14</v>
      </c>
      <c r="G867" s="7">
        <v>182</v>
      </c>
      <c r="H867" s="7" t="s">
        <v>876</v>
      </c>
      <c r="I867" s="7" t="s">
        <v>874</v>
      </c>
      <c r="J867" s="7"/>
      <c r="M867" s="7"/>
      <c r="N867" s="7" t="s">
        <v>875</v>
      </c>
      <c r="O867" s="126"/>
      <c r="P867" s="126"/>
    </row>
    <row r="868" spans="1:16" ht="15.75" customHeight="1">
      <c r="A868" s="126">
        <v>46230.015752314801</v>
      </c>
      <c r="B868" s="7">
        <v>12</v>
      </c>
      <c r="C868" s="7">
        <v>505</v>
      </c>
      <c r="E868" s="7" t="s">
        <v>995</v>
      </c>
      <c r="F868" s="7" t="s">
        <v>14</v>
      </c>
      <c r="G868" s="7">
        <v>174</v>
      </c>
      <c r="H868" s="7" t="s">
        <v>877</v>
      </c>
      <c r="I868" s="7" t="s">
        <v>878</v>
      </c>
      <c r="J868" s="7" t="s">
        <v>879</v>
      </c>
      <c r="M868" s="7">
        <v>100</v>
      </c>
      <c r="N868" s="7">
        <v>100</v>
      </c>
      <c r="O868" s="126"/>
      <c r="P868" s="126">
        <v>46224.536446759303</v>
      </c>
    </row>
    <row r="869" spans="1:16" ht="15.75" customHeight="1">
      <c r="A869" s="126">
        <v>46230.015752314801</v>
      </c>
      <c r="B869" s="7">
        <v>12</v>
      </c>
      <c r="C869" s="7">
        <v>505</v>
      </c>
      <c r="E869" s="7" t="s">
        <v>995</v>
      </c>
      <c r="F869" s="7" t="s">
        <v>14</v>
      </c>
      <c r="G869" s="7">
        <v>180</v>
      </c>
      <c r="H869" s="7" t="s">
        <v>880</v>
      </c>
      <c r="I869" s="7" t="s">
        <v>874</v>
      </c>
      <c r="J869" s="7"/>
      <c r="M869" s="7"/>
      <c r="N869" s="7" t="s">
        <v>875</v>
      </c>
      <c r="P869" s="126"/>
    </row>
    <row r="870" spans="1:16" ht="15.75" customHeight="1">
      <c r="A870" s="126">
        <v>46230.015752314801</v>
      </c>
      <c r="B870" s="7">
        <v>12</v>
      </c>
      <c r="C870" s="7">
        <v>505</v>
      </c>
      <c r="E870" s="7" t="s">
        <v>995</v>
      </c>
      <c r="F870" s="7" t="s">
        <v>14</v>
      </c>
      <c r="G870" s="7">
        <v>175</v>
      </c>
      <c r="H870" s="7" t="s">
        <v>881</v>
      </c>
      <c r="I870" s="7" t="s">
        <v>878</v>
      </c>
      <c r="J870" s="7" t="s">
        <v>882</v>
      </c>
      <c r="M870" s="7">
        <v>87.5</v>
      </c>
      <c r="N870" s="7">
        <v>87.5</v>
      </c>
      <c r="O870" s="126">
        <v>46216.584594907399</v>
      </c>
      <c r="P870" s="126">
        <v>46216.584594907399</v>
      </c>
    </row>
    <row r="871" spans="1:16" ht="15.75" customHeight="1">
      <c r="A871" s="126">
        <v>46230.015752314801</v>
      </c>
      <c r="B871" s="7">
        <v>12</v>
      </c>
      <c r="C871" s="7">
        <v>505</v>
      </c>
      <c r="E871" s="7" t="s">
        <v>995</v>
      </c>
      <c r="F871" s="7" t="s">
        <v>14</v>
      </c>
      <c r="G871" s="7">
        <v>177</v>
      </c>
      <c r="H871" s="7" t="s">
        <v>883</v>
      </c>
      <c r="I871" s="7" t="s">
        <v>878</v>
      </c>
      <c r="J871" s="7" t="s">
        <v>882</v>
      </c>
      <c r="M871" s="7"/>
      <c r="N871" s="7" t="s">
        <v>875</v>
      </c>
      <c r="P871" s="126"/>
    </row>
    <row r="872" spans="1:16" ht="15.75" customHeight="1">
      <c r="A872" s="126">
        <v>46230.015752314801</v>
      </c>
      <c r="B872" s="7">
        <v>12</v>
      </c>
      <c r="C872" s="7">
        <v>505</v>
      </c>
      <c r="D872" s="7"/>
      <c r="E872" s="7" t="s">
        <v>995</v>
      </c>
      <c r="F872" s="7" t="s">
        <v>14</v>
      </c>
      <c r="G872" s="7">
        <v>176</v>
      </c>
      <c r="H872" s="7" t="s">
        <v>884</v>
      </c>
      <c r="I872" s="7" t="s">
        <v>878</v>
      </c>
      <c r="J872" s="7" t="s">
        <v>882</v>
      </c>
      <c r="M872" s="7">
        <v>100</v>
      </c>
      <c r="N872" s="7">
        <v>100</v>
      </c>
      <c r="O872" s="126">
        <v>46224.543483796297</v>
      </c>
      <c r="P872" s="126">
        <v>46224.543483796297</v>
      </c>
    </row>
    <row r="873" spans="1:16" ht="15.75" customHeight="1">
      <c r="A873" s="126">
        <v>46230.015752314801</v>
      </c>
      <c r="B873" s="7">
        <v>12</v>
      </c>
      <c r="C873" s="7">
        <v>505</v>
      </c>
      <c r="D873" s="7"/>
      <c r="E873" s="7" t="s">
        <v>995</v>
      </c>
      <c r="F873" s="7" t="s">
        <v>14</v>
      </c>
      <c r="G873" s="7">
        <v>168</v>
      </c>
      <c r="H873" s="7" t="s">
        <v>885</v>
      </c>
      <c r="I873" s="7" t="s">
        <v>886</v>
      </c>
      <c r="J873" s="7"/>
      <c r="M873" s="7">
        <v>100</v>
      </c>
      <c r="N873" s="7">
        <v>100</v>
      </c>
      <c r="O873" s="126"/>
      <c r="P873" s="126">
        <v>46224.536446759303</v>
      </c>
    </row>
    <row r="874" spans="1:16" ht="15.75" customHeight="1">
      <c r="A874" s="126">
        <v>46230.015752314801</v>
      </c>
      <c r="B874" s="7">
        <v>12</v>
      </c>
      <c r="C874" s="7">
        <v>814</v>
      </c>
      <c r="D874" s="7"/>
      <c r="E874" s="7" t="s">
        <v>996</v>
      </c>
      <c r="F874" s="7" t="s">
        <v>730</v>
      </c>
      <c r="G874" s="7">
        <v>181</v>
      </c>
      <c r="H874" s="7" t="s">
        <v>873</v>
      </c>
      <c r="I874" s="7" t="s">
        <v>874</v>
      </c>
      <c r="J874" s="7"/>
      <c r="M874" s="7"/>
      <c r="N874" s="7" t="s">
        <v>875</v>
      </c>
      <c r="O874" s="126"/>
      <c r="P874" s="126"/>
    </row>
    <row r="875" spans="1:16" ht="15.75" customHeight="1">
      <c r="A875" s="126">
        <v>46230.015752314801</v>
      </c>
      <c r="B875" s="7">
        <v>12</v>
      </c>
      <c r="C875" s="7">
        <v>814</v>
      </c>
      <c r="D875" s="7"/>
      <c r="E875" s="7" t="s">
        <v>996</v>
      </c>
      <c r="F875" s="7" t="s">
        <v>730</v>
      </c>
      <c r="G875" s="7">
        <v>182</v>
      </c>
      <c r="H875" s="7" t="s">
        <v>876</v>
      </c>
      <c r="I875" s="7" t="s">
        <v>874</v>
      </c>
      <c r="J875" s="7"/>
      <c r="M875" s="7"/>
      <c r="N875" s="7" t="s">
        <v>875</v>
      </c>
      <c r="P875" s="126"/>
    </row>
    <row r="876" spans="1:16" ht="15.75" customHeight="1">
      <c r="A876" s="126">
        <v>46230.015752314801</v>
      </c>
      <c r="B876" s="7">
        <v>12</v>
      </c>
      <c r="C876" s="7">
        <v>814</v>
      </c>
      <c r="D876" s="7"/>
      <c r="E876" s="7" t="s">
        <v>996</v>
      </c>
      <c r="F876" s="7" t="s">
        <v>730</v>
      </c>
      <c r="G876" s="7">
        <v>174</v>
      </c>
      <c r="H876" s="7" t="s">
        <v>877</v>
      </c>
      <c r="I876" s="7" t="s">
        <v>878</v>
      </c>
      <c r="J876" s="7" t="s">
        <v>879</v>
      </c>
      <c r="M876" s="7">
        <v>100</v>
      </c>
      <c r="N876" s="7">
        <v>100</v>
      </c>
      <c r="P876" s="126">
        <v>46226.493958333303</v>
      </c>
    </row>
    <row r="877" spans="1:16" ht="15.75" customHeight="1">
      <c r="A877" s="126">
        <v>46230.015752314801</v>
      </c>
      <c r="B877" s="7">
        <v>12</v>
      </c>
      <c r="C877" s="7">
        <v>814</v>
      </c>
      <c r="D877" s="7"/>
      <c r="E877" s="7" t="s">
        <v>996</v>
      </c>
      <c r="F877" s="7" t="s">
        <v>730</v>
      </c>
      <c r="G877" s="7">
        <v>180</v>
      </c>
      <c r="H877" s="7" t="s">
        <v>880</v>
      </c>
      <c r="I877" s="7" t="s">
        <v>874</v>
      </c>
      <c r="J877" s="7"/>
      <c r="M877" s="7"/>
      <c r="N877" s="7" t="s">
        <v>875</v>
      </c>
      <c r="O877" s="126"/>
      <c r="P877" s="126"/>
    </row>
    <row r="878" spans="1:16" ht="15.75" customHeight="1">
      <c r="A878" s="126">
        <v>46230.015752314801</v>
      </c>
      <c r="B878" s="7">
        <v>12</v>
      </c>
      <c r="C878" s="7">
        <v>814</v>
      </c>
      <c r="D878" s="7"/>
      <c r="E878" s="7" t="s">
        <v>996</v>
      </c>
      <c r="F878" s="7" t="s">
        <v>730</v>
      </c>
      <c r="G878" s="7">
        <v>175</v>
      </c>
      <c r="H878" s="7" t="s">
        <v>881</v>
      </c>
      <c r="I878" s="7" t="s">
        <v>878</v>
      </c>
      <c r="J878" s="7" t="s">
        <v>882</v>
      </c>
      <c r="M878" s="7">
        <v>100</v>
      </c>
      <c r="N878" s="7">
        <v>100</v>
      </c>
      <c r="O878" s="126">
        <v>46218.583333333299</v>
      </c>
      <c r="P878" s="126">
        <v>46218.5840509259</v>
      </c>
    </row>
    <row r="879" spans="1:16" ht="15.75" customHeight="1">
      <c r="A879" s="126">
        <v>46230.015752314801</v>
      </c>
      <c r="B879" s="7">
        <v>12</v>
      </c>
      <c r="C879" s="7">
        <v>814</v>
      </c>
      <c r="D879" s="7"/>
      <c r="E879" s="7" t="s">
        <v>996</v>
      </c>
      <c r="F879" s="7" t="s">
        <v>730</v>
      </c>
      <c r="G879" s="7">
        <v>177</v>
      </c>
      <c r="H879" s="7" t="s">
        <v>883</v>
      </c>
      <c r="I879" s="7" t="s">
        <v>878</v>
      </c>
      <c r="J879" s="7" t="s">
        <v>882</v>
      </c>
      <c r="M879" s="7"/>
      <c r="N879" s="7" t="s">
        <v>875</v>
      </c>
      <c r="O879" s="126"/>
      <c r="P879" s="126"/>
    </row>
    <row r="880" spans="1:16" ht="15.75" customHeight="1">
      <c r="A880" s="126">
        <v>46230.015752314801</v>
      </c>
      <c r="B880" s="7">
        <v>12</v>
      </c>
      <c r="C880" s="7">
        <v>814</v>
      </c>
      <c r="D880" s="7"/>
      <c r="E880" s="7" t="s">
        <v>996</v>
      </c>
      <c r="F880" s="7" t="s">
        <v>730</v>
      </c>
      <c r="G880" s="7">
        <v>176</v>
      </c>
      <c r="H880" s="7" t="s">
        <v>884</v>
      </c>
      <c r="I880" s="7" t="s">
        <v>878</v>
      </c>
      <c r="J880" s="7" t="s">
        <v>882</v>
      </c>
      <c r="M880" s="7">
        <v>75</v>
      </c>
      <c r="N880" s="7">
        <v>75</v>
      </c>
      <c r="O880" s="126">
        <v>46224.4782291667</v>
      </c>
      <c r="P880" s="126">
        <v>46224.4782291667</v>
      </c>
    </row>
    <row r="881" spans="1:16" ht="15.75" customHeight="1">
      <c r="A881" s="126">
        <v>46230.015752314801</v>
      </c>
      <c r="B881" s="7">
        <v>12</v>
      </c>
      <c r="C881" s="7">
        <v>814</v>
      </c>
      <c r="D881" s="7"/>
      <c r="E881" s="7" t="s">
        <v>996</v>
      </c>
      <c r="F881" s="7" t="s">
        <v>730</v>
      </c>
      <c r="G881" s="7">
        <v>168</v>
      </c>
      <c r="H881" s="7" t="s">
        <v>885</v>
      </c>
      <c r="I881" s="7" t="s">
        <v>886</v>
      </c>
      <c r="J881" s="7"/>
      <c r="M881" s="7">
        <v>100</v>
      </c>
      <c r="N881" s="7">
        <v>100</v>
      </c>
      <c r="O881" s="126"/>
      <c r="P881" s="126">
        <v>46218.5840509259</v>
      </c>
    </row>
    <row r="882" spans="1:16" ht="15.75" customHeight="1">
      <c r="A882" s="126">
        <v>46230.015752314801</v>
      </c>
      <c r="B882" s="7">
        <v>12</v>
      </c>
      <c r="C882" s="7">
        <v>401</v>
      </c>
      <c r="D882" s="7"/>
      <c r="E882" s="7" t="s">
        <v>997</v>
      </c>
      <c r="F882" s="7" t="s">
        <v>690</v>
      </c>
      <c r="G882" s="7">
        <v>181</v>
      </c>
      <c r="H882" s="7" t="s">
        <v>873</v>
      </c>
      <c r="I882" s="7" t="s">
        <v>874</v>
      </c>
      <c r="J882" s="7"/>
      <c r="M882" s="7"/>
      <c r="N882" s="7" t="s">
        <v>875</v>
      </c>
      <c r="O882" s="126"/>
      <c r="P882" s="126"/>
    </row>
    <row r="883" spans="1:16" ht="15.75" customHeight="1">
      <c r="A883" s="126">
        <v>46230.015752314801</v>
      </c>
      <c r="B883" s="7">
        <v>12</v>
      </c>
      <c r="C883" s="7">
        <v>401</v>
      </c>
      <c r="D883" s="7"/>
      <c r="E883" s="7" t="s">
        <v>997</v>
      </c>
      <c r="F883" s="7" t="s">
        <v>690</v>
      </c>
      <c r="G883" s="7">
        <v>182</v>
      </c>
      <c r="H883" s="7" t="s">
        <v>876</v>
      </c>
      <c r="I883" s="7" t="s">
        <v>874</v>
      </c>
      <c r="J883" s="7"/>
      <c r="M883" s="7"/>
      <c r="N883" s="7" t="s">
        <v>875</v>
      </c>
      <c r="P883" s="126"/>
    </row>
    <row r="884" spans="1:16" ht="15.75" customHeight="1">
      <c r="A884" s="126">
        <v>46230.015752314801</v>
      </c>
      <c r="B884" s="7">
        <v>12</v>
      </c>
      <c r="C884" s="7">
        <v>401</v>
      </c>
      <c r="E884" s="7" t="s">
        <v>997</v>
      </c>
      <c r="F884" s="7" t="s">
        <v>690</v>
      </c>
      <c r="G884" s="7">
        <v>174</v>
      </c>
      <c r="H884" s="7" t="s">
        <v>877</v>
      </c>
      <c r="I884" s="7" t="s">
        <v>878</v>
      </c>
      <c r="J884" s="7" t="s">
        <v>879</v>
      </c>
      <c r="M884" s="7">
        <v>100</v>
      </c>
      <c r="N884" s="7">
        <v>100</v>
      </c>
      <c r="O884" s="126"/>
      <c r="P884" s="126">
        <v>46211.549328703702</v>
      </c>
    </row>
    <row r="885" spans="1:16" ht="15.75" customHeight="1">
      <c r="A885" s="126">
        <v>46230.015752314801</v>
      </c>
      <c r="B885" s="7">
        <v>12</v>
      </c>
      <c r="C885" s="7">
        <v>401</v>
      </c>
      <c r="E885" s="7" t="s">
        <v>997</v>
      </c>
      <c r="F885" s="7" t="s">
        <v>690</v>
      </c>
      <c r="G885" s="7">
        <v>180</v>
      </c>
      <c r="H885" s="7" t="s">
        <v>880</v>
      </c>
      <c r="I885" s="7" t="s">
        <v>874</v>
      </c>
      <c r="J885" s="7"/>
      <c r="M885" s="7"/>
      <c r="N885" s="7" t="s">
        <v>875</v>
      </c>
      <c r="O885" s="126"/>
      <c r="P885" s="126"/>
    </row>
    <row r="886" spans="1:16" ht="15.75" customHeight="1">
      <c r="A886" s="126">
        <v>46230.015752314801</v>
      </c>
      <c r="B886" s="7">
        <v>12</v>
      </c>
      <c r="C886" s="7">
        <v>401</v>
      </c>
      <c r="E886" s="7" t="s">
        <v>997</v>
      </c>
      <c r="F886" s="7" t="s">
        <v>690</v>
      </c>
      <c r="G886" s="7">
        <v>175</v>
      </c>
      <c r="H886" s="7" t="s">
        <v>881</v>
      </c>
      <c r="I886" s="7" t="s">
        <v>878</v>
      </c>
      <c r="J886" s="7" t="s">
        <v>882</v>
      </c>
      <c r="M886" s="7">
        <v>87.5</v>
      </c>
      <c r="N886" s="7">
        <v>87.5</v>
      </c>
      <c r="O886" s="126">
        <v>46214.934212963002</v>
      </c>
      <c r="P886" s="126">
        <v>46214.934212963002</v>
      </c>
    </row>
    <row r="887" spans="1:16" ht="15.75" customHeight="1">
      <c r="A887" s="126">
        <v>46230.015752314801</v>
      </c>
      <c r="B887" s="7">
        <v>12</v>
      </c>
      <c r="C887" s="7">
        <v>401</v>
      </c>
      <c r="E887" s="7" t="s">
        <v>997</v>
      </c>
      <c r="F887" s="7" t="s">
        <v>690</v>
      </c>
      <c r="G887" s="7">
        <v>177</v>
      </c>
      <c r="H887" s="7" t="s">
        <v>883</v>
      </c>
      <c r="I887" s="7" t="s">
        <v>878</v>
      </c>
      <c r="J887" s="7" t="s">
        <v>882</v>
      </c>
      <c r="M887" s="7"/>
      <c r="N887" s="7" t="s">
        <v>875</v>
      </c>
      <c r="P887" s="126"/>
    </row>
    <row r="888" spans="1:16" ht="15.75" customHeight="1">
      <c r="A888" s="126">
        <v>46230.015752314801</v>
      </c>
      <c r="B888" s="7">
        <v>12</v>
      </c>
      <c r="C888" s="7">
        <v>401</v>
      </c>
      <c r="E888" s="7" t="s">
        <v>997</v>
      </c>
      <c r="F888" s="7" t="s">
        <v>690</v>
      </c>
      <c r="G888" s="7">
        <v>176</v>
      </c>
      <c r="H888" s="7" t="s">
        <v>884</v>
      </c>
      <c r="I888" s="7" t="s">
        <v>878</v>
      </c>
      <c r="J888" s="7" t="s">
        <v>882</v>
      </c>
      <c r="M888" s="7">
        <v>0</v>
      </c>
      <c r="N888" s="7">
        <v>0</v>
      </c>
      <c r="O888" s="126">
        <v>46229.999305555597</v>
      </c>
      <c r="P888" s="126">
        <v>46230.000023148103</v>
      </c>
    </row>
    <row r="889" spans="1:16" ht="15.75" customHeight="1">
      <c r="A889" s="126">
        <v>46230.015752314801</v>
      </c>
      <c r="B889" s="7">
        <v>12</v>
      </c>
      <c r="C889" s="7">
        <v>401</v>
      </c>
      <c r="E889" s="7" t="s">
        <v>997</v>
      </c>
      <c r="F889" s="7" t="s">
        <v>690</v>
      </c>
      <c r="G889" s="7">
        <v>168</v>
      </c>
      <c r="H889" s="7" t="s">
        <v>885</v>
      </c>
      <c r="I889" s="7" t="s">
        <v>886</v>
      </c>
      <c r="J889" s="7"/>
      <c r="M889" s="7">
        <v>100</v>
      </c>
      <c r="N889" s="7">
        <v>100</v>
      </c>
      <c r="P889" s="126">
        <v>46211.549328703702</v>
      </c>
    </row>
    <row r="890" spans="1:16" ht="15.75" customHeight="1">
      <c r="A890" s="126">
        <v>46230.015752314801</v>
      </c>
      <c r="B890" s="7">
        <v>12</v>
      </c>
      <c r="C890" s="7">
        <v>444</v>
      </c>
      <c r="D890" s="7"/>
      <c r="E890" s="7" t="s">
        <v>998</v>
      </c>
      <c r="F890" s="7" t="s">
        <v>534</v>
      </c>
      <c r="G890" s="7">
        <v>181</v>
      </c>
      <c r="H890" s="7" t="s">
        <v>873</v>
      </c>
      <c r="I890" s="7" t="s">
        <v>874</v>
      </c>
      <c r="J890" s="7"/>
      <c r="M890" s="7"/>
      <c r="N890" s="7" t="s">
        <v>875</v>
      </c>
      <c r="O890" s="126"/>
      <c r="P890" s="126"/>
    </row>
    <row r="891" spans="1:16" ht="15.75" customHeight="1">
      <c r="A891" s="126">
        <v>46230.015752314801</v>
      </c>
      <c r="B891" s="7">
        <v>12</v>
      </c>
      <c r="C891" s="7">
        <v>444</v>
      </c>
      <c r="D891" s="7"/>
      <c r="E891" s="7" t="s">
        <v>998</v>
      </c>
      <c r="F891" s="7" t="s">
        <v>534</v>
      </c>
      <c r="G891" s="7">
        <v>182</v>
      </c>
      <c r="H891" s="7" t="s">
        <v>876</v>
      </c>
      <c r="I891" s="7" t="s">
        <v>874</v>
      </c>
      <c r="J891" s="7"/>
      <c r="M891" s="7"/>
      <c r="N891" s="7" t="s">
        <v>875</v>
      </c>
      <c r="O891" s="126"/>
      <c r="P891" s="126"/>
    </row>
    <row r="892" spans="1:16" ht="15.75" customHeight="1">
      <c r="A892" s="126">
        <v>46230.015752314801</v>
      </c>
      <c r="B892" s="7">
        <v>12</v>
      </c>
      <c r="C892" s="7">
        <v>444</v>
      </c>
      <c r="D892" s="7"/>
      <c r="E892" s="7" t="s">
        <v>998</v>
      </c>
      <c r="F892" s="7" t="s">
        <v>534</v>
      </c>
      <c r="G892" s="7">
        <v>174</v>
      </c>
      <c r="H892" s="7" t="s">
        <v>877</v>
      </c>
      <c r="I892" s="7" t="s">
        <v>878</v>
      </c>
      <c r="J892" s="7" t="s">
        <v>879</v>
      </c>
      <c r="M892" s="7">
        <v>100</v>
      </c>
      <c r="N892" s="7">
        <v>100</v>
      </c>
      <c r="P892" s="126">
        <v>46209.706967592603</v>
      </c>
    </row>
    <row r="893" spans="1:16" ht="15.75" customHeight="1">
      <c r="A893" s="126">
        <v>46230.015752314801</v>
      </c>
      <c r="B893" s="7">
        <v>12</v>
      </c>
      <c r="C893" s="7">
        <v>444</v>
      </c>
      <c r="D893" s="7"/>
      <c r="E893" s="7" t="s">
        <v>998</v>
      </c>
      <c r="F893" s="7" t="s">
        <v>534</v>
      </c>
      <c r="G893" s="7">
        <v>180</v>
      </c>
      <c r="H893" s="7" t="s">
        <v>880</v>
      </c>
      <c r="I893" s="7" t="s">
        <v>874</v>
      </c>
      <c r="J893" s="7"/>
      <c r="M893" s="7"/>
      <c r="N893" s="7" t="s">
        <v>875</v>
      </c>
      <c r="O893" s="126"/>
      <c r="P893" s="126"/>
    </row>
    <row r="894" spans="1:16" ht="15.75" customHeight="1">
      <c r="A894" s="126">
        <v>46230.015752314801</v>
      </c>
      <c r="B894" s="7">
        <v>12</v>
      </c>
      <c r="C894" s="7">
        <v>444</v>
      </c>
      <c r="D894" s="7"/>
      <c r="E894" s="7" t="s">
        <v>998</v>
      </c>
      <c r="F894" s="7" t="s">
        <v>534</v>
      </c>
      <c r="G894" s="7">
        <v>175</v>
      </c>
      <c r="H894" s="7" t="s">
        <v>881</v>
      </c>
      <c r="I894" s="7" t="s">
        <v>878</v>
      </c>
      <c r="J894" s="7" t="s">
        <v>882</v>
      </c>
      <c r="M894" s="7">
        <v>100</v>
      </c>
      <c r="N894" s="7">
        <v>100</v>
      </c>
      <c r="O894" s="126">
        <v>46215.5001388889</v>
      </c>
      <c r="P894" s="126">
        <v>46215.5001388889</v>
      </c>
    </row>
    <row r="895" spans="1:16" ht="15.75" customHeight="1">
      <c r="A895" s="126">
        <v>46230.015752314801</v>
      </c>
      <c r="B895" s="7">
        <v>12</v>
      </c>
      <c r="C895" s="7">
        <v>444</v>
      </c>
      <c r="D895" s="7"/>
      <c r="E895" s="7" t="s">
        <v>998</v>
      </c>
      <c r="F895" s="7" t="s">
        <v>534</v>
      </c>
      <c r="G895" s="7">
        <v>177</v>
      </c>
      <c r="H895" s="7" t="s">
        <v>883</v>
      </c>
      <c r="I895" s="7" t="s">
        <v>878</v>
      </c>
      <c r="J895" s="7" t="s">
        <v>882</v>
      </c>
      <c r="M895" s="7"/>
      <c r="N895" s="7" t="s">
        <v>875</v>
      </c>
      <c r="P895" s="126"/>
    </row>
    <row r="896" spans="1:16" ht="15.75" customHeight="1">
      <c r="A896" s="126">
        <v>46230.015752314801</v>
      </c>
      <c r="B896" s="7">
        <v>12</v>
      </c>
      <c r="C896" s="7">
        <v>444</v>
      </c>
      <c r="E896" s="7" t="s">
        <v>998</v>
      </c>
      <c r="F896" s="7" t="s">
        <v>534</v>
      </c>
      <c r="G896" s="7">
        <v>176</v>
      </c>
      <c r="H896" s="7" t="s">
        <v>884</v>
      </c>
      <c r="I896" s="7" t="s">
        <v>878</v>
      </c>
      <c r="J896" s="7" t="s">
        <v>882</v>
      </c>
      <c r="M896" s="7">
        <v>100</v>
      </c>
      <c r="N896" s="7">
        <v>100</v>
      </c>
      <c r="O896" s="126">
        <v>46226.415856481501</v>
      </c>
      <c r="P896" s="126">
        <v>46226.415856481501</v>
      </c>
    </row>
    <row r="897" spans="1:16" ht="15.75" customHeight="1">
      <c r="A897" s="126">
        <v>46230.015752314801</v>
      </c>
      <c r="B897" s="7">
        <v>12</v>
      </c>
      <c r="C897" s="7">
        <v>444</v>
      </c>
      <c r="E897" s="7" t="s">
        <v>998</v>
      </c>
      <c r="F897" s="7" t="s">
        <v>534</v>
      </c>
      <c r="G897" s="7">
        <v>168</v>
      </c>
      <c r="H897" s="7" t="s">
        <v>885</v>
      </c>
      <c r="I897" s="7" t="s">
        <v>886</v>
      </c>
      <c r="J897" s="7"/>
      <c r="M897" s="7">
        <v>100</v>
      </c>
      <c r="N897" s="7">
        <v>100</v>
      </c>
      <c r="O897" s="126"/>
      <c r="P897" s="126">
        <v>46209.706967592603</v>
      </c>
    </row>
    <row r="898" spans="1:16" ht="15.75" customHeight="1">
      <c r="A898" s="126">
        <v>46230.015752314801</v>
      </c>
      <c r="B898" s="7">
        <v>12</v>
      </c>
      <c r="C898" s="7">
        <v>722</v>
      </c>
      <c r="E898" s="7" t="s">
        <v>999</v>
      </c>
      <c r="F898" s="7" t="s">
        <v>130</v>
      </c>
      <c r="G898" s="7">
        <v>181</v>
      </c>
      <c r="H898" s="7" t="s">
        <v>873</v>
      </c>
      <c r="I898" s="7" t="s">
        <v>874</v>
      </c>
      <c r="J898" s="7"/>
      <c r="M898" s="7"/>
      <c r="N898" s="7" t="s">
        <v>875</v>
      </c>
      <c r="O898" s="126"/>
      <c r="P898" s="126"/>
    </row>
    <row r="899" spans="1:16" ht="15.75" customHeight="1">
      <c r="A899" s="126">
        <v>46230.015752314801</v>
      </c>
      <c r="B899" s="7">
        <v>12</v>
      </c>
      <c r="C899" s="7">
        <v>722</v>
      </c>
      <c r="E899" s="7" t="s">
        <v>999</v>
      </c>
      <c r="F899" s="7" t="s">
        <v>130</v>
      </c>
      <c r="G899" s="7">
        <v>182</v>
      </c>
      <c r="H899" s="7" t="s">
        <v>876</v>
      </c>
      <c r="I899" s="7" t="s">
        <v>874</v>
      </c>
      <c r="J899" s="7"/>
      <c r="M899" s="7"/>
      <c r="N899" s="7" t="s">
        <v>875</v>
      </c>
      <c r="O899" s="126"/>
      <c r="P899" s="126"/>
    </row>
    <row r="900" spans="1:16" ht="15.75" customHeight="1">
      <c r="A900" s="126">
        <v>46230.015752314801</v>
      </c>
      <c r="B900" s="7">
        <v>12</v>
      </c>
      <c r="C900" s="7">
        <v>722</v>
      </c>
      <c r="E900" s="7" t="s">
        <v>999</v>
      </c>
      <c r="F900" s="7" t="s">
        <v>130</v>
      </c>
      <c r="G900" s="7">
        <v>174</v>
      </c>
      <c r="H900" s="7" t="s">
        <v>877</v>
      </c>
      <c r="I900" s="7" t="s">
        <v>878</v>
      </c>
      <c r="J900" s="7" t="s">
        <v>879</v>
      </c>
      <c r="M900" s="7">
        <v>100</v>
      </c>
      <c r="N900" s="7">
        <v>100</v>
      </c>
      <c r="O900" s="126"/>
      <c r="P900" s="126">
        <v>46209.709745370397</v>
      </c>
    </row>
    <row r="901" spans="1:16" ht="15.75" customHeight="1">
      <c r="A901" s="126">
        <v>46230.015752314801</v>
      </c>
      <c r="B901" s="7">
        <v>12</v>
      </c>
      <c r="C901" s="7">
        <v>722</v>
      </c>
      <c r="E901" s="7" t="s">
        <v>999</v>
      </c>
      <c r="F901" s="7" t="s">
        <v>130</v>
      </c>
      <c r="G901" s="7">
        <v>180</v>
      </c>
      <c r="H901" s="7" t="s">
        <v>880</v>
      </c>
      <c r="I901" s="7" t="s">
        <v>874</v>
      </c>
      <c r="J901" s="7"/>
      <c r="M901" s="7"/>
      <c r="N901" s="7" t="s">
        <v>875</v>
      </c>
      <c r="O901" s="126"/>
      <c r="P901" s="126"/>
    </row>
    <row r="902" spans="1:16" ht="15.75" customHeight="1">
      <c r="A902" s="126">
        <v>46230.015752314801</v>
      </c>
      <c r="B902" s="7">
        <v>12</v>
      </c>
      <c r="C902" s="7">
        <v>722</v>
      </c>
      <c r="E902" s="7" t="s">
        <v>999</v>
      </c>
      <c r="F902" s="7" t="s">
        <v>130</v>
      </c>
      <c r="G902" s="7">
        <v>175</v>
      </c>
      <c r="H902" s="7" t="s">
        <v>881</v>
      </c>
      <c r="I902" s="7" t="s">
        <v>878</v>
      </c>
      <c r="J902" s="7" t="s">
        <v>882</v>
      </c>
      <c r="M902" s="7">
        <v>75</v>
      </c>
      <c r="N902" s="7">
        <v>75</v>
      </c>
      <c r="O902" s="126">
        <v>46215.820787037002</v>
      </c>
      <c r="P902" s="126">
        <v>46215.820787037002</v>
      </c>
    </row>
    <row r="903" spans="1:16" ht="15.75" customHeight="1">
      <c r="A903" s="126">
        <v>46230.015752314801</v>
      </c>
      <c r="B903" s="7">
        <v>12</v>
      </c>
      <c r="C903" s="7">
        <v>722</v>
      </c>
      <c r="E903" s="7" t="s">
        <v>999</v>
      </c>
      <c r="F903" s="7" t="s">
        <v>130</v>
      </c>
      <c r="G903" s="7">
        <v>177</v>
      </c>
      <c r="H903" s="7" t="s">
        <v>883</v>
      </c>
      <c r="I903" s="7" t="s">
        <v>878</v>
      </c>
      <c r="J903" s="7" t="s">
        <v>882</v>
      </c>
      <c r="M903" s="7"/>
      <c r="N903" s="7" t="s">
        <v>875</v>
      </c>
      <c r="O903" s="126"/>
      <c r="P903" s="126"/>
    </row>
    <row r="904" spans="1:16" ht="15.75" customHeight="1">
      <c r="A904" s="126">
        <v>46230.015752314801</v>
      </c>
      <c r="B904" s="7">
        <v>12</v>
      </c>
      <c r="C904" s="7">
        <v>722</v>
      </c>
      <c r="E904" s="7" t="s">
        <v>999</v>
      </c>
      <c r="F904" s="7" t="s">
        <v>130</v>
      </c>
      <c r="G904" s="7">
        <v>176</v>
      </c>
      <c r="H904" s="7" t="s">
        <v>884</v>
      </c>
      <c r="I904" s="7" t="s">
        <v>878</v>
      </c>
      <c r="J904" s="7" t="s">
        <v>882</v>
      </c>
      <c r="M904" s="7">
        <v>90</v>
      </c>
      <c r="N904" s="7">
        <v>90</v>
      </c>
      <c r="O904" s="126">
        <v>46229.910300925898</v>
      </c>
      <c r="P904" s="126">
        <v>46229.910300925898</v>
      </c>
    </row>
    <row r="905" spans="1:16" ht="15.75" customHeight="1">
      <c r="A905" s="126">
        <v>46230.015752314801</v>
      </c>
      <c r="B905" s="7">
        <v>12</v>
      </c>
      <c r="C905" s="7">
        <v>722</v>
      </c>
      <c r="E905" s="7" t="s">
        <v>999</v>
      </c>
      <c r="F905" s="7" t="s">
        <v>130</v>
      </c>
      <c r="G905" s="7">
        <v>168</v>
      </c>
      <c r="H905" s="7" t="s">
        <v>885</v>
      </c>
      <c r="I905" s="7" t="s">
        <v>886</v>
      </c>
      <c r="J905" s="7"/>
      <c r="M905" s="7">
        <v>100</v>
      </c>
      <c r="N905" s="7">
        <v>100</v>
      </c>
      <c r="P905" s="126">
        <v>46209.709745370397</v>
      </c>
    </row>
    <row r="906" spans="1:16" ht="15.75" customHeight="1">
      <c r="A906" s="126">
        <v>46230.015752314801</v>
      </c>
      <c r="B906" s="7">
        <v>12</v>
      </c>
      <c r="C906" s="7">
        <v>362</v>
      </c>
      <c r="E906" s="7" t="s">
        <v>1000</v>
      </c>
      <c r="F906" s="7" t="s">
        <v>375</v>
      </c>
      <c r="G906" s="7">
        <v>181</v>
      </c>
      <c r="H906" s="7" t="s">
        <v>873</v>
      </c>
      <c r="I906" s="7" t="s">
        <v>874</v>
      </c>
      <c r="J906" s="7"/>
      <c r="M906" s="7"/>
      <c r="N906" s="7" t="s">
        <v>875</v>
      </c>
      <c r="O906" s="126"/>
      <c r="P906" s="126"/>
    </row>
    <row r="907" spans="1:16" ht="15.75" customHeight="1">
      <c r="A907" s="126">
        <v>46230.015752314801</v>
      </c>
      <c r="B907" s="7">
        <v>12</v>
      </c>
      <c r="C907" s="7">
        <v>362</v>
      </c>
      <c r="E907" s="7" t="s">
        <v>1000</v>
      </c>
      <c r="F907" s="7" t="s">
        <v>375</v>
      </c>
      <c r="G907" s="7">
        <v>182</v>
      </c>
      <c r="H907" s="7" t="s">
        <v>876</v>
      </c>
      <c r="I907" s="7" t="s">
        <v>874</v>
      </c>
      <c r="J907" s="7"/>
      <c r="M907" s="7"/>
      <c r="N907" s="7" t="s">
        <v>875</v>
      </c>
      <c r="P907" s="126"/>
    </row>
    <row r="908" spans="1:16" ht="15.75" customHeight="1">
      <c r="A908" s="126">
        <v>46230.015752314801</v>
      </c>
      <c r="B908" s="7">
        <v>12</v>
      </c>
      <c r="C908" s="7">
        <v>362</v>
      </c>
      <c r="E908" s="7" t="s">
        <v>1000</v>
      </c>
      <c r="F908" s="7" t="s">
        <v>375</v>
      </c>
      <c r="G908" s="7">
        <v>174</v>
      </c>
      <c r="H908" s="7" t="s">
        <v>877</v>
      </c>
      <c r="I908" s="7" t="s">
        <v>878</v>
      </c>
      <c r="J908" s="7" t="s">
        <v>879</v>
      </c>
      <c r="M908" s="7">
        <v>100</v>
      </c>
      <c r="N908" s="7">
        <v>100</v>
      </c>
      <c r="O908" s="126"/>
      <c r="P908" s="126">
        <v>46209.706979166702</v>
      </c>
    </row>
    <row r="909" spans="1:16" ht="15.75" customHeight="1">
      <c r="A909" s="126">
        <v>46230.015752314801</v>
      </c>
      <c r="B909" s="7">
        <v>12</v>
      </c>
      <c r="C909" s="7">
        <v>362</v>
      </c>
      <c r="E909" s="7" t="s">
        <v>1000</v>
      </c>
      <c r="F909" s="7" t="s">
        <v>375</v>
      </c>
      <c r="G909" s="7">
        <v>180</v>
      </c>
      <c r="H909" s="7" t="s">
        <v>880</v>
      </c>
      <c r="I909" s="7" t="s">
        <v>874</v>
      </c>
      <c r="J909" s="7"/>
      <c r="M909" s="7"/>
      <c r="N909" s="7" t="s">
        <v>875</v>
      </c>
      <c r="O909" s="126"/>
      <c r="P909" s="126"/>
    </row>
    <row r="910" spans="1:16" ht="15.75" customHeight="1">
      <c r="A910" s="126">
        <v>46230.015752314801</v>
      </c>
      <c r="B910" s="7">
        <v>12</v>
      </c>
      <c r="C910" s="7">
        <v>362</v>
      </c>
      <c r="E910" s="7" t="s">
        <v>1000</v>
      </c>
      <c r="F910" s="7" t="s">
        <v>375</v>
      </c>
      <c r="G910" s="7">
        <v>175</v>
      </c>
      <c r="H910" s="7" t="s">
        <v>881</v>
      </c>
      <c r="I910" s="7" t="s">
        <v>878</v>
      </c>
      <c r="J910" s="7" t="s">
        <v>882</v>
      </c>
      <c r="M910" s="7">
        <v>100</v>
      </c>
      <c r="N910" s="7">
        <v>100</v>
      </c>
      <c r="O910" s="126">
        <v>46215.862789351799</v>
      </c>
      <c r="P910" s="126">
        <v>46215.862789351799</v>
      </c>
    </row>
    <row r="911" spans="1:16" ht="15.75" customHeight="1">
      <c r="A911" s="126">
        <v>46230.015752314801</v>
      </c>
      <c r="B911" s="7">
        <v>12</v>
      </c>
      <c r="C911" s="7">
        <v>362</v>
      </c>
      <c r="E911" s="7" t="s">
        <v>1000</v>
      </c>
      <c r="F911" s="7" t="s">
        <v>375</v>
      </c>
      <c r="G911" s="7">
        <v>177</v>
      </c>
      <c r="H911" s="7" t="s">
        <v>883</v>
      </c>
      <c r="I911" s="7" t="s">
        <v>878</v>
      </c>
      <c r="J911" s="7" t="s">
        <v>882</v>
      </c>
      <c r="M911" s="7"/>
      <c r="N911" s="7" t="s">
        <v>875</v>
      </c>
      <c r="P911" s="126"/>
    </row>
    <row r="912" spans="1:16" ht="15.75" customHeight="1">
      <c r="A912" s="126">
        <v>46230.015752314801</v>
      </c>
      <c r="B912" s="7">
        <v>12</v>
      </c>
      <c r="C912" s="7">
        <v>362</v>
      </c>
      <c r="E912" s="7" t="s">
        <v>1000</v>
      </c>
      <c r="F912" s="7" t="s">
        <v>375</v>
      </c>
      <c r="G912" s="7">
        <v>176</v>
      </c>
      <c r="H912" s="7" t="s">
        <v>884</v>
      </c>
      <c r="I912" s="7" t="s">
        <v>878</v>
      </c>
      <c r="J912" s="7" t="s">
        <v>882</v>
      </c>
      <c r="M912" s="7">
        <v>100</v>
      </c>
      <c r="N912" s="7">
        <v>100</v>
      </c>
      <c r="O912" s="126">
        <v>46223.842361111099</v>
      </c>
      <c r="P912" s="126">
        <v>46223.842361111099</v>
      </c>
    </row>
    <row r="913" spans="1:16" ht="15.75" customHeight="1">
      <c r="A913" s="126">
        <v>46230.015752314801</v>
      </c>
      <c r="B913" s="7">
        <v>12</v>
      </c>
      <c r="C913" s="7">
        <v>362</v>
      </c>
      <c r="E913" s="7" t="s">
        <v>1000</v>
      </c>
      <c r="F913" s="7" t="s">
        <v>375</v>
      </c>
      <c r="G913" s="7">
        <v>168</v>
      </c>
      <c r="H913" s="7" t="s">
        <v>885</v>
      </c>
      <c r="I913" s="7" t="s">
        <v>886</v>
      </c>
      <c r="J913" s="7"/>
      <c r="M913" s="7">
        <v>100</v>
      </c>
      <c r="N913" s="7">
        <v>100</v>
      </c>
      <c r="P913" s="126">
        <v>46209.706979166702</v>
      </c>
    </row>
    <row r="914" spans="1:16" ht="15.75" customHeight="1">
      <c r="A914" s="126">
        <v>46230.015752314801</v>
      </c>
      <c r="B914" s="7">
        <v>12</v>
      </c>
      <c r="C914" s="7">
        <v>418</v>
      </c>
      <c r="D914" s="7"/>
      <c r="E914" s="7" t="s">
        <v>1001</v>
      </c>
      <c r="F914" s="7" t="s">
        <v>607</v>
      </c>
      <c r="G914" s="7">
        <v>181</v>
      </c>
      <c r="H914" s="7" t="s">
        <v>873</v>
      </c>
      <c r="I914" s="7" t="s">
        <v>874</v>
      </c>
      <c r="J914" s="7"/>
      <c r="M914" s="7"/>
      <c r="N914" s="7" t="s">
        <v>875</v>
      </c>
      <c r="O914" s="126"/>
      <c r="P914" s="126"/>
    </row>
    <row r="915" spans="1:16" ht="15.75" customHeight="1">
      <c r="A915" s="126">
        <v>46230.015752314801</v>
      </c>
      <c r="B915" s="7">
        <v>12</v>
      </c>
      <c r="C915" s="7">
        <v>418</v>
      </c>
      <c r="D915" s="7"/>
      <c r="E915" s="7" t="s">
        <v>1001</v>
      </c>
      <c r="F915" s="7" t="s">
        <v>607</v>
      </c>
      <c r="G915" s="7">
        <v>182</v>
      </c>
      <c r="H915" s="7" t="s">
        <v>876</v>
      </c>
      <c r="I915" s="7" t="s">
        <v>874</v>
      </c>
      <c r="J915" s="7"/>
      <c r="M915" s="7"/>
      <c r="N915" s="7" t="s">
        <v>875</v>
      </c>
      <c r="O915" s="126"/>
      <c r="P915" s="126"/>
    </row>
    <row r="916" spans="1:16" ht="15.75" customHeight="1">
      <c r="A916" s="126">
        <v>46230.015752314801</v>
      </c>
      <c r="B916" s="7">
        <v>12</v>
      </c>
      <c r="C916" s="7">
        <v>418</v>
      </c>
      <c r="D916" s="7"/>
      <c r="E916" s="7" t="s">
        <v>1001</v>
      </c>
      <c r="F916" s="7" t="s">
        <v>607</v>
      </c>
      <c r="G916" s="7">
        <v>174</v>
      </c>
      <c r="H916" s="7" t="s">
        <v>877</v>
      </c>
      <c r="I916" s="7" t="s">
        <v>878</v>
      </c>
      <c r="J916" s="7" t="s">
        <v>879</v>
      </c>
      <c r="M916" s="7">
        <v>100</v>
      </c>
      <c r="N916" s="7">
        <v>100</v>
      </c>
      <c r="O916" s="126"/>
      <c r="P916" s="126">
        <v>46209.706979166702</v>
      </c>
    </row>
    <row r="917" spans="1:16" ht="15.75" customHeight="1">
      <c r="A917" s="126">
        <v>46230.015752314801</v>
      </c>
      <c r="B917" s="7">
        <v>12</v>
      </c>
      <c r="C917" s="7">
        <v>418</v>
      </c>
      <c r="D917" s="7"/>
      <c r="E917" s="7" t="s">
        <v>1001</v>
      </c>
      <c r="F917" s="7" t="s">
        <v>607</v>
      </c>
      <c r="G917" s="7">
        <v>180</v>
      </c>
      <c r="H917" s="7" t="s">
        <v>880</v>
      </c>
      <c r="I917" s="7" t="s">
        <v>874</v>
      </c>
      <c r="J917" s="7"/>
      <c r="M917" s="7"/>
      <c r="N917" s="7" t="s">
        <v>875</v>
      </c>
      <c r="O917" s="126"/>
      <c r="P917" s="126"/>
    </row>
    <row r="918" spans="1:16" ht="15.75" customHeight="1">
      <c r="A918" s="126">
        <v>46230.015752314801</v>
      </c>
      <c r="B918" s="7">
        <v>12</v>
      </c>
      <c r="C918" s="7">
        <v>418</v>
      </c>
      <c r="D918" s="7"/>
      <c r="E918" s="7" t="s">
        <v>1001</v>
      </c>
      <c r="F918" s="7" t="s">
        <v>607</v>
      </c>
      <c r="G918" s="7">
        <v>175</v>
      </c>
      <c r="H918" s="7" t="s">
        <v>881</v>
      </c>
      <c r="I918" s="7" t="s">
        <v>878</v>
      </c>
      <c r="J918" s="7" t="s">
        <v>882</v>
      </c>
      <c r="M918" s="7">
        <v>100</v>
      </c>
      <c r="N918" s="7">
        <v>100</v>
      </c>
      <c r="O918" s="126">
        <v>46213.6730902778</v>
      </c>
      <c r="P918" s="126">
        <v>46213.6730902778</v>
      </c>
    </row>
    <row r="919" spans="1:16" ht="15.75" customHeight="1">
      <c r="A919" s="126">
        <v>46230.015752314801</v>
      </c>
      <c r="B919" s="7">
        <v>12</v>
      </c>
      <c r="C919" s="7">
        <v>418</v>
      </c>
      <c r="D919" s="7"/>
      <c r="E919" s="7" t="s">
        <v>1001</v>
      </c>
      <c r="F919" s="7" t="s">
        <v>607</v>
      </c>
      <c r="G919" s="7">
        <v>177</v>
      </c>
      <c r="H919" s="7" t="s">
        <v>883</v>
      </c>
      <c r="I919" s="7" t="s">
        <v>878</v>
      </c>
      <c r="J919" s="7" t="s">
        <v>882</v>
      </c>
      <c r="M919" s="7"/>
      <c r="N919" s="7" t="s">
        <v>875</v>
      </c>
      <c r="P919" s="126"/>
    </row>
    <row r="920" spans="1:16" ht="15.75" customHeight="1">
      <c r="A920" s="126">
        <v>46230.015752314801</v>
      </c>
      <c r="B920" s="7">
        <v>12</v>
      </c>
      <c r="C920" s="7">
        <v>418</v>
      </c>
      <c r="E920" s="7" t="s">
        <v>1001</v>
      </c>
      <c r="F920" s="7" t="s">
        <v>607</v>
      </c>
      <c r="G920" s="7">
        <v>176</v>
      </c>
      <c r="H920" s="7" t="s">
        <v>884</v>
      </c>
      <c r="I920" s="7" t="s">
        <v>878</v>
      </c>
      <c r="J920" s="7" t="s">
        <v>882</v>
      </c>
      <c r="M920" s="7">
        <v>90</v>
      </c>
      <c r="N920" s="7">
        <v>90</v>
      </c>
      <c r="O920" s="126">
        <v>46223.708564814799</v>
      </c>
      <c r="P920" s="126">
        <v>46223.793657407397</v>
      </c>
    </row>
    <row r="921" spans="1:16" ht="15.75" customHeight="1">
      <c r="A921" s="126">
        <v>46230.015752314801</v>
      </c>
      <c r="B921" s="7">
        <v>12</v>
      </c>
      <c r="C921" s="7">
        <v>418</v>
      </c>
      <c r="E921" s="7" t="s">
        <v>1001</v>
      </c>
      <c r="F921" s="7" t="s">
        <v>607</v>
      </c>
      <c r="G921" s="7">
        <v>168</v>
      </c>
      <c r="H921" s="7" t="s">
        <v>885</v>
      </c>
      <c r="I921" s="7" t="s">
        <v>886</v>
      </c>
      <c r="J921" s="7"/>
      <c r="M921" s="7">
        <v>100</v>
      </c>
      <c r="N921" s="7">
        <v>100</v>
      </c>
      <c r="O921" s="126"/>
      <c r="P921" s="126">
        <v>46209.706979166702</v>
      </c>
    </row>
    <row r="922" spans="1:16" ht="15.75" customHeight="1">
      <c r="A922" s="126">
        <v>46230.015752314801</v>
      </c>
      <c r="B922" s="7">
        <v>12</v>
      </c>
      <c r="C922" s="7">
        <v>496</v>
      </c>
      <c r="E922" s="7" t="s">
        <v>1002</v>
      </c>
      <c r="F922" s="7" t="s">
        <v>787</v>
      </c>
      <c r="G922" s="7">
        <v>181</v>
      </c>
      <c r="H922" s="7" t="s">
        <v>873</v>
      </c>
      <c r="I922" s="7" t="s">
        <v>874</v>
      </c>
      <c r="J922" s="7"/>
      <c r="M922" s="7"/>
      <c r="N922" s="7" t="s">
        <v>875</v>
      </c>
      <c r="O922" s="126"/>
      <c r="P922" s="126"/>
    </row>
    <row r="923" spans="1:16" ht="15.75" customHeight="1">
      <c r="A923" s="126">
        <v>46230.015752314801</v>
      </c>
      <c r="B923" s="7">
        <v>12</v>
      </c>
      <c r="C923" s="7">
        <v>496</v>
      </c>
      <c r="E923" s="7" t="s">
        <v>1002</v>
      </c>
      <c r="F923" s="7" t="s">
        <v>787</v>
      </c>
      <c r="G923" s="7">
        <v>182</v>
      </c>
      <c r="H923" s="7" t="s">
        <v>876</v>
      </c>
      <c r="I923" s="7" t="s">
        <v>874</v>
      </c>
      <c r="J923" s="7"/>
      <c r="M923" s="7"/>
      <c r="N923" s="7" t="s">
        <v>875</v>
      </c>
      <c r="P923" s="126"/>
    </row>
    <row r="924" spans="1:16" ht="15.75" customHeight="1">
      <c r="A924" s="126">
        <v>46230.015752314801</v>
      </c>
      <c r="B924" s="7">
        <v>12</v>
      </c>
      <c r="C924" s="7">
        <v>496</v>
      </c>
      <c r="E924" s="7" t="s">
        <v>1002</v>
      </c>
      <c r="F924" s="7" t="s">
        <v>787</v>
      </c>
      <c r="G924" s="7">
        <v>174</v>
      </c>
      <c r="H924" s="7" t="s">
        <v>877</v>
      </c>
      <c r="I924" s="7" t="s">
        <v>878</v>
      </c>
      <c r="J924" s="7" t="s">
        <v>879</v>
      </c>
      <c r="M924" s="7">
        <v>100</v>
      </c>
      <c r="N924" s="7">
        <v>100</v>
      </c>
      <c r="O924" s="126"/>
      <c r="P924" s="126">
        <v>46209.692453703698</v>
      </c>
    </row>
    <row r="925" spans="1:16" ht="15.75" customHeight="1">
      <c r="A925" s="126">
        <v>46230.015752314801</v>
      </c>
      <c r="B925" s="7">
        <v>12</v>
      </c>
      <c r="C925" s="7">
        <v>496</v>
      </c>
      <c r="E925" s="7" t="s">
        <v>1002</v>
      </c>
      <c r="F925" s="7" t="s">
        <v>787</v>
      </c>
      <c r="G925" s="7">
        <v>180</v>
      </c>
      <c r="H925" s="7" t="s">
        <v>880</v>
      </c>
      <c r="I925" s="7" t="s">
        <v>874</v>
      </c>
      <c r="J925" s="7"/>
      <c r="M925" s="7"/>
      <c r="N925" s="7" t="s">
        <v>875</v>
      </c>
      <c r="P925" s="126"/>
    </row>
    <row r="926" spans="1:16" ht="15.75" customHeight="1">
      <c r="A926" s="126">
        <v>46230.015752314801</v>
      </c>
      <c r="B926" s="7">
        <v>12</v>
      </c>
      <c r="C926" s="7">
        <v>496</v>
      </c>
      <c r="E926" s="7" t="s">
        <v>1002</v>
      </c>
      <c r="F926" s="7" t="s">
        <v>787</v>
      </c>
      <c r="G926" s="7">
        <v>175</v>
      </c>
      <c r="H926" s="7" t="s">
        <v>881</v>
      </c>
      <c r="I926" s="7" t="s">
        <v>878</v>
      </c>
      <c r="J926" s="7" t="s">
        <v>882</v>
      </c>
      <c r="M926" s="7">
        <v>87.5</v>
      </c>
      <c r="N926" s="7">
        <v>87.5</v>
      </c>
      <c r="O926" s="126">
        <v>46215.851631944402</v>
      </c>
      <c r="P926" s="126">
        <v>46215.851631944402</v>
      </c>
    </row>
    <row r="927" spans="1:16" ht="15.75" customHeight="1">
      <c r="A927" s="126">
        <v>46230.015752314801</v>
      </c>
      <c r="B927" s="7">
        <v>12</v>
      </c>
      <c r="C927" s="7">
        <v>496</v>
      </c>
      <c r="E927" s="7" t="s">
        <v>1002</v>
      </c>
      <c r="F927" s="7" t="s">
        <v>787</v>
      </c>
      <c r="G927" s="7">
        <v>177</v>
      </c>
      <c r="H927" s="7" t="s">
        <v>883</v>
      </c>
      <c r="I927" s="7" t="s">
        <v>878</v>
      </c>
      <c r="J927" s="7" t="s">
        <v>882</v>
      </c>
      <c r="M927" s="7"/>
      <c r="N927" s="7" t="s">
        <v>875</v>
      </c>
      <c r="O927" s="126"/>
      <c r="P927" s="126"/>
    </row>
    <row r="928" spans="1:16" ht="15.75" customHeight="1">
      <c r="A928" s="126">
        <v>46230.015752314801</v>
      </c>
      <c r="B928" s="7">
        <v>12</v>
      </c>
      <c r="C928" s="7">
        <v>496</v>
      </c>
      <c r="E928" s="7" t="s">
        <v>1002</v>
      </c>
      <c r="F928" s="7" t="s">
        <v>787</v>
      </c>
      <c r="G928" s="7">
        <v>176</v>
      </c>
      <c r="H928" s="7" t="s">
        <v>884</v>
      </c>
      <c r="I928" s="7" t="s">
        <v>878</v>
      </c>
      <c r="J928" s="7" t="s">
        <v>882</v>
      </c>
      <c r="M928" s="7">
        <v>100</v>
      </c>
      <c r="N928" s="7">
        <v>100</v>
      </c>
      <c r="O928" s="126">
        <v>46226.916296296302</v>
      </c>
      <c r="P928" s="126">
        <v>46226.916296296302</v>
      </c>
    </row>
    <row r="929" spans="1:16" ht="15.75" customHeight="1">
      <c r="A929" s="126">
        <v>46230.015752314801</v>
      </c>
      <c r="B929" s="7">
        <v>12</v>
      </c>
      <c r="C929" s="7">
        <v>496</v>
      </c>
      <c r="E929" s="7" t="s">
        <v>1002</v>
      </c>
      <c r="F929" s="7" t="s">
        <v>787</v>
      </c>
      <c r="G929" s="7">
        <v>168</v>
      </c>
      <c r="H929" s="7" t="s">
        <v>885</v>
      </c>
      <c r="I929" s="7" t="s">
        <v>886</v>
      </c>
      <c r="J929" s="7"/>
      <c r="M929" s="7">
        <v>100</v>
      </c>
      <c r="N929" s="7">
        <v>100</v>
      </c>
      <c r="P929" s="126">
        <v>46209.692453703698</v>
      </c>
    </row>
    <row r="930" spans="1:16" ht="15.75" customHeight="1">
      <c r="A930" s="126">
        <v>46230.015752314801</v>
      </c>
      <c r="B930" s="7">
        <v>12</v>
      </c>
      <c r="C930" s="7">
        <v>286</v>
      </c>
      <c r="E930" s="7" t="s">
        <v>1003</v>
      </c>
      <c r="F930" s="7" t="s">
        <v>560</v>
      </c>
      <c r="G930" s="7">
        <v>181</v>
      </c>
      <c r="H930" s="7" t="s">
        <v>873</v>
      </c>
      <c r="I930" s="7" t="s">
        <v>874</v>
      </c>
      <c r="J930" s="7"/>
      <c r="M930" s="7"/>
      <c r="N930" s="7" t="s">
        <v>875</v>
      </c>
      <c r="P930" s="126"/>
    </row>
    <row r="931" spans="1:16" ht="15.75" customHeight="1">
      <c r="A931" s="126">
        <v>46230.015752314801</v>
      </c>
      <c r="B931" s="7">
        <v>12</v>
      </c>
      <c r="C931" s="7">
        <v>286</v>
      </c>
      <c r="E931" s="7" t="s">
        <v>1003</v>
      </c>
      <c r="F931" s="7" t="s">
        <v>560</v>
      </c>
      <c r="G931" s="7">
        <v>182</v>
      </c>
      <c r="H931" s="7" t="s">
        <v>876</v>
      </c>
      <c r="I931" s="7" t="s">
        <v>874</v>
      </c>
      <c r="J931" s="7"/>
      <c r="M931" s="7"/>
      <c r="N931" s="7" t="s">
        <v>875</v>
      </c>
      <c r="P931" s="126"/>
    </row>
    <row r="932" spans="1:16" ht="15.75" customHeight="1">
      <c r="A932" s="126">
        <v>46230.015752314801</v>
      </c>
      <c r="B932" s="7">
        <v>12</v>
      </c>
      <c r="C932" s="7">
        <v>286</v>
      </c>
      <c r="E932" s="7" t="s">
        <v>1003</v>
      </c>
      <c r="F932" s="7" t="s">
        <v>560</v>
      </c>
      <c r="G932" s="7">
        <v>174</v>
      </c>
      <c r="H932" s="7" t="s">
        <v>877</v>
      </c>
      <c r="I932" s="7" t="s">
        <v>878</v>
      </c>
      <c r="J932" s="7" t="s">
        <v>879</v>
      </c>
      <c r="M932" s="7">
        <v>100</v>
      </c>
      <c r="N932" s="7">
        <v>100</v>
      </c>
      <c r="O932" s="126"/>
      <c r="P932" s="126">
        <v>46224.981238425898</v>
      </c>
    </row>
    <row r="933" spans="1:16" ht="15.75" customHeight="1">
      <c r="A933" s="126">
        <v>46230.015752314801</v>
      </c>
      <c r="B933" s="7">
        <v>12</v>
      </c>
      <c r="C933" s="7">
        <v>286</v>
      </c>
      <c r="E933" s="7" t="s">
        <v>1003</v>
      </c>
      <c r="F933" s="7" t="s">
        <v>560</v>
      </c>
      <c r="G933" s="7">
        <v>180</v>
      </c>
      <c r="H933" s="7" t="s">
        <v>880</v>
      </c>
      <c r="I933" s="7" t="s">
        <v>874</v>
      </c>
      <c r="J933" s="7"/>
      <c r="M933" s="7"/>
      <c r="N933" s="7" t="s">
        <v>875</v>
      </c>
      <c r="O933" s="126"/>
      <c r="P933" s="126"/>
    </row>
    <row r="934" spans="1:16" ht="15.75" customHeight="1">
      <c r="A934" s="126">
        <v>46230.015752314801</v>
      </c>
      <c r="B934" s="7">
        <v>12</v>
      </c>
      <c r="C934" s="7">
        <v>286</v>
      </c>
      <c r="E934" s="7" t="s">
        <v>1003</v>
      </c>
      <c r="F934" s="7" t="s">
        <v>560</v>
      </c>
      <c r="G934" s="7">
        <v>175</v>
      </c>
      <c r="H934" s="7" t="s">
        <v>881</v>
      </c>
      <c r="I934" s="7" t="s">
        <v>878</v>
      </c>
      <c r="J934" s="7" t="s">
        <v>882</v>
      </c>
      <c r="M934" s="7">
        <v>100</v>
      </c>
      <c r="N934" s="7">
        <v>100</v>
      </c>
      <c r="O934" s="126">
        <v>46218.055729166699</v>
      </c>
      <c r="P934" s="126">
        <v>46218.055729166699</v>
      </c>
    </row>
    <row r="935" spans="1:16" ht="15.75" customHeight="1">
      <c r="A935" s="126">
        <v>46230.015752314801</v>
      </c>
      <c r="B935" s="7">
        <v>12</v>
      </c>
      <c r="C935" s="7">
        <v>286</v>
      </c>
      <c r="E935" s="7" t="s">
        <v>1003</v>
      </c>
      <c r="F935" s="7" t="s">
        <v>560</v>
      </c>
      <c r="G935" s="7">
        <v>177</v>
      </c>
      <c r="H935" s="7" t="s">
        <v>883</v>
      </c>
      <c r="I935" s="7" t="s">
        <v>878</v>
      </c>
      <c r="J935" s="7" t="s">
        <v>882</v>
      </c>
      <c r="M935" s="7"/>
      <c r="N935" s="7" t="s">
        <v>875</v>
      </c>
      <c r="O935" s="126"/>
      <c r="P935" s="126"/>
    </row>
    <row r="936" spans="1:16" ht="15.75" customHeight="1">
      <c r="A936" s="126">
        <v>46230.015752314801</v>
      </c>
      <c r="B936" s="7">
        <v>12</v>
      </c>
      <c r="C936" s="7">
        <v>286</v>
      </c>
      <c r="E936" s="7" t="s">
        <v>1003</v>
      </c>
      <c r="F936" s="7" t="s">
        <v>560</v>
      </c>
      <c r="G936" s="7">
        <v>176</v>
      </c>
      <c r="H936" s="7" t="s">
        <v>884</v>
      </c>
      <c r="I936" s="7" t="s">
        <v>878</v>
      </c>
      <c r="J936" s="7" t="s">
        <v>882</v>
      </c>
      <c r="M936" s="7">
        <v>100</v>
      </c>
      <c r="N936" s="7">
        <v>100</v>
      </c>
      <c r="O936" s="126">
        <v>46225.969178240703</v>
      </c>
      <c r="P936" s="126">
        <v>46225.969178240703</v>
      </c>
    </row>
    <row r="937" spans="1:16" ht="15.75" customHeight="1">
      <c r="A937" s="126">
        <v>46230.015752314801</v>
      </c>
      <c r="B937" s="7">
        <v>12</v>
      </c>
      <c r="C937" s="7">
        <v>286</v>
      </c>
      <c r="E937" s="7" t="s">
        <v>1003</v>
      </c>
      <c r="F937" s="7" t="s">
        <v>560</v>
      </c>
      <c r="G937" s="7">
        <v>168</v>
      </c>
      <c r="H937" s="7" t="s">
        <v>885</v>
      </c>
      <c r="I937" s="7" t="s">
        <v>886</v>
      </c>
      <c r="M937" s="7">
        <v>100</v>
      </c>
      <c r="N937" s="7">
        <v>100</v>
      </c>
      <c r="P937" s="126">
        <v>46218.055729166699</v>
      </c>
    </row>
    <row r="938" spans="1:16" ht="15.75" customHeight="1">
      <c r="A938" s="126">
        <v>46230.015752314801</v>
      </c>
      <c r="B938" s="7">
        <v>12</v>
      </c>
      <c r="C938" s="7">
        <v>379</v>
      </c>
      <c r="E938" s="7" t="s">
        <v>1004</v>
      </c>
      <c r="F938" s="7" t="s">
        <v>628</v>
      </c>
      <c r="G938" s="7">
        <v>181</v>
      </c>
      <c r="H938" s="7" t="s">
        <v>873</v>
      </c>
      <c r="I938" s="7" t="s">
        <v>874</v>
      </c>
      <c r="J938" s="7"/>
      <c r="M938" s="7"/>
      <c r="N938" s="7" t="s">
        <v>875</v>
      </c>
      <c r="O938" s="126"/>
      <c r="P938" s="126"/>
    </row>
    <row r="939" spans="1:16" ht="15.75" customHeight="1">
      <c r="A939" s="126">
        <v>46230.015752314801</v>
      </c>
      <c r="B939" s="7">
        <v>12</v>
      </c>
      <c r="C939" s="7">
        <v>379</v>
      </c>
      <c r="E939" s="7" t="s">
        <v>1004</v>
      </c>
      <c r="F939" s="7" t="s">
        <v>628</v>
      </c>
      <c r="G939" s="7">
        <v>182</v>
      </c>
      <c r="H939" s="7" t="s">
        <v>876</v>
      </c>
      <c r="I939" s="7" t="s">
        <v>874</v>
      </c>
      <c r="J939" s="7"/>
      <c r="M939" s="7"/>
      <c r="N939" s="7" t="s">
        <v>875</v>
      </c>
      <c r="O939" s="126"/>
      <c r="P939" s="126"/>
    </row>
    <row r="940" spans="1:16" ht="15.75" customHeight="1">
      <c r="A940" s="126">
        <v>46230.015752314801</v>
      </c>
      <c r="B940" s="7">
        <v>12</v>
      </c>
      <c r="C940" s="7">
        <v>379</v>
      </c>
      <c r="E940" s="7" t="s">
        <v>1004</v>
      </c>
      <c r="F940" s="7" t="s">
        <v>628</v>
      </c>
      <c r="G940" s="7">
        <v>174</v>
      </c>
      <c r="H940" s="7" t="s">
        <v>877</v>
      </c>
      <c r="I940" s="7" t="s">
        <v>878</v>
      </c>
      <c r="J940" s="7" t="s">
        <v>879</v>
      </c>
      <c r="M940" s="7">
        <v>100</v>
      </c>
      <c r="N940" s="7">
        <v>100</v>
      </c>
      <c r="O940" s="126"/>
      <c r="P940" s="126">
        <v>46209.7133680556</v>
      </c>
    </row>
    <row r="941" spans="1:16" ht="15.75" customHeight="1">
      <c r="A941" s="126">
        <v>46230.015752314801</v>
      </c>
      <c r="B941" s="7">
        <v>12</v>
      </c>
      <c r="C941" s="7">
        <v>379</v>
      </c>
      <c r="E941" s="7" t="s">
        <v>1004</v>
      </c>
      <c r="F941" s="7" t="s">
        <v>628</v>
      </c>
      <c r="G941" s="7">
        <v>180</v>
      </c>
      <c r="H941" s="7" t="s">
        <v>880</v>
      </c>
      <c r="I941" s="7" t="s">
        <v>874</v>
      </c>
      <c r="J941" s="7"/>
      <c r="M941" s="7"/>
      <c r="N941" s="7" t="s">
        <v>875</v>
      </c>
      <c r="O941" s="126"/>
      <c r="P941" s="126"/>
    </row>
    <row r="942" spans="1:16" ht="15.75" customHeight="1">
      <c r="A942" s="126">
        <v>46230.015752314801</v>
      </c>
      <c r="B942" s="7">
        <v>12</v>
      </c>
      <c r="C942" s="7">
        <v>379</v>
      </c>
      <c r="E942" s="7" t="s">
        <v>1004</v>
      </c>
      <c r="F942" s="7" t="s">
        <v>628</v>
      </c>
      <c r="G942" s="7">
        <v>175</v>
      </c>
      <c r="H942" s="7" t="s">
        <v>881</v>
      </c>
      <c r="I942" s="7" t="s">
        <v>878</v>
      </c>
      <c r="J942" s="7" t="s">
        <v>882</v>
      </c>
      <c r="M942" s="7">
        <v>87.5</v>
      </c>
      <c r="N942" s="7">
        <v>87.5</v>
      </c>
      <c r="O942" s="126">
        <v>46215.8609027778</v>
      </c>
      <c r="P942" s="126">
        <v>46215.8609027778</v>
      </c>
    </row>
    <row r="943" spans="1:16" ht="15.75" customHeight="1">
      <c r="A943" s="126">
        <v>46230.015752314801</v>
      </c>
      <c r="B943" s="7">
        <v>12</v>
      </c>
      <c r="C943" s="7">
        <v>379</v>
      </c>
      <c r="E943" s="7" t="s">
        <v>1004</v>
      </c>
      <c r="F943" s="7" t="s">
        <v>628</v>
      </c>
      <c r="G943" s="7">
        <v>177</v>
      </c>
      <c r="H943" s="7" t="s">
        <v>883</v>
      </c>
      <c r="I943" s="7" t="s">
        <v>878</v>
      </c>
      <c r="J943" s="7" t="s">
        <v>882</v>
      </c>
      <c r="M943" s="7"/>
      <c r="N943" s="7" t="s">
        <v>875</v>
      </c>
      <c r="P943" s="126"/>
    </row>
    <row r="944" spans="1:16" ht="15.75" customHeight="1">
      <c r="A944" s="126">
        <v>46230.015752314801</v>
      </c>
      <c r="B944" s="7">
        <v>12</v>
      </c>
      <c r="C944" s="7">
        <v>379</v>
      </c>
      <c r="E944" s="7" t="s">
        <v>1004</v>
      </c>
      <c r="F944" s="7" t="s">
        <v>628</v>
      </c>
      <c r="G944" s="7">
        <v>176</v>
      </c>
      <c r="H944" s="7" t="s">
        <v>884</v>
      </c>
      <c r="I944" s="7" t="s">
        <v>878</v>
      </c>
      <c r="J944" s="7" t="s">
        <v>882</v>
      </c>
      <c r="M944" s="7">
        <v>100</v>
      </c>
      <c r="N944" s="7">
        <v>100</v>
      </c>
      <c r="O944" s="126">
        <v>46227.8680902778</v>
      </c>
      <c r="P944" s="126">
        <v>46227.8680902778</v>
      </c>
    </row>
    <row r="945" spans="1:16" ht="15.75" customHeight="1">
      <c r="A945" s="126">
        <v>46230.015752314801</v>
      </c>
      <c r="B945" s="7">
        <v>12</v>
      </c>
      <c r="C945" s="7">
        <v>379</v>
      </c>
      <c r="E945" s="7" t="s">
        <v>1004</v>
      </c>
      <c r="F945" s="7" t="s">
        <v>628</v>
      </c>
      <c r="G945" s="7">
        <v>168</v>
      </c>
      <c r="H945" s="7" t="s">
        <v>885</v>
      </c>
      <c r="I945" s="7" t="s">
        <v>886</v>
      </c>
      <c r="J945" s="7"/>
      <c r="M945" s="7">
        <v>100</v>
      </c>
      <c r="N945" s="7">
        <v>100</v>
      </c>
      <c r="O945" s="126"/>
      <c r="P945" s="126">
        <v>46209.7133680556</v>
      </c>
    </row>
    <row r="946" spans="1:16" ht="15.75" customHeight="1">
      <c r="A946" s="126">
        <v>46230.015752314801</v>
      </c>
      <c r="B946" s="7">
        <v>12</v>
      </c>
      <c r="C946" s="7">
        <v>367</v>
      </c>
      <c r="D946" s="7"/>
      <c r="E946" s="7" t="s">
        <v>1005</v>
      </c>
      <c r="F946" s="7" t="s">
        <v>732</v>
      </c>
      <c r="G946" s="7">
        <v>181</v>
      </c>
      <c r="H946" s="7" t="s">
        <v>873</v>
      </c>
      <c r="I946" s="7" t="s">
        <v>874</v>
      </c>
      <c r="J946" s="7"/>
      <c r="M946" s="7"/>
      <c r="N946" s="7" t="s">
        <v>875</v>
      </c>
      <c r="O946" s="126"/>
      <c r="P946" s="126"/>
    </row>
    <row r="947" spans="1:16" ht="15.75" customHeight="1">
      <c r="A947" s="126">
        <v>46230.015752314801</v>
      </c>
      <c r="B947" s="7">
        <v>12</v>
      </c>
      <c r="C947" s="7">
        <v>367</v>
      </c>
      <c r="D947" s="7"/>
      <c r="E947" s="7" t="s">
        <v>1005</v>
      </c>
      <c r="F947" s="7" t="s">
        <v>732</v>
      </c>
      <c r="G947" s="7">
        <v>182</v>
      </c>
      <c r="H947" s="7" t="s">
        <v>876</v>
      </c>
      <c r="I947" s="7" t="s">
        <v>874</v>
      </c>
      <c r="J947" s="7"/>
      <c r="M947" s="7"/>
      <c r="N947" s="7" t="s">
        <v>875</v>
      </c>
      <c r="P947" s="126"/>
    </row>
    <row r="948" spans="1:16" ht="15.75" customHeight="1">
      <c r="A948" s="126">
        <v>46230.015752314801</v>
      </c>
      <c r="B948" s="7">
        <v>12</v>
      </c>
      <c r="C948" s="7">
        <v>367</v>
      </c>
      <c r="D948" s="7"/>
      <c r="E948" s="7" t="s">
        <v>1005</v>
      </c>
      <c r="F948" s="7" t="s">
        <v>732</v>
      </c>
      <c r="G948" s="7">
        <v>174</v>
      </c>
      <c r="H948" s="7" t="s">
        <v>877</v>
      </c>
      <c r="I948" s="7" t="s">
        <v>878</v>
      </c>
      <c r="J948" s="7" t="s">
        <v>879</v>
      </c>
      <c r="M948" s="7">
        <v>100</v>
      </c>
      <c r="N948" s="7">
        <v>100</v>
      </c>
      <c r="P948" s="126">
        <v>46220.947222222203</v>
      </c>
    </row>
    <row r="949" spans="1:16" ht="15.75" customHeight="1">
      <c r="A949" s="126">
        <v>46230.015752314801</v>
      </c>
      <c r="B949" s="7">
        <v>12</v>
      </c>
      <c r="C949" s="7">
        <v>367</v>
      </c>
      <c r="D949" s="7"/>
      <c r="E949" s="7" t="s">
        <v>1005</v>
      </c>
      <c r="F949" s="7" t="s">
        <v>732</v>
      </c>
      <c r="G949" s="7">
        <v>180</v>
      </c>
      <c r="H949" s="7" t="s">
        <v>880</v>
      </c>
      <c r="I949" s="7" t="s">
        <v>874</v>
      </c>
      <c r="J949" s="7"/>
      <c r="M949" s="7"/>
      <c r="N949" s="7" t="s">
        <v>875</v>
      </c>
      <c r="O949" s="126"/>
      <c r="P949" s="126"/>
    </row>
    <row r="950" spans="1:16" ht="15.75" customHeight="1">
      <c r="A950" s="126">
        <v>46230.015752314801</v>
      </c>
      <c r="B950" s="7">
        <v>12</v>
      </c>
      <c r="C950" s="7">
        <v>367</v>
      </c>
      <c r="D950" s="7"/>
      <c r="E950" s="7" t="s">
        <v>1005</v>
      </c>
      <c r="F950" s="7" t="s">
        <v>732</v>
      </c>
      <c r="G950" s="7">
        <v>175</v>
      </c>
      <c r="H950" s="7" t="s">
        <v>881</v>
      </c>
      <c r="I950" s="7" t="s">
        <v>878</v>
      </c>
      <c r="J950" s="7" t="s">
        <v>882</v>
      </c>
      <c r="M950" s="7">
        <v>100</v>
      </c>
      <c r="N950" s="7">
        <v>100</v>
      </c>
      <c r="O950" s="126">
        <v>46213.775590277801</v>
      </c>
      <c r="P950" s="126">
        <v>46213.775590277801</v>
      </c>
    </row>
    <row r="951" spans="1:16" ht="15.75" customHeight="1">
      <c r="A951" s="126">
        <v>46230.015752314801</v>
      </c>
      <c r="B951" s="7">
        <v>12</v>
      </c>
      <c r="C951" s="7">
        <v>367</v>
      </c>
      <c r="D951" s="7"/>
      <c r="E951" s="7" t="s">
        <v>1005</v>
      </c>
      <c r="F951" s="7" t="s">
        <v>732</v>
      </c>
      <c r="G951" s="7">
        <v>177</v>
      </c>
      <c r="H951" s="7" t="s">
        <v>883</v>
      </c>
      <c r="I951" s="7" t="s">
        <v>878</v>
      </c>
      <c r="J951" s="7" t="s">
        <v>882</v>
      </c>
      <c r="M951" s="7"/>
      <c r="N951" s="7" t="s">
        <v>875</v>
      </c>
      <c r="O951" s="126"/>
      <c r="P951" s="126"/>
    </row>
    <row r="952" spans="1:16" ht="15.75" customHeight="1">
      <c r="A952" s="126">
        <v>46230.015752314801</v>
      </c>
      <c r="B952" s="7">
        <v>12</v>
      </c>
      <c r="C952" s="7">
        <v>367</v>
      </c>
      <c r="D952" s="7"/>
      <c r="E952" s="7" t="s">
        <v>1005</v>
      </c>
      <c r="F952" s="7" t="s">
        <v>732</v>
      </c>
      <c r="G952" s="7">
        <v>176</v>
      </c>
      <c r="H952" s="7" t="s">
        <v>884</v>
      </c>
      <c r="I952" s="7" t="s">
        <v>878</v>
      </c>
      <c r="J952" s="7" t="s">
        <v>882</v>
      </c>
      <c r="M952" s="7">
        <v>100</v>
      </c>
      <c r="N952" s="7">
        <v>100</v>
      </c>
      <c r="O952" s="126">
        <v>46225.011469907397</v>
      </c>
      <c r="P952" s="126">
        <v>46225.011469907397</v>
      </c>
    </row>
    <row r="953" spans="1:16" ht="15.75" customHeight="1">
      <c r="A953" s="126">
        <v>46230.015752314801</v>
      </c>
      <c r="B953" s="7">
        <v>12</v>
      </c>
      <c r="C953" s="7">
        <v>367</v>
      </c>
      <c r="D953" s="7"/>
      <c r="E953" s="7" t="s">
        <v>1005</v>
      </c>
      <c r="F953" s="7" t="s">
        <v>732</v>
      </c>
      <c r="G953" s="7">
        <v>168</v>
      </c>
      <c r="H953" s="7" t="s">
        <v>885</v>
      </c>
      <c r="I953" s="7" t="s">
        <v>886</v>
      </c>
      <c r="J953" s="7"/>
      <c r="M953" s="7">
        <v>100</v>
      </c>
      <c r="N953" s="7">
        <v>100</v>
      </c>
      <c r="O953" s="126"/>
      <c r="P953" s="126">
        <v>46213.775590277801</v>
      </c>
    </row>
    <row r="954" spans="1:16" ht="15.75" customHeight="1">
      <c r="A954" s="126">
        <v>46230.015752314801</v>
      </c>
      <c r="B954" s="7">
        <v>12</v>
      </c>
      <c r="C954" s="7">
        <v>760</v>
      </c>
      <c r="D954" s="7">
        <v>224844</v>
      </c>
      <c r="E954" s="7" t="s">
        <v>1006</v>
      </c>
      <c r="F954" s="7" t="s">
        <v>184</v>
      </c>
      <c r="G954" s="7">
        <v>181</v>
      </c>
      <c r="H954" s="7" t="s">
        <v>873</v>
      </c>
      <c r="I954" s="7" t="s">
        <v>874</v>
      </c>
      <c r="J954" s="7"/>
      <c r="M954" s="7"/>
      <c r="N954" s="7" t="s">
        <v>875</v>
      </c>
      <c r="O954" s="126"/>
      <c r="P954" s="126"/>
    </row>
    <row r="955" spans="1:16" ht="15.75" customHeight="1">
      <c r="A955" s="126">
        <v>46230.015752314801</v>
      </c>
      <c r="B955" s="7">
        <v>12</v>
      </c>
      <c r="C955" s="7">
        <v>760</v>
      </c>
      <c r="D955" s="7">
        <v>224844</v>
      </c>
      <c r="E955" s="7" t="s">
        <v>1006</v>
      </c>
      <c r="F955" s="7" t="s">
        <v>184</v>
      </c>
      <c r="G955" s="7">
        <v>182</v>
      </c>
      <c r="H955" s="7" t="s">
        <v>876</v>
      </c>
      <c r="I955" s="7" t="s">
        <v>874</v>
      </c>
      <c r="J955" s="7"/>
      <c r="M955" s="7"/>
      <c r="N955" s="7" t="s">
        <v>875</v>
      </c>
      <c r="P955" s="126"/>
    </row>
    <row r="956" spans="1:16" ht="15.75" customHeight="1">
      <c r="A956" s="126">
        <v>46230.015752314801</v>
      </c>
      <c r="B956" s="7">
        <v>12</v>
      </c>
      <c r="C956" s="7">
        <v>760</v>
      </c>
      <c r="D956" s="7">
        <v>224844</v>
      </c>
      <c r="E956" s="7" t="s">
        <v>1006</v>
      </c>
      <c r="F956" s="7" t="s">
        <v>184</v>
      </c>
      <c r="G956" s="7">
        <v>174</v>
      </c>
      <c r="H956" s="7" t="s">
        <v>877</v>
      </c>
      <c r="I956" s="7" t="s">
        <v>878</v>
      </c>
      <c r="J956" s="7" t="s">
        <v>879</v>
      </c>
      <c r="M956" s="7">
        <v>100</v>
      </c>
      <c r="N956" s="7">
        <v>100</v>
      </c>
      <c r="O956" s="126"/>
      <c r="P956" s="126">
        <v>46209.709745370397</v>
      </c>
    </row>
    <row r="957" spans="1:16" ht="15.75" customHeight="1">
      <c r="A957" s="126">
        <v>46230.015752314801</v>
      </c>
      <c r="B957" s="7">
        <v>12</v>
      </c>
      <c r="C957" s="7">
        <v>760</v>
      </c>
      <c r="D957" s="7">
        <v>224844</v>
      </c>
      <c r="E957" s="7" t="s">
        <v>1006</v>
      </c>
      <c r="F957" s="7" t="s">
        <v>184</v>
      </c>
      <c r="G957" s="7">
        <v>180</v>
      </c>
      <c r="H957" s="7" t="s">
        <v>880</v>
      </c>
      <c r="I957" s="7" t="s">
        <v>874</v>
      </c>
      <c r="J957" s="7"/>
      <c r="M957" s="7"/>
      <c r="N957" s="7" t="s">
        <v>875</v>
      </c>
      <c r="O957" s="126"/>
      <c r="P957" s="126"/>
    </row>
    <row r="958" spans="1:16" ht="15.75" customHeight="1">
      <c r="A958" s="126">
        <v>46230.015752314801</v>
      </c>
      <c r="B958" s="7">
        <v>12</v>
      </c>
      <c r="C958" s="7">
        <v>760</v>
      </c>
      <c r="D958" s="7">
        <v>224844</v>
      </c>
      <c r="E958" s="7" t="s">
        <v>1006</v>
      </c>
      <c r="F958" s="7" t="s">
        <v>184</v>
      </c>
      <c r="G958" s="7">
        <v>175</v>
      </c>
      <c r="H958" s="7" t="s">
        <v>881</v>
      </c>
      <c r="I958" s="7" t="s">
        <v>878</v>
      </c>
      <c r="J958" s="7" t="s">
        <v>882</v>
      </c>
      <c r="M958" s="7">
        <v>87.5</v>
      </c>
      <c r="N958" s="7">
        <v>87.5</v>
      </c>
      <c r="O958" s="126">
        <v>46216.463576388902</v>
      </c>
      <c r="P958" s="126">
        <v>46216.463576388902</v>
      </c>
    </row>
    <row r="959" spans="1:16" ht="15.75" customHeight="1">
      <c r="A959" s="126">
        <v>46230.015752314801</v>
      </c>
      <c r="B959" s="7">
        <v>12</v>
      </c>
      <c r="C959" s="7">
        <v>760</v>
      </c>
      <c r="D959" s="7">
        <v>224844</v>
      </c>
      <c r="E959" s="7" t="s">
        <v>1006</v>
      </c>
      <c r="F959" s="7" t="s">
        <v>184</v>
      </c>
      <c r="G959" s="7">
        <v>177</v>
      </c>
      <c r="H959" s="7" t="s">
        <v>883</v>
      </c>
      <c r="I959" s="7" t="s">
        <v>878</v>
      </c>
      <c r="J959" s="7" t="s">
        <v>882</v>
      </c>
      <c r="M959" s="7"/>
      <c r="N959" s="7" t="s">
        <v>875</v>
      </c>
      <c r="P959" s="126"/>
    </row>
    <row r="960" spans="1:16" ht="15.75" customHeight="1">
      <c r="A960" s="126">
        <v>46230.015752314801</v>
      </c>
      <c r="B960" s="7">
        <v>12</v>
      </c>
      <c r="C960" s="7">
        <v>760</v>
      </c>
      <c r="D960" s="7">
        <v>224844</v>
      </c>
      <c r="E960" s="7" t="s">
        <v>1006</v>
      </c>
      <c r="F960" s="7" t="s">
        <v>184</v>
      </c>
      <c r="G960" s="7">
        <v>176</v>
      </c>
      <c r="H960" s="7" t="s">
        <v>884</v>
      </c>
      <c r="I960" s="7" t="s">
        <v>878</v>
      </c>
      <c r="J960" s="7" t="s">
        <v>882</v>
      </c>
      <c r="M960" s="7">
        <v>100</v>
      </c>
      <c r="N960" s="7">
        <v>100</v>
      </c>
      <c r="O960" s="126">
        <v>46226.936122685198</v>
      </c>
      <c r="P960" s="126">
        <v>46226.936122685198</v>
      </c>
    </row>
    <row r="961" spans="1:16" ht="15.75" customHeight="1">
      <c r="A961" s="126">
        <v>46230.015752314801</v>
      </c>
      <c r="B961" s="7">
        <v>12</v>
      </c>
      <c r="C961" s="7">
        <v>760</v>
      </c>
      <c r="D961" s="7">
        <v>224844</v>
      </c>
      <c r="E961" s="7" t="s">
        <v>1006</v>
      </c>
      <c r="F961" s="7" t="s">
        <v>184</v>
      </c>
      <c r="G961" s="7">
        <v>168</v>
      </c>
      <c r="H961" s="7" t="s">
        <v>885</v>
      </c>
      <c r="I961" s="7" t="s">
        <v>886</v>
      </c>
      <c r="J961" s="7"/>
      <c r="M961" s="7">
        <v>100</v>
      </c>
      <c r="N961" s="7">
        <v>100</v>
      </c>
      <c r="P961" s="126">
        <v>46209.709745370397</v>
      </c>
    </row>
    <row r="962" spans="1:16" ht="15.75" customHeight="1">
      <c r="A962" s="126">
        <v>46230.015752314801</v>
      </c>
      <c r="B962" s="7">
        <v>12</v>
      </c>
      <c r="C962" s="7">
        <v>776</v>
      </c>
      <c r="E962" s="7" t="s">
        <v>1007</v>
      </c>
      <c r="F962" s="7" t="s">
        <v>287</v>
      </c>
      <c r="G962" s="7">
        <v>181</v>
      </c>
      <c r="H962" s="7" t="s">
        <v>873</v>
      </c>
      <c r="I962" s="7" t="s">
        <v>874</v>
      </c>
      <c r="J962" s="7"/>
      <c r="M962" s="7"/>
      <c r="N962" s="7" t="s">
        <v>875</v>
      </c>
      <c r="O962" s="126"/>
      <c r="P962" s="126"/>
    </row>
    <row r="963" spans="1:16" ht="15.75" customHeight="1">
      <c r="A963" s="126">
        <v>46230.015752314801</v>
      </c>
      <c r="B963" s="7">
        <v>12</v>
      </c>
      <c r="C963" s="7">
        <v>776</v>
      </c>
      <c r="E963" s="7" t="s">
        <v>1007</v>
      </c>
      <c r="F963" s="7" t="s">
        <v>287</v>
      </c>
      <c r="G963" s="7">
        <v>182</v>
      </c>
      <c r="H963" s="7" t="s">
        <v>876</v>
      </c>
      <c r="I963" s="7" t="s">
        <v>874</v>
      </c>
      <c r="J963" s="7"/>
      <c r="M963" s="7"/>
      <c r="N963" s="7" t="s">
        <v>875</v>
      </c>
      <c r="O963" s="126"/>
      <c r="P963" s="126"/>
    </row>
    <row r="964" spans="1:16" ht="15.75" customHeight="1">
      <c r="A964" s="126">
        <v>46230.015752314801</v>
      </c>
      <c r="B964" s="7">
        <v>12</v>
      </c>
      <c r="C964" s="7">
        <v>776</v>
      </c>
      <c r="E964" s="7" t="s">
        <v>1007</v>
      </c>
      <c r="F964" s="7" t="s">
        <v>287</v>
      </c>
      <c r="G964" s="7">
        <v>174</v>
      </c>
      <c r="H964" s="7" t="s">
        <v>877</v>
      </c>
      <c r="I964" s="7" t="s">
        <v>878</v>
      </c>
      <c r="J964" s="7" t="s">
        <v>879</v>
      </c>
      <c r="M964" s="7">
        <v>100</v>
      </c>
      <c r="N964" s="7">
        <v>100</v>
      </c>
      <c r="O964" s="126"/>
      <c r="P964" s="126">
        <v>46209.706932870402</v>
      </c>
    </row>
    <row r="965" spans="1:16" ht="15.75" customHeight="1">
      <c r="A965" s="126">
        <v>46230.015752314801</v>
      </c>
      <c r="B965" s="7">
        <v>12</v>
      </c>
      <c r="C965" s="7">
        <v>776</v>
      </c>
      <c r="E965" s="7" t="s">
        <v>1007</v>
      </c>
      <c r="F965" s="7" t="s">
        <v>287</v>
      </c>
      <c r="G965" s="7">
        <v>180</v>
      </c>
      <c r="H965" s="7" t="s">
        <v>880</v>
      </c>
      <c r="I965" s="7" t="s">
        <v>874</v>
      </c>
      <c r="J965" s="7"/>
      <c r="M965" s="7"/>
      <c r="N965" s="7" t="s">
        <v>875</v>
      </c>
      <c r="O965" s="126"/>
      <c r="P965" s="126"/>
    </row>
    <row r="966" spans="1:16" ht="15.75" customHeight="1">
      <c r="A966" s="126">
        <v>46230.015752314801</v>
      </c>
      <c r="B966" s="7">
        <v>12</v>
      </c>
      <c r="C966" s="7">
        <v>776</v>
      </c>
      <c r="E966" s="7" t="s">
        <v>1007</v>
      </c>
      <c r="F966" s="7" t="s">
        <v>287</v>
      </c>
      <c r="G966" s="7">
        <v>175</v>
      </c>
      <c r="H966" s="7" t="s">
        <v>881</v>
      </c>
      <c r="I966" s="7" t="s">
        <v>878</v>
      </c>
      <c r="J966" s="7" t="s">
        <v>882</v>
      </c>
      <c r="M966" s="7">
        <v>75</v>
      </c>
      <c r="N966" s="7">
        <v>75</v>
      </c>
      <c r="O966" s="126">
        <v>46215.968460648102</v>
      </c>
      <c r="P966" s="126">
        <v>46215.968460648102</v>
      </c>
    </row>
    <row r="967" spans="1:16" ht="15.75" customHeight="1">
      <c r="A967" s="126">
        <v>46230.015752314801</v>
      </c>
      <c r="B967" s="7">
        <v>12</v>
      </c>
      <c r="C967" s="7">
        <v>776</v>
      </c>
      <c r="E967" s="7" t="s">
        <v>1007</v>
      </c>
      <c r="F967" s="7" t="s">
        <v>287</v>
      </c>
      <c r="G967" s="7">
        <v>177</v>
      </c>
      <c r="H967" s="7" t="s">
        <v>883</v>
      </c>
      <c r="I967" s="7" t="s">
        <v>878</v>
      </c>
      <c r="J967" s="7" t="s">
        <v>882</v>
      </c>
      <c r="M967" s="7"/>
      <c r="N967" s="7" t="s">
        <v>875</v>
      </c>
      <c r="P967" s="126"/>
    </row>
    <row r="968" spans="1:16" ht="15.75" customHeight="1">
      <c r="A968" s="126">
        <v>46230.015752314801</v>
      </c>
      <c r="B968" s="7">
        <v>12</v>
      </c>
      <c r="C968" s="7">
        <v>776</v>
      </c>
      <c r="E968" s="7" t="s">
        <v>1007</v>
      </c>
      <c r="F968" s="7" t="s">
        <v>287</v>
      </c>
      <c r="G968" s="7">
        <v>176</v>
      </c>
      <c r="H968" s="7" t="s">
        <v>884</v>
      </c>
      <c r="I968" s="7" t="s">
        <v>878</v>
      </c>
      <c r="J968" s="7" t="s">
        <v>882</v>
      </c>
      <c r="M968" s="7">
        <v>75</v>
      </c>
      <c r="N968" s="7">
        <v>75</v>
      </c>
      <c r="O968" s="126">
        <v>46227.4602662037</v>
      </c>
      <c r="P968" s="126">
        <v>46227.4602662037</v>
      </c>
    </row>
    <row r="969" spans="1:16" ht="15.75" customHeight="1">
      <c r="A969" s="126">
        <v>46230.015752314801</v>
      </c>
      <c r="B969" s="7">
        <v>12</v>
      </c>
      <c r="C969" s="7">
        <v>776</v>
      </c>
      <c r="E969" s="7" t="s">
        <v>1007</v>
      </c>
      <c r="F969" s="7" t="s">
        <v>287</v>
      </c>
      <c r="G969" s="7">
        <v>168</v>
      </c>
      <c r="H969" s="7" t="s">
        <v>885</v>
      </c>
      <c r="I969" s="7" t="s">
        <v>886</v>
      </c>
      <c r="J969" s="7"/>
      <c r="M969" s="7">
        <v>100</v>
      </c>
      <c r="N969" s="7">
        <v>100</v>
      </c>
      <c r="O969" s="126"/>
      <c r="P969" s="126">
        <v>46209.706932870402</v>
      </c>
    </row>
    <row r="970" spans="1:16" ht="15.75" customHeight="1">
      <c r="A970" s="126">
        <v>46230.015752314801</v>
      </c>
      <c r="B970" s="7">
        <v>12</v>
      </c>
      <c r="C970" s="7">
        <v>264</v>
      </c>
      <c r="E970" s="7" t="s">
        <v>1008</v>
      </c>
      <c r="F970" s="7" t="s">
        <v>428</v>
      </c>
      <c r="G970" s="7">
        <v>181</v>
      </c>
      <c r="H970" s="7" t="s">
        <v>873</v>
      </c>
      <c r="I970" s="7" t="s">
        <v>874</v>
      </c>
      <c r="J970" s="7"/>
      <c r="M970" s="7"/>
      <c r="N970" s="7" t="s">
        <v>875</v>
      </c>
      <c r="O970" s="126"/>
      <c r="P970" s="126"/>
    </row>
    <row r="971" spans="1:16" ht="15.75" customHeight="1">
      <c r="A971" s="126">
        <v>46230.015752314801</v>
      </c>
      <c r="B971" s="7">
        <v>12</v>
      </c>
      <c r="C971" s="7">
        <v>264</v>
      </c>
      <c r="E971" s="7" t="s">
        <v>1008</v>
      </c>
      <c r="F971" s="7" t="s">
        <v>428</v>
      </c>
      <c r="G971" s="7">
        <v>182</v>
      </c>
      <c r="H971" s="7" t="s">
        <v>876</v>
      </c>
      <c r="I971" s="7" t="s">
        <v>874</v>
      </c>
      <c r="J971" s="7"/>
      <c r="M971" s="7"/>
      <c r="N971" s="7" t="s">
        <v>875</v>
      </c>
      <c r="O971" s="126"/>
      <c r="P971" s="126"/>
    </row>
    <row r="972" spans="1:16" ht="15.75" customHeight="1">
      <c r="A972" s="126">
        <v>46230.015752314801</v>
      </c>
      <c r="B972" s="7">
        <v>12</v>
      </c>
      <c r="C972" s="7">
        <v>264</v>
      </c>
      <c r="E972" s="7" t="s">
        <v>1008</v>
      </c>
      <c r="F972" s="7" t="s">
        <v>428</v>
      </c>
      <c r="G972" s="7">
        <v>174</v>
      </c>
      <c r="H972" s="7" t="s">
        <v>877</v>
      </c>
      <c r="I972" s="7" t="s">
        <v>878</v>
      </c>
      <c r="J972" s="7" t="s">
        <v>879</v>
      </c>
      <c r="M972" s="7">
        <v>100</v>
      </c>
      <c r="N972" s="7">
        <v>100</v>
      </c>
      <c r="O972" s="126"/>
      <c r="P972" s="126">
        <v>46209.706932870402</v>
      </c>
    </row>
    <row r="973" spans="1:16" ht="15.75" customHeight="1">
      <c r="A973" s="126">
        <v>46230.015752314801</v>
      </c>
      <c r="B973" s="7">
        <v>12</v>
      </c>
      <c r="C973" s="7">
        <v>264</v>
      </c>
      <c r="E973" s="7" t="s">
        <v>1008</v>
      </c>
      <c r="F973" s="7" t="s">
        <v>428</v>
      </c>
      <c r="G973" s="7">
        <v>180</v>
      </c>
      <c r="H973" s="7" t="s">
        <v>880</v>
      </c>
      <c r="I973" s="7" t="s">
        <v>874</v>
      </c>
      <c r="J973" s="7"/>
      <c r="M973" s="7"/>
      <c r="N973" s="7" t="s">
        <v>875</v>
      </c>
      <c r="O973" s="126"/>
      <c r="P973" s="126"/>
    </row>
    <row r="974" spans="1:16" ht="15.75" customHeight="1">
      <c r="A974" s="126">
        <v>46230.015752314801</v>
      </c>
      <c r="B974" s="7">
        <v>12</v>
      </c>
      <c r="C974" s="7">
        <v>264</v>
      </c>
      <c r="E974" s="7" t="s">
        <v>1008</v>
      </c>
      <c r="F974" s="7" t="s">
        <v>428</v>
      </c>
      <c r="G974" s="7">
        <v>175</v>
      </c>
      <c r="H974" s="7" t="s">
        <v>881</v>
      </c>
      <c r="I974" s="7" t="s">
        <v>878</v>
      </c>
      <c r="J974" s="7" t="s">
        <v>882</v>
      </c>
      <c r="M974" s="7">
        <v>87.5</v>
      </c>
      <c r="N974" s="7">
        <v>87.5</v>
      </c>
      <c r="O974" s="126">
        <v>46214.865902777798</v>
      </c>
      <c r="P974" s="126">
        <v>46214.865902777798</v>
      </c>
    </row>
    <row r="975" spans="1:16" ht="15.75" customHeight="1">
      <c r="A975" s="126">
        <v>46230.015752314801</v>
      </c>
      <c r="B975" s="7">
        <v>12</v>
      </c>
      <c r="C975" s="7">
        <v>264</v>
      </c>
      <c r="E975" s="7" t="s">
        <v>1008</v>
      </c>
      <c r="F975" s="7" t="s">
        <v>428</v>
      </c>
      <c r="G975" s="7">
        <v>177</v>
      </c>
      <c r="H975" s="7" t="s">
        <v>883</v>
      </c>
      <c r="I975" s="7" t="s">
        <v>878</v>
      </c>
      <c r="J975" s="7" t="s">
        <v>882</v>
      </c>
      <c r="M975" s="7"/>
      <c r="N975" s="7" t="s">
        <v>875</v>
      </c>
      <c r="O975" s="126"/>
      <c r="P975" s="126"/>
    </row>
    <row r="976" spans="1:16" ht="15.75" customHeight="1">
      <c r="A976" s="126">
        <v>46230.015752314801</v>
      </c>
      <c r="B976" s="7">
        <v>12</v>
      </c>
      <c r="C976" s="7">
        <v>264</v>
      </c>
      <c r="E976" s="7" t="s">
        <v>1008</v>
      </c>
      <c r="F976" s="7" t="s">
        <v>428</v>
      </c>
      <c r="G976" s="7">
        <v>176</v>
      </c>
      <c r="H976" s="7" t="s">
        <v>884</v>
      </c>
      <c r="I976" s="7" t="s">
        <v>878</v>
      </c>
      <c r="J976" s="7" t="s">
        <v>882</v>
      </c>
      <c r="M976" s="7">
        <v>100</v>
      </c>
      <c r="N976" s="7">
        <v>100</v>
      </c>
      <c r="O976" s="126">
        <v>46225.823738425897</v>
      </c>
      <c r="P976" s="126">
        <v>46225.823738425897</v>
      </c>
    </row>
    <row r="977" spans="1:16" ht="15.75" customHeight="1">
      <c r="A977" s="126">
        <v>46230.015752314801</v>
      </c>
      <c r="B977" s="7">
        <v>12</v>
      </c>
      <c r="C977" s="7">
        <v>264</v>
      </c>
      <c r="E977" s="7" t="s">
        <v>1008</v>
      </c>
      <c r="F977" s="7" t="s">
        <v>428</v>
      </c>
      <c r="G977" s="7">
        <v>168</v>
      </c>
      <c r="H977" s="7" t="s">
        <v>885</v>
      </c>
      <c r="I977" s="7" t="s">
        <v>886</v>
      </c>
      <c r="J977" s="7"/>
      <c r="M977" s="7">
        <v>100</v>
      </c>
      <c r="N977" s="7">
        <v>100</v>
      </c>
      <c r="P977" s="126">
        <v>46209.706932870402</v>
      </c>
    </row>
    <row r="978" spans="1:16" ht="15.75" customHeight="1">
      <c r="A978" s="126">
        <v>46230.015752314801</v>
      </c>
      <c r="B978" s="7">
        <v>12</v>
      </c>
      <c r="C978" s="7">
        <v>233</v>
      </c>
      <c r="D978" s="7"/>
      <c r="E978" s="7" t="s">
        <v>1009</v>
      </c>
      <c r="F978" s="7" t="s">
        <v>653</v>
      </c>
      <c r="G978" s="7">
        <v>181</v>
      </c>
      <c r="H978" s="7" t="s">
        <v>873</v>
      </c>
      <c r="I978" s="7" t="s">
        <v>874</v>
      </c>
      <c r="J978" s="7"/>
      <c r="M978" s="7"/>
      <c r="N978" s="7" t="s">
        <v>875</v>
      </c>
      <c r="O978" s="126"/>
      <c r="P978" s="126"/>
    </row>
    <row r="979" spans="1:16" ht="15.75" customHeight="1">
      <c r="A979" s="126">
        <v>46230.015752314801</v>
      </c>
      <c r="B979" s="7">
        <v>12</v>
      </c>
      <c r="C979" s="7">
        <v>233</v>
      </c>
      <c r="D979" s="7"/>
      <c r="E979" s="7" t="s">
        <v>1009</v>
      </c>
      <c r="F979" s="7" t="s">
        <v>653</v>
      </c>
      <c r="G979" s="7">
        <v>182</v>
      </c>
      <c r="H979" s="7" t="s">
        <v>876</v>
      </c>
      <c r="I979" s="7" t="s">
        <v>874</v>
      </c>
      <c r="J979" s="7"/>
      <c r="M979" s="7"/>
      <c r="N979" s="7" t="s">
        <v>875</v>
      </c>
      <c r="P979" s="126"/>
    </row>
    <row r="980" spans="1:16" ht="15.75" customHeight="1">
      <c r="A980" s="126">
        <v>46230.015752314801</v>
      </c>
      <c r="B980" s="7">
        <v>12</v>
      </c>
      <c r="C980" s="7">
        <v>233</v>
      </c>
      <c r="D980" s="7"/>
      <c r="E980" s="7" t="s">
        <v>1009</v>
      </c>
      <c r="F980" s="7" t="s">
        <v>653</v>
      </c>
      <c r="G980" s="7">
        <v>174</v>
      </c>
      <c r="H980" s="7" t="s">
        <v>877</v>
      </c>
      <c r="I980" s="7" t="s">
        <v>878</v>
      </c>
      <c r="J980" s="7" t="s">
        <v>879</v>
      </c>
      <c r="M980" s="7">
        <v>100</v>
      </c>
      <c r="N980" s="7">
        <v>100</v>
      </c>
      <c r="O980" s="126"/>
      <c r="P980" s="126">
        <v>46209.706979166702</v>
      </c>
    </row>
    <row r="981" spans="1:16" ht="15.75" customHeight="1">
      <c r="A981" s="126">
        <v>46230.015752314801</v>
      </c>
      <c r="B981" s="7">
        <v>12</v>
      </c>
      <c r="C981" s="7">
        <v>233</v>
      </c>
      <c r="D981" s="7"/>
      <c r="E981" s="7" t="s">
        <v>1009</v>
      </c>
      <c r="F981" s="7" t="s">
        <v>653</v>
      </c>
      <c r="G981" s="7">
        <v>180</v>
      </c>
      <c r="H981" s="7" t="s">
        <v>880</v>
      </c>
      <c r="I981" s="7" t="s">
        <v>874</v>
      </c>
      <c r="J981" s="7"/>
      <c r="M981" s="7"/>
      <c r="N981" s="7" t="s">
        <v>875</v>
      </c>
      <c r="O981" s="126"/>
      <c r="P981" s="126"/>
    </row>
    <row r="982" spans="1:16" ht="15.75" customHeight="1">
      <c r="A982" s="126">
        <v>46230.015752314801</v>
      </c>
      <c r="B982" s="7">
        <v>12</v>
      </c>
      <c r="C982" s="7">
        <v>233</v>
      </c>
      <c r="D982" s="7"/>
      <c r="E982" s="7" t="s">
        <v>1009</v>
      </c>
      <c r="F982" s="7" t="s">
        <v>653</v>
      </c>
      <c r="G982" s="7">
        <v>175</v>
      </c>
      <c r="H982" s="7" t="s">
        <v>881</v>
      </c>
      <c r="I982" s="7" t="s">
        <v>878</v>
      </c>
      <c r="J982" s="7" t="s">
        <v>882</v>
      </c>
      <c r="M982" s="7">
        <v>100</v>
      </c>
      <c r="N982" s="7">
        <v>100</v>
      </c>
      <c r="O982" s="126">
        <v>46216.572210648097</v>
      </c>
      <c r="P982" s="126">
        <v>46216.572210648097</v>
      </c>
    </row>
    <row r="983" spans="1:16" ht="15.75" customHeight="1">
      <c r="A983" s="126">
        <v>46230.015752314801</v>
      </c>
      <c r="B983" s="7">
        <v>12</v>
      </c>
      <c r="C983" s="7">
        <v>233</v>
      </c>
      <c r="D983" s="7"/>
      <c r="E983" s="7" t="s">
        <v>1009</v>
      </c>
      <c r="F983" s="7" t="s">
        <v>653</v>
      </c>
      <c r="G983" s="7">
        <v>177</v>
      </c>
      <c r="H983" s="7" t="s">
        <v>883</v>
      </c>
      <c r="I983" s="7" t="s">
        <v>878</v>
      </c>
      <c r="J983" s="7" t="s">
        <v>882</v>
      </c>
      <c r="M983" s="7"/>
      <c r="N983" s="7" t="s">
        <v>875</v>
      </c>
      <c r="P983" s="126"/>
    </row>
    <row r="984" spans="1:16" ht="15.75" customHeight="1">
      <c r="A984" s="126">
        <v>46230.015752314801</v>
      </c>
      <c r="B984" s="7">
        <v>12</v>
      </c>
      <c r="C984" s="7">
        <v>233</v>
      </c>
      <c r="D984" s="7"/>
      <c r="E984" s="7" t="s">
        <v>1009</v>
      </c>
      <c r="F984" s="7" t="s">
        <v>653</v>
      </c>
      <c r="G984" s="7">
        <v>176</v>
      </c>
      <c r="H984" s="7" t="s">
        <v>884</v>
      </c>
      <c r="I984" s="7" t="s">
        <v>878</v>
      </c>
      <c r="J984" s="7" t="s">
        <v>882</v>
      </c>
      <c r="M984" s="7">
        <v>100</v>
      </c>
      <c r="N984" s="7">
        <v>100</v>
      </c>
      <c r="O984" s="126">
        <v>46224.454780092601</v>
      </c>
      <c r="P984" s="126">
        <v>46224.454780092601</v>
      </c>
    </row>
    <row r="985" spans="1:16" ht="15.75" customHeight="1">
      <c r="A985" s="126">
        <v>46230.015752314801</v>
      </c>
      <c r="B985" s="7">
        <v>12</v>
      </c>
      <c r="C985" s="7">
        <v>233</v>
      </c>
      <c r="D985" s="7"/>
      <c r="E985" s="7" t="s">
        <v>1009</v>
      </c>
      <c r="F985" s="7" t="s">
        <v>653</v>
      </c>
      <c r="G985" s="7">
        <v>168</v>
      </c>
      <c r="H985" s="7" t="s">
        <v>885</v>
      </c>
      <c r="I985" s="7" t="s">
        <v>886</v>
      </c>
      <c r="J985" s="7"/>
      <c r="M985" s="7">
        <v>100</v>
      </c>
      <c r="N985" s="7">
        <v>100</v>
      </c>
      <c r="P985" s="126">
        <v>46209.706979166702</v>
      </c>
    </row>
    <row r="986" spans="1:16" ht="15.75" customHeight="1">
      <c r="A986" s="126">
        <v>46230.015752314801</v>
      </c>
      <c r="B986" s="7">
        <v>12</v>
      </c>
      <c r="C986" s="7">
        <v>612</v>
      </c>
      <c r="D986" s="7">
        <v>308457</v>
      </c>
      <c r="E986" s="7" t="s">
        <v>1010</v>
      </c>
      <c r="F986" s="7" t="s">
        <v>70</v>
      </c>
      <c r="G986" s="7">
        <v>181</v>
      </c>
      <c r="H986" s="7" t="s">
        <v>873</v>
      </c>
      <c r="I986" s="7" t="s">
        <v>874</v>
      </c>
      <c r="J986" s="7"/>
      <c r="M986" s="7"/>
      <c r="N986" s="7" t="s">
        <v>875</v>
      </c>
      <c r="O986" s="126"/>
      <c r="P986" s="126"/>
    </row>
    <row r="987" spans="1:16" ht="15.75" customHeight="1">
      <c r="A987" s="126">
        <v>46230.015752314801</v>
      </c>
      <c r="B987" s="7">
        <v>12</v>
      </c>
      <c r="C987" s="7">
        <v>612</v>
      </c>
      <c r="D987" s="7">
        <v>308457</v>
      </c>
      <c r="E987" s="7" t="s">
        <v>1010</v>
      </c>
      <c r="F987" s="7" t="s">
        <v>70</v>
      </c>
      <c r="G987" s="7">
        <v>182</v>
      </c>
      <c r="H987" s="7" t="s">
        <v>876</v>
      </c>
      <c r="I987" s="7" t="s">
        <v>874</v>
      </c>
      <c r="J987" s="7"/>
      <c r="M987" s="7"/>
      <c r="N987" s="7" t="s">
        <v>875</v>
      </c>
      <c r="O987" s="126"/>
      <c r="P987" s="126"/>
    </row>
    <row r="988" spans="1:16" ht="15.75" customHeight="1">
      <c r="A988" s="126">
        <v>46230.015752314801</v>
      </c>
      <c r="B988" s="7">
        <v>12</v>
      </c>
      <c r="C988" s="7">
        <v>612</v>
      </c>
      <c r="D988" s="7">
        <v>308457</v>
      </c>
      <c r="E988" s="7" t="s">
        <v>1010</v>
      </c>
      <c r="F988" s="7" t="s">
        <v>70</v>
      </c>
      <c r="G988" s="7">
        <v>174</v>
      </c>
      <c r="H988" s="7" t="s">
        <v>877</v>
      </c>
      <c r="I988" s="7" t="s">
        <v>878</v>
      </c>
      <c r="J988" s="7" t="s">
        <v>879</v>
      </c>
      <c r="M988" s="7">
        <v>100</v>
      </c>
      <c r="N988" s="7">
        <v>100</v>
      </c>
      <c r="O988" s="126"/>
      <c r="P988" s="126">
        <v>46209.706956018497</v>
      </c>
    </row>
    <row r="989" spans="1:16" ht="15.75" customHeight="1">
      <c r="A989" s="126">
        <v>46230.015752314801</v>
      </c>
      <c r="B989" s="7">
        <v>12</v>
      </c>
      <c r="C989" s="7">
        <v>612</v>
      </c>
      <c r="D989" s="7">
        <v>308457</v>
      </c>
      <c r="E989" s="7" t="s">
        <v>1010</v>
      </c>
      <c r="F989" s="7" t="s">
        <v>70</v>
      </c>
      <c r="G989" s="7">
        <v>180</v>
      </c>
      <c r="H989" s="7" t="s">
        <v>880</v>
      </c>
      <c r="I989" s="7" t="s">
        <v>874</v>
      </c>
      <c r="J989" s="7"/>
      <c r="M989" s="7"/>
      <c r="N989" s="7" t="s">
        <v>875</v>
      </c>
      <c r="O989" s="126"/>
      <c r="P989" s="126"/>
    </row>
    <row r="990" spans="1:16" ht="15.75" customHeight="1">
      <c r="A990" s="126">
        <v>46230.015752314801</v>
      </c>
      <c r="B990" s="7">
        <v>12</v>
      </c>
      <c r="C990" s="7">
        <v>612</v>
      </c>
      <c r="D990" s="7">
        <v>308457</v>
      </c>
      <c r="E990" s="7" t="s">
        <v>1010</v>
      </c>
      <c r="F990" s="7" t="s">
        <v>70</v>
      </c>
      <c r="G990" s="7">
        <v>175</v>
      </c>
      <c r="H990" s="7" t="s">
        <v>881</v>
      </c>
      <c r="I990" s="7" t="s">
        <v>878</v>
      </c>
      <c r="J990" s="7" t="s">
        <v>882</v>
      </c>
      <c r="M990" s="7"/>
      <c r="N990" s="7" t="s">
        <v>875</v>
      </c>
      <c r="O990" s="126"/>
      <c r="P990" s="126"/>
    </row>
    <row r="991" spans="1:16" ht="15.75" customHeight="1">
      <c r="A991" s="126">
        <v>46230.015752314801</v>
      </c>
      <c r="B991" s="7">
        <v>12</v>
      </c>
      <c r="C991" s="7">
        <v>612</v>
      </c>
      <c r="D991" s="7">
        <v>308457</v>
      </c>
      <c r="E991" s="7" t="s">
        <v>1010</v>
      </c>
      <c r="F991" s="7" t="s">
        <v>70</v>
      </c>
      <c r="G991" s="7">
        <v>177</v>
      </c>
      <c r="H991" s="7" t="s">
        <v>883</v>
      </c>
      <c r="I991" s="7" t="s">
        <v>878</v>
      </c>
      <c r="J991" s="7" t="s">
        <v>882</v>
      </c>
      <c r="M991" s="7"/>
      <c r="N991" s="7" t="s">
        <v>875</v>
      </c>
      <c r="P991" s="126"/>
    </row>
    <row r="992" spans="1:16" ht="15.75" customHeight="1">
      <c r="A992" s="126">
        <v>46230.015752314801</v>
      </c>
      <c r="B992" s="7">
        <v>12</v>
      </c>
      <c r="C992" s="7">
        <v>612</v>
      </c>
      <c r="D992" s="7">
        <v>308457</v>
      </c>
      <c r="E992" s="7" t="s">
        <v>1010</v>
      </c>
      <c r="F992" s="7" t="s">
        <v>70</v>
      </c>
      <c r="G992" s="7">
        <v>176</v>
      </c>
      <c r="H992" s="7" t="s">
        <v>884</v>
      </c>
      <c r="I992" s="7" t="s">
        <v>878</v>
      </c>
      <c r="J992" s="7" t="s">
        <v>882</v>
      </c>
      <c r="M992" s="7"/>
      <c r="N992" s="7" t="s">
        <v>875</v>
      </c>
      <c r="O992" s="126"/>
      <c r="P992" s="126"/>
    </row>
    <row r="993" spans="1:16" ht="15.75" customHeight="1">
      <c r="A993" s="126">
        <v>46230.015752314801</v>
      </c>
      <c r="B993" s="7">
        <v>12</v>
      </c>
      <c r="C993" s="7">
        <v>612</v>
      </c>
      <c r="D993" s="7">
        <v>308457</v>
      </c>
      <c r="E993" s="7" t="s">
        <v>1010</v>
      </c>
      <c r="F993" s="7" t="s">
        <v>70</v>
      </c>
      <c r="G993" s="7">
        <v>168</v>
      </c>
      <c r="H993" s="7" t="s">
        <v>885</v>
      </c>
      <c r="I993" s="7" t="s">
        <v>886</v>
      </c>
      <c r="J993" s="7"/>
      <c r="M993" s="7">
        <v>100</v>
      </c>
      <c r="N993" s="7">
        <v>100</v>
      </c>
      <c r="O993" s="126"/>
      <c r="P993" s="126">
        <v>46209.706956018497</v>
      </c>
    </row>
    <row r="994" spans="1:16" ht="15.75" customHeight="1">
      <c r="A994" s="126">
        <v>46230.015752314801</v>
      </c>
      <c r="B994" s="7">
        <v>12</v>
      </c>
      <c r="C994" s="7">
        <v>666</v>
      </c>
      <c r="D994" s="7"/>
      <c r="E994" s="7" t="s">
        <v>1011</v>
      </c>
      <c r="F994" s="7" t="s">
        <v>391</v>
      </c>
      <c r="G994" s="7">
        <v>181</v>
      </c>
      <c r="H994" s="7" t="s">
        <v>873</v>
      </c>
      <c r="I994" s="7" t="s">
        <v>874</v>
      </c>
      <c r="J994" s="7"/>
      <c r="M994" s="7"/>
      <c r="N994" s="7" t="s">
        <v>875</v>
      </c>
      <c r="O994" s="126"/>
      <c r="P994" s="126"/>
    </row>
    <row r="995" spans="1:16" ht="15.75" customHeight="1">
      <c r="A995" s="126">
        <v>46230.015752314801</v>
      </c>
      <c r="B995" s="7">
        <v>12</v>
      </c>
      <c r="C995" s="7">
        <v>666</v>
      </c>
      <c r="D995" s="7"/>
      <c r="E995" s="7" t="s">
        <v>1011</v>
      </c>
      <c r="F995" s="7" t="s">
        <v>391</v>
      </c>
      <c r="G995" s="7">
        <v>182</v>
      </c>
      <c r="H995" s="7" t="s">
        <v>876</v>
      </c>
      <c r="I995" s="7" t="s">
        <v>874</v>
      </c>
      <c r="J995" s="7"/>
      <c r="M995" s="7"/>
      <c r="N995" s="7" t="s">
        <v>875</v>
      </c>
      <c r="P995" s="126"/>
    </row>
    <row r="996" spans="1:16" ht="15.75" customHeight="1">
      <c r="A996" s="126">
        <v>46230.015752314801</v>
      </c>
      <c r="B996" s="7">
        <v>12</v>
      </c>
      <c r="C996" s="7">
        <v>666</v>
      </c>
      <c r="D996" s="7"/>
      <c r="E996" s="7" t="s">
        <v>1011</v>
      </c>
      <c r="F996" s="7" t="s">
        <v>391</v>
      </c>
      <c r="G996" s="7">
        <v>174</v>
      </c>
      <c r="H996" s="7" t="s">
        <v>877</v>
      </c>
      <c r="I996" s="7" t="s">
        <v>878</v>
      </c>
      <c r="J996" s="7" t="s">
        <v>879</v>
      </c>
      <c r="M996" s="7">
        <v>100</v>
      </c>
      <c r="N996" s="7">
        <v>100</v>
      </c>
      <c r="O996" s="126"/>
      <c r="P996" s="126">
        <v>46209.706944444399</v>
      </c>
    </row>
    <row r="997" spans="1:16" ht="15.75" customHeight="1">
      <c r="A997" s="126">
        <v>46230.015752314801</v>
      </c>
      <c r="B997" s="7">
        <v>12</v>
      </c>
      <c r="C997" s="7">
        <v>666</v>
      </c>
      <c r="D997" s="7"/>
      <c r="E997" s="7" t="s">
        <v>1011</v>
      </c>
      <c r="F997" s="7" t="s">
        <v>391</v>
      </c>
      <c r="G997" s="7">
        <v>180</v>
      </c>
      <c r="H997" s="7" t="s">
        <v>880</v>
      </c>
      <c r="I997" s="7" t="s">
        <v>874</v>
      </c>
      <c r="J997" s="7"/>
      <c r="M997" s="7"/>
      <c r="N997" s="7" t="s">
        <v>875</v>
      </c>
      <c r="O997" s="126"/>
      <c r="P997" s="126"/>
    </row>
    <row r="998" spans="1:16" ht="15.75" customHeight="1">
      <c r="A998" s="126">
        <v>46230.015752314801</v>
      </c>
      <c r="B998" s="7">
        <v>12</v>
      </c>
      <c r="C998" s="7">
        <v>666</v>
      </c>
      <c r="D998" s="7"/>
      <c r="E998" s="7" t="s">
        <v>1011</v>
      </c>
      <c r="F998" s="7" t="s">
        <v>391</v>
      </c>
      <c r="G998" s="7">
        <v>175</v>
      </c>
      <c r="H998" s="7" t="s">
        <v>881</v>
      </c>
      <c r="I998" s="7" t="s">
        <v>878</v>
      </c>
      <c r="J998" s="7" t="s">
        <v>882</v>
      </c>
      <c r="M998" s="7">
        <v>87.5</v>
      </c>
      <c r="N998" s="7">
        <v>87.5</v>
      </c>
      <c r="O998" s="126">
        <v>46213.804560185199</v>
      </c>
      <c r="P998" s="126">
        <v>46213.804560185199</v>
      </c>
    </row>
    <row r="999" spans="1:16" ht="15.75" customHeight="1">
      <c r="A999" s="126">
        <v>46230.015752314801</v>
      </c>
      <c r="B999" s="7">
        <v>12</v>
      </c>
      <c r="C999" s="7">
        <v>666</v>
      </c>
      <c r="D999" s="7"/>
      <c r="E999" s="7" t="s">
        <v>1011</v>
      </c>
      <c r="F999" s="7" t="s">
        <v>391</v>
      </c>
      <c r="G999" s="7">
        <v>177</v>
      </c>
      <c r="H999" s="7" t="s">
        <v>883</v>
      </c>
      <c r="I999" s="7" t="s">
        <v>878</v>
      </c>
      <c r="J999" s="7" t="s">
        <v>882</v>
      </c>
      <c r="M999" s="7"/>
      <c r="N999" s="7" t="s">
        <v>875</v>
      </c>
      <c r="O999" s="126"/>
      <c r="P999" s="126"/>
    </row>
    <row r="1000" spans="1:16" ht="15.75" customHeight="1">
      <c r="A1000" s="126">
        <v>46230.015752314801</v>
      </c>
      <c r="B1000" s="7">
        <v>12</v>
      </c>
      <c r="C1000" s="7">
        <v>666</v>
      </c>
      <c r="D1000" s="7"/>
      <c r="E1000" s="7" t="s">
        <v>1011</v>
      </c>
      <c r="F1000" s="7" t="s">
        <v>391</v>
      </c>
      <c r="G1000" s="7">
        <v>176</v>
      </c>
      <c r="H1000" s="7" t="s">
        <v>884</v>
      </c>
      <c r="I1000" s="7" t="s">
        <v>878</v>
      </c>
      <c r="J1000" s="7" t="s">
        <v>882</v>
      </c>
      <c r="M1000" s="7">
        <v>90</v>
      </c>
      <c r="N1000" s="7">
        <v>90</v>
      </c>
      <c r="O1000" s="126">
        <v>46224.843935185199</v>
      </c>
      <c r="P1000" s="126">
        <v>46224.843935185199</v>
      </c>
    </row>
    <row r="1001" spans="1:16" ht="15.75" customHeight="1">
      <c r="A1001" s="126">
        <v>46230.015752314801</v>
      </c>
      <c r="B1001" s="7">
        <v>12</v>
      </c>
      <c r="C1001" s="7">
        <v>666</v>
      </c>
      <c r="D1001" s="7"/>
      <c r="E1001" s="7" t="s">
        <v>1011</v>
      </c>
      <c r="F1001" s="7" t="s">
        <v>391</v>
      </c>
      <c r="G1001" s="7">
        <v>168</v>
      </c>
      <c r="H1001" s="7" t="s">
        <v>885</v>
      </c>
      <c r="I1001" s="7" t="s">
        <v>886</v>
      </c>
      <c r="J1001" s="7"/>
      <c r="M1001" s="7">
        <v>100</v>
      </c>
      <c r="N1001" s="7">
        <v>100</v>
      </c>
      <c r="P1001" s="126">
        <v>46209.706944444399</v>
      </c>
    </row>
    <row r="1002" spans="1:16" ht="15.75" customHeight="1">
      <c r="A1002" s="126">
        <v>46230.015752314801</v>
      </c>
      <c r="B1002" s="7">
        <v>12</v>
      </c>
      <c r="C1002" s="7">
        <v>478</v>
      </c>
      <c r="D1002" s="7"/>
      <c r="E1002" s="7" t="s">
        <v>1012</v>
      </c>
      <c r="F1002" s="7" t="s">
        <v>16</v>
      </c>
      <c r="G1002" s="7">
        <v>181</v>
      </c>
      <c r="H1002" s="7" t="s">
        <v>873</v>
      </c>
      <c r="I1002" s="7" t="s">
        <v>874</v>
      </c>
      <c r="J1002" s="7"/>
      <c r="M1002" s="7"/>
      <c r="N1002" s="7" t="s">
        <v>875</v>
      </c>
      <c r="P1002" s="126"/>
    </row>
    <row r="1003" spans="1:16" ht="15.75" customHeight="1">
      <c r="A1003" s="126">
        <v>46230.015752314801</v>
      </c>
      <c r="B1003" s="7">
        <v>12</v>
      </c>
      <c r="C1003" s="7">
        <v>478</v>
      </c>
      <c r="D1003" s="7"/>
      <c r="E1003" s="7" t="s">
        <v>1012</v>
      </c>
      <c r="F1003" s="7" t="s">
        <v>16</v>
      </c>
      <c r="G1003" s="7">
        <v>182</v>
      </c>
      <c r="H1003" s="7" t="s">
        <v>876</v>
      </c>
      <c r="I1003" s="7" t="s">
        <v>874</v>
      </c>
      <c r="J1003" s="7"/>
      <c r="M1003" s="7"/>
      <c r="N1003" s="7" t="s">
        <v>875</v>
      </c>
      <c r="P1003" s="126"/>
    </row>
    <row r="1004" spans="1:16" ht="15.75" customHeight="1">
      <c r="A1004" s="126">
        <v>46230.015752314801</v>
      </c>
      <c r="B1004" s="7">
        <v>12</v>
      </c>
      <c r="C1004" s="7">
        <v>478</v>
      </c>
      <c r="D1004" s="7"/>
      <c r="E1004" s="7" t="s">
        <v>1012</v>
      </c>
      <c r="F1004" s="7" t="s">
        <v>16</v>
      </c>
      <c r="G1004" s="7">
        <v>174</v>
      </c>
      <c r="H1004" s="7" t="s">
        <v>877</v>
      </c>
      <c r="I1004" s="7" t="s">
        <v>878</v>
      </c>
      <c r="J1004" s="7" t="s">
        <v>879</v>
      </c>
      <c r="M1004" s="7">
        <v>100</v>
      </c>
      <c r="N1004" s="7">
        <v>100</v>
      </c>
      <c r="O1004" s="126"/>
      <c r="P1004" s="126">
        <v>46215.5569791667</v>
      </c>
    </row>
    <row r="1005" spans="1:16" ht="15.75" customHeight="1">
      <c r="A1005" s="126">
        <v>46230.015752314801</v>
      </c>
      <c r="B1005" s="7">
        <v>12</v>
      </c>
      <c r="C1005" s="7">
        <v>478</v>
      </c>
      <c r="D1005" s="7"/>
      <c r="E1005" s="7" t="s">
        <v>1012</v>
      </c>
      <c r="F1005" s="7" t="s">
        <v>16</v>
      </c>
      <c r="G1005" s="7">
        <v>180</v>
      </c>
      <c r="H1005" s="7" t="s">
        <v>880</v>
      </c>
      <c r="I1005" s="7" t="s">
        <v>874</v>
      </c>
      <c r="J1005" s="7"/>
      <c r="M1005" s="7"/>
      <c r="N1005" s="7" t="s">
        <v>875</v>
      </c>
      <c r="O1005" s="126"/>
      <c r="P1005" s="126"/>
    </row>
    <row r="1006" spans="1:16" ht="15.75" customHeight="1">
      <c r="A1006" s="126">
        <v>46230.015752314801</v>
      </c>
      <c r="B1006" s="7">
        <v>12</v>
      </c>
      <c r="C1006" s="7">
        <v>478</v>
      </c>
      <c r="D1006" s="7"/>
      <c r="E1006" s="7" t="s">
        <v>1012</v>
      </c>
      <c r="F1006" s="7" t="s">
        <v>16</v>
      </c>
      <c r="G1006" s="7">
        <v>175</v>
      </c>
      <c r="H1006" s="7" t="s">
        <v>881</v>
      </c>
      <c r="I1006" s="7" t="s">
        <v>878</v>
      </c>
      <c r="J1006" s="7" t="s">
        <v>882</v>
      </c>
      <c r="M1006" s="7">
        <v>87.5</v>
      </c>
      <c r="N1006" s="7">
        <v>87.5</v>
      </c>
      <c r="O1006" s="126">
        <v>46215.561030092598</v>
      </c>
      <c r="P1006" s="126">
        <v>46215.561030092598</v>
      </c>
    </row>
    <row r="1007" spans="1:16" ht="15.75" customHeight="1">
      <c r="A1007" s="126">
        <v>46230.015752314801</v>
      </c>
      <c r="B1007" s="7">
        <v>12</v>
      </c>
      <c r="C1007" s="7">
        <v>478</v>
      </c>
      <c r="D1007" s="7"/>
      <c r="E1007" s="7" t="s">
        <v>1012</v>
      </c>
      <c r="F1007" s="7" t="s">
        <v>16</v>
      </c>
      <c r="G1007" s="7">
        <v>177</v>
      </c>
      <c r="H1007" s="7" t="s">
        <v>883</v>
      </c>
      <c r="I1007" s="7" t="s">
        <v>878</v>
      </c>
      <c r="J1007" s="7" t="s">
        <v>882</v>
      </c>
      <c r="M1007" s="7"/>
      <c r="N1007" s="7" t="s">
        <v>875</v>
      </c>
      <c r="O1007" s="126"/>
      <c r="P1007" s="126"/>
    </row>
    <row r="1008" spans="1:16" ht="15.75" customHeight="1">
      <c r="A1008" s="126">
        <v>46230.015752314801</v>
      </c>
      <c r="B1008" s="7">
        <v>12</v>
      </c>
      <c r="C1008" s="7">
        <v>478</v>
      </c>
      <c r="D1008" s="7"/>
      <c r="E1008" s="7" t="s">
        <v>1012</v>
      </c>
      <c r="F1008" s="7" t="s">
        <v>16</v>
      </c>
      <c r="G1008" s="7">
        <v>176</v>
      </c>
      <c r="H1008" s="7" t="s">
        <v>884</v>
      </c>
      <c r="I1008" s="7" t="s">
        <v>878</v>
      </c>
      <c r="J1008" s="7" t="s">
        <v>882</v>
      </c>
      <c r="M1008" s="7">
        <v>100</v>
      </c>
      <c r="N1008" s="7">
        <v>100</v>
      </c>
      <c r="O1008" s="126">
        <v>46224.482824074097</v>
      </c>
      <c r="P1008" s="126">
        <v>46224.482824074097</v>
      </c>
    </row>
    <row r="1009" spans="1:16" ht="15.75" customHeight="1">
      <c r="A1009" s="126">
        <v>46230.015752314801</v>
      </c>
      <c r="B1009" s="7">
        <v>12</v>
      </c>
      <c r="C1009" s="7">
        <v>478</v>
      </c>
      <c r="D1009" s="7"/>
      <c r="E1009" s="7" t="s">
        <v>1012</v>
      </c>
      <c r="F1009" s="7" t="s">
        <v>16</v>
      </c>
      <c r="G1009" s="7">
        <v>168</v>
      </c>
      <c r="H1009" s="7" t="s">
        <v>885</v>
      </c>
      <c r="I1009" s="7" t="s">
        <v>886</v>
      </c>
      <c r="M1009" s="7">
        <v>100</v>
      </c>
      <c r="N1009" s="7">
        <v>100</v>
      </c>
      <c r="P1009" s="126">
        <v>46215.5569791667</v>
      </c>
    </row>
    <row r="1010" spans="1:16" ht="15.75" customHeight="1">
      <c r="A1010" s="126">
        <v>46230.015752314801</v>
      </c>
      <c r="B1010" s="7">
        <v>12</v>
      </c>
      <c r="C1010" s="7">
        <v>734</v>
      </c>
      <c r="D1010" s="7"/>
      <c r="E1010" s="7" t="s">
        <v>1013</v>
      </c>
      <c r="F1010" s="7" t="s">
        <v>701</v>
      </c>
      <c r="G1010" s="7">
        <v>181</v>
      </c>
      <c r="H1010" s="7" t="s">
        <v>873</v>
      </c>
      <c r="I1010" s="7" t="s">
        <v>874</v>
      </c>
      <c r="J1010" s="7"/>
      <c r="M1010" s="7"/>
      <c r="N1010" s="7" t="s">
        <v>875</v>
      </c>
      <c r="O1010" s="126"/>
      <c r="P1010" s="126"/>
    </row>
    <row r="1011" spans="1:16" ht="15.75" customHeight="1">
      <c r="A1011" s="126">
        <v>46230.015752314801</v>
      </c>
      <c r="B1011" s="7">
        <v>12</v>
      </c>
      <c r="C1011" s="7">
        <v>734</v>
      </c>
      <c r="D1011" s="7"/>
      <c r="E1011" s="7" t="s">
        <v>1013</v>
      </c>
      <c r="F1011" s="7" t="s">
        <v>701</v>
      </c>
      <c r="G1011" s="7">
        <v>182</v>
      </c>
      <c r="H1011" s="7" t="s">
        <v>876</v>
      </c>
      <c r="I1011" s="7" t="s">
        <v>874</v>
      </c>
      <c r="J1011" s="7"/>
      <c r="M1011" s="7"/>
      <c r="N1011" s="7" t="s">
        <v>875</v>
      </c>
      <c r="O1011" s="126"/>
      <c r="P1011" s="126"/>
    </row>
    <row r="1012" spans="1:16" ht="15.75" customHeight="1">
      <c r="A1012" s="126">
        <v>46230.015752314801</v>
      </c>
      <c r="B1012" s="7">
        <v>12</v>
      </c>
      <c r="C1012" s="7">
        <v>734</v>
      </c>
      <c r="D1012" s="7"/>
      <c r="E1012" s="7" t="s">
        <v>1013</v>
      </c>
      <c r="F1012" s="7" t="s">
        <v>701</v>
      </c>
      <c r="G1012" s="7">
        <v>174</v>
      </c>
      <c r="H1012" s="7" t="s">
        <v>877</v>
      </c>
      <c r="I1012" s="7" t="s">
        <v>878</v>
      </c>
      <c r="J1012" s="7" t="s">
        <v>879</v>
      </c>
      <c r="M1012" s="7">
        <v>100</v>
      </c>
      <c r="N1012" s="7">
        <v>100</v>
      </c>
      <c r="O1012" s="126"/>
      <c r="P1012" s="126">
        <v>46209.706979166702</v>
      </c>
    </row>
    <row r="1013" spans="1:16" ht="15.75" customHeight="1">
      <c r="A1013" s="126">
        <v>46230.015752314801</v>
      </c>
      <c r="B1013" s="7">
        <v>12</v>
      </c>
      <c r="C1013" s="7">
        <v>734</v>
      </c>
      <c r="D1013" s="7"/>
      <c r="E1013" s="7" t="s">
        <v>1013</v>
      </c>
      <c r="F1013" s="7" t="s">
        <v>701</v>
      </c>
      <c r="G1013" s="7">
        <v>180</v>
      </c>
      <c r="H1013" s="7" t="s">
        <v>880</v>
      </c>
      <c r="I1013" s="7" t="s">
        <v>874</v>
      </c>
      <c r="J1013" s="7"/>
      <c r="M1013" s="7"/>
      <c r="N1013" s="7" t="s">
        <v>875</v>
      </c>
      <c r="O1013" s="126"/>
      <c r="P1013" s="126"/>
    </row>
    <row r="1014" spans="1:16" ht="15.75" customHeight="1">
      <c r="A1014" s="126">
        <v>46230.015752314801</v>
      </c>
      <c r="B1014" s="7">
        <v>12</v>
      </c>
      <c r="C1014" s="7">
        <v>734</v>
      </c>
      <c r="D1014" s="7"/>
      <c r="E1014" s="7" t="s">
        <v>1013</v>
      </c>
      <c r="F1014" s="7" t="s">
        <v>701</v>
      </c>
      <c r="G1014" s="7">
        <v>175</v>
      </c>
      <c r="H1014" s="7" t="s">
        <v>881</v>
      </c>
      <c r="I1014" s="7" t="s">
        <v>878</v>
      </c>
      <c r="J1014" s="7" t="s">
        <v>882</v>
      </c>
      <c r="M1014" s="7">
        <v>100</v>
      </c>
      <c r="N1014" s="7">
        <v>100</v>
      </c>
      <c r="O1014" s="126">
        <v>46216.558287036998</v>
      </c>
      <c r="P1014" s="126">
        <v>46216.558287036998</v>
      </c>
    </row>
    <row r="1015" spans="1:16" ht="15.75" customHeight="1">
      <c r="A1015" s="126">
        <v>46230.015752314801</v>
      </c>
      <c r="B1015" s="7">
        <v>12</v>
      </c>
      <c r="C1015" s="7">
        <v>734</v>
      </c>
      <c r="D1015" s="7"/>
      <c r="E1015" s="7" t="s">
        <v>1013</v>
      </c>
      <c r="F1015" s="7" t="s">
        <v>701</v>
      </c>
      <c r="G1015" s="7">
        <v>177</v>
      </c>
      <c r="H1015" s="7" t="s">
        <v>883</v>
      </c>
      <c r="I1015" s="7" t="s">
        <v>878</v>
      </c>
      <c r="J1015" s="7" t="s">
        <v>882</v>
      </c>
      <c r="M1015" s="7"/>
      <c r="N1015" s="7" t="s">
        <v>875</v>
      </c>
      <c r="P1015" s="126"/>
    </row>
    <row r="1016" spans="1:16" ht="15.75" customHeight="1">
      <c r="A1016" s="126">
        <v>46230.015752314801</v>
      </c>
      <c r="B1016" s="7">
        <v>12</v>
      </c>
      <c r="C1016" s="7">
        <v>734</v>
      </c>
      <c r="D1016" s="7"/>
      <c r="E1016" s="7" t="s">
        <v>1013</v>
      </c>
      <c r="F1016" s="7" t="s">
        <v>701</v>
      </c>
      <c r="G1016" s="7">
        <v>176</v>
      </c>
      <c r="H1016" s="7" t="s">
        <v>884</v>
      </c>
      <c r="I1016" s="7" t="s">
        <v>878</v>
      </c>
      <c r="J1016" s="7" t="s">
        <v>882</v>
      </c>
      <c r="M1016" s="7">
        <v>100</v>
      </c>
      <c r="N1016" s="7">
        <v>100</v>
      </c>
      <c r="O1016" s="126">
        <v>46229.914479166699</v>
      </c>
      <c r="P1016" s="126">
        <v>46229.914479166699</v>
      </c>
    </row>
    <row r="1017" spans="1:16" ht="15.75" customHeight="1">
      <c r="A1017" s="126">
        <v>46230.015752314801</v>
      </c>
      <c r="B1017" s="7">
        <v>12</v>
      </c>
      <c r="C1017" s="7">
        <v>734</v>
      </c>
      <c r="D1017" s="7"/>
      <c r="E1017" s="7" t="s">
        <v>1013</v>
      </c>
      <c r="F1017" s="7" t="s">
        <v>701</v>
      </c>
      <c r="G1017" s="7">
        <v>168</v>
      </c>
      <c r="H1017" s="7" t="s">
        <v>885</v>
      </c>
      <c r="I1017" s="7" t="s">
        <v>886</v>
      </c>
      <c r="J1017" s="7"/>
      <c r="M1017" s="7">
        <v>100</v>
      </c>
      <c r="N1017" s="7">
        <v>100</v>
      </c>
      <c r="O1017" s="126"/>
      <c r="P1017" s="126">
        <v>46209.706979166702</v>
      </c>
    </row>
    <row r="1018" spans="1:16" ht="15.75" customHeight="1">
      <c r="A1018" s="126">
        <v>46230.015752314801</v>
      </c>
      <c r="B1018" s="7">
        <v>12</v>
      </c>
      <c r="C1018" s="7">
        <v>619</v>
      </c>
      <c r="D1018" s="7">
        <v>263232</v>
      </c>
      <c r="E1018" s="7" t="s">
        <v>1014</v>
      </c>
      <c r="F1018" s="7" t="s">
        <v>91</v>
      </c>
      <c r="G1018" s="7">
        <v>181</v>
      </c>
      <c r="H1018" s="7" t="s">
        <v>873</v>
      </c>
      <c r="I1018" s="7" t="s">
        <v>874</v>
      </c>
      <c r="J1018" s="7"/>
      <c r="M1018" s="7"/>
      <c r="N1018" s="7" t="s">
        <v>875</v>
      </c>
      <c r="O1018" s="126"/>
      <c r="P1018" s="126"/>
    </row>
    <row r="1019" spans="1:16" ht="15.75" customHeight="1">
      <c r="A1019" s="126">
        <v>46230.015752314801</v>
      </c>
      <c r="B1019" s="7">
        <v>12</v>
      </c>
      <c r="C1019" s="7">
        <v>619</v>
      </c>
      <c r="D1019" s="7">
        <v>263232</v>
      </c>
      <c r="E1019" s="7" t="s">
        <v>1014</v>
      </c>
      <c r="F1019" s="7" t="s">
        <v>91</v>
      </c>
      <c r="G1019" s="7">
        <v>182</v>
      </c>
      <c r="H1019" s="7" t="s">
        <v>876</v>
      </c>
      <c r="I1019" s="7" t="s">
        <v>874</v>
      </c>
      <c r="J1019" s="7"/>
      <c r="M1019" s="7"/>
      <c r="N1019" s="7" t="s">
        <v>875</v>
      </c>
      <c r="P1019" s="126"/>
    </row>
    <row r="1020" spans="1:16" ht="15.75" customHeight="1">
      <c r="A1020" s="126">
        <v>46230.015752314801</v>
      </c>
      <c r="B1020" s="7">
        <v>12</v>
      </c>
      <c r="C1020" s="7">
        <v>619</v>
      </c>
      <c r="D1020" s="7">
        <v>263232</v>
      </c>
      <c r="E1020" s="7" t="s">
        <v>1014</v>
      </c>
      <c r="F1020" s="7" t="s">
        <v>91</v>
      </c>
      <c r="G1020" s="7">
        <v>174</v>
      </c>
      <c r="H1020" s="7" t="s">
        <v>877</v>
      </c>
      <c r="I1020" s="7" t="s">
        <v>878</v>
      </c>
      <c r="J1020" s="7" t="s">
        <v>879</v>
      </c>
      <c r="M1020" s="7">
        <v>100</v>
      </c>
      <c r="N1020" s="7">
        <v>100</v>
      </c>
      <c r="P1020" s="126">
        <v>46209.706967592603</v>
      </c>
    </row>
    <row r="1021" spans="1:16" ht="15.75" customHeight="1">
      <c r="A1021" s="126">
        <v>46230.015752314801</v>
      </c>
      <c r="B1021" s="7">
        <v>12</v>
      </c>
      <c r="C1021" s="7">
        <v>619</v>
      </c>
      <c r="D1021" s="7">
        <v>263232</v>
      </c>
      <c r="E1021" s="7" t="s">
        <v>1014</v>
      </c>
      <c r="F1021" s="7" t="s">
        <v>91</v>
      </c>
      <c r="G1021" s="7">
        <v>180</v>
      </c>
      <c r="H1021" s="7" t="s">
        <v>880</v>
      </c>
      <c r="I1021" s="7" t="s">
        <v>874</v>
      </c>
      <c r="J1021" s="7"/>
      <c r="M1021" s="7"/>
      <c r="N1021" s="7" t="s">
        <v>875</v>
      </c>
      <c r="O1021" s="126"/>
      <c r="P1021" s="126"/>
    </row>
    <row r="1022" spans="1:16" ht="15.75" customHeight="1">
      <c r="A1022" s="126">
        <v>46230.015752314801</v>
      </c>
      <c r="B1022" s="7">
        <v>12</v>
      </c>
      <c r="C1022" s="7">
        <v>619</v>
      </c>
      <c r="D1022" s="7">
        <v>263232</v>
      </c>
      <c r="E1022" s="7" t="s">
        <v>1014</v>
      </c>
      <c r="F1022" s="7" t="s">
        <v>91</v>
      </c>
      <c r="G1022" s="7">
        <v>175</v>
      </c>
      <c r="H1022" s="7" t="s">
        <v>881</v>
      </c>
      <c r="I1022" s="7" t="s">
        <v>878</v>
      </c>
      <c r="J1022" s="7" t="s">
        <v>882</v>
      </c>
      <c r="M1022" s="7">
        <v>100</v>
      </c>
      <c r="N1022" s="7">
        <v>100</v>
      </c>
      <c r="O1022" s="126">
        <v>46215.213333333297</v>
      </c>
      <c r="P1022" s="126">
        <v>46215.213333333297</v>
      </c>
    </row>
    <row r="1023" spans="1:16" ht="15.75" customHeight="1">
      <c r="A1023" s="126">
        <v>46230.015752314801</v>
      </c>
      <c r="B1023" s="7">
        <v>12</v>
      </c>
      <c r="C1023" s="7">
        <v>619</v>
      </c>
      <c r="D1023" s="7">
        <v>263232</v>
      </c>
      <c r="E1023" s="7" t="s">
        <v>1014</v>
      </c>
      <c r="F1023" s="7" t="s">
        <v>91</v>
      </c>
      <c r="G1023" s="7">
        <v>177</v>
      </c>
      <c r="H1023" s="7" t="s">
        <v>883</v>
      </c>
      <c r="I1023" s="7" t="s">
        <v>878</v>
      </c>
      <c r="J1023" s="7" t="s">
        <v>882</v>
      </c>
      <c r="M1023" s="7"/>
      <c r="N1023" s="7" t="s">
        <v>875</v>
      </c>
      <c r="O1023" s="126"/>
      <c r="P1023" s="126"/>
    </row>
    <row r="1024" spans="1:16" ht="15.75" customHeight="1">
      <c r="A1024" s="126">
        <v>46230.015752314801</v>
      </c>
      <c r="B1024" s="7">
        <v>12</v>
      </c>
      <c r="C1024" s="7">
        <v>619</v>
      </c>
      <c r="D1024" s="7">
        <v>263232</v>
      </c>
      <c r="E1024" s="7" t="s">
        <v>1014</v>
      </c>
      <c r="F1024" s="7" t="s">
        <v>91</v>
      </c>
      <c r="G1024" s="7">
        <v>176</v>
      </c>
      <c r="H1024" s="7" t="s">
        <v>884</v>
      </c>
      <c r="I1024" s="7" t="s">
        <v>878</v>
      </c>
      <c r="J1024" s="7" t="s">
        <v>882</v>
      </c>
      <c r="M1024" s="7">
        <v>100</v>
      </c>
      <c r="N1024" s="7">
        <v>100</v>
      </c>
      <c r="O1024" s="126">
        <v>46223.726643518501</v>
      </c>
      <c r="P1024" s="126">
        <v>46223.793657407397</v>
      </c>
    </row>
    <row r="1025" spans="1:16" ht="15.75" customHeight="1">
      <c r="A1025" s="126">
        <v>46230.015752314801</v>
      </c>
      <c r="B1025" s="7">
        <v>12</v>
      </c>
      <c r="C1025" s="7">
        <v>619</v>
      </c>
      <c r="D1025" s="7">
        <v>263232</v>
      </c>
      <c r="E1025" s="7" t="s">
        <v>1014</v>
      </c>
      <c r="F1025" s="7" t="s">
        <v>91</v>
      </c>
      <c r="G1025" s="7">
        <v>168</v>
      </c>
      <c r="H1025" s="7" t="s">
        <v>885</v>
      </c>
      <c r="I1025" s="7" t="s">
        <v>886</v>
      </c>
      <c r="J1025" s="7"/>
      <c r="M1025" s="7">
        <v>100</v>
      </c>
      <c r="N1025" s="7">
        <v>100</v>
      </c>
      <c r="O1025" s="126"/>
      <c r="P1025" s="126">
        <v>46209.706967592603</v>
      </c>
    </row>
    <row r="1026" spans="1:16" ht="15.75" customHeight="1">
      <c r="A1026" s="126">
        <v>46230.015752314801</v>
      </c>
      <c r="B1026" s="7">
        <v>12</v>
      </c>
      <c r="C1026" s="7">
        <v>703</v>
      </c>
      <c r="D1026" s="7"/>
      <c r="E1026" s="7" t="s">
        <v>1015</v>
      </c>
      <c r="F1026" s="7" t="s">
        <v>712</v>
      </c>
      <c r="G1026" s="7">
        <v>181</v>
      </c>
      <c r="H1026" s="7" t="s">
        <v>873</v>
      </c>
      <c r="I1026" s="7" t="s">
        <v>874</v>
      </c>
      <c r="J1026" s="7"/>
      <c r="M1026" s="7"/>
      <c r="N1026" s="7" t="s">
        <v>875</v>
      </c>
      <c r="O1026" s="126"/>
      <c r="P1026" s="126"/>
    </row>
    <row r="1027" spans="1:16" ht="15.75" customHeight="1">
      <c r="A1027" s="126">
        <v>46230.015752314801</v>
      </c>
      <c r="B1027" s="7">
        <v>12</v>
      </c>
      <c r="C1027" s="7">
        <v>703</v>
      </c>
      <c r="D1027" s="7"/>
      <c r="E1027" s="7" t="s">
        <v>1015</v>
      </c>
      <c r="F1027" s="7" t="s">
        <v>712</v>
      </c>
      <c r="G1027" s="7">
        <v>182</v>
      </c>
      <c r="H1027" s="7" t="s">
        <v>876</v>
      </c>
      <c r="I1027" s="7" t="s">
        <v>874</v>
      </c>
      <c r="J1027" s="7"/>
      <c r="M1027" s="7"/>
      <c r="N1027" s="7" t="s">
        <v>875</v>
      </c>
      <c r="P1027" s="126"/>
    </row>
    <row r="1028" spans="1:16" ht="15.75" customHeight="1">
      <c r="A1028" s="126">
        <v>46230.015752314801</v>
      </c>
      <c r="B1028" s="7">
        <v>12</v>
      </c>
      <c r="C1028" s="7">
        <v>703</v>
      </c>
      <c r="D1028" s="7"/>
      <c r="E1028" s="7" t="s">
        <v>1015</v>
      </c>
      <c r="F1028" s="7" t="s">
        <v>712</v>
      </c>
      <c r="G1028" s="7">
        <v>174</v>
      </c>
      <c r="H1028" s="7" t="s">
        <v>877</v>
      </c>
      <c r="I1028" s="7" t="s">
        <v>878</v>
      </c>
      <c r="J1028" s="7" t="s">
        <v>879</v>
      </c>
      <c r="M1028" s="7">
        <v>100</v>
      </c>
      <c r="N1028" s="7">
        <v>100</v>
      </c>
      <c r="O1028" s="126"/>
      <c r="P1028" s="126">
        <v>46216.758541666699</v>
      </c>
    </row>
    <row r="1029" spans="1:16" ht="15.75" customHeight="1">
      <c r="A1029" s="126">
        <v>46230.015752314801</v>
      </c>
      <c r="B1029" s="7">
        <v>12</v>
      </c>
      <c r="C1029" s="7">
        <v>703</v>
      </c>
      <c r="D1029" s="7"/>
      <c r="E1029" s="7" t="s">
        <v>1015</v>
      </c>
      <c r="F1029" s="7" t="s">
        <v>712</v>
      </c>
      <c r="G1029" s="7">
        <v>180</v>
      </c>
      <c r="H1029" s="7" t="s">
        <v>880</v>
      </c>
      <c r="I1029" s="7" t="s">
        <v>874</v>
      </c>
      <c r="J1029" s="7"/>
      <c r="M1029" s="7"/>
      <c r="N1029" s="7" t="s">
        <v>875</v>
      </c>
      <c r="O1029" s="126"/>
      <c r="P1029" s="126"/>
    </row>
    <row r="1030" spans="1:16" ht="15.75" customHeight="1">
      <c r="A1030" s="126">
        <v>46230.015752314801</v>
      </c>
      <c r="B1030" s="7">
        <v>12</v>
      </c>
      <c r="C1030" s="7">
        <v>703</v>
      </c>
      <c r="D1030" s="7"/>
      <c r="E1030" s="7" t="s">
        <v>1015</v>
      </c>
      <c r="F1030" s="7" t="s">
        <v>712</v>
      </c>
      <c r="G1030" s="7">
        <v>175</v>
      </c>
      <c r="H1030" s="7" t="s">
        <v>881</v>
      </c>
      <c r="I1030" s="7" t="s">
        <v>878</v>
      </c>
      <c r="J1030" s="7" t="s">
        <v>882</v>
      </c>
      <c r="M1030" s="7">
        <v>100</v>
      </c>
      <c r="N1030" s="7">
        <v>100</v>
      </c>
      <c r="O1030" s="126">
        <v>46216.749479166698</v>
      </c>
      <c r="P1030" s="126">
        <v>46216.749479166698</v>
      </c>
    </row>
    <row r="1031" spans="1:16" ht="15.75" customHeight="1">
      <c r="A1031" s="126">
        <v>46230.015752314801</v>
      </c>
      <c r="B1031" s="7">
        <v>12</v>
      </c>
      <c r="C1031" s="7">
        <v>703</v>
      </c>
      <c r="D1031" s="7"/>
      <c r="E1031" s="7" t="s">
        <v>1015</v>
      </c>
      <c r="F1031" s="7" t="s">
        <v>712</v>
      </c>
      <c r="G1031" s="7">
        <v>177</v>
      </c>
      <c r="H1031" s="7" t="s">
        <v>883</v>
      </c>
      <c r="I1031" s="7" t="s">
        <v>878</v>
      </c>
      <c r="J1031" s="7" t="s">
        <v>882</v>
      </c>
      <c r="M1031" s="7"/>
      <c r="N1031" s="7" t="s">
        <v>875</v>
      </c>
      <c r="P1031" s="126"/>
    </row>
    <row r="1032" spans="1:16" ht="15.75" customHeight="1">
      <c r="A1032" s="126">
        <v>46230.015752314801</v>
      </c>
      <c r="B1032" s="7">
        <v>12</v>
      </c>
      <c r="C1032" s="7">
        <v>703</v>
      </c>
      <c r="D1032" s="7"/>
      <c r="E1032" s="7" t="s">
        <v>1015</v>
      </c>
      <c r="F1032" s="7" t="s">
        <v>712</v>
      </c>
      <c r="G1032" s="7">
        <v>176</v>
      </c>
      <c r="H1032" s="7" t="s">
        <v>884</v>
      </c>
      <c r="I1032" s="7" t="s">
        <v>878</v>
      </c>
      <c r="J1032" s="7" t="s">
        <v>882</v>
      </c>
      <c r="M1032" s="7">
        <v>100</v>
      </c>
      <c r="N1032" s="7">
        <v>100</v>
      </c>
      <c r="O1032" s="126">
        <v>46225.868576388901</v>
      </c>
      <c r="P1032" s="126">
        <v>46225.868576388901</v>
      </c>
    </row>
    <row r="1033" spans="1:16" ht="15.75" customHeight="1">
      <c r="A1033" s="126">
        <v>46230.015752314801</v>
      </c>
      <c r="B1033" s="7">
        <v>12</v>
      </c>
      <c r="C1033" s="7">
        <v>703</v>
      </c>
      <c r="D1033" s="7"/>
      <c r="E1033" s="7" t="s">
        <v>1015</v>
      </c>
      <c r="F1033" s="7" t="s">
        <v>712</v>
      </c>
      <c r="G1033" s="7">
        <v>168</v>
      </c>
      <c r="H1033" s="7" t="s">
        <v>885</v>
      </c>
      <c r="I1033" s="7" t="s">
        <v>886</v>
      </c>
      <c r="J1033" s="7"/>
      <c r="M1033" s="7">
        <v>100</v>
      </c>
      <c r="N1033" s="7">
        <v>100</v>
      </c>
      <c r="P1033" s="126">
        <v>46216.749479166698</v>
      </c>
    </row>
    <row r="1034" spans="1:16" ht="15.75" customHeight="1">
      <c r="A1034" s="126">
        <v>46230.015752314801</v>
      </c>
      <c r="B1034" s="7">
        <v>12</v>
      </c>
      <c r="C1034" s="7">
        <v>443</v>
      </c>
      <c r="D1034" s="7"/>
      <c r="E1034" s="7" t="s">
        <v>1016</v>
      </c>
      <c r="F1034" s="7" t="s">
        <v>482</v>
      </c>
      <c r="G1034" s="7">
        <v>181</v>
      </c>
      <c r="H1034" s="7" t="s">
        <v>873</v>
      </c>
      <c r="I1034" s="7" t="s">
        <v>874</v>
      </c>
      <c r="J1034" s="7"/>
      <c r="M1034" s="7"/>
      <c r="N1034" s="7" t="s">
        <v>875</v>
      </c>
      <c r="O1034" s="126"/>
      <c r="P1034" s="126"/>
    </row>
    <row r="1035" spans="1:16" ht="15.75" customHeight="1">
      <c r="A1035" s="126">
        <v>46230.015752314801</v>
      </c>
      <c r="B1035" s="7">
        <v>12</v>
      </c>
      <c r="C1035" s="7">
        <v>443</v>
      </c>
      <c r="D1035" s="7"/>
      <c r="E1035" s="7" t="s">
        <v>1016</v>
      </c>
      <c r="F1035" s="7" t="s">
        <v>482</v>
      </c>
      <c r="G1035" s="7">
        <v>182</v>
      </c>
      <c r="H1035" s="7" t="s">
        <v>876</v>
      </c>
      <c r="I1035" s="7" t="s">
        <v>874</v>
      </c>
      <c r="J1035" s="7"/>
      <c r="M1035" s="7"/>
      <c r="N1035" s="7" t="s">
        <v>875</v>
      </c>
      <c r="O1035" s="126"/>
      <c r="P1035" s="126"/>
    </row>
    <row r="1036" spans="1:16" ht="15.75" customHeight="1">
      <c r="A1036" s="126">
        <v>46230.015752314801</v>
      </c>
      <c r="B1036" s="7">
        <v>12</v>
      </c>
      <c r="C1036" s="7">
        <v>443</v>
      </c>
      <c r="D1036" s="7"/>
      <c r="E1036" s="7" t="s">
        <v>1016</v>
      </c>
      <c r="F1036" s="7" t="s">
        <v>482</v>
      </c>
      <c r="G1036" s="7">
        <v>174</v>
      </c>
      <c r="H1036" s="7" t="s">
        <v>877</v>
      </c>
      <c r="I1036" s="7" t="s">
        <v>878</v>
      </c>
      <c r="J1036" s="7" t="s">
        <v>879</v>
      </c>
      <c r="M1036" s="7">
        <v>100</v>
      </c>
      <c r="N1036" s="7">
        <v>100</v>
      </c>
      <c r="O1036" s="126"/>
      <c r="P1036" s="126">
        <v>46224.8059027778</v>
      </c>
    </row>
    <row r="1037" spans="1:16" ht="15.75" customHeight="1">
      <c r="A1037" s="126">
        <v>46230.015752314801</v>
      </c>
      <c r="B1037" s="7">
        <v>12</v>
      </c>
      <c r="C1037" s="7">
        <v>443</v>
      </c>
      <c r="D1037" s="7"/>
      <c r="E1037" s="7" t="s">
        <v>1016</v>
      </c>
      <c r="F1037" s="7" t="s">
        <v>482</v>
      </c>
      <c r="G1037" s="7">
        <v>180</v>
      </c>
      <c r="H1037" s="7" t="s">
        <v>880</v>
      </c>
      <c r="I1037" s="7" t="s">
        <v>874</v>
      </c>
      <c r="J1037" s="7"/>
      <c r="M1037" s="7"/>
      <c r="N1037" s="7" t="s">
        <v>875</v>
      </c>
      <c r="O1037" s="126"/>
      <c r="P1037" s="126"/>
    </row>
    <row r="1038" spans="1:16" ht="15.75" customHeight="1">
      <c r="A1038" s="126">
        <v>46230.015752314801</v>
      </c>
      <c r="B1038" s="7">
        <v>12</v>
      </c>
      <c r="C1038" s="7">
        <v>443</v>
      </c>
      <c r="D1038" s="7"/>
      <c r="E1038" s="7" t="s">
        <v>1016</v>
      </c>
      <c r="F1038" s="7" t="s">
        <v>482</v>
      </c>
      <c r="G1038" s="7">
        <v>175</v>
      </c>
      <c r="H1038" s="7" t="s">
        <v>881</v>
      </c>
      <c r="I1038" s="7" t="s">
        <v>878</v>
      </c>
      <c r="J1038" s="7" t="s">
        <v>882</v>
      </c>
      <c r="M1038" s="7">
        <v>75</v>
      </c>
      <c r="N1038" s="7">
        <v>75</v>
      </c>
      <c r="O1038" s="126">
        <v>46229.655682870398</v>
      </c>
      <c r="P1038" s="126">
        <v>46229.655682870398</v>
      </c>
    </row>
    <row r="1039" spans="1:16" ht="15.75" customHeight="1">
      <c r="A1039" s="126">
        <v>46230.015752314801</v>
      </c>
      <c r="B1039" s="7">
        <v>12</v>
      </c>
      <c r="C1039" s="7">
        <v>443</v>
      </c>
      <c r="D1039" s="7"/>
      <c r="E1039" s="7" t="s">
        <v>1016</v>
      </c>
      <c r="F1039" s="7" t="s">
        <v>482</v>
      </c>
      <c r="G1039" s="7">
        <v>177</v>
      </c>
      <c r="H1039" s="7" t="s">
        <v>883</v>
      </c>
      <c r="I1039" s="7" t="s">
        <v>878</v>
      </c>
      <c r="J1039" s="7" t="s">
        <v>882</v>
      </c>
      <c r="M1039" s="7"/>
      <c r="N1039" s="7" t="s">
        <v>875</v>
      </c>
      <c r="P1039" s="126"/>
    </row>
    <row r="1040" spans="1:16" ht="15.75" customHeight="1">
      <c r="A1040" s="126">
        <v>46230.015752314801</v>
      </c>
      <c r="B1040" s="7">
        <v>12</v>
      </c>
      <c r="C1040" s="7">
        <v>443</v>
      </c>
      <c r="D1040" s="7"/>
      <c r="E1040" s="7" t="s">
        <v>1016</v>
      </c>
      <c r="F1040" s="7" t="s">
        <v>482</v>
      </c>
      <c r="G1040" s="7">
        <v>176</v>
      </c>
      <c r="H1040" s="7" t="s">
        <v>884</v>
      </c>
      <c r="I1040" s="7" t="s">
        <v>878</v>
      </c>
      <c r="J1040" s="7" t="s">
        <v>882</v>
      </c>
      <c r="M1040" s="7">
        <v>90</v>
      </c>
      <c r="N1040" s="7">
        <v>90</v>
      </c>
      <c r="O1040" s="126">
        <v>46229.662361111099</v>
      </c>
      <c r="P1040" s="126">
        <v>46229.662361111099</v>
      </c>
    </row>
    <row r="1041" spans="1:16" ht="15.75" customHeight="1">
      <c r="A1041" s="126">
        <v>46230.015752314801</v>
      </c>
      <c r="B1041" s="7">
        <v>12</v>
      </c>
      <c r="C1041" s="7">
        <v>443</v>
      </c>
      <c r="D1041" s="7"/>
      <c r="E1041" s="7" t="s">
        <v>1016</v>
      </c>
      <c r="F1041" s="7" t="s">
        <v>482</v>
      </c>
      <c r="G1041" s="7">
        <v>168</v>
      </c>
      <c r="H1041" s="7" t="s">
        <v>885</v>
      </c>
      <c r="I1041" s="7" t="s">
        <v>886</v>
      </c>
      <c r="J1041" s="7"/>
      <c r="M1041" s="7">
        <v>100</v>
      </c>
      <c r="N1041" s="7">
        <v>100</v>
      </c>
      <c r="O1041" s="126"/>
      <c r="P1041" s="126">
        <v>46224.8059027778</v>
      </c>
    </row>
    <row r="1042" spans="1:16" ht="15.75" customHeight="1">
      <c r="A1042" s="126">
        <v>46230.015752314801</v>
      </c>
      <c r="B1042" s="7">
        <v>12</v>
      </c>
      <c r="C1042" s="7">
        <v>632</v>
      </c>
      <c r="D1042" s="7"/>
      <c r="E1042" s="7" t="s">
        <v>1017</v>
      </c>
      <c r="F1042" s="7" t="s">
        <v>275</v>
      </c>
      <c r="G1042" s="7">
        <v>181</v>
      </c>
      <c r="H1042" s="7" t="s">
        <v>873</v>
      </c>
      <c r="I1042" s="7" t="s">
        <v>874</v>
      </c>
      <c r="J1042" s="7"/>
      <c r="M1042" s="7"/>
      <c r="N1042" s="7" t="s">
        <v>875</v>
      </c>
      <c r="O1042" s="126"/>
      <c r="P1042" s="126"/>
    </row>
    <row r="1043" spans="1:16" ht="15.75" customHeight="1">
      <c r="A1043" s="126">
        <v>46230.015752314801</v>
      </c>
      <c r="B1043" s="7">
        <v>12</v>
      </c>
      <c r="C1043" s="7">
        <v>632</v>
      </c>
      <c r="D1043" s="7"/>
      <c r="E1043" s="7" t="s">
        <v>1017</v>
      </c>
      <c r="F1043" s="7" t="s">
        <v>275</v>
      </c>
      <c r="G1043" s="7">
        <v>182</v>
      </c>
      <c r="H1043" s="7" t="s">
        <v>876</v>
      </c>
      <c r="I1043" s="7" t="s">
        <v>874</v>
      </c>
      <c r="J1043" s="7"/>
      <c r="M1043" s="7"/>
      <c r="N1043" s="7" t="s">
        <v>875</v>
      </c>
      <c r="O1043" s="126"/>
      <c r="P1043" s="126"/>
    </row>
    <row r="1044" spans="1:16" ht="15.75" customHeight="1">
      <c r="A1044" s="126">
        <v>46230.015752314801</v>
      </c>
      <c r="B1044" s="7">
        <v>12</v>
      </c>
      <c r="C1044" s="7">
        <v>632</v>
      </c>
      <c r="D1044" s="7"/>
      <c r="E1044" s="7" t="s">
        <v>1017</v>
      </c>
      <c r="F1044" s="7" t="s">
        <v>275</v>
      </c>
      <c r="G1044" s="7">
        <v>174</v>
      </c>
      <c r="H1044" s="7" t="s">
        <v>877</v>
      </c>
      <c r="I1044" s="7" t="s">
        <v>878</v>
      </c>
      <c r="J1044" s="7" t="s">
        <v>879</v>
      </c>
      <c r="M1044" s="7">
        <v>100</v>
      </c>
      <c r="N1044" s="7">
        <v>100</v>
      </c>
      <c r="O1044" s="126"/>
      <c r="P1044" s="126">
        <v>46209.706967592603</v>
      </c>
    </row>
    <row r="1045" spans="1:16" ht="15.75" customHeight="1">
      <c r="A1045" s="126">
        <v>46230.015752314801</v>
      </c>
      <c r="B1045" s="7">
        <v>12</v>
      </c>
      <c r="C1045" s="7">
        <v>632</v>
      </c>
      <c r="D1045" s="7"/>
      <c r="E1045" s="7" t="s">
        <v>1017</v>
      </c>
      <c r="F1045" s="7" t="s">
        <v>275</v>
      </c>
      <c r="G1045" s="7">
        <v>180</v>
      </c>
      <c r="H1045" s="7" t="s">
        <v>880</v>
      </c>
      <c r="I1045" s="7" t="s">
        <v>874</v>
      </c>
      <c r="J1045" s="7"/>
      <c r="M1045" s="7"/>
      <c r="N1045" s="7" t="s">
        <v>875</v>
      </c>
      <c r="P1045" s="126"/>
    </row>
    <row r="1046" spans="1:16" ht="15.75" customHeight="1">
      <c r="A1046" s="126">
        <v>46230.015752314801</v>
      </c>
      <c r="B1046" s="7">
        <v>12</v>
      </c>
      <c r="C1046" s="7">
        <v>632</v>
      </c>
      <c r="D1046" s="7"/>
      <c r="E1046" s="7" t="s">
        <v>1017</v>
      </c>
      <c r="F1046" s="7" t="s">
        <v>275</v>
      </c>
      <c r="G1046" s="7">
        <v>175</v>
      </c>
      <c r="H1046" s="7" t="s">
        <v>881</v>
      </c>
      <c r="I1046" s="7" t="s">
        <v>878</v>
      </c>
      <c r="J1046" s="7" t="s">
        <v>882</v>
      </c>
      <c r="M1046" s="7">
        <v>100</v>
      </c>
      <c r="N1046" s="7">
        <v>100</v>
      </c>
      <c r="O1046" s="126">
        <v>46216.425358796303</v>
      </c>
      <c r="P1046" s="126">
        <v>46216.425358796303</v>
      </c>
    </row>
    <row r="1047" spans="1:16" ht="15.75" customHeight="1">
      <c r="A1047" s="126">
        <v>46230.015752314801</v>
      </c>
      <c r="B1047" s="7">
        <v>12</v>
      </c>
      <c r="C1047" s="7">
        <v>632</v>
      </c>
      <c r="D1047" s="7"/>
      <c r="E1047" s="7" t="s">
        <v>1017</v>
      </c>
      <c r="F1047" s="7" t="s">
        <v>275</v>
      </c>
      <c r="G1047" s="7">
        <v>177</v>
      </c>
      <c r="H1047" s="7" t="s">
        <v>883</v>
      </c>
      <c r="I1047" s="7" t="s">
        <v>878</v>
      </c>
      <c r="J1047" s="7" t="s">
        <v>882</v>
      </c>
      <c r="M1047" s="7"/>
      <c r="N1047" s="7" t="s">
        <v>875</v>
      </c>
      <c r="O1047" s="126"/>
      <c r="P1047" s="126"/>
    </row>
    <row r="1048" spans="1:16" ht="15.75" customHeight="1">
      <c r="A1048" s="126">
        <v>46230.015752314801</v>
      </c>
      <c r="B1048" s="7">
        <v>12</v>
      </c>
      <c r="C1048" s="7">
        <v>632</v>
      </c>
      <c r="D1048" s="7"/>
      <c r="E1048" s="7" t="s">
        <v>1017</v>
      </c>
      <c r="F1048" s="7" t="s">
        <v>275</v>
      </c>
      <c r="G1048" s="7">
        <v>176</v>
      </c>
      <c r="H1048" s="7" t="s">
        <v>884</v>
      </c>
      <c r="I1048" s="7" t="s">
        <v>878</v>
      </c>
      <c r="J1048" s="7" t="s">
        <v>882</v>
      </c>
      <c r="M1048" s="7">
        <v>90</v>
      </c>
      <c r="N1048" s="7">
        <v>90</v>
      </c>
      <c r="O1048" s="126">
        <v>46227.418148148201</v>
      </c>
      <c r="P1048" s="126">
        <v>46227.418148148201</v>
      </c>
    </row>
    <row r="1049" spans="1:16" ht="15.75" customHeight="1">
      <c r="A1049" s="126">
        <v>46230.015752314801</v>
      </c>
      <c r="B1049" s="7">
        <v>12</v>
      </c>
      <c r="C1049" s="7">
        <v>632</v>
      </c>
      <c r="D1049" s="7"/>
      <c r="E1049" s="7" t="s">
        <v>1017</v>
      </c>
      <c r="F1049" s="7" t="s">
        <v>275</v>
      </c>
      <c r="G1049" s="7">
        <v>168</v>
      </c>
      <c r="H1049" s="7" t="s">
        <v>885</v>
      </c>
      <c r="I1049" s="7" t="s">
        <v>886</v>
      </c>
      <c r="J1049" s="7"/>
      <c r="M1049" s="7">
        <v>100</v>
      </c>
      <c r="N1049" s="7">
        <v>100</v>
      </c>
      <c r="P1049" s="126">
        <v>46209.706967592603</v>
      </c>
    </row>
    <row r="1050" spans="1:16" ht="15.75" customHeight="1">
      <c r="A1050" s="126">
        <v>46230.015752314801</v>
      </c>
      <c r="B1050" s="7">
        <v>12</v>
      </c>
      <c r="C1050" s="7">
        <v>781</v>
      </c>
      <c r="D1050" s="7"/>
      <c r="E1050" s="7" t="s">
        <v>1018</v>
      </c>
      <c r="F1050" s="7" t="s">
        <v>258</v>
      </c>
      <c r="G1050" s="7">
        <v>181</v>
      </c>
      <c r="H1050" s="7" t="s">
        <v>873</v>
      </c>
      <c r="I1050" s="7" t="s">
        <v>874</v>
      </c>
      <c r="J1050" s="7"/>
      <c r="M1050" s="7"/>
      <c r="N1050" s="7" t="s">
        <v>875</v>
      </c>
      <c r="O1050" s="126"/>
      <c r="P1050" s="126"/>
    </row>
    <row r="1051" spans="1:16" ht="15.75" customHeight="1">
      <c r="A1051" s="126">
        <v>46230.015752314801</v>
      </c>
      <c r="B1051" s="7">
        <v>12</v>
      </c>
      <c r="C1051" s="7">
        <v>781</v>
      </c>
      <c r="D1051" s="7"/>
      <c r="E1051" s="7" t="s">
        <v>1018</v>
      </c>
      <c r="F1051" s="7" t="s">
        <v>258</v>
      </c>
      <c r="G1051" s="7">
        <v>182</v>
      </c>
      <c r="H1051" s="7" t="s">
        <v>876</v>
      </c>
      <c r="I1051" s="7" t="s">
        <v>874</v>
      </c>
      <c r="J1051" s="7"/>
      <c r="M1051" s="7"/>
      <c r="N1051" s="7" t="s">
        <v>875</v>
      </c>
      <c r="P1051" s="126"/>
    </row>
    <row r="1052" spans="1:16" ht="15.75" customHeight="1">
      <c r="A1052" s="126">
        <v>46230.015752314801</v>
      </c>
      <c r="B1052" s="7">
        <v>12</v>
      </c>
      <c r="C1052" s="7">
        <v>781</v>
      </c>
      <c r="D1052" s="7"/>
      <c r="E1052" s="7" t="s">
        <v>1018</v>
      </c>
      <c r="F1052" s="7" t="s">
        <v>258</v>
      </c>
      <c r="G1052" s="7">
        <v>174</v>
      </c>
      <c r="H1052" s="7" t="s">
        <v>877</v>
      </c>
      <c r="I1052" s="7" t="s">
        <v>878</v>
      </c>
      <c r="J1052" s="7" t="s">
        <v>879</v>
      </c>
      <c r="M1052" s="7">
        <v>100</v>
      </c>
      <c r="N1052" s="7">
        <v>100</v>
      </c>
      <c r="O1052" s="126"/>
      <c r="P1052" s="126">
        <v>46209.706956018497</v>
      </c>
    </row>
    <row r="1053" spans="1:16" ht="15.75" customHeight="1">
      <c r="A1053" s="126">
        <v>46230.015752314801</v>
      </c>
      <c r="B1053" s="7">
        <v>12</v>
      </c>
      <c r="C1053" s="7">
        <v>781</v>
      </c>
      <c r="D1053" s="7"/>
      <c r="E1053" s="7" t="s">
        <v>1018</v>
      </c>
      <c r="F1053" s="7" t="s">
        <v>258</v>
      </c>
      <c r="G1053" s="7">
        <v>180</v>
      </c>
      <c r="H1053" s="7" t="s">
        <v>880</v>
      </c>
      <c r="I1053" s="7" t="s">
        <v>874</v>
      </c>
      <c r="J1053" s="7"/>
      <c r="M1053" s="7"/>
      <c r="N1053" s="7" t="s">
        <v>875</v>
      </c>
      <c r="O1053" s="126"/>
      <c r="P1053" s="126"/>
    </row>
    <row r="1054" spans="1:16" ht="15.75" customHeight="1">
      <c r="A1054" s="126">
        <v>46230.015752314801</v>
      </c>
      <c r="B1054" s="7">
        <v>12</v>
      </c>
      <c r="C1054" s="7">
        <v>781</v>
      </c>
      <c r="D1054" s="7"/>
      <c r="E1054" s="7" t="s">
        <v>1018</v>
      </c>
      <c r="F1054" s="7" t="s">
        <v>258</v>
      </c>
      <c r="G1054" s="7">
        <v>175</v>
      </c>
      <c r="H1054" s="7" t="s">
        <v>881</v>
      </c>
      <c r="I1054" s="7" t="s">
        <v>878</v>
      </c>
      <c r="J1054" s="7" t="s">
        <v>882</v>
      </c>
      <c r="M1054" s="7">
        <v>87.5</v>
      </c>
      <c r="N1054" s="7">
        <v>87.5</v>
      </c>
      <c r="O1054" s="126">
        <v>46226.544293981497</v>
      </c>
      <c r="P1054" s="126">
        <v>46226.544293981497</v>
      </c>
    </row>
    <row r="1055" spans="1:16" ht="15.75" customHeight="1">
      <c r="A1055" s="126">
        <v>46230.015752314801</v>
      </c>
      <c r="B1055" s="7">
        <v>12</v>
      </c>
      <c r="C1055" s="7">
        <v>781</v>
      </c>
      <c r="D1055" s="7"/>
      <c r="E1055" s="7" t="s">
        <v>1018</v>
      </c>
      <c r="F1055" s="7" t="s">
        <v>258</v>
      </c>
      <c r="G1055" s="7">
        <v>177</v>
      </c>
      <c r="H1055" s="7" t="s">
        <v>883</v>
      </c>
      <c r="I1055" s="7" t="s">
        <v>878</v>
      </c>
      <c r="J1055" s="7" t="s">
        <v>882</v>
      </c>
      <c r="N1055" s="7" t="s">
        <v>875</v>
      </c>
    </row>
    <row r="1056" spans="1:16" ht="15.75" customHeight="1">
      <c r="A1056" s="126">
        <v>46230.015752314801</v>
      </c>
      <c r="B1056" s="7">
        <v>12</v>
      </c>
      <c r="C1056" s="7">
        <v>781</v>
      </c>
      <c r="D1056" s="7"/>
      <c r="E1056" s="7" t="s">
        <v>1018</v>
      </c>
      <c r="F1056" s="7" t="s">
        <v>258</v>
      </c>
      <c r="G1056" s="7">
        <v>176</v>
      </c>
      <c r="H1056" s="7" t="s">
        <v>884</v>
      </c>
      <c r="I1056" s="7" t="s">
        <v>878</v>
      </c>
      <c r="J1056" s="7" t="s">
        <v>882</v>
      </c>
      <c r="M1056" s="7">
        <v>90</v>
      </c>
      <c r="N1056" s="7">
        <v>90</v>
      </c>
      <c r="O1056" s="126">
        <v>46226.5477314815</v>
      </c>
      <c r="P1056" s="126">
        <v>46226.5477314815</v>
      </c>
    </row>
    <row r="1057" spans="1:16" ht="15.75" customHeight="1">
      <c r="A1057" s="126">
        <v>46230.015752314801</v>
      </c>
      <c r="B1057" s="7">
        <v>12</v>
      </c>
      <c r="C1057" s="7">
        <v>781</v>
      </c>
      <c r="D1057" s="7"/>
      <c r="E1057" s="7" t="s">
        <v>1018</v>
      </c>
      <c r="F1057" s="7" t="s">
        <v>258</v>
      </c>
      <c r="G1057" s="7">
        <v>168</v>
      </c>
      <c r="H1057" s="7" t="s">
        <v>885</v>
      </c>
      <c r="I1057" s="7" t="s">
        <v>886</v>
      </c>
      <c r="J1057" s="7"/>
      <c r="M1057" s="7">
        <v>100</v>
      </c>
      <c r="N1057" s="7">
        <v>100</v>
      </c>
      <c r="P1057" s="126">
        <v>46209.706956018497</v>
      </c>
    </row>
    <row r="1058" spans="1:16" ht="15.75" customHeight="1">
      <c r="A1058" s="126">
        <v>46230.015752314801</v>
      </c>
      <c r="B1058" s="7">
        <v>12</v>
      </c>
      <c r="C1058" s="7">
        <v>642</v>
      </c>
      <c r="E1058" s="7" t="s">
        <v>1019</v>
      </c>
      <c r="F1058" s="7" t="s">
        <v>572</v>
      </c>
      <c r="G1058" s="7">
        <v>181</v>
      </c>
      <c r="H1058" s="7" t="s">
        <v>873</v>
      </c>
      <c r="I1058" s="7" t="s">
        <v>874</v>
      </c>
      <c r="J1058" s="7"/>
      <c r="M1058" s="7"/>
      <c r="N1058" s="7" t="s">
        <v>875</v>
      </c>
      <c r="O1058" s="126"/>
      <c r="P1058" s="126"/>
    </row>
    <row r="1059" spans="1:16" ht="15.75" customHeight="1">
      <c r="A1059" s="126">
        <v>46230.015752314801</v>
      </c>
      <c r="B1059" s="7">
        <v>12</v>
      </c>
      <c r="C1059" s="7">
        <v>642</v>
      </c>
      <c r="E1059" s="7" t="s">
        <v>1019</v>
      </c>
      <c r="F1059" s="7" t="s">
        <v>572</v>
      </c>
      <c r="G1059" s="7">
        <v>182</v>
      </c>
      <c r="H1059" s="7" t="s">
        <v>876</v>
      </c>
      <c r="I1059" s="7" t="s">
        <v>874</v>
      </c>
      <c r="J1059" s="7"/>
      <c r="M1059" s="7"/>
      <c r="N1059" s="7" t="s">
        <v>875</v>
      </c>
      <c r="O1059" s="126"/>
      <c r="P1059" s="126"/>
    </row>
    <row r="1060" spans="1:16" ht="15.75" customHeight="1">
      <c r="A1060" s="126">
        <v>46230.015752314801</v>
      </c>
      <c r="B1060" s="7">
        <v>12</v>
      </c>
      <c r="C1060" s="7">
        <v>642</v>
      </c>
      <c r="E1060" s="7" t="s">
        <v>1019</v>
      </c>
      <c r="F1060" s="7" t="s">
        <v>572</v>
      </c>
      <c r="G1060" s="7">
        <v>174</v>
      </c>
      <c r="H1060" s="7" t="s">
        <v>877</v>
      </c>
      <c r="I1060" s="7" t="s">
        <v>878</v>
      </c>
      <c r="J1060" s="7" t="s">
        <v>879</v>
      </c>
      <c r="M1060" s="7">
        <v>100</v>
      </c>
      <c r="N1060" s="7">
        <v>100</v>
      </c>
      <c r="O1060" s="126"/>
      <c r="P1060" s="126">
        <v>46209.708657407398</v>
      </c>
    </row>
    <row r="1061" spans="1:16" ht="15.75" customHeight="1">
      <c r="A1061" s="126">
        <v>46230.015752314801</v>
      </c>
      <c r="B1061" s="7">
        <v>12</v>
      </c>
      <c r="C1061" s="7">
        <v>642</v>
      </c>
      <c r="E1061" s="7" t="s">
        <v>1019</v>
      </c>
      <c r="F1061" s="7" t="s">
        <v>572</v>
      </c>
      <c r="G1061" s="7">
        <v>180</v>
      </c>
      <c r="H1061" s="7" t="s">
        <v>880</v>
      </c>
      <c r="I1061" s="7" t="s">
        <v>874</v>
      </c>
      <c r="J1061" s="7"/>
      <c r="M1061" s="7"/>
      <c r="N1061" s="7" t="s">
        <v>875</v>
      </c>
      <c r="O1061" s="126"/>
      <c r="P1061" s="126"/>
    </row>
    <row r="1062" spans="1:16" ht="15.75" customHeight="1">
      <c r="A1062" s="126">
        <v>46230.015752314801</v>
      </c>
      <c r="B1062" s="7">
        <v>12</v>
      </c>
      <c r="C1062" s="7">
        <v>642</v>
      </c>
      <c r="E1062" s="7" t="s">
        <v>1019</v>
      </c>
      <c r="F1062" s="7" t="s">
        <v>572</v>
      </c>
      <c r="G1062" s="7">
        <v>175</v>
      </c>
      <c r="H1062" s="7" t="s">
        <v>881</v>
      </c>
      <c r="I1062" s="7" t="s">
        <v>878</v>
      </c>
      <c r="J1062" s="7" t="s">
        <v>882</v>
      </c>
      <c r="M1062" s="7">
        <v>100</v>
      </c>
      <c r="N1062" s="7">
        <v>100</v>
      </c>
      <c r="O1062" s="126">
        <v>46216.559652777803</v>
      </c>
      <c r="P1062" s="126">
        <v>46216.559652777803</v>
      </c>
    </row>
    <row r="1063" spans="1:16" ht="15.75" customHeight="1">
      <c r="A1063" s="126">
        <v>46230.015752314801</v>
      </c>
      <c r="B1063" s="7">
        <v>12</v>
      </c>
      <c r="C1063" s="7">
        <v>642</v>
      </c>
      <c r="E1063" s="7" t="s">
        <v>1019</v>
      </c>
      <c r="F1063" s="7" t="s">
        <v>572</v>
      </c>
      <c r="G1063" s="7">
        <v>177</v>
      </c>
      <c r="H1063" s="7" t="s">
        <v>883</v>
      </c>
      <c r="I1063" s="7" t="s">
        <v>878</v>
      </c>
      <c r="J1063" s="7" t="s">
        <v>882</v>
      </c>
      <c r="M1063" s="7"/>
      <c r="N1063" s="7" t="s">
        <v>875</v>
      </c>
      <c r="P1063" s="126"/>
    </row>
    <row r="1064" spans="1:16" ht="15.75" customHeight="1">
      <c r="A1064" s="126">
        <v>46230.015752314801</v>
      </c>
      <c r="B1064" s="7">
        <v>12</v>
      </c>
      <c r="C1064" s="7">
        <v>642</v>
      </c>
      <c r="D1064" s="7"/>
      <c r="E1064" s="7" t="s">
        <v>1019</v>
      </c>
      <c r="F1064" s="7" t="s">
        <v>572</v>
      </c>
      <c r="G1064" s="7">
        <v>176</v>
      </c>
      <c r="H1064" s="7" t="s">
        <v>884</v>
      </c>
      <c r="I1064" s="7" t="s">
        <v>878</v>
      </c>
      <c r="J1064" s="7" t="s">
        <v>882</v>
      </c>
      <c r="M1064" s="7">
        <v>90</v>
      </c>
      <c r="N1064" s="7">
        <v>90</v>
      </c>
      <c r="O1064" s="126">
        <v>46225.532048611101</v>
      </c>
      <c r="P1064" s="126">
        <v>46225.532048611101</v>
      </c>
    </row>
    <row r="1065" spans="1:16" ht="15.75" customHeight="1">
      <c r="A1065" s="126">
        <v>46230.015752314801</v>
      </c>
      <c r="B1065" s="7">
        <v>12</v>
      </c>
      <c r="C1065" s="7">
        <v>642</v>
      </c>
      <c r="D1065" s="7"/>
      <c r="E1065" s="7" t="s">
        <v>1019</v>
      </c>
      <c r="F1065" s="7" t="s">
        <v>572</v>
      </c>
      <c r="G1065" s="7">
        <v>168</v>
      </c>
      <c r="H1065" s="7" t="s">
        <v>885</v>
      </c>
      <c r="I1065" s="7" t="s">
        <v>886</v>
      </c>
      <c r="J1065" s="7"/>
      <c r="M1065" s="7">
        <v>100</v>
      </c>
      <c r="N1065" s="7">
        <v>100</v>
      </c>
      <c r="O1065" s="126"/>
      <c r="P1065" s="126">
        <v>46209.708657407398</v>
      </c>
    </row>
    <row r="1066" spans="1:16" ht="15.75" customHeight="1">
      <c r="A1066" s="126">
        <v>46230.015752314801</v>
      </c>
      <c r="B1066" s="7">
        <v>12</v>
      </c>
      <c r="C1066" s="7">
        <v>368</v>
      </c>
      <c r="D1066" s="7"/>
      <c r="E1066" s="7" t="s">
        <v>1020</v>
      </c>
      <c r="F1066" s="7" t="s">
        <v>546</v>
      </c>
      <c r="G1066" s="7">
        <v>181</v>
      </c>
      <c r="H1066" s="7" t="s">
        <v>873</v>
      </c>
      <c r="I1066" s="7" t="s">
        <v>874</v>
      </c>
      <c r="J1066" s="7"/>
      <c r="M1066" s="7"/>
      <c r="N1066" s="7" t="s">
        <v>875</v>
      </c>
      <c r="O1066" s="126"/>
      <c r="P1066" s="126"/>
    </row>
    <row r="1067" spans="1:16" ht="15.75" customHeight="1">
      <c r="A1067" s="126">
        <v>46230.015752314801</v>
      </c>
      <c r="B1067" s="7">
        <v>12</v>
      </c>
      <c r="C1067" s="7">
        <v>368</v>
      </c>
      <c r="D1067" s="7"/>
      <c r="E1067" s="7" t="s">
        <v>1020</v>
      </c>
      <c r="F1067" s="7" t="s">
        <v>546</v>
      </c>
      <c r="G1067" s="7">
        <v>182</v>
      </c>
      <c r="H1067" s="7" t="s">
        <v>876</v>
      </c>
      <c r="I1067" s="7" t="s">
        <v>874</v>
      </c>
      <c r="J1067" s="7"/>
      <c r="M1067" s="7"/>
      <c r="N1067" s="7" t="s">
        <v>875</v>
      </c>
      <c r="P1067" s="126"/>
    </row>
    <row r="1068" spans="1:16" ht="15.75" customHeight="1">
      <c r="A1068" s="126">
        <v>46230.015752314801</v>
      </c>
      <c r="B1068" s="7">
        <v>12</v>
      </c>
      <c r="C1068" s="7">
        <v>368</v>
      </c>
      <c r="D1068" s="7"/>
      <c r="E1068" s="7" t="s">
        <v>1020</v>
      </c>
      <c r="F1068" s="7" t="s">
        <v>546</v>
      </c>
      <c r="G1068" s="7">
        <v>174</v>
      </c>
      <c r="H1068" s="7" t="s">
        <v>877</v>
      </c>
      <c r="I1068" s="7" t="s">
        <v>878</v>
      </c>
      <c r="J1068" s="7" t="s">
        <v>879</v>
      </c>
      <c r="M1068" s="7">
        <v>100</v>
      </c>
      <c r="N1068" s="7">
        <v>100</v>
      </c>
      <c r="O1068" s="126"/>
      <c r="P1068" s="126">
        <v>46209.708483796298</v>
      </c>
    </row>
    <row r="1069" spans="1:16" ht="15.75" customHeight="1">
      <c r="A1069" s="126">
        <v>46230.015752314801</v>
      </c>
      <c r="B1069" s="7">
        <v>12</v>
      </c>
      <c r="C1069" s="7">
        <v>368</v>
      </c>
      <c r="D1069" s="7"/>
      <c r="E1069" s="7" t="s">
        <v>1020</v>
      </c>
      <c r="F1069" s="7" t="s">
        <v>546</v>
      </c>
      <c r="G1069" s="7">
        <v>180</v>
      </c>
      <c r="H1069" s="7" t="s">
        <v>880</v>
      </c>
      <c r="I1069" s="7" t="s">
        <v>874</v>
      </c>
      <c r="J1069" s="7"/>
      <c r="M1069" s="7"/>
      <c r="N1069" s="7" t="s">
        <v>875</v>
      </c>
      <c r="O1069" s="126"/>
      <c r="P1069" s="126"/>
    </row>
    <row r="1070" spans="1:16" ht="15.75" customHeight="1">
      <c r="A1070" s="126">
        <v>46230.015752314801</v>
      </c>
      <c r="B1070" s="7">
        <v>12</v>
      </c>
      <c r="C1070" s="7">
        <v>368</v>
      </c>
      <c r="D1070" s="7"/>
      <c r="E1070" s="7" t="s">
        <v>1020</v>
      </c>
      <c r="F1070" s="7" t="s">
        <v>546</v>
      </c>
      <c r="G1070" s="7">
        <v>175</v>
      </c>
      <c r="H1070" s="7" t="s">
        <v>881</v>
      </c>
      <c r="I1070" s="7" t="s">
        <v>878</v>
      </c>
      <c r="J1070" s="7" t="s">
        <v>882</v>
      </c>
      <c r="M1070" s="7">
        <v>75</v>
      </c>
      <c r="N1070" s="7">
        <v>75</v>
      </c>
      <c r="O1070" s="126">
        <v>46216.537280092598</v>
      </c>
      <c r="P1070" s="126">
        <v>46216.537280092598</v>
      </c>
    </row>
    <row r="1071" spans="1:16" ht="15.75" customHeight="1">
      <c r="A1071" s="126">
        <v>46230.015752314801</v>
      </c>
      <c r="B1071" s="7">
        <v>12</v>
      </c>
      <c r="C1071" s="7">
        <v>368</v>
      </c>
      <c r="D1071" s="7"/>
      <c r="E1071" s="7" t="s">
        <v>1020</v>
      </c>
      <c r="F1071" s="7" t="s">
        <v>546</v>
      </c>
      <c r="G1071" s="7">
        <v>177</v>
      </c>
      <c r="H1071" s="7" t="s">
        <v>883</v>
      </c>
      <c r="I1071" s="7" t="s">
        <v>878</v>
      </c>
      <c r="J1071" s="7" t="s">
        <v>882</v>
      </c>
      <c r="M1071" s="7"/>
      <c r="N1071" s="7" t="s">
        <v>875</v>
      </c>
      <c r="O1071" s="126"/>
      <c r="P1071" s="126"/>
    </row>
    <row r="1072" spans="1:16" ht="15.75" customHeight="1">
      <c r="A1072" s="126">
        <v>46230.015752314801</v>
      </c>
      <c r="B1072" s="7">
        <v>12</v>
      </c>
      <c r="C1072" s="7">
        <v>368</v>
      </c>
      <c r="D1072" s="7"/>
      <c r="E1072" s="7" t="s">
        <v>1020</v>
      </c>
      <c r="F1072" s="7" t="s">
        <v>546</v>
      </c>
      <c r="G1072" s="7">
        <v>176</v>
      </c>
      <c r="H1072" s="7" t="s">
        <v>884</v>
      </c>
      <c r="I1072" s="7" t="s">
        <v>878</v>
      </c>
      <c r="J1072" s="7" t="s">
        <v>882</v>
      </c>
      <c r="M1072" s="7">
        <v>95</v>
      </c>
      <c r="N1072" s="7">
        <v>95</v>
      </c>
      <c r="O1072" s="126">
        <v>46225.4986921296</v>
      </c>
      <c r="P1072" s="126">
        <v>46225.4986921296</v>
      </c>
    </row>
    <row r="1073" spans="1:16" ht="15.75" customHeight="1">
      <c r="A1073" s="126">
        <v>46230.015752314801</v>
      </c>
      <c r="B1073" s="7">
        <v>12</v>
      </c>
      <c r="C1073" s="7">
        <v>368</v>
      </c>
      <c r="D1073" s="7"/>
      <c r="E1073" s="7" t="s">
        <v>1020</v>
      </c>
      <c r="F1073" s="7" t="s">
        <v>546</v>
      </c>
      <c r="G1073" s="7">
        <v>168</v>
      </c>
      <c r="H1073" s="7" t="s">
        <v>885</v>
      </c>
      <c r="I1073" s="7" t="s">
        <v>886</v>
      </c>
      <c r="J1073" s="7"/>
      <c r="M1073" s="7">
        <v>100</v>
      </c>
      <c r="N1073" s="7">
        <v>100</v>
      </c>
      <c r="P1073" s="126">
        <v>46209.708483796298</v>
      </c>
    </row>
    <row r="1074" spans="1:16" ht="15.75" customHeight="1">
      <c r="A1074" s="126">
        <v>46230.015752314801</v>
      </c>
      <c r="B1074" s="7">
        <v>12</v>
      </c>
      <c r="C1074" s="7">
        <v>754</v>
      </c>
      <c r="D1074" s="7"/>
      <c r="E1074" s="7" t="s">
        <v>1021</v>
      </c>
      <c r="F1074" s="7" t="s">
        <v>176</v>
      </c>
      <c r="G1074" s="7">
        <v>181</v>
      </c>
      <c r="H1074" s="7" t="s">
        <v>873</v>
      </c>
      <c r="I1074" s="7" t="s">
        <v>874</v>
      </c>
      <c r="J1074" s="7"/>
      <c r="M1074" s="7"/>
      <c r="N1074" s="7" t="s">
        <v>875</v>
      </c>
      <c r="P1074" s="126"/>
    </row>
    <row r="1075" spans="1:16" ht="15.75" customHeight="1">
      <c r="A1075" s="126">
        <v>46230.015752314801</v>
      </c>
      <c r="B1075" s="7">
        <v>12</v>
      </c>
      <c r="C1075" s="7">
        <v>754</v>
      </c>
      <c r="D1075" s="7"/>
      <c r="E1075" s="7" t="s">
        <v>1021</v>
      </c>
      <c r="F1075" s="7" t="s">
        <v>176</v>
      </c>
      <c r="G1075" s="7">
        <v>182</v>
      </c>
      <c r="H1075" s="7" t="s">
        <v>876</v>
      </c>
      <c r="I1075" s="7" t="s">
        <v>874</v>
      </c>
      <c r="J1075" s="7"/>
      <c r="M1075" s="7"/>
      <c r="N1075" s="7" t="s">
        <v>875</v>
      </c>
      <c r="P1075" s="126"/>
    </row>
    <row r="1076" spans="1:16" ht="15.75" customHeight="1">
      <c r="A1076" s="126">
        <v>46230.015752314801</v>
      </c>
      <c r="B1076" s="7">
        <v>12</v>
      </c>
      <c r="C1076" s="7">
        <v>754</v>
      </c>
      <c r="D1076" s="7"/>
      <c r="E1076" s="7" t="s">
        <v>1021</v>
      </c>
      <c r="F1076" s="7" t="s">
        <v>176</v>
      </c>
      <c r="G1076" s="7">
        <v>174</v>
      </c>
      <c r="H1076" s="7" t="s">
        <v>877</v>
      </c>
      <c r="I1076" s="7" t="s">
        <v>878</v>
      </c>
      <c r="J1076" s="7" t="s">
        <v>879</v>
      </c>
      <c r="M1076" s="7">
        <v>100</v>
      </c>
      <c r="N1076" s="7">
        <v>100</v>
      </c>
      <c r="O1076" s="126"/>
      <c r="P1076" s="126">
        <v>46209.706979166702</v>
      </c>
    </row>
    <row r="1077" spans="1:16" ht="15.75" customHeight="1">
      <c r="A1077" s="126">
        <v>46230.015752314801</v>
      </c>
      <c r="B1077" s="7">
        <v>12</v>
      </c>
      <c r="C1077" s="7">
        <v>754</v>
      </c>
      <c r="D1077" s="7"/>
      <c r="E1077" s="7" t="s">
        <v>1021</v>
      </c>
      <c r="F1077" s="7" t="s">
        <v>176</v>
      </c>
      <c r="G1077" s="7">
        <v>180</v>
      </c>
      <c r="H1077" s="7" t="s">
        <v>880</v>
      </c>
      <c r="I1077" s="7" t="s">
        <v>874</v>
      </c>
      <c r="J1077" s="7"/>
      <c r="M1077" s="7"/>
      <c r="N1077" s="7" t="s">
        <v>875</v>
      </c>
      <c r="O1077" s="126"/>
      <c r="P1077" s="126"/>
    </row>
    <row r="1078" spans="1:16" ht="15.75" customHeight="1">
      <c r="A1078" s="126">
        <v>46230.015752314801</v>
      </c>
      <c r="B1078" s="7">
        <v>12</v>
      </c>
      <c r="C1078" s="7">
        <v>754</v>
      </c>
      <c r="D1078" s="7"/>
      <c r="E1078" s="7" t="s">
        <v>1021</v>
      </c>
      <c r="F1078" s="7" t="s">
        <v>176</v>
      </c>
      <c r="G1078" s="7">
        <v>175</v>
      </c>
      <c r="H1078" s="7" t="s">
        <v>881</v>
      </c>
      <c r="I1078" s="7" t="s">
        <v>878</v>
      </c>
      <c r="J1078" s="7" t="s">
        <v>882</v>
      </c>
      <c r="M1078" s="7">
        <v>100</v>
      </c>
      <c r="N1078" s="7">
        <v>100</v>
      </c>
      <c r="O1078" s="126">
        <v>46213.808981481503</v>
      </c>
      <c r="P1078" s="126">
        <v>46213.808981481503</v>
      </c>
    </row>
    <row r="1079" spans="1:16" ht="15.75" customHeight="1">
      <c r="A1079" s="126">
        <v>46230.015752314801</v>
      </c>
      <c r="B1079" s="7">
        <v>12</v>
      </c>
      <c r="C1079" s="7">
        <v>754</v>
      </c>
      <c r="D1079" s="7"/>
      <c r="E1079" s="7" t="s">
        <v>1021</v>
      </c>
      <c r="F1079" s="7" t="s">
        <v>176</v>
      </c>
      <c r="G1079" s="7">
        <v>177</v>
      </c>
      <c r="H1079" s="7" t="s">
        <v>883</v>
      </c>
      <c r="I1079" s="7" t="s">
        <v>878</v>
      </c>
      <c r="J1079" s="7" t="s">
        <v>882</v>
      </c>
      <c r="M1079" s="7"/>
      <c r="N1079" s="7" t="s">
        <v>875</v>
      </c>
      <c r="O1079" s="126"/>
      <c r="P1079" s="126"/>
    </row>
    <row r="1080" spans="1:16" ht="15.75" customHeight="1">
      <c r="A1080" s="126">
        <v>46230.015752314801</v>
      </c>
      <c r="B1080" s="7">
        <v>12</v>
      </c>
      <c r="C1080" s="7">
        <v>754</v>
      </c>
      <c r="D1080" s="7"/>
      <c r="E1080" s="7" t="s">
        <v>1021</v>
      </c>
      <c r="F1080" s="7" t="s">
        <v>176</v>
      </c>
      <c r="G1080" s="7">
        <v>176</v>
      </c>
      <c r="H1080" s="7" t="s">
        <v>884</v>
      </c>
      <c r="I1080" s="7" t="s">
        <v>878</v>
      </c>
      <c r="J1080" s="7" t="s">
        <v>882</v>
      </c>
      <c r="M1080" s="7">
        <v>95</v>
      </c>
      <c r="N1080" s="7">
        <v>95</v>
      </c>
      <c r="O1080" s="126">
        <v>46224.704143518502</v>
      </c>
      <c r="P1080" s="126">
        <v>46224.704143518502</v>
      </c>
    </row>
    <row r="1081" spans="1:16" ht="15.75" customHeight="1">
      <c r="A1081" s="126">
        <v>46230.015752314801</v>
      </c>
      <c r="B1081" s="7">
        <v>12</v>
      </c>
      <c r="C1081" s="7">
        <v>754</v>
      </c>
      <c r="D1081" s="7"/>
      <c r="E1081" s="7" t="s">
        <v>1021</v>
      </c>
      <c r="F1081" s="7" t="s">
        <v>176</v>
      </c>
      <c r="G1081" s="7">
        <v>168</v>
      </c>
      <c r="H1081" s="7" t="s">
        <v>885</v>
      </c>
      <c r="I1081" s="7" t="s">
        <v>886</v>
      </c>
      <c r="M1081" s="7">
        <v>100</v>
      </c>
      <c r="N1081" s="7">
        <v>100</v>
      </c>
      <c r="P1081" s="126">
        <v>46209.706979166702</v>
      </c>
    </row>
    <row r="1082" spans="1:16" ht="15.75" customHeight="1">
      <c r="A1082" s="126">
        <v>46230.015752314801</v>
      </c>
      <c r="B1082" s="7">
        <v>12</v>
      </c>
      <c r="C1082" s="7">
        <v>650</v>
      </c>
      <c r="E1082" s="7" t="s">
        <v>1022</v>
      </c>
      <c r="F1082" s="7" t="s">
        <v>419</v>
      </c>
      <c r="G1082" s="7">
        <v>181</v>
      </c>
      <c r="H1082" s="7" t="s">
        <v>873</v>
      </c>
      <c r="I1082" s="7" t="s">
        <v>874</v>
      </c>
      <c r="J1082" s="7"/>
      <c r="M1082" s="7"/>
      <c r="N1082" s="7" t="s">
        <v>875</v>
      </c>
      <c r="P1082" s="126"/>
    </row>
    <row r="1083" spans="1:16" ht="15.75" customHeight="1">
      <c r="A1083" s="126">
        <v>46230.015752314801</v>
      </c>
      <c r="B1083" s="7">
        <v>12</v>
      </c>
      <c r="C1083" s="7">
        <v>650</v>
      </c>
      <c r="E1083" s="7" t="s">
        <v>1022</v>
      </c>
      <c r="F1083" s="7" t="s">
        <v>419</v>
      </c>
      <c r="G1083" s="7">
        <v>182</v>
      </c>
      <c r="H1083" s="7" t="s">
        <v>876</v>
      </c>
      <c r="I1083" s="7" t="s">
        <v>874</v>
      </c>
      <c r="J1083" s="7"/>
      <c r="M1083" s="7"/>
      <c r="N1083" s="7" t="s">
        <v>875</v>
      </c>
      <c r="O1083" s="126"/>
      <c r="P1083" s="126"/>
    </row>
    <row r="1084" spans="1:16" ht="15.75" customHeight="1">
      <c r="A1084" s="126">
        <v>46230.015752314801</v>
      </c>
      <c r="B1084" s="7">
        <v>12</v>
      </c>
      <c r="C1084" s="7">
        <v>650</v>
      </c>
      <c r="E1084" s="7" t="s">
        <v>1022</v>
      </c>
      <c r="F1084" s="7" t="s">
        <v>419</v>
      </c>
      <c r="G1084" s="7">
        <v>174</v>
      </c>
      <c r="H1084" s="7" t="s">
        <v>877</v>
      </c>
      <c r="I1084" s="7" t="s">
        <v>878</v>
      </c>
      <c r="J1084" s="7" t="s">
        <v>879</v>
      </c>
      <c r="M1084" s="7">
        <v>100</v>
      </c>
      <c r="N1084" s="7">
        <v>100</v>
      </c>
      <c r="O1084" s="126"/>
      <c r="P1084" s="126">
        <v>46209.706979166702</v>
      </c>
    </row>
    <row r="1085" spans="1:16" ht="15.75" customHeight="1">
      <c r="A1085" s="126">
        <v>46230.015752314801</v>
      </c>
      <c r="B1085" s="7">
        <v>12</v>
      </c>
      <c r="C1085" s="7">
        <v>650</v>
      </c>
      <c r="E1085" s="7" t="s">
        <v>1022</v>
      </c>
      <c r="F1085" s="7" t="s">
        <v>419</v>
      </c>
      <c r="G1085" s="7">
        <v>180</v>
      </c>
      <c r="H1085" s="7" t="s">
        <v>880</v>
      </c>
      <c r="I1085" s="7" t="s">
        <v>874</v>
      </c>
      <c r="J1085" s="7"/>
      <c r="M1085" s="7"/>
      <c r="N1085" s="7" t="s">
        <v>875</v>
      </c>
      <c r="O1085" s="126"/>
      <c r="P1085" s="126"/>
    </row>
    <row r="1086" spans="1:16" ht="15.75" customHeight="1">
      <c r="A1086" s="126">
        <v>46230.015752314801</v>
      </c>
      <c r="B1086" s="7">
        <v>12</v>
      </c>
      <c r="C1086" s="7">
        <v>650</v>
      </c>
      <c r="E1086" s="7" t="s">
        <v>1022</v>
      </c>
      <c r="F1086" s="7" t="s">
        <v>419</v>
      </c>
      <c r="G1086" s="7">
        <v>175</v>
      </c>
      <c r="H1086" s="7" t="s">
        <v>881</v>
      </c>
      <c r="I1086" s="7" t="s">
        <v>878</v>
      </c>
      <c r="J1086" s="7" t="s">
        <v>882</v>
      </c>
      <c r="M1086" s="7">
        <v>100</v>
      </c>
      <c r="N1086" s="7">
        <v>100</v>
      </c>
      <c r="O1086" s="126">
        <v>46214.364629629599</v>
      </c>
      <c r="P1086" s="126">
        <v>46214.364629629599</v>
      </c>
    </row>
    <row r="1087" spans="1:16" ht="15.75" customHeight="1">
      <c r="A1087" s="126">
        <v>46230.015752314801</v>
      </c>
      <c r="B1087" s="7">
        <v>12</v>
      </c>
      <c r="C1087" s="7">
        <v>650</v>
      </c>
      <c r="E1087" s="7" t="s">
        <v>1022</v>
      </c>
      <c r="F1087" s="7" t="s">
        <v>419</v>
      </c>
      <c r="G1087" s="7">
        <v>177</v>
      </c>
      <c r="H1087" s="7" t="s">
        <v>883</v>
      </c>
      <c r="I1087" s="7" t="s">
        <v>878</v>
      </c>
      <c r="J1087" s="7" t="s">
        <v>882</v>
      </c>
      <c r="M1087" s="7"/>
      <c r="N1087" s="7" t="s">
        <v>875</v>
      </c>
      <c r="P1087" s="126"/>
    </row>
    <row r="1088" spans="1:16" ht="15.75" customHeight="1">
      <c r="A1088" s="126">
        <v>46230.015752314801</v>
      </c>
      <c r="B1088" s="7">
        <v>12</v>
      </c>
      <c r="C1088" s="7">
        <v>650</v>
      </c>
      <c r="E1088" s="7" t="s">
        <v>1022</v>
      </c>
      <c r="F1088" s="7" t="s">
        <v>419</v>
      </c>
      <c r="G1088" s="7">
        <v>176</v>
      </c>
      <c r="H1088" s="7" t="s">
        <v>884</v>
      </c>
      <c r="I1088" s="7" t="s">
        <v>878</v>
      </c>
      <c r="J1088" s="7" t="s">
        <v>882</v>
      </c>
      <c r="M1088" s="7">
        <v>90</v>
      </c>
      <c r="N1088" s="7">
        <v>90</v>
      </c>
      <c r="O1088" s="126">
        <v>46224.550185185202</v>
      </c>
      <c r="P1088" s="126">
        <v>46224.550185185202</v>
      </c>
    </row>
    <row r="1089" spans="1:16" ht="15.75" customHeight="1">
      <c r="A1089" s="126">
        <v>46230.015752314801</v>
      </c>
      <c r="B1089" s="7">
        <v>12</v>
      </c>
      <c r="C1089" s="7">
        <v>650</v>
      </c>
      <c r="E1089" s="7" t="s">
        <v>1022</v>
      </c>
      <c r="F1089" s="7" t="s">
        <v>419</v>
      </c>
      <c r="G1089" s="7">
        <v>168</v>
      </c>
      <c r="H1089" s="7" t="s">
        <v>885</v>
      </c>
      <c r="I1089" s="7" t="s">
        <v>886</v>
      </c>
      <c r="J1089" s="7"/>
      <c r="M1089" s="7">
        <v>100</v>
      </c>
      <c r="N1089" s="7">
        <v>100</v>
      </c>
      <c r="O1089" s="126"/>
      <c r="P1089" s="126">
        <v>46209.706979166702</v>
      </c>
    </row>
    <row r="1090" spans="1:16" ht="15.75" customHeight="1">
      <c r="A1090" s="126">
        <v>46230.015752314801</v>
      </c>
      <c r="B1090" s="7">
        <v>12</v>
      </c>
      <c r="C1090" s="7">
        <v>761</v>
      </c>
      <c r="E1090" s="7" t="s">
        <v>1023</v>
      </c>
      <c r="F1090" s="7" t="s">
        <v>508</v>
      </c>
      <c r="G1090" s="7">
        <v>181</v>
      </c>
      <c r="H1090" s="7" t="s">
        <v>873</v>
      </c>
      <c r="I1090" s="7" t="s">
        <v>874</v>
      </c>
      <c r="J1090" s="7"/>
      <c r="M1090" s="7"/>
      <c r="N1090" s="7" t="s">
        <v>875</v>
      </c>
      <c r="O1090" s="126"/>
      <c r="P1090" s="126"/>
    </row>
    <row r="1091" spans="1:16" ht="15.75" customHeight="1">
      <c r="A1091" s="126">
        <v>46230.015752314801</v>
      </c>
      <c r="B1091" s="7">
        <v>12</v>
      </c>
      <c r="C1091" s="7">
        <v>761</v>
      </c>
      <c r="E1091" s="7" t="s">
        <v>1023</v>
      </c>
      <c r="F1091" s="7" t="s">
        <v>508</v>
      </c>
      <c r="G1091" s="7">
        <v>182</v>
      </c>
      <c r="H1091" s="7" t="s">
        <v>876</v>
      </c>
      <c r="I1091" s="7" t="s">
        <v>874</v>
      </c>
      <c r="J1091" s="7"/>
      <c r="M1091" s="7"/>
      <c r="N1091" s="7" t="s">
        <v>875</v>
      </c>
      <c r="P1091" s="126"/>
    </row>
    <row r="1092" spans="1:16" ht="15.75" customHeight="1">
      <c r="A1092" s="126">
        <v>46230.015752314801</v>
      </c>
      <c r="B1092" s="7">
        <v>12</v>
      </c>
      <c r="C1092" s="7">
        <v>761</v>
      </c>
      <c r="E1092" s="7" t="s">
        <v>1023</v>
      </c>
      <c r="F1092" s="7" t="s">
        <v>508</v>
      </c>
      <c r="G1092" s="7">
        <v>174</v>
      </c>
      <c r="H1092" s="7" t="s">
        <v>877</v>
      </c>
      <c r="I1092" s="7" t="s">
        <v>878</v>
      </c>
      <c r="J1092" s="7" t="s">
        <v>879</v>
      </c>
      <c r="M1092" s="7">
        <v>100</v>
      </c>
      <c r="N1092" s="7">
        <v>100</v>
      </c>
      <c r="P1092" s="126">
        <v>46210.405405092599</v>
      </c>
    </row>
    <row r="1093" spans="1:16" ht="15.75" customHeight="1">
      <c r="A1093" s="126">
        <v>46230.015752314801</v>
      </c>
      <c r="B1093" s="7">
        <v>12</v>
      </c>
      <c r="C1093" s="7">
        <v>761</v>
      </c>
      <c r="E1093" s="7" t="s">
        <v>1023</v>
      </c>
      <c r="F1093" s="7" t="s">
        <v>508</v>
      </c>
      <c r="G1093" s="7">
        <v>180</v>
      </c>
      <c r="H1093" s="7" t="s">
        <v>880</v>
      </c>
      <c r="I1093" s="7" t="s">
        <v>874</v>
      </c>
      <c r="J1093" s="7"/>
      <c r="M1093" s="7"/>
      <c r="N1093" s="7" t="s">
        <v>875</v>
      </c>
      <c r="P1093" s="126"/>
    </row>
    <row r="1094" spans="1:16" ht="15.75" customHeight="1">
      <c r="A1094" s="126">
        <v>46230.015752314801</v>
      </c>
      <c r="B1094" s="7">
        <v>12</v>
      </c>
      <c r="C1094" s="7">
        <v>761</v>
      </c>
      <c r="E1094" s="7" t="s">
        <v>1023</v>
      </c>
      <c r="F1094" s="7" t="s">
        <v>508</v>
      </c>
      <c r="G1094" s="7">
        <v>175</v>
      </c>
      <c r="H1094" s="7" t="s">
        <v>881</v>
      </c>
      <c r="I1094" s="7" t="s">
        <v>878</v>
      </c>
      <c r="J1094" s="7" t="s">
        <v>882</v>
      </c>
      <c r="M1094" s="7">
        <v>62.5</v>
      </c>
      <c r="N1094" s="7">
        <v>62.5</v>
      </c>
      <c r="O1094" s="126">
        <v>46216.274282407401</v>
      </c>
      <c r="P1094" s="126">
        <v>46216.274282407401</v>
      </c>
    </row>
    <row r="1095" spans="1:16" ht="15.75" customHeight="1">
      <c r="A1095" s="126">
        <v>46230.015752314801</v>
      </c>
      <c r="B1095" s="7">
        <v>12</v>
      </c>
      <c r="C1095" s="7">
        <v>761</v>
      </c>
      <c r="E1095" s="7" t="s">
        <v>1023</v>
      </c>
      <c r="F1095" s="7" t="s">
        <v>508</v>
      </c>
      <c r="G1095" s="7">
        <v>177</v>
      </c>
      <c r="H1095" s="7" t="s">
        <v>883</v>
      </c>
      <c r="I1095" s="7" t="s">
        <v>878</v>
      </c>
      <c r="J1095" s="7" t="s">
        <v>882</v>
      </c>
      <c r="M1095" s="7"/>
      <c r="N1095" s="7" t="s">
        <v>875</v>
      </c>
      <c r="O1095" s="126"/>
      <c r="P1095" s="126"/>
    </row>
    <row r="1096" spans="1:16" ht="15.75" customHeight="1">
      <c r="A1096" s="126">
        <v>46230.015752314801</v>
      </c>
      <c r="B1096" s="7">
        <v>12</v>
      </c>
      <c r="C1096" s="7">
        <v>761</v>
      </c>
      <c r="E1096" s="7" t="s">
        <v>1023</v>
      </c>
      <c r="F1096" s="7" t="s">
        <v>508</v>
      </c>
      <c r="G1096" s="7">
        <v>176</v>
      </c>
      <c r="H1096" s="7" t="s">
        <v>884</v>
      </c>
      <c r="I1096" s="7" t="s">
        <v>878</v>
      </c>
      <c r="J1096" s="7" t="s">
        <v>882</v>
      </c>
      <c r="M1096" s="7">
        <v>60</v>
      </c>
      <c r="N1096" s="7">
        <v>60</v>
      </c>
      <c r="O1096" s="126">
        <v>46229.754814814798</v>
      </c>
      <c r="P1096" s="126">
        <v>46229.754814814798</v>
      </c>
    </row>
    <row r="1097" spans="1:16" ht="15.75" customHeight="1">
      <c r="A1097" s="126">
        <v>46230.015752314801</v>
      </c>
      <c r="B1097" s="7">
        <v>12</v>
      </c>
      <c r="C1097" s="7">
        <v>761</v>
      </c>
      <c r="E1097" s="7" t="s">
        <v>1023</v>
      </c>
      <c r="F1097" s="7" t="s">
        <v>508</v>
      </c>
      <c r="G1097" s="7">
        <v>168</v>
      </c>
      <c r="H1097" s="7" t="s">
        <v>885</v>
      </c>
      <c r="I1097" s="7" t="s">
        <v>886</v>
      </c>
      <c r="J1097" s="7"/>
      <c r="M1097" s="7">
        <v>100</v>
      </c>
      <c r="N1097" s="7">
        <v>100</v>
      </c>
      <c r="O1097" s="126"/>
      <c r="P1097" s="126">
        <v>46210.405405092599</v>
      </c>
    </row>
    <row r="1098" spans="1:16" ht="15.75" customHeight="1">
      <c r="A1098" s="126">
        <v>46230.015752314801</v>
      </c>
      <c r="B1098" s="7">
        <v>12</v>
      </c>
      <c r="C1098" s="7">
        <v>593</v>
      </c>
      <c r="E1098" s="7" t="s">
        <v>1024</v>
      </c>
      <c r="F1098" s="7" t="s">
        <v>108</v>
      </c>
      <c r="G1098" s="7">
        <v>181</v>
      </c>
      <c r="H1098" s="7" t="s">
        <v>873</v>
      </c>
      <c r="I1098" s="7" t="s">
        <v>874</v>
      </c>
      <c r="J1098" s="7"/>
      <c r="M1098" s="7"/>
      <c r="N1098" s="7" t="s">
        <v>875</v>
      </c>
      <c r="O1098" s="126"/>
      <c r="P1098" s="126"/>
    </row>
    <row r="1099" spans="1:16" ht="15.75" customHeight="1">
      <c r="A1099" s="126">
        <v>46230.015752314801</v>
      </c>
      <c r="B1099" s="7">
        <v>12</v>
      </c>
      <c r="C1099" s="7">
        <v>593</v>
      </c>
      <c r="E1099" s="7" t="s">
        <v>1024</v>
      </c>
      <c r="F1099" s="7" t="s">
        <v>108</v>
      </c>
      <c r="G1099" s="7">
        <v>182</v>
      </c>
      <c r="H1099" s="7" t="s">
        <v>876</v>
      </c>
      <c r="I1099" s="7" t="s">
        <v>874</v>
      </c>
      <c r="J1099" s="7"/>
      <c r="M1099" s="7"/>
      <c r="N1099" s="7" t="s">
        <v>875</v>
      </c>
      <c r="P1099" s="126"/>
    </row>
    <row r="1100" spans="1:16" ht="15.75" customHeight="1">
      <c r="A1100" s="126">
        <v>46230.015752314801</v>
      </c>
      <c r="B1100" s="7">
        <v>12</v>
      </c>
      <c r="C1100" s="7">
        <v>593</v>
      </c>
      <c r="D1100" s="7"/>
      <c r="E1100" s="7" t="s">
        <v>1024</v>
      </c>
      <c r="F1100" s="7" t="s">
        <v>108</v>
      </c>
      <c r="G1100" s="7">
        <v>174</v>
      </c>
      <c r="H1100" s="7" t="s">
        <v>877</v>
      </c>
      <c r="I1100" s="7" t="s">
        <v>878</v>
      </c>
      <c r="J1100" s="7" t="s">
        <v>879</v>
      </c>
      <c r="M1100" s="7">
        <v>100</v>
      </c>
      <c r="N1100" s="7">
        <v>100</v>
      </c>
      <c r="P1100" s="126">
        <v>46209.706944444399</v>
      </c>
    </row>
    <row r="1101" spans="1:16" ht="15.75" customHeight="1">
      <c r="A1101" s="126">
        <v>46230.015752314801</v>
      </c>
      <c r="B1101" s="7">
        <v>12</v>
      </c>
      <c r="C1101" s="7">
        <v>593</v>
      </c>
      <c r="D1101" s="7"/>
      <c r="E1101" s="7" t="s">
        <v>1024</v>
      </c>
      <c r="F1101" s="7" t="s">
        <v>108</v>
      </c>
      <c r="G1101" s="7">
        <v>180</v>
      </c>
      <c r="H1101" s="7" t="s">
        <v>880</v>
      </c>
      <c r="I1101" s="7" t="s">
        <v>874</v>
      </c>
      <c r="J1101" s="7"/>
      <c r="M1101" s="7"/>
      <c r="N1101" s="7" t="s">
        <v>875</v>
      </c>
      <c r="O1101" s="126"/>
      <c r="P1101" s="126"/>
    </row>
    <row r="1102" spans="1:16" ht="15.75" customHeight="1">
      <c r="A1102" s="126">
        <v>46230.015752314801</v>
      </c>
      <c r="B1102" s="7">
        <v>12</v>
      </c>
      <c r="C1102" s="7">
        <v>593</v>
      </c>
      <c r="D1102" s="7"/>
      <c r="E1102" s="7" t="s">
        <v>1024</v>
      </c>
      <c r="F1102" s="7" t="s">
        <v>108</v>
      </c>
      <c r="G1102" s="7">
        <v>175</v>
      </c>
      <c r="H1102" s="7" t="s">
        <v>881</v>
      </c>
      <c r="I1102" s="7" t="s">
        <v>878</v>
      </c>
      <c r="J1102" s="7" t="s">
        <v>882</v>
      </c>
      <c r="M1102" s="7">
        <v>75</v>
      </c>
      <c r="N1102" s="7">
        <v>75</v>
      </c>
      <c r="O1102" s="126">
        <v>46228.067951388897</v>
      </c>
      <c r="P1102" s="126">
        <v>46228.067951388897</v>
      </c>
    </row>
    <row r="1103" spans="1:16" ht="15.75" customHeight="1">
      <c r="A1103" s="126">
        <v>46230.015752314801</v>
      </c>
      <c r="B1103" s="7">
        <v>12</v>
      </c>
      <c r="C1103" s="7">
        <v>593</v>
      </c>
      <c r="D1103" s="7"/>
      <c r="E1103" s="7" t="s">
        <v>1024</v>
      </c>
      <c r="F1103" s="7" t="s">
        <v>108</v>
      </c>
      <c r="G1103" s="7">
        <v>177</v>
      </c>
      <c r="H1103" s="7" t="s">
        <v>883</v>
      </c>
      <c r="I1103" s="7" t="s">
        <v>878</v>
      </c>
      <c r="J1103" s="7" t="s">
        <v>882</v>
      </c>
      <c r="N1103" s="7" t="s">
        <v>875</v>
      </c>
    </row>
    <row r="1104" spans="1:16" ht="15.75" customHeight="1">
      <c r="A1104" s="126">
        <v>46230.015752314801</v>
      </c>
      <c r="B1104" s="7">
        <v>12</v>
      </c>
      <c r="C1104" s="7">
        <v>593</v>
      </c>
      <c r="D1104" s="7"/>
      <c r="E1104" s="7" t="s">
        <v>1024</v>
      </c>
      <c r="F1104" s="7" t="s">
        <v>108</v>
      </c>
      <c r="G1104" s="7">
        <v>176</v>
      </c>
      <c r="H1104" s="7" t="s">
        <v>884</v>
      </c>
      <c r="I1104" s="7" t="s">
        <v>878</v>
      </c>
      <c r="J1104" s="7" t="s">
        <v>882</v>
      </c>
      <c r="M1104" s="7">
        <v>80</v>
      </c>
      <c r="N1104" s="7">
        <v>80</v>
      </c>
      <c r="O1104" s="126">
        <v>46229.816724536999</v>
      </c>
      <c r="P1104" s="126">
        <v>46229.816724536999</v>
      </c>
    </row>
    <row r="1105" spans="1:16" ht="15.75" customHeight="1">
      <c r="A1105" s="126">
        <v>46230.015752314801</v>
      </c>
      <c r="B1105" s="7">
        <v>12</v>
      </c>
      <c r="C1105" s="7">
        <v>593</v>
      </c>
      <c r="D1105" s="7"/>
      <c r="E1105" s="7" t="s">
        <v>1024</v>
      </c>
      <c r="F1105" s="7" t="s">
        <v>108</v>
      </c>
      <c r="G1105" s="7">
        <v>168</v>
      </c>
      <c r="H1105" s="7" t="s">
        <v>885</v>
      </c>
      <c r="I1105" s="7" t="s">
        <v>886</v>
      </c>
      <c r="J1105" s="7"/>
      <c r="M1105" s="7">
        <v>100</v>
      </c>
      <c r="N1105" s="7">
        <v>100</v>
      </c>
      <c r="P1105" s="126">
        <v>46209.706944444399</v>
      </c>
    </row>
    <row r="1106" spans="1:16" ht="15.75" customHeight="1">
      <c r="A1106" s="126">
        <v>46230.015752314801</v>
      </c>
      <c r="B1106" s="7">
        <v>12</v>
      </c>
      <c r="C1106" s="7">
        <v>305</v>
      </c>
      <c r="D1106" s="7"/>
      <c r="E1106" s="7" t="s">
        <v>1025</v>
      </c>
      <c r="F1106" s="7" t="s">
        <v>466</v>
      </c>
      <c r="G1106" s="7">
        <v>181</v>
      </c>
      <c r="H1106" s="7" t="s">
        <v>873</v>
      </c>
      <c r="I1106" s="7" t="s">
        <v>874</v>
      </c>
      <c r="J1106" s="7"/>
      <c r="M1106" s="7"/>
      <c r="N1106" s="7" t="s">
        <v>875</v>
      </c>
      <c r="O1106" s="126"/>
      <c r="P1106" s="126"/>
    </row>
    <row r="1107" spans="1:16" ht="15.75" customHeight="1">
      <c r="A1107" s="126">
        <v>46230.015752314801</v>
      </c>
      <c r="B1107" s="7">
        <v>12</v>
      </c>
      <c r="C1107" s="7">
        <v>305</v>
      </c>
      <c r="D1107" s="7"/>
      <c r="E1107" s="7" t="s">
        <v>1025</v>
      </c>
      <c r="F1107" s="7" t="s">
        <v>466</v>
      </c>
      <c r="G1107" s="7">
        <v>182</v>
      </c>
      <c r="H1107" s="7" t="s">
        <v>876</v>
      </c>
      <c r="I1107" s="7" t="s">
        <v>874</v>
      </c>
      <c r="J1107" s="7"/>
      <c r="M1107" s="7"/>
      <c r="N1107" s="7" t="s">
        <v>875</v>
      </c>
      <c r="O1107" s="126"/>
      <c r="P1107" s="126"/>
    </row>
    <row r="1108" spans="1:16" ht="15.75" customHeight="1">
      <c r="A1108" s="126">
        <v>46230.015752314801</v>
      </c>
      <c r="B1108" s="7">
        <v>12</v>
      </c>
      <c r="C1108" s="7">
        <v>305</v>
      </c>
      <c r="D1108" s="7"/>
      <c r="E1108" s="7" t="s">
        <v>1025</v>
      </c>
      <c r="F1108" s="7" t="s">
        <v>466</v>
      </c>
      <c r="G1108" s="7">
        <v>174</v>
      </c>
      <c r="H1108" s="7" t="s">
        <v>877</v>
      </c>
      <c r="I1108" s="7" t="s">
        <v>878</v>
      </c>
      <c r="J1108" s="7" t="s">
        <v>879</v>
      </c>
      <c r="M1108" s="7">
        <v>100</v>
      </c>
      <c r="N1108" s="7">
        <v>100</v>
      </c>
      <c r="O1108" s="126"/>
      <c r="P1108" s="126">
        <v>46209.682916666701</v>
      </c>
    </row>
    <row r="1109" spans="1:16" ht="15.75" customHeight="1">
      <c r="A1109" s="126">
        <v>46230.015752314801</v>
      </c>
      <c r="B1109" s="7">
        <v>12</v>
      </c>
      <c r="C1109" s="7">
        <v>305</v>
      </c>
      <c r="D1109" s="7"/>
      <c r="E1109" s="7" t="s">
        <v>1025</v>
      </c>
      <c r="F1109" s="7" t="s">
        <v>466</v>
      </c>
      <c r="G1109" s="7">
        <v>180</v>
      </c>
      <c r="H1109" s="7" t="s">
        <v>880</v>
      </c>
      <c r="I1109" s="7" t="s">
        <v>874</v>
      </c>
      <c r="J1109" s="7"/>
      <c r="M1109" s="7"/>
      <c r="N1109" s="7" t="s">
        <v>875</v>
      </c>
      <c r="O1109" s="126"/>
      <c r="P1109" s="126"/>
    </row>
    <row r="1110" spans="1:16" ht="15.75" customHeight="1">
      <c r="A1110" s="126">
        <v>46230.015752314801</v>
      </c>
      <c r="B1110" s="7">
        <v>12</v>
      </c>
      <c r="C1110" s="7">
        <v>305</v>
      </c>
      <c r="D1110" s="7"/>
      <c r="E1110" s="7" t="s">
        <v>1025</v>
      </c>
      <c r="F1110" s="7" t="s">
        <v>466</v>
      </c>
      <c r="G1110" s="7">
        <v>175</v>
      </c>
      <c r="H1110" s="7" t="s">
        <v>881</v>
      </c>
      <c r="I1110" s="7" t="s">
        <v>878</v>
      </c>
      <c r="J1110" s="7" t="s">
        <v>882</v>
      </c>
      <c r="M1110" s="7">
        <v>87.5</v>
      </c>
      <c r="N1110" s="7">
        <v>87.5</v>
      </c>
      <c r="O1110" s="126">
        <v>46216.523043981499</v>
      </c>
      <c r="P1110" s="126">
        <v>46216.523043981499</v>
      </c>
    </row>
    <row r="1111" spans="1:16" ht="15.75" customHeight="1">
      <c r="A1111" s="126">
        <v>46230.015752314801</v>
      </c>
      <c r="B1111" s="7">
        <v>12</v>
      </c>
      <c r="C1111" s="7">
        <v>305</v>
      </c>
      <c r="D1111" s="7"/>
      <c r="E1111" s="7" t="s">
        <v>1025</v>
      </c>
      <c r="F1111" s="7" t="s">
        <v>466</v>
      </c>
      <c r="G1111" s="7">
        <v>177</v>
      </c>
      <c r="H1111" s="7" t="s">
        <v>883</v>
      </c>
      <c r="I1111" s="7" t="s">
        <v>878</v>
      </c>
      <c r="J1111" s="7" t="s">
        <v>882</v>
      </c>
      <c r="M1111" s="7"/>
      <c r="N1111" s="7" t="s">
        <v>875</v>
      </c>
      <c r="P1111" s="126"/>
    </row>
    <row r="1112" spans="1:16" ht="15.75" customHeight="1">
      <c r="A1112" s="126">
        <v>46230.015752314801</v>
      </c>
      <c r="B1112" s="7">
        <v>12</v>
      </c>
      <c r="C1112" s="7">
        <v>305</v>
      </c>
      <c r="D1112" s="7"/>
      <c r="E1112" s="7" t="s">
        <v>1025</v>
      </c>
      <c r="F1112" s="7" t="s">
        <v>466</v>
      </c>
      <c r="G1112" s="7">
        <v>176</v>
      </c>
      <c r="H1112" s="7" t="s">
        <v>884</v>
      </c>
      <c r="I1112" s="7" t="s">
        <v>878</v>
      </c>
      <c r="J1112" s="7" t="s">
        <v>882</v>
      </c>
      <c r="M1112" s="7">
        <v>85</v>
      </c>
      <c r="N1112" s="7">
        <v>85</v>
      </c>
      <c r="O1112" s="126">
        <v>46227.651516203703</v>
      </c>
      <c r="P1112" s="126">
        <v>46227.651516203703</v>
      </c>
    </row>
    <row r="1113" spans="1:16" ht="15.75" customHeight="1">
      <c r="A1113" s="126">
        <v>46230.015752314801</v>
      </c>
      <c r="B1113" s="7">
        <v>12</v>
      </c>
      <c r="C1113" s="7">
        <v>305</v>
      </c>
      <c r="D1113" s="7"/>
      <c r="E1113" s="7" t="s">
        <v>1025</v>
      </c>
      <c r="F1113" s="7" t="s">
        <v>466</v>
      </c>
      <c r="G1113" s="7">
        <v>168</v>
      </c>
      <c r="H1113" s="7" t="s">
        <v>885</v>
      </c>
      <c r="I1113" s="7" t="s">
        <v>886</v>
      </c>
      <c r="J1113" s="7"/>
      <c r="M1113" s="7">
        <v>100</v>
      </c>
      <c r="N1113" s="7">
        <v>100</v>
      </c>
      <c r="O1113" s="126"/>
      <c r="P1113" s="126">
        <v>46209.682916666701</v>
      </c>
    </row>
    <row r="1114" spans="1:16" ht="15.75" customHeight="1">
      <c r="A1114" s="126">
        <v>46230.015752314801</v>
      </c>
      <c r="B1114" s="7">
        <v>12</v>
      </c>
      <c r="C1114" s="7">
        <v>458</v>
      </c>
      <c r="D1114" s="7"/>
      <c r="E1114" s="7" t="s">
        <v>1026</v>
      </c>
      <c r="F1114" s="7" t="s">
        <v>474</v>
      </c>
      <c r="G1114" s="7">
        <v>181</v>
      </c>
      <c r="H1114" s="7" t="s">
        <v>873</v>
      </c>
      <c r="I1114" s="7" t="s">
        <v>874</v>
      </c>
      <c r="J1114" s="7"/>
      <c r="M1114" s="7"/>
      <c r="N1114" s="7" t="s">
        <v>875</v>
      </c>
      <c r="O1114" s="126"/>
      <c r="P1114" s="126"/>
    </row>
    <row r="1115" spans="1:16" ht="15.75" customHeight="1">
      <c r="A1115" s="126">
        <v>46230.015752314801</v>
      </c>
      <c r="B1115" s="7">
        <v>12</v>
      </c>
      <c r="C1115" s="7">
        <v>458</v>
      </c>
      <c r="D1115" s="7"/>
      <c r="E1115" s="7" t="s">
        <v>1026</v>
      </c>
      <c r="F1115" s="7" t="s">
        <v>474</v>
      </c>
      <c r="G1115" s="7">
        <v>182</v>
      </c>
      <c r="H1115" s="7" t="s">
        <v>876</v>
      </c>
      <c r="I1115" s="7" t="s">
        <v>874</v>
      </c>
      <c r="J1115" s="7"/>
      <c r="M1115" s="7"/>
      <c r="N1115" s="7" t="s">
        <v>875</v>
      </c>
      <c r="O1115" s="126"/>
      <c r="P1115" s="126"/>
    </row>
    <row r="1116" spans="1:16" ht="15.75" customHeight="1">
      <c r="A1116" s="126">
        <v>46230.015752314801</v>
      </c>
      <c r="B1116" s="7">
        <v>12</v>
      </c>
      <c r="C1116" s="7">
        <v>458</v>
      </c>
      <c r="D1116" s="7"/>
      <c r="E1116" s="7" t="s">
        <v>1026</v>
      </c>
      <c r="F1116" s="7" t="s">
        <v>474</v>
      </c>
      <c r="G1116" s="7">
        <v>174</v>
      </c>
      <c r="H1116" s="7" t="s">
        <v>877</v>
      </c>
      <c r="I1116" s="7" t="s">
        <v>878</v>
      </c>
      <c r="J1116" s="7" t="s">
        <v>879</v>
      </c>
      <c r="M1116" s="7">
        <v>100</v>
      </c>
      <c r="N1116" s="7">
        <v>100</v>
      </c>
      <c r="O1116" s="126"/>
      <c r="P1116" s="126">
        <v>46210.757013888899</v>
      </c>
    </row>
    <row r="1117" spans="1:16" ht="15.75" customHeight="1">
      <c r="A1117" s="126">
        <v>46230.015752314801</v>
      </c>
      <c r="B1117" s="7">
        <v>12</v>
      </c>
      <c r="C1117" s="7">
        <v>458</v>
      </c>
      <c r="D1117" s="7"/>
      <c r="E1117" s="7" t="s">
        <v>1026</v>
      </c>
      <c r="F1117" s="7" t="s">
        <v>474</v>
      </c>
      <c r="G1117" s="7">
        <v>180</v>
      </c>
      <c r="H1117" s="7" t="s">
        <v>880</v>
      </c>
      <c r="I1117" s="7" t="s">
        <v>874</v>
      </c>
      <c r="J1117" s="7"/>
      <c r="M1117" s="7"/>
      <c r="N1117" s="7" t="s">
        <v>875</v>
      </c>
      <c r="O1117" s="126"/>
      <c r="P1117" s="126"/>
    </row>
    <row r="1118" spans="1:16" ht="15.75" customHeight="1">
      <c r="A1118" s="126">
        <v>46230.015752314801</v>
      </c>
      <c r="B1118" s="7">
        <v>12</v>
      </c>
      <c r="C1118" s="7">
        <v>458</v>
      </c>
      <c r="E1118" s="7" t="s">
        <v>1026</v>
      </c>
      <c r="F1118" s="7" t="s">
        <v>474</v>
      </c>
      <c r="G1118" s="7">
        <v>175</v>
      </c>
      <c r="H1118" s="7" t="s">
        <v>881</v>
      </c>
      <c r="I1118" s="7" t="s">
        <v>878</v>
      </c>
      <c r="J1118" s="7" t="s">
        <v>882</v>
      </c>
      <c r="M1118" s="7">
        <v>87.5</v>
      </c>
      <c r="N1118" s="7">
        <v>87.5</v>
      </c>
      <c r="O1118" s="126">
        <v>46216.596307870401</v>
      </c>
      <c r="P1118" s="126">
        <v>46216.596307870401</v>
      </c>
    </row>
    <row r="1119" spans="1:16" ht="15.75" customHeight="1">
      <c r="A1119" s="126">
        <v>46230.015752314801</v>
      </c>
      <c r="B1119" s="7">
        <v>12</v>
      </c>
      <c r="C1119" s="7">
        <v>458</v>
      </c>
      <c r="E1119" s="7" t="s">
        <v>1026</v>
      </c>
      <c r="F1119" s="7" t="s">
        <v>474</v>
      </c>
      <c r="G1119" s="7">
        <v>177</v>
      </c>
      <c r="H1119" s="7" t="s">
        <v>883</v>
      </c>
      <c r="I1119" s="7" t="s">
        <v>878</v>
      </c>
      <c r="J1119" s="7" t="s">
        <v>882</v>
      </c>
      <c r="M1119" s="7"/>
      <c r="N1119" s="7" t="s">
        <v>875</v>
      </c>
      <c r="O1119" s="126"/>
      <c r="P1119" s="126"/>
    </row>
    <row r="1120" spans="1:16" ht="15.75" customHeight="1">
      <c r="A1120" s="126">
        <v>46230.015752314801</v>
      </c>
      <c r="B1120" s="7">
        <v>12</v>
      </c>
      <c r="C1120" s="7">
        <v>458</v>
      </c>
      <c r="E1120" s="7" t="s">
        <v>1026</v>
      </c>
      <c r="F1120" s="7" t="s">
        <v>474</v>
      </c>
      <c r="G1120" s="7">
        <v>176</v>
      </c>
      <c r="H1120" s="7" t="s">
        <v>884</v>
      </c>
      <c r="I1120" s="7" t="s">
        <v>878</v>
      </c>
      <c r="J1120" s="7" t="s">
        <v>882</v>
      </c>
      <c r="M1120" s="7">
        <v>100</v>
      </c>
      <c r="N1120" s="7">
        <v>100</v>
      </c>
      <c r="O1120" s="126">
        <v>46224.576354166697</v>
      </c>
      <c r="P1120" s="126">
        <v>46224.576354166697</v>
      </c>
    </row>
    <row r="1121" spans="1:16" ht="15.75" customHeight="1">
      <c r="A1121" s="126">
        <v>46230.015752314801</v>
      </c>
      <c r="B1121" s="7">
        <v>12</v>
      </c>
      <c r="C1121" s="7">
        <v>458</v>
      </c>
      <c r="E1121" s="7" t="s">
        <v>1026</v>
      </c>
      <c r="F1121" s="7" t="s">
        <v>474</v>
      </c>
      <c r="G1121" s="7">
        <v>168</v>
      </c>
      <c r="H1121" s="7" t="s">
        <v>885</v>
      </c>
      <c r="I1121" s="7" t="s">
        <v>886</v>
      </c>
      <c r="J1121" s="7"/>
      <c r="M1121" s="7">
        <v>100</v>
      </c>
      <c r="N1121" s="7">
        <v>100</v>
      </c>
      <c r="P1121" s="126">
        <v>46210.757013888899</v>
      </c>
    </row>
    <row r="1122" spans="1:16" ht="15.75" customHeight="1">
      <c r="A1122" s="126">
        <v>46230.015752314801</v>
      </c>
      <c r="B1122" s="7">
        <v>12</v>
      </c>
      <c r="C1122" s="7">
        <v>693</v>
      </c>
      <c r="E1122" s="7" t="s">
        <v>1027</v>
      </c>
      <c r="F1122" s="7" t="s">
        <v>727</v>
      </c>
      <c r="G1122" s="7">
        <v>181</v>
      </c>
      <c r="H1122" s="7" t="s">
        <v>873</v>
      </c>
      <c r="I1122" s="7" t="s">
        <v>874</v>
      </c>
      <c r="J1122" s="7"/>
      <c r="M1122" s="7"/>
      <c r="N1122" s="7" t="s">
        <v>875</v>
      </c>
      <c r="O1122" s="126"/>
      <c r="P1122" s="126"/>
    </row>
    <row r="1123" spans="1:16" ht="15.75" customHeight="1">
      <c r="A1123" s="126">
        <v>46230.015752314801</v>
      </c>
      <c r="B1123" s="7">
        <v>12</v>
      </c>
      <c r="C1123" s="7">
        <v>693</v>
      </c>
      <c r="E1123" s="7" t="s">
        <v>1027</v>
      </c>
      <c r="F1123" s="7" t="s">
        <v>727</v>
      </c>
      <c r="G1123" s="7">
        <v>182</v>
      </c>
      <c r="H1123" s="7" t="s">
        <v>876</v>
      </c>
      <c r="I1123" s="7" t="s">
        <v>874</v>
      </c>
      <c r="J1123" s="7"/>
      <c r="M1123" s="7"/>
      <c r="N1123" s="7" t="s">
        <v>875</v>
      </c>
      <c r="P1123" s="126"/>
    </row>
    <row r="1124" spans="1:16" ht="15.75" customHeight="1">
      <c r="A1124" s="126">
        <v>46230.015752314801</v>
      </c>
      <c r="B1124" s="7">
        <v>12</v>
      </c>
      <c r="C1124" s="7">
        <v>693</v>
      </c>
      <c r="D1124" s="7"/>
      <c r="E1124" s="7" t="s">
        <v>1027</v>
      </c>
      <c r="F1124" s="7" t="s">
        <v>727</v>
      </c>
      <c r="G1124" s="7">
        <v>174</v>
      </c>
      <c r="H1124" s="7" t="s">
        <v>877</v>
      </c>
      <c r="I1124" s="7" t="s">
        <v>878</v>
      </c>
      <c r="J1124" s="7" t="s">
        <v>879</v>
      </c>
      <c r="M1124" s="7">
        <v>100</v>
      </c>
      <c r="N1124" s="7">
        <v>100</v>
      </c>
      <c r="O1124" s="126"/>
      <c r="P1124" s="126">
        <v>46209.706956018497</v>
      </c>
    </row>
    <row r="1125" spans="1:16" ht="15.75" customHeight="1">
      <c r="A1125" s="126">
        <v>46230.015752314801</v>
      </c>
      <c r="B1125" s="7">
        <v>12</v>
      </c>
      <c r="C1125" s="7">
        <v>693</v>
      </c>
      <c r="D1125" s="7"/>
      <c r="E1125" s="7" t="s">
        <v>1027</v>
      </c>
      <c r="F1125" s="7" t="s">
        <v>727</v>
      </c>
      <c r="G1125" s="7">
        <v>180</v>
      </c>
      <c r="H1125" s="7" t="s">
        <v>880</v>
      </c>
      <c r="I1125" s="7" t="s">
        <v>874</v>
      </c>
      <c r="J1125" s="7"/>
      <c r="M1125" s="7"/>
      <c r="N1125" s="7" t="s">
        <v>875</v>
      </c>
      <c r="O1125" s="126"/>
      <c r="P1125" s="126"/>
    </row>
    <row r="1126" spans="1:16" ht="15.75" customHeight="1">
      <c r="A1126" s="126">
        <v>46230.015752314801</v>
      </c>
      <c r="B1126" s="7">
        <v>12</v>
      </c>
      <c r="C1126" s="7">
        <v>693</v>
      </c>
      <c r="D1126" s="7"/>
      <c r="E1126" s="7" t="s">
        <v>1027</v>
      </c>
      <c r="F1126" s="7" t="s">
        <v>727</v>
      </c>
      <c r="G1126" s="7">
        <v>175</v>
      </c>
      <c r="H1126" s="7" t="s">
        <v>881</v>
      </c>
      <c r="I1126" s="7" t="s">
        <v>878</v>
      </c>
      <c r="J1126" s="7" t="s">
        <v>882</v>
      </c>
      <c r="M1126" s="7">
        <v>100</v>
      </c>
      <c r="N1126" s="7">
        <v>100</v>
      </c>
      <c r="O1126" s="126">
        <v>46213.688599537003</v>
      </c>
      <c r="P1126" s="126">
        <v>46213.688599537003</v>
      </c>
    </row>
    <row r="1127" spans="1:16" ht="15.75" customHeight="1">
      <c r="A1127" s="126">
        <v>46230.015752314801</v>
      </c>
      <c r="B1127" s="7">
        <v>12</v>
      </c>
      <c r="C1127" s="7">
        <v>693</v>
      </c>
      <c r="D1127" s="7"/>
      <c r="E1127" s="7" t="s">
        <v>1027</v>
      </c>
      <c r="F1127" s="7" t="s">
        <v>727</v>
      </c>
      <c r="G1127" s="7">
        <v>177</v>
      </c>
      <c r="H1127" s="7" t="s">
        <v>883</v>
      </c>
      <c r="I1127" s="7" t="s">
        <v>878</v>
      </c>
      <c r="J1127" s="7" t="s">
        <v>882</v>
      </c>
      <c r="N1127" s="7" t="s">
        <v>875</v>
      </c>
    </row>
    <row r="1128" spans="1:16" ht="15.75" customHeight="1">
      <c r="A1128" s="126">
        <v>46230.015752314801</v>
      </c>
      <c r="B1128" s="7">
        <v>12</v>
      </c>
      <c r="C1128" s="7">
        <v>693</v>
      </c>
      <c r="D1128" s="7"/>
      <c r="E1128" s="7" t="s">
        <v>1027</v>
      </c>
      <c r="F1128" s="7" t="s">
        <v>727</v>
      </c>
      <c r="G1128" s="7">
        <v>176</v>
      </c>
      <c r="H1128" s="7" t="s">
        <v>884</v>
      </c>
      <c r="I1128" s="7" t="s">
        <v>878</v>
      </c>
      <c r="J1128" s="7" t="s">
        <v>882</v>
      </c>
      <c r="M1128" s="7">
        <v>90</v>
      </c>
      <c r="N1128" s="7">
        <v>90</v>
      </c>
      <c r="O1128" s="126">
        <v>46223.928726851896</v>
      </c>
      <c r="P1128" s="126">
        <v>46223.928726851896</v>
      </c>
    </row>
    <row r="1129" spans="1:16" ht="15.75" customHeight="1">
      <c r="A1129" s="126">
        <v>46230.015752314801</v>
      </c>
      <c r="B1129" s="7">
        <v>12</v>
      </c>
      <c r="C1129" s="7">
        <v>693</v>
      </c>
      <c r="D1129" s="7"/>
      <c r="E1129" s="7" t="s">
        <v>1027</v>
      </c>
      <c r="F1129" s="7" t="s">
        <v>727</v>
      </c>
      <c r="G1129" s="7">
        <v>168</v>
      </c>
      <c r="H1129" s="7" t="s">
        <v>885</v>
      </c>
      <c r="I1129" s="7" t="s">
        <v>886</v>
      </c>
      <c r="J1129" s="7"/>
      <c r="M1129" s="7">
        <v>100</v>
      </c>
      <c r="N1129" s="7">
        <v>100</v>
      </c>
      <c r="P1129" s="126">
        <v>46209.706956018497</v>
      </c>
    </row>
    <row r="1130" spans="1:16" ht="15.75" customHeight="1">
      <c r="A1130" s="126">
        <v>46230.015752314801</v>
      </c>
      <c r="B1130" s="7">
        <v>12</v>
      </c>
      <c r="C1130" s="7">
        <v>459</v>
      </c>
      <c r="D1130" s="7"/>
      <c r="E1130" s="7" t="s">
        <v>1028</v>
      </c>
      <c r="F1130" s="7" t="s">
        <v>397</v>
      </c>
      <c r="G1130" s="7">
        <v>181</v>
      </c>
      <c r="H1130" s="7" t="s">
        <v>873</v>
      </c>
      <c r="I1130" s="7" t="s">
        <v>874</v>
      </c>
      <c r="J1130" s="7"/>
      <c r="M1130" s="7"/>
      <c r="N1130" s="7" t="s">
        <v>875</v>
      </c>
      <c r="O1130" s="126"/>
      <c r="P1130" s="126"/>
    </row>
    <row r="1131" spans="1:16" ht="15.75" customHeight="1">
      <c r="A1131" s="126">
        <v>46230.015752314801</v>
      </c>
      <c r="B1131" s="7">
        <v>12</v>
      </c>
      <c r="C1131" s="7">
        <v>459</v>
      </c>
      <c r="D1131" s="7"/>
      <c r="E1131" s="7" t="s">
        <v>1028</v>
      </c>
      <c r="F1131" s="7" t="s">
        <v>397</v>
      </c>
      <c r="G1131" s="7">
        <v>182</v>
      </c>
      <c r="H1131" s="7" t="s">
        <v>876</v>
      </c>
      <c r="I1131" s="7" t="s">
        <v>874</v>
      </c>
      <c r="J1131" s="7"/>
      <c r="M1131" s="7"/>
      <c r="N1131" s="7" t="s">
        <v>875</v>
      </c>
      <c r="O1131" s="126"/>
      <c r="P1131" s="126"/>
    </row>
    <row r="1132" spans="1:16" ht="15.75" customHeight="1">
      <c r="A1132" s="126">
        <v>46230.015752314801</v>
      </c>
      <c r="B1132" s="7">
        <v>12</v>
      </c>
      <c r="C1132" s="7">
        <v>459</v>
      </c>
      <c r="D1132" s="7"/>
      <c r="E1132" s="7" t="s">
        <v>1028</v>
      </c>
      <c r="F1132" s="7" t="s">
        <v>397</v>
      </c>
      <c r="G1132" s="7">
        <v>174</v>
      </c>
      <c r="H1132" s="7" t="s">
        <v>877</v>
      </c>
      <c r="I1132" s="7" t="s">
        <v>878</v>
      </c>
      <c r="J1132" s="7" t="s">
        <v>879</v>
      </c>
      <c r="M1132" s="7">
        <v>100</v>
      </c>
      <c r="N1132" s="7">
        <v>100</v>
      </c>
      <c r="O1132" s="126"/>
      <c r="P1132" s="126">
        <v>46209.706956018497</v>
      </c>
    </row>
    <row r="1133" spans="1:16" ht="15.75" customHeight="1">
      <c r="A1133" s="126">
        <v>46230.015752314801</v>
      </c>
      <c r="B1133" s="7">
        <v>12</v>
      </c>
      <c r="C1133" s="7">
        <v>459</v>
      </c>
      <c r="D1133" s="7"/>
      <c r="E1133" s="7" t="s">
        <v>1028</v>
      </c>
      <c r="F1133" s="7" t="s">
        <v>397</v>
      </c>
      <c r="G1133" s="7">
        <v>180</v>
      </c>
      <c r="H1133" s="7" t="s">
        <v>880</v>
      </c>
      <c r="I1133" s="7" t="s">
        <v>874</v>
      </c>
      <c r="J1133" s="7"/>
      <c r="M1133" s="7"/>
      <c r="N1133" s="7" t="s">
        <v>875</v>
      </c>
      <c r="O1133" s="126"/>
      <c r="P1133" s="126"/>
    </row>
    <row r="1134" spans="1:16" ht="15.75" customHeight="1">
      <c r="A1134" s="126">
        <v>46230.015752314801</v>
      </c>
      <c r="B1134" s="7">
        <v>12</v>
      </c>
      <c r="C1134" s="7">
        <v>459</v>
      </c>
      <c r="D1134" s="7"/>
      <c r="E1134" s="7" t="s">
        <v>1028</v>
      </c>
      <c r="F1134" s="7" t="s">
        <v>397</v>
      </c>
      <c r="G1134" s="7">
        <v>175</v>
      </c>
      <c r="H1134" s="7" t="s">
        <v>881</v>
      </c>
      <c r="I1134" s="7" t="s">
        <v>878</v>
      </c>
      <c r="J1134" s="7" t="s">
        <v>882</v>
      </c>
      <c r="M1134" s="7">
        <v>100</v>
      </c>
      <c r="N1134" s="7">
        <v>100</v>
      </c>
      <c r="O1134" s="126">
        <v>46213.768888888902</v>
      </c>
      <c r="P1134" s="126">
        <v>46213.768888888902</v>
      </c>
    </row>
    <row r="1135" spans="1:16" ht="15.75" customHeight="1">
      <c r="A1135" s="126">
        <v>46230.015752314801</v>
      </c>
      <c r="B1135" s="7">
        <v>12</v>
      </c>
      <c r="C1135" s="7">
        <v>459</v>
      </c>
      <c r="D1135" s="7"/>
      <c r="E1135" s="7" t="s">
        <v>1028</v>
      </c>
      <c r="F1135" s="7" t="s">
        <v>397</v>
      </c>
      <c r="G1135" s="7">
        <v>177</v>
      </c>
      <c r="H1135" s="7" t="s">
        <v>883</v>
      </c>
      <c r="I1135" s="7" t="s">
        <v>878</v>
      </c>
      <c r="J1135" s="7" t="s">
        <v>882</v>
      </c>
      <c r="M1135" s="7"/>
      <c r="N1135" s="7" t="s">
        <v>875</v>
      </c>
      <c r="P1135" s="126"/>
    </row>
    <row r="1136" spans="1:16" ht="15.75" customHeight="1">
      <c r="A1136" s="126">
        <v>46230.015752314801</v>
      </c>
      <c r="B1136" s="7">
        <v>12</v>
      </c>
      <c r="C1136" s="7">
        <v>459</v>
      </c>
      <c r="D1136" s="7"/>
      <c r="E1136" s="7" t="s">
        <v>1028</v>
      </c>
      <c r="F1136" s="7" t="s">
        <v>397</v>
      </c>
      <c r="G1136" s="7">
        <v>176</v>
      </c>
      <c r="H1136" s="7" t="s">
        <v>884</v>
      </c>
      <c r="I1136" s="7" t="s">
        <v>878</v>
      </c>
      <c r="J1136" s="7" t="s">
        <v>882</v>
      </c>
      <c r="M1136" s="7">
        <v>100</v>
      </c>
      <c r="N1136" s="7">
        <v>100</v>
      </c>
      <c r="O1136" s="126">
        <v>46226.834189814799</v>
      </c>
      <c r="P1136" s="126">
        <v>46226.834189814799</v>
      </c>
    </row>
    <row r="1137" spans="1:16" ht="15.75" customHeight="1">
      <c r="A1137" s="126">
        <v>46230.015752314801</v>
      </c>
      <c r="B1137" s="7">
        <v>12</v>
      </c>
      <c r="C1137" s="7">
        <v>459</v>
      </c>
      <c r="D1137" s="7"/>
      <c r="E1137" s="7" t="s">
        <v>1028</v>
      </c>
      <c r="F1137" s="7" t="s">
        <v>397</v>
      </c>
      <c r="G1137" s="7">
        <v>168</v>
      </c>
      <c r="H1137" s="7" t="s">
        <v>885</v>
      </c>
      <c r="I1137" s="7" t="s">
        <v>886</v>
      </c>
      <c r="J1137" s="7"/>
      <c r="M1137" s="7">
        <v>100</v>
      </c>
      <c r="N1137" s="7">
        <v>100</v>
      </c>
      <c r="O1137" s="126"/>
      <c r="P1137" s="126">
        <v>46209.706956018497</v>
      </c>
    </row>
    <row r="1138" spans="1:16" ht="15.75" customHeight="1">
      <c r="A1138" s="126">
        <v>46230.015752314801</v>
      </c>
      <c r="B1138" s="7">
        <v>12</v>
      </c>
      <c r="C1138" s="7">
        <v>311</v>
      </c>
      <c r="D1138" s="7"/>
      <c r="E1138" s="7" t="s">
        <v>1029</v>
      </c>
      <c r="F1138" s="7" t="s">
        <v>168</v>
      </c>
      <c r="G1138" s="7">
        <v>181</v>
      </c>
      <c r="H1138" s="7" t="s">
        <v>873</v>
      </c>
      <c r="I1138" s="7" t="s">
        <v>874</v>
      </c>
      <c r="J1138" s="7"/>
      <c r="M1138" s="7"/>
      <c r="N1138" s="7" t="s">
        <v>875</v>
      </c>
      <c r="O1138" s="126"/>
      <c r="P1138" s="126"/>
    </row>
    <row r="1139" spans="1:16" ht="15.75" customHeight="1">
      <c r="A1139" s="126">
        <v>46230.015752314801</v>
      </c>
      <c r="B1139" s="7">
        <v>12</v>
      </c>
      <c r="C1139" s="7">
        <v>311</v>
      </c>
      <c r="D1139" s="7"/>
      <c r="E1139" s="7" t="s">
        <v>1029</v>
      </c>
      <c r="F1139" s="7" t="s">
        <v>168</v>
      </c>
      <c r="G1139" s="7">
        <v>182</v>
      </c>
      <c r="H1139" s="7" t="s">
        <v>876</v>
      </c>
      <c r="I1139" s="7" t="s">
        <v>874</v>
      </c>
      <c r="J1139" s="7"/>
      <c r="M1139" s="7"/>
      <c r="N1139" s="7" t="s">
        <v>875</v>
      </c>
      <c r="P1139" s="126"/>
    </row>
    <row r="1140" spans="1:16" ht="15.75" customHeight="1">
      <c r="A1140" s="126">
        <v>46230.015752314801</v>
      </c>
      <c r="B1140" s="7">
        <v>12</v>
      </c>
      <c r="C1140" s="7">
        <v>311</v>
      </c>
      <c r="D1140" s="7"/>
      <c r="E1140" s="7" t="s">
        <v>1029</v>
      </c>
      <c r="F1140" s="7" t="s">
        <v>168</v>
      </c>
      <c r="G1140" s="7">
        <v>174</v>
      </c>
      <c r="H1140" s="7" t="s">
        <v>877</v>
      </c>
      <c r="I1140" s="7" t="s">
        <v>878</v>
      </c>
      <c r="J1140" s="7" t="s">
        <v>879</v>
      </c>
      <c r="M1140" s="7">
        <v>100</v>
      </c>
      <c r="N1140" s="7">
        <v>100</v>
      </c>
      <c r="O1140" s="126"/>
      <c r="P1140" s="126">
        <v>46209.706967592603</v>
      </c>
    </row>
    <row r="1141" spans="1:16" ht="15.75" customHeight="1">
      <c r="A1141" s="126">
        <v>46230.015752314801</v>
      </c>
      <c r="B1141" s="7">
        <v>12</v>
      </c>
      <c r="C1141" s="7">
        <v>311</v>
      </c>
      <c r="D1141" s="7"/>
      <c r="E1141" s="7" t="s">
        <v>1029</v>
      </c>
      <c r="F1141" s="7" t="s">
        <v>168</v>
      </c>
      <c r="G1141" s="7">
        <v>180</v>
      </c>
      <c r="H1141" s="7" t="s">
        <v>880</v>
      </c>
      <c r="I1141" s="7" t="s">
        <v>874</v>
      </c>
      <c r="J1141" s="7"/>
      <c r="M1141" s="7"/>
      <c r="N1141" s="7" t="s">
        <v>875</v>
      </c>
      <c r="O1141" s="126"/>
      <c r="P1141" s="126"/>
    </row>
    <row r="1142" spans="1:16" ht="15.75" customHeight="1">
      <c r="A1142" s="126">
        <v>46230.015752314801</v>
      </c>
      <c r="B1142" s="7">
        <v>12</v>
      </c>
      <c r="C1142" s="7">
        <v>311</v>
      </c>
      <c r="D1142" s="7"/>
      <c r="E1142" s="7" t="s">
        <v>1029</v>
      </c>
      <c r="F1142" s="7" t="s">
        <v>168</v>
      </c>
      <c r="G1142" s="7">
        <v>175</v>
      </c>
      <c r="H1142" s="7" t="s">
        <v>881</v>
      </c>
      <c r="I1142" s="7" t="s">
        <v>878</v>
      </c>
      <c r="J1142" s="7" t="s">
        <v>882</v>
      </c>
      <c r="M1142" s="7">
        <v>87.5</v>
      </c>
      <c r="N1142" s="7">
        <v>87.5</v>
      </c>
      <c r="O1142" s="126">
        <v>46216.440682870401</v>
      </c>
      <c r="P1142" s="126">
        <v>46216.440682870401</v>
      </c>
    </row>
    <row r="1143" spans="1:16" ht="15.75" customHeight="1">
      <c r="A1143" s="126">
        <v>46230.015752314801</v>
      </c>
      <c r="B1143" s="7">
        <v>12</v>
      </c>
      <c r="C1143" s="7">
        <v>311</v>
      </c>
      <c r="D1143" s="7"/>
      <c r="E1143" s="7" t="s">
        <v>1029</v>
      </c>
      <c r="F1143" s="7" t="s">
        <v>168</v>
      </c>
      <c r="G1143" s="7">
        <v>177</v>
      </c>
      <c r="H1143" s="7" t="s">
        <v>883</v>
      </c>
      <c r="I1143" s="7" t="s">
        <v>878</v>
      </c>
      <c r="J1143" s="7" t="s">
        <v>882</v>
      </c>
      <c r="M1143" s="7"/>
      <c r="N1143" s="7" t="s">
        <v>875</v>
      </c>
      <c r="O1143" s="126"/>
      <c r="P1143" s="126"/>
    </row>
    <row r="1144" spans="1:16" ht="15.75" customHeight="1">
      <c r="A1144" s="126">
        <v>46230.015752314801</v>
      </c>
      <c r="B1144" s="7">
        <v>12</v>
      </c>
      <c r="C1144" s="7">
        <v>311</v>
      </c>
      <c r="D1144" s="7"/>
      <c r="E1144" s="7" t="s">
        <v>1029</v>
      </c>
      <c r="F1144" s="7" t="s">
        <v>168</v>
      </c>
      <c r="G1144" s="7">
        <v>176</v>
      </c>
      <c r="H1144" s="7" t="s">
        <v>884</v>
      </c>
      <c r="I1144" s="7" t="s">
        <v>878</v>
      </c>
      <c r="J1144" s="7" t="s">
        <v>882</v>
      </c>
      <c r="M1144" s="7">
        <v>90</v>
      </c>
      <c r="N1144" s="7">
        <v>90</v>
      </c>
      <c r="O1144" s="126">
        <v>46225.618750000001</v>
      </c>
      <c r="P1144" s="126">
        <v>46225.618750000001</v>
      </c>
    </row>
    <row r="1145" spans="1:16" ht="15.75" customHeight="1">
      <c r="A1145" s="126">
        <v>46230.015752314801</v>
      </c>
      <c r="B1145" s="7">
        <v>12</v>
      </c>
      <c r="C1145" s="7">
        <v>311</v>
      </c>
      <c r="D1145" s="7"/>
      <c r="E1145" s="7" t="s">
        <v>1029</v>
      </c>
      <c r="F1145" s="7" t="s">
        <v>168</v>
      </c>
      <c r="G1145" s="7">
        <v>168</v>
      </c>
      <c r="H1145" s="7" t="s">
        <v>885</v>
      </c>
      <c r="I1145" s="7" t="s">
        <v>886</v>
      </c>
      <c r="J1145" s="7"/>
      <c r="M1145" s="7">
        <v>100</v>
      </c>
      <c r="N1145" s="7">
        <v>100</v>
      </c>
      <c r="P1145" s="126">
        <v>46209.706967592603</v>
      </c>
    </row>
    <row r="1146" spans="1:16" ht="15.75" customHeight="1">
      <c r="A1146" s="126">
        <v>46230.015752314801</v>
      </c>
      <c r="B1146" s="7">
        <v>12</v>
      </c>
      <c r="C1146" s="7">
        <v>634</v>
      </c>
      <c r="D1146" s="7"/>
      <c r="E1146" s="7" t="s">
        <v>1030</v>
      </c>
      <c r="F1146" s="7" t="s">
        <v>267</v>
      </c>
      <c r="G1146" s="7">
        <v>181</v>
      </c>
      <c r="H1146" s="7" t="s">
        <v>873</v>
      </c>
      <c r="I1146" s="7" t="s">
        <v>874</v>
      </c>
      <c r="J1146" s="7"/>
      <c r="M1146" s="7"/>
      <c r="N1146" s="7" t="s">
        <v>875</v>
      </c>
      <c r="P1146" s="126"/>
    </row>
    <row r="1147" spans="1:16" ht="15.75" customHeight="1">
      <c r="A1147" s="126">
        <v>46230.015752314801</v>
      </c>
      <c r="B1147" s="7">
        <v>12</v>
      </c>
      <c r="C1147" s="7">
        <v>634</v>
      </c>
      <c r="D1147" s="7"/>
      <c r="E1147" s="7" t="s">
        <v>1030</v>
      </c>
      <c r="F1147" s="7" t="s">
        <v>267</v>
      </c>
      <c r="G1147" s="7">
        <v>182</v>
      </c>
      <c r="H1147" s="7" t="s">
        <v>876</v>
      </c>
      <c r="I1147" s="7" t="s">
        <v>874</v>
      </c>
      <c r="J1147" s="7"/>
      <c r="M1147" s="7"/>
      <c r="N1147" s="7" t="s">
        <v>875</v>
      </c>
      <c r="P1147" s="126"/>
    </row>
    <row r="1148" spans="1:16" ht="15.75" customHeight="1">
      <c r="A1148" s="126">
        <v>46230.015752314801</v>
      </c>
      <c r="B1148" s="7">
        <v>12</v>
      </c>
      <c r="C1148" s="7">
        <v>634</v>
      </c>
      <c r="D1148" s="7"/>
      <c r="E1148" s="7" t="s">
        <v>1030</v>
      </c>
      <c r="F1148" s="7" t="s">
        <v>267</v>
      </c>
      <c r="G1148" s="7">
        <v>174</v>
      </c>
      <c r="H1148" s="7" t="s">
        <v>877</v>
      </c>
      <c r="I1148" s="7" t="s">
        <v>878</v>
      </c>
      <c r="J1148" s="7" t="s">
        <v>879</v>
      </c>
      <c r="M1148" s="7">
        <v>100</v>
      </c>
      <c r="N1148" s="7">
        <v>100</v>
      </c>
      <c r="O1148" s="126"/>
      <c r="P1148" s="126">
        <v>46209.709745370397</v>
      </c>
    </row>
    <row r="1149" spans="1:16" ht="15.75" customHeight="1">
      <c r="A1149" s="126">
        <v>46230.015752314801</v>
      </c>
      <c r="B1149" s="7">
        <v>12</v>
      </c>
      <c r="C1149" s="7">
        <v>634</v>
      </c>
      <c r="D1149" s="7"/>
      <c r="E1149" s="7" t="s">
        <v>1030</v>
      </c>
      <c r="F1149" s="7" t="s">
        <v>267</v>
      </c>
      <c r="G1149" s="7">
        <v>180</v>
      </c>
      <c r="H1149" s="7" t="s">
        <v>880</v>
      </c>
      <c r="I1149" s="7" t="s">
        <v>874</v>
      </c>
      <c r="J1149" s="7"/>
      <c r="M1149" s="7"/>
      <c r="N1149" s="7" t="s">
        <v>875</v>
      </c>
      <c r="O1149" s="126"/>
      <c r="P1149" s="126"/>
    </row>
    <row r="1150" spans="1:16" ht="15.75" customHeight="1">
      <c r="A1150" s="126">
        <v>46230.015752314801</v>
      </c>
      <c r="B1150" s="7">
        <v>12</v>
      </c>
      <c r="C1150" s="7">
        <v>634</v>
      </c>
      <c r="D1150" s="7"/>
      <c r="E1150" s="7" t="s">
        <v>1030</v>
      </c>
      <c r="F1150" s="7" t="s">
        <v>267</v>
      </c>
      <c r="G1150" s="7">
        <v>175</v>
      </c>
      <c r="H1150" s="7" t="s">
        <v>881</v>
      </c>
      <c r="I1150" s="7" t="s">
        <v>878</v>
      </c>
      <c r="J1150" s="7" t="s">
        <v>882</v>
      </c>
      <c r="M1150" s="7">
        <v>100</v>
      </c>
      <c r="N1150" s="7">
        <v>100</v>
      </c>
      <c r="O1150" s="126">
        <v>46216.547870370399</v>
      </c>
      <c r="P1150" s="126">
        <v>46216.547870370399</v>
      </c>
    </row>
    <row r="1151" spans="1:16" ht="15.75" customHeight="1">
      <c r="A1151" s="126">
        <v>46230.015752314801</v>
      </c>
      <c r="B1151" s="7">
        <v>12</v>
      </c>
      <c r="C1151" s="7">
        <v>634</v>
      </c>
      <c r="D1151" s="7"/>
      <c r="E1151" s="7" t="s">
        <v>1030</v>
      </c>
      <c r="F1151" s="7" t="s">
        <v>267</v>
      </c>
      <c r="G1151" s="7">
        <v>177</v>
      </c>
      <c r="H1151" s="7" t="s">
        <v>883</v>
      </c>
      <c r="I1151" s="7" t="s">
        <v>878</v>
      </c>
      <c r="J1151" s="7" t="s">
        <v>882</v>
      </c>
      <c r="M1151" s="7"/>
      <c r="N1151" s="7" t="s">
        <v>875</v>
      </c>
      <c r="O1151" s="126"/>
      <c r="P1151" s="126"/>
    </row>
    <row r="1152" spans="1:16" ht="15.75" customHeight="1">
      <c r="A1152" s="126">
        <v>46230.015752314801</v>
      </c>
      <c r="B1152" s="7">
        <v>12</v>
      </c>
      <c r="C1152" s="7">
        <v>634</v>
      </c>
      <c r="D1152" s="7"/>
      <c r="E1152" s="7" t="s">
        <v>1030</v>
      </c>
      <c r="F1152" s="7" t="s">
        <v>267</v>
      </c>
      <c r="G1152" s="7">
        <v>176</v>
      </c>
      <c r="H1152" s="7" t="s">
        <v>884</v>
      </c>
      <c r="I1152" s="7" t="s">
        <v>878</v>
      </c>
      <c r="J1152" s="7" t="s">
        <v>882</v>
      </c>
      <c r="M1152" s="7">
        <v>100</v>
      </c>
      <c r="N1152" s="7">
        <v>100</v>
      </c>
      <c r="O1152" s="126">
        <v>46224.7750115741</v>
      </c>
      <c r="P1152" s="126">
        <v>46224.7750115741</v>
      </c>
    </row>
    <row r="1153" spans="1:16" ht="15.75" customHeight="1">
      <c r="A1153" s="126">
        <v>46230.015752314801</v>
      </c>
      <c r="B1153" s="7">
        <v>12</v>
      </c>
      <c r="C1153" s="7">
        <v>634</v>
      </c>
      <c r="D1153" s="7"/>
      <c r="E1153" s="7" t="s">
        <v>1030</v>
      </c>
      <c r="F1153" s="7" t="s">
        <v>267</v>
      </c>
      <c r="G1153" s="7">
        <v>168</v>
      </c>
      <c r="H1153" s="7" t="s">
        <v>885</v>
      </c>
      <c r="I1153" s="7" t="s">
        <v>886</v>
      </c>
      <c r="M1153" s="7">
        <v>100</v>
      </c>
      <c r="N1153" s="7">
        <v>100</v>
      </c>
      <c r="P1153" s="126">
        <v>46209.709745370397</v>
      </c>
    </row>
    <row r="1154" spans="1:16" ht="15.75" customHeight="1">
      <c r="A1154" s="126">
        <v>46230.015752314801</v>
      </c>
      <c r="B1154" s="7">
        <v>12</v>
      </c>
      <c r="C1154" s="7">
        <v>384</v>
      </c>
      <c r="E1154" s="7" t="s">
        <v>1031</v>
      </c>
      <c r="F1154" s="7" t="s">
        <v>640</v>
      </c>
      <c r="G1154" s="7">
        <v>181</v>
      </c>
      <c r="H1154" s="7" t="s">
        <v>873</v>
      </c>
      <c r="I1154" s="7" t="s">
        <v>874</v>
      </c>
      <c r="J1154" s="7"/>
      <c r="M1154" s="7"/>
      <c r="N1154" s="7" t="s">
        <v>875</v>
      </c>
      <c r="O1154" s="126"/>
      <c r="P1154" s="126"/>
    </row>
    <row r="1155" spans="1:16" ht="15.75" customHeight="1">
      <c r="A1155" s="126">
        <v>46230.015752314801</v>
      </c>
      <c r="B1155" s="7">
        <v>12</v>
      </c>
      <c r="C1155" s="7">
        <v>384</v>
      </c>
      <c r="E1155" s="7" t="s">
        <v>1031</v>
      </c>
      <c r="F1155" s="7" t="s">
        <v>640</v>
      </c>
      <c r="G1155" s="7">
        <v>182</v>
      </c>
      <c r="H1155" s="7" t="s">
        <v>876</v>
      </c>
      <c r="I1155" s="7" t="s">
        <v>874</v>
      </c>
      <c r="J1155" s="7"/>
      <c r="M1155" s="7"/>
      <c r="N1155" s="7" t="s">
        <v>875</v>
      </c>
      <c r="O1155" s="126"/>
      <c r="P1155" s="126"/>
    </row>
    <row r="1156" spans="1:16" ht="15.75" customHeight="1">
      <c r="A1156" s="126">
        <v>46230.015752314801</v>
      </c>
      <c r="B1156" s="7">
        <v>12</v>
      </c>
      <c r="C1156" s="7">
        <v>384</v>
      </c>
      <c r="E1156" s="7" t="s">
        <v>1031</v>
      </c>
      <c r="F1156" s="7" t="s">
        <v>640</v>
      </c>
      <c r="G1156" s="7">
        <v>174</v>
      </c>
      <c r="H1156" s="7" t="s">
        <v>877</v>
      </c>
      <c r="I1156" s="7" t="s">
        <v>878</v>
      </c>
      <c r="J1156" s="7" t="s">
        <v>879</v>
      </c>
      <c r="M1156" s="7">
        <v>100</v>
      </c>
      <c r="N1156" s="7">
        <v>100</v>
      </c>
      <c r="O1156" s="126"/>
      <c r="P1156" s="126">
        <v>46210.4160416667</v>
      </c>
    </row>
    <row r="1157" spans="1:16" ht="15.75" customHeight="1">
      <c r="A1157" s="126">
        <v>46230.015752314801</v>
      </c>
      <c r="B1157" s="7">
        <v>12</v>
      </c>
      <c r="C1157" s="7">
        <v>384</v>
      </c>
      <c r="E1157" s="7" t="s">
        <v>1031</v>
      </c>
      <c r="F1157" s="7" t="s">
        <v>640</v>
      </c>
      <c r="G1157" s="7">
        <v>180</v>
      </c>
      <c r="H1157" s="7" t="s">
        <v>880</v>
      </c>
      <c r="I1157" s="7" t="s">
        <v>874</v>
      </c>
      <c r="J1157" s="7"/>
      <c r="M1157" s="7"/>
      <c r="N1157" s="7" t="s">
        <v>875</v>
      </c>
      <c r="O1157" s="126"/>
      <c r="P1157" s="126"/>
    </row>
    <row r="1158" spans="1:16" ht="15.75" customHeight="1">
      <c r="A1158" s="126">
        <v>46230.015752314801</v>
      </c>
      <c r="B1158" s="7">
        <v>12</v>
      </c>
      <c r="C1158" s="7">
        <v>384</v>
      </c>
      <c r="E1158" s="7" t="s">
        <v>1031</v>
      </c>
      <c r="F1158" s="7" t="s">
        <v>640</v>
      </c>
      <c r="G1158" s="7">
        <v>175</v>
      </c>
      <c r="H1158" s="7" t="s">
        <v>881</v>
      </c>
      <c r="I1158" s="7" t="s">
        <v>878</v>
      </c>
      <c r="J1158" s="7" t="s">
        <v>882</v>
      </c>
      <c r="M1158" s="7">
        <v>87.5</v>
      </c>
      <c r="N1158" s="7">
        <v>87.5</v>
      </c>
      <c r="O1158" s="126">
        <v>46215.487465277802</v>
      </c>
      <c r="P1158" s="126">
        <v>46215.487465277802</v>
      </c>
    </row>
    <row r="1159" spans="1:16" ht="15.75" customHeight="1">
      <c r="A1159" s="126">
        <v>46230.015752314801</v>
      </c>
      <c r="B1159" s="7">
        <v>12</v>
      </c>
      <c r="C1159" s="7">
        <v>384</v>
      </c>
      <c r="E1159" s="7" t="s">
        <v>1031</v>
      </c>
      <c r="F1159" s="7" t="s">
        <v>640</v>
      </c>
      <c r="G1159" s="7">
        <v>177</v>
      </c>
      <c r="H1159" s="7" t="s">
        <v>883</v>
      </c>
      <c r="I1159" s="7" t="s">
        <v>878</v>
      </c>
      <c r="J1159" s="7" t="s">
        <v>882</v>
      </c>
      <c r="M1159" s="7"/>
      <c r="N1159" s="7" t="s">
        <v>875</v>
      </c>
      <c r="P1159" s="126"/>
    </row>
    <row r="1160" spans="1:16" ht="15.75" customHeight="1">
      <c r="A1160" s="126">
        <v>46230.015752314801</v>
      </c>
      <c r="B1160" s="7">
        <v>12</v>
      </c>
      <c r="C1160" s="7">
        <v>384</v>
      </c>
      <c r="D1160" s="7"/>
      <c r="E1160" s="7" t="s">
        <v>1031</v>
      </c>
      <c r="F1160" s="7" t="s">
        <v>640</v>
      </c>
      <c r="G1160" s="7">
        <v>176</v>
      </c>
      <c r="H1160" s="7" t="s">
        <v>884</v>
      </c>
      <c r="I1160" s="7" t="s">
        <v>878</v>
      </c>
      <c r="J1160" s="7" t="s">
        <v>882</v>
      </c>
      <c r="M1160" s="7">
        <v>100</v>
      </c>
      <c r="N1160" s="7">
        <v>100</v>
      </c>
      <c r="O1160" s="126">
        <v>46224.427847222199</v>
      </c>
      <c r="P1160" s="126">
        <v>46224.427847222199</v>
      </c>
    </row>
    <row r="1161" spans="1:16" ht="15.75" customHeight="1">
      <c r="A1161" s="126">
        <v>46230.015752314801</v>
      </c>
      <c r="B1161" s="7">
        <v>12</v>
      </c>
      <c r="C1161" s="7">
        <v>384</v>
      </c>
      <c r="D1161" s="7"/>
      <c r="E1161" s="7" t="s">
        <v>1031</v>
      </c>
      <c r="F1161" s="7" t="s">
        <v>640</v>
      </c>
      <c r="G1161" s="7">
        <v>168</v>
      </c>
      <c r="H1161" s="7" t="s">
        <v>885</v>
      </c>
      <c r="I1161" s="7" t="s">
        <v>886</v>
      </c>
      <c r="J1161" s="7"/>
      <c r="M1161" s="7">
        <v>100</v>
      </c>
      <c r="N1161" s="7">
        <v>100</v>
      </c>
      <c r="O1161" s="126"/>
      <c r="P1161" s="126">
        <v>46210.4160416667</v>
      </c>
    </row>
    <row r="1162" spans="1:16" ht="15.75" customHeight="1">
      <c r="A1162" s="126">
        <v>46230.015752314801</v>
      </c>
      <c r="B1162" s="7">
        <v>12</v>
      </c>
      <c r="C1162" s="7">
        <v>672</v>
      </c>
      <c r="D1162" s="7"/>
      <c r="E1162" s="7" t="s">
        <v>1032</v>
      </c>
      <c r="F1162" s="7" t="s">
        <v>696</v>
      </c>
      <c r="G1162" s="7">
        <v>181</v>
      </c>
      <c r="H1162" s="7" t="s">
        <v>873</v>
      </c>
      <c r="I1162" s="7" t="s">
        <v>874</v>
      </c>
      <c r="J1162" s="7"/>
      <c r="M1162" s="7"/>
      <c r="N1162" s="7" t="s">
        <v>875</v>
      </c>
      <c r="O1162" s="126"/>
      <c r="P1162" s="126"/>
    </row>
    <row r="1163" spans="1:16" ht="15.75" customHeight="1">
      <c r="A1163" s="126">
        <v>46230.015752314801</v>
      </c>
      <c r="B1163" s="7">
        <v>12</v>
      </c>
      <c r="C1163" s="7">
        <v>672</v>
      </c>
      <c r="D1163" s="7"/>
      <c r="E1163" s="7" t="s">
        <v>1032</v>
      </c>
      <c r="F1163" s="7" t="s">
        <v>696</v>
      </c>
      <c r="G1163" s="7">
        <v>182</v>
      </c>
      <c r="H1163" s="7" t="s">
        <v>876</v>
      </c>
      <c r="I1163" s="7" t="s">
        <v>874</v>
      </c>
      <c r="J1163" s="7"/>
      <c r="M1163" s="7"/>
      <c r="N1163" s="7" t="s">
        <v>875</v>
      </c>
      <c r="P1163" s="126"/>
    </row>
    <row r="1164" spans="1:16" ht="15.75" customHeight="1">
      <c r="A1164" s="126">
        <v>46230.015752314801</v>
      </c>
      <c r="B1164" s="7">
        <v>12</v>
      </c>
      <c r="C1164" s="7">
        <v>672</v>
      </c>
      <c r="D1164" s="7"/>
      <c r="E1164" s="7" t="s">
        <v>1032</v>
      </c>
      <c r="F1164" s="7" t="s">
        <v>696</v>
      </c>
      <c r="G1164" s="7">
        <v>174</v>
      </c>
      <c r="H1164" s="7" t="s">
        <v>877</v>
      </c>
      <c r="I1164" s="7" t="s">
        <v>878</v>
      </c>
      <c r="J1164" s="7" t="s">
        <v>879</v>
      </c>
      <c r="M1164" s="7">
        <v>100</v>
      </c>
      <c r="N1164" s="7">
        <v>100</v>
      </c>
      <c r="P1164" s="126">
        <v>46209.706967592603</v>
      </c>
    </row>
    <row r="1165" spans="1:16" ht="15.75" customHeight="1">
      <c r="A1165" s="126">
        <v>46230.015752314801</v>
      </c>
      <c r="B1165" s="7">
        <v>12</v>
      </c>
      <c r="C1165" s="7">
        <v>672</v>
      </c>
      <c r="D1165" s="7"/>
      <c r="E1165" s="7" t="s">
        <v>1032</v>
      </c>
      <c r="F1165" s="7" t="s">
        <v>696</v>
      </c>
      <c r="G1165" s="7">
        <v>180</v>
      </c>
      <c r="H1165" s="7" t="s">
        <v>880</v>
      </c>
      <c r="I1165" s="7" t="s">
        <v>874</v>
      </c>
      <c r="J1165" s="7"/>
      <c r="M1165" s="7"/>
      <c r="N1165" s="7" t="s">
        <v>875</v>
      </c>
      <c r="O1165" s="126"/>
      <c r="P1165" s="126"/>
    </row>
    <row r="1166" spans="1:16" ht="15.75" customHeight="1">
      <c r="A1166" s="126">
        <v>46230.015752314801</v>
      </c>
      <c r="B1166" s="7">
        <v>12</v>
      </c>
      <c r="C1166" s="7">
        <v>672</v>
      </c>
      <c r="D1166" s="7"/>
      <c r="E1166" s="7" t="s">
        <v>1032</v>
      </c>
      <c r="F1166" s="7" t="s">
        <v>696</v>
      </c>
      <c r="G1166" s="7">
        <v>175</v>
      </c>
      <c r="H1166" s="7" t="s">
        <v>881</v>
      </c>
      <c r="I1166" s="7" t="s">
        <v>878</v>
      </c>
      <c r="J1166" s="7" t="s">
        <v>882</v>
      </c>
      <c r="M1166" s="7">
        <v>100</v>
      </c>
      <c r="N1166" s="7">
        <v>100</v>
      </c>
      <c r="O1166" s="126">
        <v>46216.480937499997</v>
      </c>
      <c r="P1166" s="126">
        <v>46216.480937499997</v>
      </c>
    </row>
    <row r="1167" spans="1:16" ht="15.75" customHeight="1">
      <c r="A1167" s="126">
        <v>46230.015752314801</v>
      </c>
      <c r="B1167" s="7">
        <v>12</v>
      </c>
      <c r="C1167" s="7">
        <v>672</v>
      </c>
      <c r="D1167" s="7"/>
      <c r="E1167" s="7" t="s">
        <v>1032</v>
      </c>
      <c r="F1167" s="7" t="s">
        <v>696</v>
      </c>
      <c r="G1167" s="7">
        <v>177</v>
      </c>
      <c r="H1167" s="7" t="s">
        <v>883</v>
      </c>
      <c r="I1167" s="7" t="s">
        <v>878</v>
      </c>
      <c r="J1167" s="7" t="s">
        <v>882</v>
      </c>
      <c r="M1167" s="7"/>
      <c r="N1167" s="7" t="s">
        <v>875</v>
      </c>
      <c r="O1167" s="126"/>
      <c r="P1167" s="126"/>
    </row>
    <row r="1168" spans="1:16" ht="15.75" customHeight="1">
      <c r="A1168" s="126">
        <v>46230.015752314801</v>
      </c>
      <c r="B1168" s="7">
        <v>12</v>
      </c>
      <c r="C1168" s="7">
        <v>672</v>
      </c>
      <c r="D1168" s="7"/>
      <c r="E1168" s="7" t="s">
        <v>1032</v>
      </c>
      <c r="F1168" s="7" t="s">
        <v>696</v>
      </c>
      <c r="G1168" s="7">
        <v>176</v>
      </c>
      <c r="H1168" s="7" t="s">
        <v>884</v>
      </c>
      <c r="I1168" s="7" t="s">
        <v>878</v>
      </c>
      <c r="J1168" s="7" t="s">
        <v>882</v>
      </c>
      <c r="M1168" s="7">
        <v>90</v>
      </c>
      <c r="N1168" s="7">
        <v>90</v>
      </c>
      <c r="O1168" s="126">
        <v>46229.844814814802</v>
      </c>
      <c r="P1168" s="126">
        <v>46229.844814814802</v>
      </c>
    </row>
    <row r="1169" spans="1:16" ht="15.75" customHeight="1">
      <c r="A1169" s="126">
        <v>46230.015752314801</v>
      </c>
      <c r="B1169" s="7">
        <v>12</v>
      </c>
      <c r="C1169" s="7">
        <v>672</v>
      </c>
      <c r="D1169" s="7"/>
      <c r="E1169" s="7" t="s">
        <v>1032</v>
      </c>
      <c r="F1169" s="7" t="s">
        <v>696</v>
      </c>
      <c r="G1169" s="7">
        <v>168</v>
      </c>
      <c r="H1169" s="7" t="s">
        <v>885</v>
      </c>
      <c r="I1169" s="7" t="s">
        <v>886</v>
      </c>
      <c r="J1169" s="7"/>
      <c r="M1169" s="7">
        <v>100</v>
      </c>
      <c r="N1169" s="7">
        <v>100</v>
      </c>
      <c r="O1169" s="126"/>
      <c r="P1169" s="126">
        <v>46209.706967592603</v>
      </c>
    </row>
    <row r="1170" spans="1:16" ht="15.75" customHeight="1">
      <c r="A1170" s="126">
        <v>46230.015752314801</v>
      </c>
      <c r="B1170" s="7">
        <v>12</v>
      </c>
      <c r="C1170" s="7">
        <v>427</v>
      </c>
      <c r="D1170" s="7"/>
      <c r="E1170" s="7" t="s">
        <v>1033</v>
      </c>
      <c r="F1170" s="7" t="s">
        <v>489</v>
      </c>
      <c r="G1170" s="7">
        <v>181</v>
      </c>
      <c r="H1170" s="7" t="s">
        <v>873</v>
      </c>
      <c r="I1170" s="7" t="s">
        <v>874</v>
      </c>
      <c r="J1170" s="7"/>
      <c r="M1170" s="7"/>
      <c r="N1170" s="7" t="s">
        <v>875</v>
      </c>
      <c r="P1170" s="126"/>
    </row>
    <row r="1171" spans="1:16" ht="15.75" customHeight="1">
      <c r="A1171" s="126">
        <v>46230.015752314801</v>
      </c>
      <c r="B1171" s="7">
        <v>12</v>
      </c>
      <c r="C1171" s="7">
        <v>427</v>
      </c>
      <c r="D1171" s="7"/>
      <c r="E1171" s="7" t="s">
        <v>1033</v>
      </c>
      <c r="F1171" s="7" t="s">
        <v>489</v>
      </c>
      <c r="G1171" s="7">
        <v>182</v>
      </c>
      <c r="H1171" s="7" t="s">
        <v>876</v>
      </c>
      <c r="I1171" s="7" t="s">
        <v>874</v>
      </c>
      <c r="J1171" s="7"/>
      <c r="M1171" s="7"/>
      <c r="N1171" s="7" t="s">
        <v>875</v>
      </c>
      <c r="P1171" s="126"/>
    </row>
    <row r="1172" spans="1:16" ht="15.75" customHeight="1">
      <c r="A1172" s="126">
        <v>46230.015752314801</v>
      </c>
      <c r="B1172" s="7">
        <v>12</v>
      </c>
      <c r="C1172" s="7">
        <v>427</v>
      </c>
      <c r="D1172" s="7"/>
      <c r="E1172" s="7" t="s">
        <v>1033</v>
      </c>
      <c r="F1172" s="7" t="s">
        <v>489</v>
      </c>
      <c r="G1172" s="7">
        <v>174</v>
      </c>
      <c r="H1172" s="7" t="s">
        <v>877</v>
      </c>
      <c r="I1172" s="7" t="s">
        <v>878</v>
      </c>
      <c r="J1172" s="7" t="s">
        <v>879</v>
      </c>
      <c r="M1172" s="7">
        <v>100</v>
      </c>
      <c r="N1172" s="7">
        <v>100</v>
      </c>
      <c r="O1172" s="126"/>
      <c r="P1172" s="126">
        <v>46209.706979166702</v>
      </c>
    </row>
    <row r="1173" spans="1:16" ht="15.75" customHeight="1">
      <c r="A1173" s="126">
        <v>46230.015752314801</v>
      </c>
      <c r="B1173" s="7">
        <v>12</v>
      </c>
      <c r="C1173" s="7">
        <v>427</v>
      </c>
      <c r="D1173" s="7"/>
      <c r="E1173" s="7" t="s">
        <v>1033</v>
      </c>
      <c r="F1173" s="7" t="s">
        <v>489</v>
      </c>
      <c r="G1173" s="7">
        <v>180</v>
      </c>
      <c r="H1173" s="7" t="s">
        <v>880</v>
      </c>
      <c r="I1173" s="7" t="s">
        <v>874</v>
      </c>
      <c r="J1173" s="7"/>
      <c r="M1173" s="7"/>
      <c r="N1173" s="7" t="s">
        <v>875</v>
      </c>
      <c r="O1173" s="126"/>
      <c r="P1173" s="126"/>
    </row>
    <row r="1174" spans="1:16" ht="15.75" customHeight="1">
      <c r="A1174" s="126">
        <v>46230.015752314801</v>
      </c>
      <c r="B1174" s="7">
        <v>12</v>
      </c>
      <c r="C1174" s="7">
        <v>427</v>
      </c>
      <c r="D1174" s="7"/>
      <c r="E1174" s="7" t="s">
        <v>1033</v>
      </c>
      <c r="F1174" s="7" t="s">
        <v>489</v>
      </c>
      <c r="G1174" s="7">
        <v>175</v>
      </c>
      <c r="H1174" s="7" t="s">
        <v>881</v>
      </c>
      <c r="I1174" s="7" t="s">
        <v>878</v>
      </c>
      <c r="J1174" s="7" t="s">
        <v>882</v>
      </c>
      <c r="M1174" s="7">
        <v>75</v>
      </c>
      <c r="N1174" s="7">
        <v>75</v>
      </c>
      <c r="O1174" s="126">
        <v>46215.706423611096</v>
      </c>
      <c r="P1174" s="126">
        <v>46215.706423611096</v>
      </c>
    </row>
    <row r="1175" spans="1:16" ht="15.75" customHeight="1">
      <c r="A1175" s="126">
        <v>46230.015752314801</v>
      </c>
      <c r="B1175" s="7">
        <v>12</v>
      </c>
      <c r="C1175" s="7">
        <v>427</v>
      </c>
      <c r="D1175" s="7"/>
      <c r="E1175" s="7" t="s">
        <v>1033</v>
      </c>
      <c r="F1175" s="7" t="s">
        <v>489</v>
      </c>
      <c r="G1175" s="7">
        <v>177</v>
      </c>
      <c r="H1175" s="7" t="s">
        <v>883</v>
      </c>
      <c r="I1175" s="7" t="s">
        <v>878</v>
      </c>
      <c r="J1175" s="7" t="s">
        <v>882</v>
      </c>
      <c r="M1175" s="7"/>
      <c r="N1175" s="7" t="s">
        <v>875</v>
      </c>
      <c r="P1175" s="126"/>
    </row>
    <row r="1176" spans="1:16" ht="15.75" customHeight="1">
      <c r="A1176" s="126">
        <v>46230.015752314801</v>
      </c>
      <c r="B1176" s="7">
        <v>12</v>
      </c>
      <c r="C1176" s="7">
        <v>427</v>
      </c>
      <c r="D1176" s="7"/>
      <c r="E1176" s="7" t="s">
        <v>1033</v>
      </c>
      <c r="F1176" s="7" t="s">
        <v>489</v>
      </c>
      <c r="G1176" s="7">
        <v>176</v>
      </c>
      <c r="H1176" s="7" t="s">
        <v>884</v>
      </c>
      <c r="I1176" s="7" t="s">
        <v>878</v>
      </c>
      <c r="J1176" s="7" t="s">
        <v>882</v>
      </c>
      <c r="M1176" s="7">
        <v>100</v>
      </c>
      <c r="N1176" s="7">
        <v>100</v>
      </c>
      <c r="O1176" s="126">
        <v>46224.396666666697</v>
      </c>
      <c r="P1176" s="126">
        <v>46224.396666666697</v>
      </c>
    </row>
    <row r="1177" spans="1:16" ht="15.75" customHeight="1">
      <c r="A1177" s="126">
        <v>46230.015752314801</v>
      </c>
      <c r="B1177" s="7">
        <v>12</v>
      </c>
      <c r="C1177" s="7">
        <v>427</v>
      </c>
      <c r="D1177" s="7"/>
      <c r="E1177" s="7" t="s">
        <v>1033</v>
      </c>
      <c r="F1177" s="7" t="s">
        <v>489</v>
      </c>
      <c r="G1177" s="7">
        <v>168</v>
      </c>
      <c r="H1177" s="7" t="s">
        <v>885</v>
      </c>
      <c r="I1177" s="7" t="s">
        <v>886</v>
      </c>
      <c r="J1177" s="7"/>
      <c r="M1177" s="7">
        <v>100</v>
      </c>
      <c r="N1177" s="7">
        <v>100</v>
      </c>
      <c r="P1177" s="126">
        <v>46209.706979166702</v>
      </c>
    </row>
    <row r="1178" spans="1:16" ht="15.75" customHeight="1">
      <c r="A1178" s="126">
        <v>46230.015752314801</v>
      </c>
      <c r="B1178" s="7">
        <v>12</v>
      </c>
      <c r="C1178" s="7">
        <v>682</v>
      </c>
      <c r="D1178" s="7"/>
      <c r="E1178" s="7" t="s">
        <v>1034</v>
      </c>
      <c r="F1178" s="7" t="s">
        <v>133</v>
      </c>
      <c r="G1178" s="7">
        <v>181</v>
      </c>
      <c r="H1178" s="7" t="s">
        <v>873</v>
      </c>
      <c r="I1178" s="7" t="s">
        <v>874</v>
      </c>
      <c r="J1178" s="7"/>
      <c r="M1178" s="7"/>
      <c r="N1178" s="7" t="s">
        <v>875</v>
      </c>
      <c r="O1178" s="126"/>
      <c r="P1178" s="126"/>
    </row>
    <row r="1179" spans="1:16" ht="15.75" customHeight="1">
      <c r="A1179" s="126">
        <v>46230.015752314801</v>
      </c>
      <c r="B1179" s="7">
        <v>12</v>
      </c>
      <c r="C1179" s="7">
        <v>682</v>
      </c>
      <c r="D1179" s="7"/>
      <c r="E1179" s="7" t="s">
        <v>1034</v>
      </c>
      <c r="F1179" s="7" t="s">
        <v>133</v>
      </c>
      <c r="G1179" s="7">
        <v>182</v>
      </c>
      <c r="H1179" s="7" t="s">
        <v>876</v>
      </c>
      <c r="I1179" s="7" t="s">
        <v>874</v>
      </c>
      <c r="J1179" s="7"/>
      <c r="M1179" s="7"/>
      <c r="N1179" s="7" t="s">
        <v>875</v>
      </c>
      <c r="O1179" s="126"/>
      <c r="P1179" s="126"/>
    </row>
    <row r="1180" spans="1:16" ht="15.75" customHeight="1">
      <c r="A1180" s="126">
        <v>46230.015752314801</v>
      </c>
      <c r="B1180" s="7">
        <v>12</v>
      </c>
      <c r="C1180" s="7">
        <v>682</v>
      </c>
      <c r="D1180" s="7"/>
      <c r="E1180" s="7" t="s">
        <v>1034</v>
      </c>
      <c r="F1180" s="7" t="s">
        <v>133</v>
      </c>
      <c r="G1180" s="7">
        <v>174</v>
      </c>
      <c r="H1180" s="7" t="s">
        <v>877</v>
      </c>
      <c r="I1180" s="7" t="s">
        <v>878</v>
      </c>
      <c r="J1180" s="7" t="s">
        <v>879</v>
      </c>
      <c r="M1180" s="7">
        <v>100</v>
      </c>
      <c r="N1180" s="7">
        <v>100</v>
      </c>
      <c r="O1180" s="126"/>
      <c r="P1180" s="126">
        <v>46209.706979166702</v>
      </c>
    </row>
    <row r="1181" spans="1:16" ht="15.75" customHeight="1">
      <c r="A1181" s="126">
        <v>46230.015752314801</v>
      </c>
      <c r="B1181" s="7">
        <v>12</v>
      </c>
      <c r="C1181" s="7">
        <v>682</v>
      </c>
      <c r="D1181" s="7"/>
      <c r="E1181" s="7" t="s">
        <v>1034</v>
      </c>
      <c r="F1181" s="7" t="s">
        <v>133</v>
      </c>
      <c r="G1181" s="7">
        <v>180</v>
      </c>
      <c r="H1181" s="7" t="s">
        <v>880</v>
      </c>
      <c r="I1181" s="7" t="s">
        <v>874</v>
      </c>
      <c r="J1181" s="7"/>
      <c r="M1181" s="7"/>
      <c r="N1181" s="7" t="s">
        <v>875</v>
      </c>
      <c r="O1181" s="126"/>
      <c r="P1181" s="126"/>
    </row>
    <row r="1182" spans="1:16" ht="15.75" customHeight="1">
      <c r="A1182" s="126">
        <v>46230.015752314801</v>
      </c>
      <c r="B1182" s="7">
        <v>12</v>
      </c>
      <c r="C1182" s="7">
        <v>682</v>
      </c>
      <c r="D1182" s="7"/>
      <c r="E1182" s="7" t="s">
        <v>1034</v>
      </c>
      <c r="F1182" s="7" t="s">
        <v>133</v>
      </c>
      <c r="G1182" s="7">
        <v>175</v>
      </c>
      <c r="H1182" s="7" t="s">
        <v>881</v>
      </c>
      <c r="I1182" s="7" t="s">
        <v>878</v>
      </c>
      <c r="J1182" s="7" t="s">
        <v>882</v>
      </c>
      <c r="M1182" s="7">
        <v>75</v>
      </c>
      <c r="N1182" s="7">
        <v>75</v>
      </c>
      <c r="O1182" s="126">
        <v>46215.6405324074</v>
      </c>
      <c r="P1182" s="126">
        <v>46215.6405324074</v>
      </c>
    </row>
    <row r="1183" spans="1:16" ht="15.75" customHeight="1">
      <c r="A1183" s="126">
        <v>46230.015752314801</v>
      </c>
      <c r="B1183" s="7">
        <v>12</v>
      </c>
      <c r="C1183" s="7">
        <v>682</v>
      </c>
      <c r="D1183" s="7"/>
      <c r="E1183" s="7" t="s">
        <v>1034</v>
      </c>
      <c r="F1183" s="7" t="s">
        <v>133</v>
      </c>
      <c r="G1183" s="7">
        <v>177</v>
      </c>
      <c r="H1183" s="7" t="s">
        <v>883</v>
      </c>
      <c r="I1183" s="7" t="s">
        <v>878</v>
      </c>
      <c r="J1183" s="7" t="s">
        <v>882</v>
      </c>
      <c r="M1183" s="7"/>
      <c r="N1183" s="7" t="s">
        <v>875</v>
      </c>
      <c r="P1183" s="126"/>
    </row>
    <row r="1184" spans="1:16" ht="15.75" customHeight="1">
      <c r="A1184" s="126">
        <v>46230.015752314801</v>
      </c>
      <c r="B1184" s="7">
        <v>12</v>
      </c>
      <c r="C1184" s="7">
        <v>682</v>
      </c>
      <c r="D1184" s="7"/>
      <c r="E1184" s="7" t="s">
        <v>1034</v>
      </c>
      <c r="F1184" s="7" t="s">
        <v>133</v>
      </c>
      <c r="G1184" s="7">
        <v>176</v>
      </c>
      <c r="H1184" s="7" t="s">
        <v>884</v>
      </c>
      <c r="I1184" s="7" t="s">
        <v>878</v>
      </c>
      <c r="J1184" s="7" t="s">
        <v>882</v>
      </c>
      <c r="M1184" s="7">
        <v>100</v>
      </c>
      <c r="N1184" s="7">
        <v>100</v>
      </c>
      <c r="O1184" s="126">
        <v>46224.6330787037</v>
      </c>
      <c r="P1184" s="126">
        <v>46224.6330787037</v>
      </c>
    </row>
    <row r="1185" spans="1:16" ht="15.75" customHeight="1">
      <c r="A1185" s="126">
        <v>46230.015752314801</v>
      </c>
      <c r="B1185" s="7">
        <v>12</v>
      </c>
      <c r="C1185" s="7">
        <v>682</v>
      </c>
      <c r="D1185" s="7"/>
      <c r="E1185" s="7" t="s">
        <v>1034</v>
      </c>
      <c r="F1185" s="7" t="s">
        <v>133</v>
      </c>
      <c r="G1185" s="7">
        <v>168</v>
      </c>
      <c r="H1185" s="7" t="s">
        <v>885</v>
      </c>
      <c r="I1185" s="7" t="s">
        <v>886</v>
      </c>
      <c r="J1185" s="7"/>
      <c r="M1185" s="7">
        <v>100</v>
      </c>
      <c r="N1185" s="7">
        <v>100</v>
      </c>
      <c r="O1185" s="126"/>
      <c r="P1185" s="126">
        <v>46209.706979166702</v>
      </c>
    </row>
    <row r="1186" spans="1:16" ht="15.75" customHeight="1">
      <c r="A1186" s="126">
        <v>46230.015752314801</v>
      </c>
      <c r="B1186" s="7">
        <v>12</v>
      </c>
      <c r="C1186" s="7">
        <v>291</v>
      </c>
      <c r="D1186" s="7"/>
      <c r="E1186" s="7" t="s">
        <v>1035</v>
      </c>
      <c r="F1186" s="7" t="s">
        <v>332</v>
      </c>
      <c r="G1186" s="7">
        <v>181</v>
      </c>
      <c r="H1186" s="7" t="s">
        <v>873</v>
      </c>
      <c r="I1186" s="7" t="s">
        <v>874</v>
      </c>
      <c r="J1186" s="7"/>
      <c r="N1186" s="7" t="s">
        <v>875</v>
      </c>
    </row>
    <row r="1187" spans="1:16" ht="15.75" customHeight="1">
      <c r="A1187" s="126">
        <v>46230.015752314801</v>
      </c>
      <c r="B1187" s="7">
        <v>12</v>
      </c>
      <c r="C1187" s="7">
        <v>291</v>
      </c>
      <c r="D1187" s="7"/>
      <c r="E1187" s="7" t="s">
        <v>1035</v>
      </c>
      <c r="F1187" s="7" t="s">
        <v>332</v>
      </c>
      <c r="G1187" s="7">
        <v>182</v>
      </c>
      <c r="H1187" s="7" t="s">
        <v>876</v>
      </c>
      <c r="I1187" s="7" t="s">
        <v>874</v>
      </c>
      <c r="J1187" s="7"/>
      <c r="M1187" s="7"/>
      <c r="N1187" s="7" t="s">
        <v>875</v>
      </c>
      <c r="O1187" s="126"/>
      <c r="P1187" s="126"/>
    </row>
    <row r="1188" spans="1:16" ht="15.75" customHeight="1">
      <c r="A1188" s="126">
        <v>46230.015752314801</v>
      </c>
      <c r="B1188" s="7">
        <v>12</v>
      </c>
      <c r="C1188" s="7">
        <v>291</v>
      </c>
      <c r="D1188" s="7"/>
      <c r="E1188" s="7" t="s">
        <v>1035</v>
      </c>
      <c r="F1188" s="7" t="s">
        <v>332</v>
      </c>
      <c r="G1188" s="7">
        <v>174</v>
      </c>
      <c r="H1188" s="7" t="s">
        <v>877</v>
      </c>
      <c r="I1188" s="7" t="s">
        <v>878</v>
      </c>
      <c r="J1188" s="7" t="s">
        <v>879</v>
      </c>
      <c r="M1188" s="7">
        <v>100</v>
      </c>
      <c r="N1188" s="7">
        <v>100</v>
      </c>
      <c r="O1188" s="126"/>
      <c r="P1188" s="126">
        <v>46209.706979166702</v>
      </c>
    </row>
    <row r="1189" spans="1:16" ht="15.75" customHeight="1">
      <c r="A1189" s="126">
        <v>46230.015752314801</v>
      </c>
      <c r="B1189" s="7">
        <v>12</v>
      </c>
      <c r="C1189" s="7">
        <v>291</v>
      </c>
      <c r="D1189" s="7"/>
      <c r="E1189" s="7" t="s">
        <v>1035</v>
      </c>
      <c r="F1189" s="7" t="s">
        <v>332</v>
      </c>
      <c r="G1189" s="7">
        <v>180</v>
      </c>
      <c r="H1189" s="7" t="s">
        <v>880</v>
      </c>
      <c r="I1189" s="7" t="s">
        <v>874</v>
      </c>
      <c r="J1189" s="7"/>
      <c r="M1189" s="7"/>
      <c r="N1189" s="7" t="s">
        <v>875</v>
      </c>
      <c r="O1189" s="126"/>
      <c r="P1189" s="126"/>
    </row>
    <row r="1190" spans="1:16" ht="15.75" customHeight="1">
      <c r="A1190" s="126">
        <v>46230.015752314801</v>
      </c>
      <c r="B1190" s="7">
        <v>12</v>
      </c>
      <c r="C1190" s="7">
        <v>291</v>
      </c>
      <c r="D1190" s="7"/>
      <c r="E1190" s="7" t="s">
        <v>1035</v>
      </c>
      <c r="F1190" s="7" t="s">
        <v>332</v>
      </c>
      <c r="G1190" s="7">
        <v>175</v>
      </c>
      <c r="H1190" s="7" t="s">
        <v>881</v>
      </c>
      <c r="I1190" s="7" t="s">
        <v>878</v>
      </c>
      <c r="J1190" s="7" t="s">
        <v>882</v>
      </c>
      <c r="M1190" s="7">
        <v>87.5</v>
      </c>
      <c r="N1190" s="7">
        <v>87.5</v>
      </c>
      <c r="O1190" s="126">
        <v>46214.431099537003</v>
      </c>
      <c r="P1190" s="126">
        <v>46214.431099537003</v>
      </c>
    </row>
    <row r="1191" spans="1:16" ht="15.75" customHeight="1">
      <c r="A1191" s="126">
        <v>46230.015752314801</v>
      </c>
      <c r="B1191" s="7">
        <v>12</v>
      </c>
      <c r="C1191" s="7">
        <v>291</v>
      </c>
      <c r="D1191" s="7"/>
      <c r="E1191" s="7" t="s">
        <v>1035</v>
      </c>
      <c r="F1191" s="7" t="s">
        <v>332</v>
      </c>
      <c r="G1191" s="7">
        <v>177</v>
      </c>
      <c r="H1191" s="7" t="s">
        <v>883</v>
      </c>
      <c r="I1191" s="7" t="s">
        <v>878</v>
      </c>
      <c r="J1191" s="7" t="s">
        <v>882</v>
      </c>
      <c r="M1191" s="7"/>
      <c r="N1191" s="7" t="s">
        <v>875</v>
      </c>
      <c r="O1191" s="126"/>
      <c r="P1191" s="126"/>
    </row>
    <row r="1192" spans="1:16" ht="15.75" customHeight="1">
      <c r="A1192" s="126">
        <v>46230.015752314801</v>
      </c>
      <c r="B1192" s="7">
        <v>12</v>
      </c>
      <c r="C1192" s="7">
        <v>291</v>
      </c>
      <c r="D1192" s="7"/>
      <c r="E1192" s="7" t="s">
        <v>1035</v>
      </c>
      <c r="F1192" s="7" t="s">
        <v>332</v>
      </c>
      <c r="G1192" s="7">
        <v>176</v>
      </c>
      <c r="H1192" s="7" t="s">
        <v>884</v>
      </c>
      <c r="I1192" s="7" t="s">
        <v>878</v>
      </c>
      <c r="J1192" s="7" t="s">
        <v>882</v>
      </c>
      <c r="M1192" s="7">
        <v>85</v>
      </c>
      <c r="N1192" s="7">
        <v>85</v>
      </c>
      <c r="O1192" s="126">
        <v>46224.668761574103</v>
      </c>
      <c r="P1192" s="126">
        <v>46224.668761574103</v>
      </c>
    </row>
    <row r="1193" spans="1:16" ht="15.75" customHeight="1">
      <c r="A1193" s="126">
        <v>46230.015752314801</v>
      </c>
      <c r="B1193" s="7">
        <v>12</v>
      </c>
      <c r="C1193" s="7">
        <v>291</v>
      </c>
      <c r="D1193" s="7"/>
      <c r="E1193" s="7" t="s">
        <v>1035</v>
      </c>
      <c r="F1193" s="7" t="s">
        <v>332</v>
      </c>
      <c r="G1193" s="7">
        <v>168</v>
      </c>
      <c r="H1193" s="7" t="s">
        <v>885</v>
      </c>
      <c r="I1193" s="7" t="s">
        <v>886</v>
      </c>
      <c r="J1193" s="7"/>
      <c r="M1193" s="7">
        <v>100</v>
      </c>
      <c r="N1193" s="7">
        <v>100</v>
      </c>
      <c r="P1193" s="126">
        <v>46209.706979166702</v>
      </c>
    </row>
    <row r="1194" spans="1:16" ht="15.75" customHeight="1">
      <c r="A1194" s="126">
        <v>46230.015752314801</v>
      </c>
      <c r="B1194" s="7">
        <v>12</v>
      </c>
      <c r="C1194" s="7">
        <v>392</v>
      </c>
      <c r="D1194" s="7"/>
      <c r="E1194" s="7" t="s">
        <v>1036</v>
      </c>
      <c r="F1194" s="7" t="s">
        <v>576</v>
      </c>
      <c r="G1194" s="7">
        <v>181</v>
      </c>
      <c r="H1194" s="7" t="s">
        <v>873</v>
      </c>
      <c r="I1194" s="7" t="s">
        <v>874</v>
      </c>
      <c r="J1194" s="7"/>
      <c r="M1194" s="7"/>
      <c r="N1194" s="7" t="s">
        <v>875</v>
      </c>
      <c r="O1194" s="126"/>
      <c r="P1194" s="126"/>
    </row>
    <row r="1195" spans="1:16" ht="15.75" customHeight="1">
      <c r="A1195" s="126">
        <v>46230.015752314801</v>
      </c>
      <c r="B1195" s="7">
        <v>12</v>
      </c>
      <c r="C1195" s="7">
        <v>392</v>
      </c>
      <c r="D1195" s="7"/>
      <c r="E1195" s="7" t="s">
        <v>1036</v>
      </c>
      <c r="F1195" s="7" t="s">
        <v>576</v>
      </c>
      <c r="G1195" s="7">
        <v>182</v>
      </c>
      <c r="H1195" s="7" t="s">
        <v>876</v>
      </c>
      <c r="I1195" s="7" t="s">
        <v>874</v>
      </c>
      <c r="J1195" s="7"/>
      <c r="M1195" s="7"/>
      <c r="N1195" s="7" t="s">
        <v>875</v>
      </c>
      <c r="P1195" s="126"/>
    </row>
    <row r="1196" spans="1:16" ht="15.75" customHeight="1">
      <c r="A1196" s="126">
        <v>46230.015752314801</v>
      </c>
      <c r="B1196" s="7">
        <v>12</v>
      </c>
      <c r="C1196" s="7">
        <v>392</v>
      </c>
      <c r="D1196" s="7"/>
      <c r="E1196" s="7" t="s">
        <v>1036</v>
      </c>
      <c r="F1196" s="7" t="s">
        <v>576</v>
      </c>
      <c r="G1196" s="7">
        <v>174</v>
      </c>
      <c r="H1196" s="7" t="s">
        <v>877</v>
      </c>
      <c r="I1196" s="7" t="s">
        <v>878</v>
      </c>
      <c r="J1196" s="7" t="s">
        <v>879</v>
      </c>
      <c r="M1196" s="7">
        <v>100</v>
      </c>
      <c r="N1196" s="7">
        <v>100</v>
      </c>
      <c r="O1196" s="126"/>
      <c r="P1196" s="126">
        <v>46209.706979166702</v>
      </c>
    </row>
    <row r="1197" spans="1:16" ht="15.75" customHeight="1">
      <c r="A1197" s="126">
        <v>46230.015752314801</v>
      </c>
      <c r="B1197" s="7">
        <v>12</v>
      </c>
      <c r="C1197" s="7">
        <v>392</v>
      </c>
      <c r="D1197" s="7"/>
      <c r="E1197" s="7" t="s">
        <v>1036</v>
      </c>
      <c r="F1197" s="7" t="s">
        <v>576</v>
      </c>
      <c r="G1197" s="7">
        <v>180</v>
      </c>
      <c r="H1197" s="7" t="s">
        <v>880</v>
      </c>
      <c r="I1197" s="7" t="s">
        <v>874</v>
      </c>
      <c r="J1197" s="7"/>
      <c r="M1197" s="7"/>
      <c r="N1197" s="7" t="s">
        <v>875</v>
      </c>
      <c r="O1197" s="126"/>
      <c r="P1197" s="126"/>
    </row>
    <row r="1198" spans="1:16" ht="15.75" customHeight="1">
      <c r="A1198" s="126">
        <v>46230.015752314801</v>
      </c>
      <c r="B1198" s="7">
        <v>12</v>
      </c>
      <c r="C1198" s="7">
        <v>392</v>
      </c>
      <c r="D1198" s="7"/>
      <c r="E1198" s="7" t="s">
        <v>1036</v>
      </c>
      <c r="F1198" s="7" t="s">
        <v>576</v>
      </c>
      <c r="G1198" s="7">
        <v>175</v>
      </c>
      <c r="H1198" s="7" t="s">
        <v>881</v>
      </c>
      <c r="I1198" s="7" t="s">
        <v>878</v>
      </c>
      <c r="J1198" s="7" t="s">
        <v>882</v>
      </c>
      <c r="M1198" s="7">
        <v>75</v>
      </c>
      <c r="N1198" s="7">
        <v>75</v>
      </c>
      <c r="O1198" s="126">
        <v>46216.550648148099</v>
      </c>
      <c r="P1198" s="126">
        <v>46216.550648148099</v>
      </c>
    </row>
    <row r="1199" spans="1:16" ht="15.75" customHeight="1">
      <c r="A1199" s="126">
        <v>46230.015752314801</v>
      </c>
      <c r="B1199" s="7">
        <v>12</v>
      </c>
      <c r="C1199" s="7">
        <v>392</v>
      </c>
      <c r="D1199" s="7"/>
      <c r="E1199" s="7" t="s">
        <v>1036</v>
      </c>
      <c r="F1199" s="7" t="s">
        <v>576</v>
      </c>
      <c r="G1199" s="7">
        <v>177</v>
      </c>
      <c r="H1199" s="7" t="s">
        <v>883</v>
      </c>
      <c r="I1199" s="7" t="s">
        <v>878</v>
      </c>
      <c r="J1199" s="7" t="s">
        <v>882</v>
      </c>
      <c r="M1199" s="7"/>
      <c r="N1199" s="7" t="s">
        <v>875</v>
      </c>
      <c r="P1199" s="126"/>
    </row>
    <row r="1200" spans="1:16" ht="15.75" customHeight="1">
      <c r="A1200" s="126">
        <v>46230.015752314801</v>
      </c>
      <c r="B1200" s="7">
        <v>12</v>
      </c>
      <c r="C1200" s="7">
        <v>392</v>
      </c>
      <c r="D1200" s="7"/>
      <c r="E1200" s="7" t="s">
        <v>1036</v>
      </c>
      <c r="F1200" s="7" t="s">
        <v>576</v>
      </c>
      <c r="G1200" s="7">
        <v>176</v>
      </c>
      <c r="H1200" s="7" t="s">
        <v>884</v>
      </c>
      <c r="I1200" s="7" t="s">
        <v>878</v>
      </c>
      <c r="J1200" s="7" t="s">
        <v>882</v>
      </c>
      <c r="M1200" s="7">
        <v>90</v>
      </c>
      <c r="N1200" s="7">
        <v>90</v>
      </c>
      <c r="O1200" s="126">
        <v>46224.709525462997</v>
      </c>
      <c r="P1200" s="126">
        <v>46224.709525462997</v>
      </c>
    </row>
    <row r="1201" spans="1:16" ht="15.75" customHeight="1">
      <c r="A1201" s="126">
        <v>46230.015752314801</v>
      </c>
      <c r="B1201" s="7">
        <v>12</v>
      </c>
      <c r="C1201" s="7">
        <v>392</v>
      </c>
      <c r="D1201" s="7"/>
      <c r="E1201" s="7" t="s">
        <v>1036</v>
      </c>
      <c r="F1201" s="7" t="s">
        <v>576</v>
      </c>
      <c r="G1201" s="7">
        <v>168</v>
      </c>
      <c r="H1201" s="7" t="s">
        <v>885</v>
      </c>
      <c r="I1201" s="7" t="s">
        <v>886</v>
      </c>
      <c r="J1201" s="7"/>
      <c r="M1201" s="7">
        <v>100</v>
      </c>
      <c r="N1201" s="7">
        <v>100</v>
      </c>
      <c r="P1201" s="126">
        <v>46209.706979166702</v>
      </c>
    </row>
    <row r="1202" spans="1:16" ht="15.75" customHeight="1">
      <c r="A1202" s="126">
        <v>46230.015752314801</v>
      </c>
      <c r="B1202" s="7">
        <v>12</v>
      </c>
      <c r="C1202" s="7">
        <v>695</v>
      </c>
      <c r="D1202" s="7"/>
      <c r="E1202" s="7" t="s">
        <v>1037</v>
      </c>
      <c r="F1202" s="7" t="s">
        <v>250</v>
      </c>
      <c r="G1202" s="7">
        <v>181</v>
      </c>
      <c r="H1202" s="7" t="s">
        <v>873</v>
      </c>
      <c r="I1202" s="7" t="s">
        <v>874</v>
      </c>
      <c r="J1202" s="7"/>
      <c r="M1202" s="7"/>
      <c r="N1202" s="7" t="s">
        <v>875</v>
      </c>
      <c r="O1202" s="126"/>
      <c r="P1202" s="126"/>
    </row>
    <row r="1203" spans="1:16" ht="15.75" customHeight="1">
      <c r="A1203" s="126">
        <v>46230.015752314801</v>
      </c>
      <c r="B1203" s="7">
        <v>12</v>
      </c>
      <c r="C1203" s="7">
        <v>695</v>
      </c>
      <c r="D1203" s="7"/>
      <c r="E1203" s="7" t="s">
        <v>1037</v>
      </c>
      <c r="F1203" s="7" t="s">
        <v>250</v>
      </c>
      <c r="G1203" s="7">
        <v>182</v>
      </c>
      <c r="H1203" s="7" t="s">
        <v>876</v>
      </c>
      <c r="I1203" s="7" t="s">
        <v>874</v>
      </c>
      <c r="J1203" s="7"/>
      <c r="M1203" s="7"/>
      <c r="N1203" s="7" t="s">
        <v>875</v>
      </c>
      <c r="O1203" s="126"/>
      <c r="P1203" s="126"/>
    </row>
    <row r="1204" spans="1:16" ht="15.75" customHeight="1">
      <c r="A1204" s="126">
        <v>46230.015752314801</v>
      </c>
      <c r="B1204" s="7">
        <v>12</v>
      </c>
      <c r="C1204" s="7">
        <v>695</v>
      </c>
      <c r="D1204" s="7"/>
      <c r="E1204" s="7" t="s">
        <v>1037</v>
      </c>
      <c r="F1204" s="7" t="s">
        <v>250</v>
      </c>
      <c r="G1204" s="7">
        <v>174</v>
      </c>
      <c r="H1204" s="7" t="s">
        <v>877</v>
      </c>
      <c r="I1204" s="7" t="s">
        <v>878</v>
      </c>
      <c r="J1204" s="7" t="s">
        <v>879</v>
      </c>
      <c r="M1204" s="7">
        <v>100</v>
      </c>
      <c r="N1204" s="7">
        <v>100</v>
      </c>
      <c r="O1204" s="126"/>
      <c r="P1204" s="126">
        <v>46211.432719907403</v>
      </c>
    </row>
    <row r="1205" spans="1:16" ht="15.75" customHeight="1">
      <c r="A1205" s="126">
        <v>46230.015752314801</v>
      </c>
      <c r="B1205" s="7">
        <v>12</v>
      </c>
      <c r="C1205" s="7">
        <v>695</v>
      </c>
      <c r="D1205" s="7"/>
      <c r="E1205" s="7" t="s">
        <v>1037</v>
      </c>
      <c r="F1205" s="7" t="s">
        <v>250</v>
      </c>
      <c r="G1205" s="7">
        <v>180</v>
      </c>
      <c r="H1205" s="7" t="s">
        <v>880</v>
      </c>
      <c r="I1205" s="7" t="s">
        <v>874</v>
      </c>
      <c r="J1205" s="7"/>
      <c r="M1205" s="7"/>
      <c r="N1205" s="7" t="s">
        <v>875</v>
      </c>
      <c r="O1205" s="126"/>
      <c r="P1205" s="126"/>
    </row>
    <row r="1206" spans="1:16" ht="15.75" customHeight="1">
      <c r="A1206" s="126">
        <v>46230.015752314801</v>
      </c>
      <c r="B1206" s="7">
        <v>12</v>
      </c>
      <c r="C1206" s="7">
        <v>695</v>
      </c>
      <c r="D1206" s="7"/>
      <c r="E1206" s="7" t="s">
        <v>1037</v>
      </c>
      <c r="F1206" s="7" t="s">
        <v>250</v>
      </c>
      <c r="G1206" s="7">
        <v>175</v>
      </c>
      <c r="H1206" s="7" t="s">
        <v>881</v>
      </c>
      <c r="I1206" s="7" t="s">
        <v>878</v>
      </c>
      <c r="J1206" s="7" t="s">
        <v>882</v>
      </c>
      <c r="M1206" s="7">
        <v>100</v>
      </c>
      <c r="N1206" s="7">
        <v>100</v>
      </c>
      <c r="O1206" s="126">
        <v>46216.497905092598</v>
      </c>
      <c r="P1206" s="126">
        <v>46216.497905092598</v>
      </c>
    </row>
    <row r="1207" spans="1:16" ht="15.75" customHeight="1">
      <c r="A1207" s="126">
        <v>46230.015752314801</v>
      </c>
      <c r="B1207" s="7">
        <v>12</v>
      </c>
      <c r="C1207" s="7">
        <v>695</v>
      </c>
      <c r="D1207" s="7"/>
      <c r="E1207" s="7" t="s">
        <v>1037</v>
      </c>
      <c r="F1207" s="7" t="s">
        <v>250</v>
      </c>
      <c r="G1207" s="7">
        <v>177</v>
      </c>
      <c r="H1207" s="7" t="s">
        <v>883</v>
      </c>
      <c r="I1207" s="7" t="s">
        <v>878</v>
      </c>
      <c r="J1207" s="7" t="s">
        <v>882</v>
      </c>
      <c r="M1207" s="7"/>
      <c r="N1207" s="7" t="s">
        <v>875</v>
      </c>
      <c r="P1207" s="126"/>
    </row>
    <row r="1208" spans="1:16" ht="15.75" customHeight="1">
      <c r="A1208" s="126">
        <v>46230.015752314801</v>
      </c>
      <c r="B1208" s="7">
        <v>12</v>
      </c>
      <c r="C1208" s="7">
        <v>695</v>
      </c>
      <c r="D1208" s="7"/>
      <c r="E1208" s="7" t="s">
        <v>1037</v>
      </c>
      <c r="F1208" s="7" t="s">
        <v>250</v>
      </c>
      <c r="G1208" s="7">
        <v>176</v>
      </c>
      <c r="H1208" s="7" t="s">
        <v>884</v>
      </c>
      <c r="I1208" s="7" t="s">
        <v>878</v>
      </c>
      <c r="J1208" s="7" t="s">
        <v>882</v>
      </c>
      <c r="M1208" s="7">
        <v>80</v>
      </c>
      <c r="N1208" s="7">
        <v>80</v>
      </c>
      <c r="O1208" s="126">
        <v>46225.433935185203</v>
      </c>
      <c r="P1208" s="126">
        <v>46225.433935185203</v>
      </c>
    </row>
    <row r="1209" spans="1:16" ht="15.75" customHeight="1">
      <c r="A1209" s="126">
        <v>46230.015752314801</v>
      </c>
      <c r="B1209" s="7">
        <v>12</v>
      </c>
      <c r="C1209" s="7">
        <v>695</v>
      </c>
      <c r="D1209" s="7"/>
      <c r="E1209" s="7" t="s">
        <v>1037</v>
      </c>
      <c r="F1209" s="7" t="s">
        <v>250</v>
      </c>
      <c r="G1209" s="7">
        <v>168</v>
      </c>
      <c r="H1209" s="7" t="s">
        <v>885</v>
      </c>
      <c r="I1209" s="7" t="s">
        <v>886</v>
      </c>
      <c r="J1209" s="7"/>
      <c r="M1209" s="7">
        <v>100</v>
      </c>
      <c r="N1209" s="7">
        <v>100</v>
      </c>
      <c r="O1209" s="126"/>
      <c r="P1209" s="126">
        <v>46211.432719907403</v>
      </c>
    </row>
    <row r="1210" spans="1:16" ht="15.75" customHeight="1">
      <c r="A1210" s="126">
        <v>46230.015752314801</v>
      </c>
      <c r="B1210" s="7">
        <v>12</v>
      </c>
      <c r="C1210" s="7">
        <v>614</v>
      </c>
      <c r="D1210" s="7"/>
      <c r="E1210" s="7" t="s">
        <v>1038</v>
      </c>
      <c r="F1210" s="7" t="s">
        <v>366</v>
      </c>
      <c r="G1210" s="7">
        <v>181</v>
      </c>
      <c r="H1210" s="7" t="s">
        <v>873</v>
      </c>
      <c r="I1210" s="7" t="s">
        <v>874</v>
      </c>
      <c r="J1210" s="7"/>
      <c r="M1210" s="7"/>
      <c r="N1210" s="7" t="s">
        <v>875</v>
      </c>
      <c r="O1210" s="126"/>
      <c r="P1210" s="126"/>
    </row>
    <row r="1211" spans="1:16" ht="15.75" customHeight="1">
      <c r="A1211" s="126">
        <v>46230.015752314801</v>
      </c>
      <c r="B1211" s="7">
        <v>12</v>
      </c>
      <c r="C1211" s="7">
        <v>614</v>
      </c>
      <c r="D1211" s="7"/>
      <c r="E1211" s="7" t="s">
        <v>1038</v>
      </c>
      <c r="F1211" s="7" t="s">
        <v>366</v>
      </c>
      <c r="G1211" s="7">
        <v>182</v>
      </c>
      <c r="H1211" s="7" t="s">
        <v>876</v>
      </c>
      <c r="I1211" s="7" t="s">
        <v>874</v>
      </c>
      <c r="J1211" s="7"/>
      <c r="M1211" s="7"/>
      <c r="N1211" s="7" t="s">
        <v>875</v>
      </c>
      <c r="P1211" s="126"/>
    </row>
    <row r="1212" spans="1:16" ht="15.75" customHeight="1">
      <c r="A1212" s="126">
        <v>46230.015752314801</v>
      </c>
      <c r="B1212" s="7">
        <v>12</v>
      </c>
      <c r="C1212" s="7">
        <v>614</v>
      </c>
      <c r="D1212" s="7"/>
      <c r="E1212" s="7" t="s">
        <v>1038</v>
      </c>
      <c r="F1212" s="7" t="s">
        <v>366</v>
      </c>
      <c r="G1212" s="7">
        <v>174</v>
      </c>
      <c r="H1212" s="7" t="s">
        <v>877</v>
      </c>
      <c r="I1212" s="7" t="s">
        <v>878</v>
      </c>
      <c r="J1212" s="7" t="s">
        <v>879</v>
      </c>
      <c r="M1212" s="7">
        <v>100</v>
      </c>
      <c r="N1212" s="7">
        <v>100</v>
      </c>
      <c r="O1212" s="126"/>
      <c r="P1212" s="126">
        <v>46209.706956018497</v>
      </c>
    </row>
    <row r="1213" spans="1:16" ht="15.75" customHeight="1">
      <c r="A1213" s="126">
        <v>46230.015752314801</v>
      </c>
      <c r="B1213" s="7">
        <v>12</v>
      </c>
      <c r="C1213" s="7">
        <v>614</v>
      </c>
      <c r="D1213" s="7"/>
      <c r="E1213" s="7" t="s">
        <v>1038</v>
      </c>
      <c r="F1213" s="7" t="s">
        <v>366</v>
      </c>
      <c r="G1213" s="7">
        <v>180</v>
      </c>
      <c r="H1213" s="7" t="s">
        <v>880</v>
      </c>
      <c r="I1213" s="7" t="s">
        <v>874</v>
      </c>
      <c r="J1213" s="7"/>
      <c r="M1213" s="7"/>
      <c r="N1213" s="7" t="s">
        <v>875</v>
      </c>
      <c r="O1213" s="126"/>
      <c r="P1213" s="126"/>
    </row>
    <row r="1214" spans="1:16" ht="15.75" customHeight="1">
      <c r="A1214" s="126">
        <v>46230.015752314801</v>
      </c>
      <c r="B1214" s="7">
        <v>12</v>
      </c>
      <c r="C1214" s="7">
        <v>614</v>
      </c>
      <c r="D1214" s="7"/>
      <c r="E1214" s="7" t="s">
        <v>1038</v>
      </c>
      <c r="F1214" s="7" t="s">
        <v>366</v>
      </c>
      <c r="G1214" s="7">
        <v>175</v>
      </c>
      <c r="H1214" s="7" t="s">
        <v>881</v>
      </c>
      <c r="I1214" s="7" t="s">
        <v>878</v>
      </c>
      <c r="J1214" s="7" t="s">
        <v>882</v>
      </c>
      <c r="M1214" s="7">
        <v>87.5</v>
      </c>
      <c r="N1214" s="7">
        <v>87.5</v>
      </c>
      <c r="O1214" s="126">
        <v>46213.669548611098</v>
      </c>
      <c r="P1214" s="126">
        <v>46213.669548611098</v>
      </c>
    </row>
    <row r="1215" spans="1:16" ht="15.75" customHeight="1">
      <c r="A1215" s="126">
        <v>46230.015752314801</v>
      </c>
      <c r="B1215" s="7">
        <v>12</v>
      </c>
      <c r="C1215" s="7">
        <v>614</v>
      </c>
      <c r="D1215" s="7"/>
      <c r="E1215" s="7" t="s">
        <v>1038</v>
      </c>
      <c r="F1215" s="7" t="s">
        <v>366</v>
      </c>
      <c r="G1215" s="7">
        <v>177</v>
      </c>
      <c r="H1215" s="7" t="s">
        <v>883</v>
      </c>
      <c r="I1215" s="7" t="s">
        <v>878</v>
      </c>
      <c r="J1215" s="7" t="s">
        <v>882</v>
      </c>
      <c r="M1215" s="7"/>
      <c r="N1215" s="7" t="s">
        <v>875</v>
      </c>
      <c r="O1215" s="126"/>
      <c r="P1215" s="126"/>
    </row>
    <row r="1216" spans="1:16" ht="15.75" customHeight="1">
      <c r="A1216" s="126">
        <v>46230.015752314801</v>
      </c>
      <c r="B1216" s="7">
        <v>12</v>
      </c>
      <c r="C1216" s="7">
        <v>614</v>
      </c>
      <c r="D1216" s="7"/>
      <c r="E1216" s="7" t="s">
        <v>1038</v>
      </c>
      <c r="F1216" s="7" t="s">
        <v>366</v>
      </c>
      <c r="G1216" s="7">
        <v>176</v>
      </c>
      <c r="H1216" s="7" t="s">
        <v>884</v>
      </c>
      <c r="I1216" s="7" t="s">
        <v>878</v>
      </c>
      <c r="J1216" s="7" t="s">
        <v>882</v>
      </c>
      <c r="M1216" s="7">
        <v>90</v>
      </c>
      <c r="N1216" s="7">
        <v>90</v>
      </c>
      <c r="O1216" s="126">
        <v>46223.744421296302</v>
      </c>
      <c r="P1216" s="126">
        <v>46223.793657407397</v>
      </c>
    </row>
    <row r="1217" spans="1:16" ht="15.75" customHeight="1">
      <c r="A1217" s="126">
        <v>46230.015752314801</v>
      </c>
      <c r="B1217" s="7">
        <v>12</v>
      </c>
      <c r="C1217" s="7">
        <v>614</v>
      </c>
      <c r="D1217" s="7"/>
      <c r="E1217" s="7" t="s">
        <v>1038</v>
      </c>
      <c r="F1217" s="7" t="s">
        <v>366</v>
      </c>
      <c r="G1217" s="7">
        <v>168</v>
      </c>
      <c r="H1217" s="7" t="s">
        <v>885</v>
      </c>
      <c r="I1217" s="7" t="s">
        <v>886</v>
      </c>
      <c r="J1217" s="7"/>
      <c r="M1217" s="7">
        <v>100</v>
      </c>
      <c r="N1217" s="7">
        <v>100</v>
      </c>
      <c r="P1217" s="126">
        <v>46209.706967592603</v>
      </c>
    </row>
    <row r="1218" spans="1:16" ht="15.75" customHeight="1">
      <c r="A1218" s="126">
        <v>46230.015752314801</v>
      </c>
      <c r="B1218" s="7">
        <v>12</v>
      </c>
      <c r="C1218" s="7">
        <v>371</v>
      </c>
      <c r="D1218" s="7"/>
      <c r="E1218" s="7" t="s">
        <v>1039</v>
      </c>
      <c r="F1218" s="7" t="s">
        <v>599</v>
      </c>
      <c r="G1218" s="7">
        <v>181</v>
      </c>
      <c r="H1218" s="7" t="s">
        <v>873</v>
      </c>
      <c r="I1218" s="7" t="s">
        <v>874</v>
      </c>
      <c r="J1218" s="7"/>
      <c r="N1218" s="7" t="s">
        <v>875</v>
      </c>
    </row>
    <row r="1219" spans="1:16" ht="15.75" customHeight="1">
      <c r="A1219" s="126">
        <v>46230.015752314801</v>
      </c>
      <c r="B1219" s="7">
        <v>12</v>
      </c>
      <c r="C1219" s="7">
        <v>371</v>
      </c>
      <c r="D1219" s="7"/>
      <c r="E1219" s="7" t="s">
        <v>1039</v>
      </c>
      <c r="F1219" s="7" t="s">
        <v>599</v>
      </c>
      <c r="G1219" s="7">
        <v>182</v>
      </c>
      <c r="H1219" s="7" t="s">
        <v>876</v>
      </c>
      <c r="I1219" s="7" t="s">
        <v>874</v>
      </c>
      <c r="J1219" s="7"/>
      <c r="M1219" s="7"/>
      <c r="N1219" s="7" t="s">
        <v>875</v>
      </c>
      <c r="P1219" s="126"/>
    </row>
    <row r="1220" spans="1:16" ht="15.75" customHeight="1">
      <c r="A1220" s="126">
        <v>46230.015752314801</v>
      </c>
      <c r="B1220" s="7">
        <v>12</v>
      </c>
      <c r="C1220" s="7">
        <v>371</v>
      </c>
      <c r="D1220" s="7"/>
      <c r="E1220" s="7" t="s">
        <v>1039</v>
      </c>
      <c r="F1220" s="7" t="s">
        <v>599</v>
      </c>
      <c r="G1220" s="7">
        <v>174</v>
      </c>
      <c r="H1220" s="7" t="s">
        <v>877</v>
      </c>
      <c r="I1220" s="7" t="s">
        <v>878</v>
      </c>
      <c r="J1220" s="7" t="s">
        <v>879</v>
      </c>
      <c r="M1220" s="7">
        <v>100</v>
      </c>
      <c r="N1220" s="7">
        <v>100</v>
      </c>
      <c r="O1220" s="126"/>
      <c r="P1220" s="126">
        <v>46210.868298611102</v>
      </c>
    </row>
    <row r="1221" spans="1:16" ht="15.75" customHeight="1">
      <c r="A1221" s="126">
        <v>46230.015752314801</v>
      </c>
      <c r="B1221" s="7">
        <v>12</v>
      </c>
      <c r="C1221" s="7">
        <v>371</v>
      </c>
      <c r="D1221" s="7"/>
      <c r="E1221" s="7" t="s">
        <v>1039</v>
      </c>
      <c r="F1221" s="7" t="s">
        <v>599</v>
      </c>
      <c r="G1221" s="7">
        <v>180</v>
      </c>
      <c r="H1221" s="7" t="s">
        <v>880</v>
      </c>
      <c r="I1221" s="7" t="s">
        <v>874</v>
      </c>
      <c r="J1221" s="7"/>
      <c r="M1221" s="7"/>
      <c r="N1221" s="7" t="s">
        <v>875</v>
      </c>
      <c r="O1221" s="126"/>
      <c r="P1221" s="126"/>
    </row>
    <row r="1222" spans="1:16" ht="15.75" customHeight="1">
      <c r="A1222" s="126">
        <v>46230.015752314801</v>
      </c>
      <c r="B1222" s="7">
        <v>12</v>
      </c>
      <c r="C1222" s="7">
        <v>371</v>
      </c>
      <c r="D1222" s="7"/>
      <c r="E1222" s="7" t="s">
        <v>1039</v>
      </c>
      <c r="F1222" s="7" t="s">
        <v>599</v>
      </c>
      <c r="G1222" s="7">
        <v>175</v>
      </c>
      <c r="H1222" s="7" t="s">
        <v>881</v>
      </c>
      <c r="I1222" s="7" t="s">
        <v>878</v>
      </c>
      <c r="J1222" s="7" t="s">
        <v>882</v>
      </c>
      <c r="M1222" s="7">
        <v>100</v>
      </c>
      <c r="N1222" s="7">
        <v>100</v>
      </c>
      <c r="O1222" s="126">
        <v>46215.809409722198</v>
      </c>
      <c r="P1222" s="126">
        <v>46215.809409722198</v>
      </c>
    </row>
    <row r="1223" spans="1:16" ht="15.75" customHeight="1">
      <c r="A1223" s="126">
        <v>46230.015752314801</v>
      </c>
      <c r="B1223" s="7">
        <v>12</v>
      </c>
      <c r="C1223" s="7">
        <v>371</v>
      </c>
      <c r="D1223" s="7"/>
      <c r="E1223" s="7" t="s">
        <v>1039</v>
      </c>
      <c r="F1223" s="7" t="s">
        <v>599</v>
      </c>
      <c r="G1223" s="7">
        <v>177</v>
      </c>
      <c r="H1223" s="7" t="s">
        <v>883</v>
      </c>
      <c r="I1223" s="7" t="s">
        <v>878</v>
      </c>
      <c r="J1223" s="7" t="s">
        <v>882</v>
      </c>
      <c r="M1223" s="7"/>
      <c r="N1223" s="7" t="s">
        <v>875</v>
      </c>
      <c r="O1223" s="126"/>
      <c r="P1223" s="126"/>
    </row>
    <row r="1224" spans="1:16" ht="15.75" customHeight="1">
      <c r="A1224" s="126">
        <v>46230.015752314801</v>
      </c>
      <c r="B1224" s="7">
        <v>12</v>
      </c>
      <c r="C1224" s="7">
        <v>371</v>
      </c>
      <c r="D1224" s="7"/>
      <c r="E1224" s="7" t="s">
        <v>1039</v>
      </c>
      <c r="F1224" s="7" t="s">
        <v>599</v>
      </c>
      <c r="G1224" s="7">
        <v>176</v>
      </c>
      <c r="H1224" s="7" t="s">
        <v>884</v>
      </c>
      <c r="I1224" s="7" t="s">
        <v>878</v>
      </c>
      <c r="J1224" s="7" t="s">
        <v>882</v>
      </c>
      <c r="M1224" s="7">
        <v>100</v>
      </c>
      <c r="N1224" s="7">
        <v>100</v>
      </c>
      <c r="O1224" s="126">
        <v>46225.559224536999</v>
      </c>
      <c r="P1224" s="126">
        <v>46225.559224536999</v>
      </c>
    </row>
    <row r="1225" spans="1:16" ht="15.75" customHeight="1">
      <c r="A1225" s="126">
        <v>46230.015752314801</v>
      </c>
      <c r="B1225" s="7">
        <v>12</v>
      </c>
      <c r="C1225" s="7">
        <v>371</v>
      </c>
      <c r="D1225" s="7"/>
      <c r="E1225" s="7" t="s">
        <v>1039</v>
      </c>
      <c r="F1225" s="7" t="s">
        <v>599</v>
      </c>
      <c r="G1225" s="7">
        <v>168</v>
      </c>
      <c r="H1225" s="7" t="s">
        <v>885</v>
      </c>
      <c r="I1225" s="7" t="s">
        <v>886</v>
      </c>
      <c r="M1225" s="7">
        <v>100</v>
      </c>
      <c r="N1225" s="7">
        <v>100</v>
      </c>
      <c r="P1225" s="126">
        <v>46210.868298611102</v>
      </c>
    </row>
    <row r="1226" spans="1:16" ht="15.75" customHeight="1">
      <c r="A1226" s="126">
        <v>46230.015752314801</v>
      </c>
      <c r="B1226" s="7">
        <v>12</v>
      </c>
      <c r="C1226" s="7">
        <v>729</v>
      </c>
      <c r="D1226" s="7"/>
      <c r="E1226" s="7" t="s">
        <v>1040</v>
      </c>
      <c r="F1226" s="7" t="s">
        <v>195</v>
      </c>
      <c r="G1226" s="7">
        <v>181</v>
      </c>
      <c r="H1226" s="7" t="s">
        <v>873</v>
      </c>
      <c r="I1226" s="7" t="s">
        <v>874</v>
      </c>
      <c r="J1226" s="7"/>
      <c r="M1226" s="7"/>
      <c r="N1226" s="7" t="s">
        <v>875</v>
      </c>
      <c r="O1226" s="126"/>
      <c r="P1226" s="126"/>
    </row>
    <row r="1227" spans="1:16" ht="15.75" customHeight="1">
      <c r="A1227" s="126">
        <v>46230.015752314801</v>
      </c>
      <c r="B1227" s="7">
        <v>12</v>
      </c>
      <c r="C1227" s="7">
        <v>729</v>
      </c>
      <c r="D1227" s="7"/>
      <c r="E1227" s="7" t="s">
        <v>1040</v>
      </c>
      <c r="F1227" s="7" t="s">
        <v>195</v>
      </c>
      <c r="G1227" s="7">
        <v>182</v>
      </c>
      <c r="H1227" s="7" t="s">
        <v>876</v>
      </c>
      <c r="I1227" s="7" t="s">
        <v>874</v>
      </c>
      <c r="J1227" s="7"/>
      <c r="M1227" s="7"/>
      <c r="N1227" s="7" t="s">
        <v>875</v>
      </c>
      <c r="O1227" s="126"/>
      <c r="P1227" s="126"/>
    </row>
    <row r="1228" spans="1:16" ht="15.75" customHeight="1">
      <c r="A1228" s="126">
        <v>46230.015752314801</v>
      </c>
      <c r="B1228" s="7">
        <v>12</v>
      </c>
      <c r="C1228" s="7">
        <v>729</v>
      </c>
      <c r="D1228" s="7"/>
      <c r="E1228" s="7" t="s">
        <v>1040</v>
      </c>
      <c r="F1228" s="7" t="s">
        <v>195</v>
      </c>
      <c r="G1228" s="7">
        <v>174</v>
      </c>
      <c r="H1228" s="7" t="s">
        <v>877</v>
      </c>
      <c r="I1228" s="7" t="s">
        <v>878</v>
      </c>
      <c r="J1228" s="7" t="s">
        <v>879</v>
      </c>
      <c r="M1228" s="7">
        <v>100</v>
      </c>
      <c r="N1228" s="7">
        <v>100</v>
      </c>
      <c r="O1228" s="126"/>
      <c r="P1228" s="126">
        <v>46209.698483796303</v>
      </c>
    </row>
    <row r="1229" spans="1:16" ht="15.75" customHeight="1">
      <c r="A1229" s="126">
        <v>46230.015752314801</v>
      </c>
      <c r="B1229" s="7">
        <v>12</v>
      </c>
      <c r="C1229" s="7">
        <v>729</v>
      </c>
      <c r="D1229" s="7"/>
      <c r="E1229" s="7" t="s">
        <v>1040</v>
      </c>
      <c r="F1229" s="7" t="s">
        <v>195</v>
      </c>
      <c r="G1229" s="7">
        <v>180</v>
      </c>
      <c r="H1229" s="7" t="s">
        <v>880</v>
      </c>
      <c r="I1229" s="7" t="s">
        <v>874</v>
      </c>
      <c r="J1229" s="7"/>
      <c r="M1229" s="7"/>
      <c r="N1229" s="7" t="s">
        <v>875</v>
      </c>
      <c r="O1229" s="126"/>
      <c r="P1229" s="126"/>
    </row>
    <row r="1230" spans="1:16" ht="15.75" customHeight="1">
      <c r="A1230" s="126">
        <v>46230.015752314801</v>
      </c>
      <c r="B1230" s="7">
        <v>12</v>
      </c>
      <c r="C1230" s="7">
        <v>729</v>
      </c>
      <c r="D1230" s="7"/>
      <c r="E1230" s="7" t="s">
        <v>1040</v>
      </c>
      <c r="F1230" s="7" t="s">
        <v>195</v>
      </c>
      <c r="G1230" s="7">
        <v>175</v>
      </c>
      <c r="H1230" s="7" t="s">
        <v>881</v>
      </c>
      <c r="I1230" s="7" t="s">
        <v>878</v>
      </c>
      <c r="J1230" s="7" t="s">
        <v>882</v>
      </c>
      <c r="M1230" s="7">
        <v>87.5</v>
      </c>
      <c r="N1230" s="7">
        <v>87.5</v>
      </c>
      <c r="O1230" s="126">
        <v>46216.543240740699</v>
      </c>
      <c r="P1230" s="126">
        <v>46216.543240740699</v>
      </c>
    </row>
    <row r="1231" spans="1:16" ht="15.75" customHeight="1">
      <c r="A1231" s="126">
        <v>46230.015752314801</v>
      </c>
      <c r="B1231" s="7">
        <v>12</v>
      </c>
      <c r="C1231" s="7">
        <v>729</v>
      </c>
      <c r="D1231" s="7"/>
      <c r="E1231" s="7" t="s">
        <v>1040</v>
      </c>
      <c r="F1231" s="7" t="s">
        <v>195</v>
      </c>
      <c r="G1231" s="7">
        <v>177</v>
      </c>
      <c r="H1231" s="7" t="s">
        <v>883</v>
      </c>
      <c r="I1231" s="7" t="s">
        <v>878</v>
      </c>
      <c r="J1231" s="7" t="s">
        <v>882</v>
      </c>
      <c r="M1231" s="7"/>
      <c r="N1231" s="7" t="s">
        <v>875</v>
      </c>
      <c r="P1231" s="126"/>
    </row>
    <row r="1232" spans="1:16" ht="15.75" customHeight="1">
      <c r="A1232" s="126">
        <v>46230.015752314801</v>
      </c>
      <c r="B1232" s="7">
        <v>12</v>
      </c>
      <c r="C1232" s="7">
        <v>729</v>
      </c>
      <c r="D1232" s="7"/>
      <c r="E1232" s="7" t="s">
        <v>1040</v>
      </c>
      <c r="F1232" s="7" t="s">
        <v>195</v>
      </c>
      <c r="G1232" s="7">
        <v>176</v>
      </c>
      <c r="H1232" s="7" t="s">
        <v>884</v>
      </c>
      <c r="I1232" s="7" t="s">
        <v>878</v>
      </c>
      <c r="J1232" s="7" t="s">
        <v>882</v>
      </c>
      <c r="M1232" s="7">
        <v>100</v>
      </c>
      <c r="N1232" s="7">
        <v>100</v>
      </c>
      <c r="O1232" s="126">
        <v>46226.902083333298</v>
      </c>
      <c r="P1232" s="126">
        <v>46226.902083333298</v>
      </c>
    </row>
    <row r="1233" spans="1:16" ht="15.75" customHeight="1">
      <c r="A1233" s="126">
        <v>46230.015752314801</v>
      </c>
      <c r="B1233" s="7">
        <v>12</v>
      </c>
      <c r="C1233" s="7">
        <v>729</v>
      </c>
      <c r="D1233" s="7"/>
      <c r="E1233" s="7" t="s">
        <v>1040</v>
      </c>
      <c r="F1233" s="7" t="s">
        <v>195</v>
      </c>
      <c r="G1233" s="7">
        <v>168</v>
      </c>
      <c r="H1233" s="7" t="s">
        <v>885</v>
      </c>
      <c r="I1233" s="7" t="s">
        <v>886</v>
      </c>
      <c r="J1233" s="7"/>
      <c r="M1233" s="7">
        <v>100</v>
      </c>
      <c r="N1233" s="7">
        <v>100</v>
      </c>
      <c r="O1233" s="126"/>
      <c r="P1233" s="126">
        <v>46209.698483796303</v>
      </c>
    </row>
    <row r="1234" spans="1:16" ht="15.75" customHeight="1">
      <c r="A1234" s="126">
        <v>46230.015752314801</v>
      </c>
      <c r="B1234" s="7">
        <v>12</v>
      </c>
      <c r="C1234" s="7">
        <v>759</v>
      </c>
      <c r="D1234" s="7"/>
      <c r="E1234" s="7" t="s">
        <v>1041</v>
      </c>
      <c r="F1234" s="7" t="s">
        <v>716</v>
      </c>
      <c r="G1234" s="7">
        <v>181</v>
      </c>
      <c r="H1234" s="7" t="s">
        <v>873</v>
      </c>
      <c r="I1234" s="7" t="s">
        <v>874</v>
      </c>
      <c r="J1234" s="7"/>
      <c r="M1234" s="7"/>
      <c r="N1234" s="7" t="s">
        <v>875</v>
      </c>
      <c r="O1234" s="126"/>
      <c r="P1234" s="126"/>
    </row>
    <row r="1235" spans="1:16" ht="15.75" customHeight="1">
      <c r="A1235" s="126">
        <v>46230.015752314801</v>
      </c>
      <c r="B1235" s="7">
        <v>12</v>
      </c>
      <c r="C1235" s="7">
        <v>759</v>
      </c>
      <c r="D1235" s="7"/>
      <c r="E1235" s="7" t="s">
        <v>1041</v>
      </c>
      <c r="F1235" s="7" t="s">
        <v>716</v>
      </c>
      <c r="G1235" s="7">
        <v>182</v>
      </c>
      <c r="H1235" s="7" t="s">
        <v>876</v>
      </c>
      <c r="I1235" s="7" t="s">
        <v>874</v>
      </c>
      <c r="J1235" s="7"/>
      <c r="M1235" s="7"/>
      <c r="N1235" s="7" t="s">
        <v>875</v>
      </c>
      <c r="P1235" s="126"/>
    </row>
    <row r="1236" spans="1:16" ht="15.75" customHeight="1">
      <c r="A1236" s="126">
        <v>46230.015752314801</v>
      </c>
      <c r="B1236" s="7">
        <v>12</v>
      </c>
      <c r="C1236" s="7">
        <v>759</v>
      </c>
      <c r="D1236" s="7"/>
      <c r="E1236" s="7" t="s">
        <v>1041</v>
      </c>
      <c r="F1236" s="7" t="s">
        <v>716</v>
      </c>
      <c r="G1236" s="7">
        <v>174</v>
      </c>
      <c r="H1236" s="7" t="s">
        <v>877</v>
      </c>
      <c r="I1236" s="7" t="s">
        <v>878</v>
      </c>
      <c r="J1236" s="7" t="s">
        <v>879</v>
      </c>
      <c r="M1236" s="7">
        <v>100</v>
      </c>
      <c r="N1236" s="7">
        <v>100</v>
      </c>
      <c r="P1236" s="126">
        <v>46216.745034722197</v>
      </c>
    </row>
    <row r="1237" spans="1:16" ht="15.75" customHeight="1">
      <c r="A1237" s="126">
        <v>46230.015752314801</v>
      </c>
      <c r="B1237" s="7">
        <v>12</v>
      </c>
      <c r="C1237" s="7">
        <v>759</v>
      </c>
      <c r="D1237" s="7"/>
      <c r="E1237" s="7" t="s">
        <v>1041</v>
      </c>
      <c r="F1237" s="7" t="s">
        <v>716</v>
      </c>
      <c r="G1237" s="7">
        <v>180</v>
      </c>
      <c r="H1237" s="7" t="s">
        <v>880</v>
      </c>
      <c r="I1237" s="7" t="s">
        <v>874</v>
      </c>
      <c r="J1237" s="7"/>
      <c r="M1237" s="7"/>
      <c r="N1237" s="7" t="s">
        <v>875</v>
      </c>
      <c r="O1237" s="126"/>
      <c r="P1237" s="126"/>
    </row>
    <row r="1238" spans="1:16" ht="15.75" customHeight="1">
      <c r="A1238" s="126">
        <v>46230.015752314801</v>
      </c>
      <c r="B1238" s="7">
        <v>12</v>
      </c>
      <c r="C1238" s="7">
        <v>759</v>
      </c>
      <c r="D1238" s="7"/>
      <c r="E1238" s="7" t="s">
        <v>1041</v>
      </c>
      <c r="F1238" s="7" t="s">
        <v>716</v>
      </c>
      <c r="G1238" s="7">
        <v>175</v>
      </c>
      <c r="H1238" s="7" t="s">
        <v>881</v>
      </c>
      <c r="I1238" s="7" t="s">
        <v>878</v>
      </c>
      <c r="J1238" s="7" t="s">
        <v>882</v>
      </c>
      <c r="M1238" s="7">
        <v>100</v>
      </c>
      <c r="N1238" s="7">
        <v>100</v>
      </c>
      <c r="O1238" s="126">
        <v>46216.748240740701</v>
      </c>
      <c r="P1238" s="126">
        <v>46216.748240740701</v>
      </c>
    </row>
    <row r="1239" spans="1:16" ht="15.75" customHeight="1">
      <c r="A1239" s="126">
        <v>46230.015752314801</v>
      </c>
      <c r="B1239" s="7">
        <v>12</v>
      </c>
      <c r="C1239" s="7">
        <v>759</v>
      </c>
      <c r="D1239" s="7"/>
      <c r="E1239" s="7" t="s">
        <v>1041</v>
      </c>
      <c r="F1239" s="7" t="s">
        <v>716</v>
      </c>
      <c r="G1239" s="7">
        <v>177</v>
      </c>
      <c r="H1239" s="7" t="s">
        <v>883</v>
      </c>
      <c r="I1239" s="7" t="s">
        <v>878</v>
      </c>
      <c r="J1239" s="7" t="s">
        <v>882</v>
      </c>
      <c r="M1239" s="7"/>
      <c r="N1239" s="7" t="s">
        <v>875</v>
      </c>
      <c r="O1239" s="126"/>
      <c r="P1239" s="126"/>
    </row>
    <row r="1240" spans="1:16" ht="15.75" customHeight="1">
      <c r="A1240" s="126">
        <v>46230.015752314801</v>
      </c>
      <c r="B1240" s="7">
        <v>12</v>
      </c>
      <c r="C1240" s="7">
        <v>759</v>
      </c>
      <c r="D1240" s="7"/>
      <c r="E1240" s="7" t="s">
        <v>1041</v>
      </c>
      <c r="F1240" s="7" t="s">
        <v>716</v>
      </c>
      <c r="G1240" s="7">
        <v>176</v>
      </c>
      <c r="H1240" s="7" t="s">
        <v>884</v>
      </c>
      <c r="I1240" s="7" t="s">
        <v>878</v>
      </c>
      <c r="J1240" s="7" t="s">
        <v>882</v>
      </c>
      <c r="N1240" s="7" t="s">
        <v>875</v>
      </c>
    </row>
    <row r="1241" spans="1:16" ht="15.75" customHeight="1">
      <c r="A1241" s="126">
        <v>46230.015752314801</v>
      </c>
      <c r="B1241" s="7">
        <v>12</v>
      </c>
      <c r="C1241" s="7">
        <v>759</v>
      </c>
      <c r="D1241" s="7"/>
      <c r="E1241" s="7" t="s">
        <v>1041</v>
      </c>
      <c r="F1241" s="7" t="s">
        <v>716</v>
      </c>
      <c r="G1241" s="7">
        <v>168</v>
      </c>
      <c r="H1241" s="7" t="s">
        <v>885</v>
      </c>
      <c r="I1241" s="7" t="s">
        <v>886</v>
      </c>
      <c r="J1241" s="7"/>
      <c r="M1241" s="7">
        <v>100</v>
      </c>
      <c r="N1241" s="7">
        <v>100</v>
      </c>
      <c r="O1241" s="126"/>
      <c r="P1241" s="126">
        <v>46216.745034722197</v>
      </c>
    </row>
    <row r="1242" spans="1:16" ht="15.75" customHeight="1">
      <c r="A1242" s="126">
        <v>46230.015752314801</v>
      </c>
      <c r="B1242" s="7">
        <v>12</v>
      </c>
      <c r="C1242" s="7">
        <v>300</v>
      </c>
      <c r="D1242" s="7"/>
      <c r="E1242" s="7" t="s">
        <v>1042</v>
      </c>
      <c r="F1242" s="7" t="s">
        <v>389</v>
      </c>
      <c r="G1242" s="7">
        <v>181</v>
      </c>
      <c r="H1242" s="7" t="s">
        <v>873</v>
      </c>
      <c r="I1242" s="7" t="s">
        <v>874</v>
      </c>
      <c r="J1242" s="7"/>
      <c r="M1242" s="7"/>
      <c r="N1242" s="7" t="s">
        <v>875</v>
      </c>
      <c r="O1242" s="126"/>
      <c r="P1242" s="126"/>
    </row>
    <row r="1243" spans="1:16" ht="15.75" customHeight="1">
      <c r="A1243" s="126">
        <v>46230.015752314801</v>
      </c>
      <c r="B1243" s="7">
        <v>12</v>
      </c>
      <c r="C1243" s="7">
        <v>300</v>
      </c>
      <c r="D1243" s="7"/>
      <c r="E1243" s="7" t="s">
        <v>1042</v>
      </c>
      <c r="F1243" s="7" t="s">
        <v>389</v>
      </c>
      <c r="G1243" s="7">
        <v>182</v>
      </c>
      <c r="H1243" s="7" t="s">
        <v>876</v>
      </c>
      <c r="I1243" s="7" t="s">
        <v>874</v>
      </c>
      <c r="J1243" s="7"/>
      <c r="M1243" s="7"/>
      <c r="N1243" s="7" t="s">
        <v>875</v>
      </c>
      <c r="P1243" s="126"/>
    </row>
    <row r="1244" spans="1:16" ht="15.75" customHeight="1">
      <c r="A1244" s="126">
        <v>46230.015752314801</v>
      </c>
      <c r="B1244" s="7">
        <v>12</v>
      </c>
      <c r="C1244" s="7">
        <v>300</v>
      </c>
      <c r="D1244" s="7"/>
      <c r="E1244" s="7" t="s">
        <v>1042</v>
      </c>
      <c r="F1244" s="7" t="s">
        <v>389</v>
      </c>
      <c r="G1244" s="7">
        <v>174</v>
      </c>
      <c r="H1244" s="7" t="s">
        <v>877</v>
      </c>
      <c r="I1244" s="7" t="s">
        <v>878</v>
      </c>
      <c r="J1244" s="7" t="s">
        <v>879</v>
      </c>
      <c r="M1244" s="7">
        <v>100</v>
      </c>
      <c r="N1244" s="7">
        <v>100</v>
      </c>
      <c r="P1244" s="126">
        <v>46209.706944444399</v>
      </c>
    </row>
    <row r="1245" spans="1:16" ht="15.75" customHeight="1">
      <c r="A1245" s="126">
        <v>46230.015752314801</v>
      </c>
      <c r="B1245" s="7">
        <v>12</v>
      </c>
      <c r="C1245" s="7">
        <v>300</v>
      </c>
      <c r="D1245" s="7"/>
      <c r="E1245" s="7" t="s">
        <v>1042</v>
      </c>
      <c r="F1245" s="7" t="s">
        <v>389</v>
      </c>
      <c r="G1245" s="7">
        <v>180</v>
      </c>
      <c r="H1245" s="7" t="s">
        <v>880</v>
      </c>
      <c r="I1245" s="7" t="s">
        <v>874</v>
      </c>
      <c r="J1245" s="7"/>
      <c r="M1245" s="7"/>
      <c r="N1245" s="7" t="s">
        <v>875</v>
      </c>
      <c r="O1245" s="126"/>
      <c r="P1245" s="126"/>
    </row>
    <row r="1246" spans="1:16" ht="15.75" customHeight="1">
      <c r="A1246" s="126">
        <v>46230.015752314801</v>
      </c>
      <c r="B1246" s="7">
        <v>12</v>
      </c>
      <c r="C1246" s="7">
        <v>300</v>
      </c>
      <c r="D1246" s="7"/>
      <c r="E1246" s="7" t="s">
        <v>1042</v>
      </c>
      <c r="F1246" s="7" t="s">
        <v>389</v>
      </c>
      <c r="G1246" s="7">
        <v>175</v>
      </c>
      <c r="H1246" s="7" t="s">
        <v>881</v>
      </c>
      <c r="I1246" s="7" t="s">
        <v>878</v>
      </c>
      <c r="J1246" s="7" t="s">
        <v>882</v>
      </c>
      <c r="M1246" s="7">
        <v>100</v>
      </c>
      <c r="N1246" s="7">
        <v>100</v>
      </c>
      <c r="O1246" s="126">
        <v>46214.785648148201</v>
      </c>
      <c r="P1246" s="126">
        <v>46214.785648148201</v>
      </c>
    </row>
    <row r="1247" spans="1:16" ht="15.75" customHeight="1">
      <c r="A1247" s="126">
        <v>46230.015752314801</v>
      </c>
      <c r="B1247" s="7">
        <v>12</v>
      </c>
      <c r="C1247" s="7">
        <v>300</v>
      </c>
      <c r="D1247" s="7"/>
      <c r="E1247" s="7" t="s">
        <v>1042</v>
      </c>
      <c r="F1247" s="7" t="s">
        <v>389</v>
      </c>
      <c r="G1247" s="7">
        <v>177</v>
      </c>
      <c r="H1247" s="7" t="s">
        <v>883</v>
      </c>
      <c r="I1247" s="7" t="s">
        <v>878</v>
      </c>
      <c r="J1247" s="7" t="s">
        <v>882</v>
      </c>
      <c r="M1247" s="7"/>
      <c r="N1247" s="7" t="s">
        <v>875</v>
      </c>
      <c r="P1247" s="126"/>
    </row>
    <row r="1248" spans="1:16" ht="15.75" customHeight="1">
      <c r="A1248" s="126">
        <v>46230.015752314801</v>
      </c>
      <c r="B1248" s="7">
        <v>12</v>
      </c>
      <c r="C1248" s="7">
        <v>300</v>
      </c>
      <c r="D1248" s="7"/>
      <c r="E1248" s="7" t="s">
        <v>1042</v>
      </c>
      <c r="F1248" s="7" t="s">
        <v>389</v>
      </c>
      <c r="G1248" s="7">
        <v>176</v>
      </c>
      <c r="H1248" s="7" t="s">
        <v>884</v>
      </c>
      <c r="I1248" s="7" t="s">
        <v>878</v>
      </c>
      <c r="J1248" s="7" t="s">
        <v>882</v>
      </c>
      <c r="M1248" s="7">
        <v>100</v>
      </c>
      <c r="N1248" s="7">
        <v>100</v>
      </c>
      <c r="O1248" s="126">
        <v>46226.601793981499</v>
      </c>
      <c r="P1248" s="126">
        <v>46226.601793981499</v>
      </c>
    </row>
    <row r="1249" spans="1:16" ht="15.75" customHeight="1">
      <c r="A1249" s="126">
        <v>46230.015752314801</v>
      </c>
      <c r="B1249" s="7">
        <v>12</v>
      </c>
      <c r="C1249" s="7">
        <v>300</v>
      </c>
      <c r="D1249" s="7"/>
      <c r="E1249" s="7" t="s">
        <v>1042</v>
      </c>
      <c r="F1249" s="7" t="s">
        <v>389</v>
      </c>
      <c r="G1249" s="7">
        <v>168</v>
      </c>
      <c r="H1249" s="7" t="s">
        <v>885</v>
      </c>
      <c r="I1249" s="7" t="s">
        <v>886</v>
      </c>
      <c r="J1249" s="7"/>
      <c r="M1249" s="7">
        <v>100</v>
      </c>
      <c r="N1249" s="7">
        <v>100</v>
      </c>
      <c r="P1249" s="126">
        <v>46209.706944444399</v>
      </c>
    </row>
    <row r="1250" spans="1:16" ht="15.75" customHeight="1">
      <c r="A1250" s="126">
        <v>46230.015752314801</v>
      </c>
      <c r="B1250" s="7">
        <v>12</v>
      </c>
      <c r="C1250" s="7">
        <v>304</v>
      </c>
      <c r="D1250" s="7"/>
      <c r="E1250" s="7" t="s">
        <v>1043</v>
      </c>
      <c r="F1250" s="7" t="s">
        <v>437</v>
      </c>
      <c r="G1250" s="7">
        <v>181</v>
      </c>
      <c r="H1250" s="7" t="s">
        <v>873</v>
      </c>
      <c r="I1250" s="7" t="s">
        <v>874</v>
      </c>
      <c r="J1250" s="7"/>
      <c r="M1250" s="7"/>
      <c r="N1250" s="7" t="s">
        <v>875</v>
      </c>
      <c r="O1250" s="126"/>
      <c r="P1250" s="126"/>
    </row>
    <row r="1251" spans="1:16" ht="15.75" customHeight="1">
      <c r="A1251" s="126">
        <v>46230.015752314801</v>
      </c>
      <c r="B1251" s="7">
        <v>12</v>
      </c>
      <c r="C1251" s="7">
        <v>304</v>
      </c>
      <c r="D1251" s="7"/>
      <c r="E1251" s="7" t="s">
        <v>1043</v>
      </c>
      <c r="F1251" s="7" t="s">
        <v>437</v>
      </c>
      <c r="G1251" s="7">
        <v>182</v>
      </c>
      <c r="H1251" s="7" t="s">
        <v>876</v>
      </c>
      <c r="I1251" s="7" t="s">
        <v>874</v>
      </c>
      <c r="J1251" s="7"/>
      <c r="M1251" s="7"/>
      <c r="N1251" s="7" t="s">
        <v>875</v>
      </c>
      <c r="O1251" s="126"/>
      <c r="P1251" s="126"/>
    </row>
    <row r="1252" spans="1:16" ht="15.75" customHeight="1">
      <c r="A1252" s="126">
        <v>46230.015752314801</v>
      </c>
      <c r="B1252" s="7">
        <v>12</v>
      </c>
      <c r="C1252" s="7">
        <v>304</v>
      </c>
      <c r="D1252" s="7"/>
      <c r="E1252" s="7" t="s">
        <v>1043</v>
      </c>
      <c r="F1252" s="7" t="s">
        <v>437</v>
      </c>
      <c r="G1252" s="7">
        <v>174</v>
      </c>
      <c r="H1252" s="7" t="s">
        <v>877</v>
      </c>
      <c r="I1252" s="7" t="s">
        <v>878</v>
      </c>
      <c r="J1252" s="7" t="s">
        <v>879</v>
      </c>
      <c r="M1252" s="7">
        <v>100</v>
      </c>
      <c r="N1252" s="7">
        <v>100</v>
      </c>
      <c r="O1252" s="126"/>
      <c r="P1252" s="126">
        <v>46209.706967592603</v>
      </c>
    </row>
    <row r="1253" spans="1:16" ht="15.75" customHeight="1">
      <c r="A1253" s="126">
        <v>46230.015752314801</v>
      </c>
      <c r="B1253" s="7">
        <v>12</v>
      </c>
      <c r="C1253" s="7">
        <v>304</v>
      </c>
      <c r="D1253" s="7"/>
      <c r="E1253" s="7" t="s">
        <v>1043</v>
      </c>
      <c r="F1253" s="7" t="s">
        <v>437</v>
      </c>
      <c r="G1253" s="7">
        <v>180</v>
      </c>
      <c r="H1253" s="7" t="s">
        <v>880</v>
      </c>
      <c r="I1253" s="7" t="s">
        <v>874</v>
      </c>
      <c r="J1253" s="7"/>
      <c r="M1253" s="7"/>
      <c r="N1253" s="7" t="s">
        <v>875</v>
      </c>
      <c r="O1253" s="126"/>
      <c r="P1253" s="126"/>
    </row>
    <row r="1254" spans="1:16" ht="15.75" customHeight="1">
      <c r="A1254" s="126">
        <v>46230.015752314801</v>
      </c>
      <c r="B1254" s="7">
        <v>12</v>
      </c>
      <c r="C1254" s="7">
        <v>304</v>
      </c>
      <c r="D1254" s="7"/>
      <c r="E1254" s="7" t="s">
        <v>1043</v>
      </c>
      <c r="F1254" s="7" t="s">
        <v>437</v>
      </c>
      <c r="G1254" s="7">
        <v>175</v>
      </c>
      <c r="H1254" s="7" t="s">
        <v>881</v>
      </c>
      <c r="I1254" s="7" t="s">
        <v>878</v>
      </c>
      <c r="J1254" s="7" t="s">
        <v>882</v>
      </c>
      <c r="M1254" s="7">
        <v>100</v>
      </c>
      <c r="N1254" s="7">
        <v>100</v>
      </c>
      <c r="O1254" s="126">
        <v>46215.549270833297</v>
      </c>
      <c r="P1254" s="126">
        <v>46215.549270833297</v>
      </c>
    </row>
    <row r="1255" spans="1:16" ht="15.75" customHeight="1">
      <c r="A1255" s="126">
        <v>46230.015752314801</v>
      </c>
      <c r="B1255" s="7">
        <v>12</v>
      </c>
      <c r="C1255" s="7">
        <v>304</v>
      </c>
      <c r="D1255" s="7"/>
      <c r="E1255" s="7" t="s">
        <v>1043</v>
      </c>
      <c r="F1255" s="7" t="s">
        <v>437</v>
      </c>
      <c r="G1255" s="7">
        <v>177</v>
      </c>
      <c r="H1255" s="7" t="s">
        <v>883</v>
      </c>
      <c r="I1255" s="7" t="s">
        <v>878</v>
      </c>
      <c r="J1255" s="7" t="s">
        <v>882</v>
      </c>
      <c r="M1255" s="7"/>
      <c r="N1255" s="7" t="s">
        <v>875</v>
      </c>
      <c r="P1255" s="126"/>
    </row>
    <row r="1256" spans="1:16" ht="15.75" customHeight="1">
      <c r="A1256" s="126">
        <v>46230.015752314801</v>
      </c>
      <c r="B1256" s="7">
        <v>12</v>
      </c>
      <c r="C1256" s="7">
        <v>304</v>
      </c>
      <c r="D1256" s="7"/>
      <c r="E1256" s="7" t="s">
        <v>1043</v>
      </c>
      <c r="F1256" s="7" t="s">
        <v>437</v>
      </c>
      <c r="G1256" s="7">
        <v>176</v>
      </c>
      <c r="H1256" s="7" t="s">
        <v>884</v>
      </c>
      <c r="I1256" s="7" t="s">
        <v>878</v>
      </c>
      <c r="J1256" s="7" t="s">
        <v>882</v>
      </c>
      <c r="M1256" s="7">
        <v>100</v>
      </c>
      <c r="N1256" s="7">
        <v>100</v>
      </c>
      <c r="O1256" s="126">
        <v>46225.850057870397</v>
      </c>
      <c r="P1256" s="126">
        <v>46225.850057870397</v>
      </c>
    </row>
    <row r="1257" spans="1:16" ht="15.75" customHeight="1">
      <c r="A1257" s="126">
        <v>46230.015752314801</v>
      </c>
      <c r="B1257" s="7">
        <v>12</v>
      </c>
      <c r="C1257" s="7">
        <v>304</v>
      </c>
      <c r="D1257" s="7"/>
      <c r="E1257" s="7" t="s">
        <v>1043</v>
      </c>
      <c r="F1257" s="7" t="s">
        <v>437</v>
      </c>
      <c r="G1257" s="7">
        <v>168</v>
      </c>
      <c r="H1257" s="7" t="s">
        <v>885</v>
      </c>
      <c r="I1257" s="7" t="s">
        <v>886</v>
      </c>
      <c r="J1257" s="7"/>
      <c r="M1257" s="7">
        <v>100</v>
      </c>
      <c r="N1257" s="7">
        <v>100</v>
      </c>
      <c r="O1257" s="126"/>
      <c r="P1257" s="126">
        <v>46209.706967592603</v>
      </c>
    </row>
    <row r="1258" spans="1:16" ht="15.75" customHeight="1">
      <c r="A1258" s="126">
        <v>46230.015752314801</v>
      </c>
      <c r="B1258" s="7">
        <v>12</v>
      </c>
      <c r="C1258" s="7">
        <v>698</v>
      </c>
      <c r="D1258" s="7"/>
      <c r="E1258" s="7" t="s">
        <v>1044</v>
      </c>
      <c r="F1258" s="7" t="s">
        <v>439</v>
      </c>
      <c r="G1258" s="7">
        <v>181</v>
      </c>
      <c r="H1258" s="7" t="s">
        <v>873</v>
      </c>
      <c r="I1258" s="7" t="s">
        <v>874</v>
      </c>
      <c r="J1258" s="7"/>
      <c r="M1258" s="7"/>
      <c r="N1258" s="7" t="s">
        <v>875</v>
      </c>
      <c r="O1258" s="126"/>
      <c r="P1258" s="126"/>
    </row>
    <row r="1259" spans="1:16" ht="15.75" customHeight="1">
      <c r="A1259" s="126">
        <v>46230.015752314801</v>
      </c>
      <c r="B1259" s="7">
        <v>12</v>
      </c>
      <c r="C1259" s="7">
        <v>698</v>
      </c>
      <c r="D1259" s="7"/>
      <c r="E1259" s="7" t="s">
        <v>1044</v>
      </c>
      <c r="F1259" s="7" t="s">
        <v>439</v>
      </c>
      <c r="G1259" s="7">
        <v>182</v>
      </c>
      <c r="H1259" s="7" t="s">
        <v>876</v>
      </c>
      <c r="I1259" s="7" t="s">
        <v>874</v>
      </c>
      <c r="J1259" s="7"/>
      <c r="M1259" s="7"/>
      <c r="N1259" s="7" t="s">
        <v>875</v>
      </c>
      <c r="O1259" s="126"/>
      <c r="P1259" s="126"/>
    </row>
    <row r="1260" spans="1:16" ht="15.75" customHeight="1">
      <c r="A1260" s="126">
        <v>46230.015752314801</v>
      </c>
      <c r="B1260" s="7">
        <v>12</v>
      </c>
      <c r="C1260" s="7">
        <v>698</v>
      </c>
      <c r="D1260" s="7"/>
      <c r="E1260" s="7" t="s">
        <v>1044</v>
      </c>
      <c r="F1260" s="7" t="s">
        <v>439</v>
      </c>
      <c r="G1260" s="7">
        <v>174</v>
      </c>
      <c r="H1260" s="7" t="s">
        <v>877</v>
      </c>
      <c r="I1260" s="7" t="s">
        <v>878</v>
      </c>
      <c r="J1260" s="7" t="s">
        <v>879</v>
      </c>
      <c r="M1260" s="7">
        <v>100</v>
      </c>
      <c r="N1260" s="7">
        <v>100</v>
      </c>
      <c r="O1260" s="126"/>
      <c r="P1260" s="126">
        <v>46209.706967592603</v>
      </c>
    </row>
    <row r="1261" spans="1:16" ht="15.75" customHeight="1">
      <c r="A1261" s="126">
        <v>46230.015752314801</v>
      </c>
      <c r="B1261" s="7">
        <v>12</v>
      </c>
      <c r="C1261" s="7">
        <v>698</v>
      </c>
      <c r="D1261" s="7"/>
      <c r="E1261" s="7" t="s">
        <v>1044</v>
      </c>
      <c r="F1261" s="7" t="s">
        <v>439</v>
      </c>
      <c r="G1261" s="7">
        <v>180</v>
      </c>
      <c r="H1261" s="7" t="s">
        <v>880</v>
      </c>
      <c r="I1261" s="7" t="s">
        <v>874</v>
      </c>
      <c r="J1261" s="7"/>
      <c r="M1261" s="7"/>
      <c r="N1261" s="7" t="s">
        <v>875</v>
      </c>
      <c r="P1261" s="126"/>
    </row>
    <row r="1262" spans="1:16" ht="15.75" customHeight="1">
      <c r="A1262" s="126">
        <v>46230.015752314801</v>
      </c>
      <c r="B1262" s="7">
        <v>12</v>
      </c>
      <c r="C1262" s="7">
        <v>698</v>
      </c>
      <c r="E1262" s="7" t="s">
        <v>1044</v>
      </c>
      <c r="F1262" s="7" t="s">
        <v>439</v>
      </c>
      <c r="G1262" s="7">
        <v>175</v>
      </c>
      <c r="H1262" s="7" t="s">
        <v>881</v>
      </c>
      <c r="I1262" s="7" t="s">
        <v>878</v>
      </c>
      <c r="J1262" s="7" t="s">
        <v>882</v>
      </c>
      <c r="M1262" s="7">
        <v>100</v>
      </c>
      <c r="N1262" s="7">
        <v>100</v>
      </c>
      <c r="O1262" s="126">
        <v>46215.991574074098</v>
      </c>
      <c r="P1262" s="126">
        <v>46215.991574074098</v>
      </c>
    </row>
    <row r="1263" spans="1:16" ht="15.75" customHeight="1">
      <c r="A1263" s="126">
        <v>46230.015752314801</v>
      </c>
      <c r="B1263" s="7">
        <v>12</v>
      </c>
      <c r="C1263" s="7">
        <v>698</v>
      </c>
      <c r="E1263" s="7" t="s">
        <v>1044</v>
      </c>
      <c r="F1263" s="7" t="s">
        <v>439</v>
      </c>
      <c r="G1263" s="7">
        <v>177</v>
      </c>
      <c r="H1263" s="7" t="s">
        <v>883</v>
      </c>
      <c r="I1263" s="7" t="s">
        <v>878</v>
      </c>
      <c r="J1263" s="7" t="s">
        <v>882</v>
      </c>
      <c r="M1263" s="7"/>
      <c r="N1263" s="7" t="s">
        <v>875</v>
      </c>
      <c r="O1263" s="126"/>
      <c r="P1263" s="126"/>
    </row>
    <row r="1264" spans="1:16" ht="15.75" customHeight="1">
      <c r="A1264" s="126">
        <v>46230.015752314801</v>
      </c>
      <c r="B1264" s="7">
        <v>12</v>
      </c>
      <c r="C1264" s="7">
        <v>698</v>
      </c>
      <c r="E1264" s="7" t="s">
        <v>1044</v>
      </c>
      <c r="F1264" s="7" t="s">
        <v>439</v>
      </c>
      <c r="G1264" s="7">
        <v>176</v>
      </c>
      <c r="H1264" s="7" t="s">
        <v>884</v>
      </c>
      <c r="I1264" s="7" t="s">
        <v>878</v>
      </c>
      <c r="J1264" s="7" t="s">
        <v>882</v>
      </c>
      <c r="M1264" s="7">
        <v>95</v>
      </c>
      <c r="N1264" s="7">
        <v>95</v>
      </c>
      <c r="O1264" s="126">
        <v>46225.753043981502</v>
      </c>
      <c r="P1264" s="126">
        <v>46225.753043981502</v>
      </c>
    </row>
    <row r="1265" spans="1:16" ht="15.75" customHeight="1">
      <c r="A1265" s="126">
        <v>46230.015752314801</v>
      </c>
      <c r="B1265" s="7">
        <v>12</v>
      </c>
      <c r="C1265" s="7">
        <v>698</v>
      </c>
      <c r="E1265" s="7" t="s">
        <v>1044</v>
      </c>
      <c r="F1265" s="7" t="s">
        <v>439</v>
      </c>
      <c r="G1265" s="7">
        <v>168</v>
      </c>
      <c r="H1265" s="7" t="s">
        <v>885</v>
      </c>
      <c r="I1265" s="7" t="s">
        <v>886</v>
      </c>
      <c r="J1265" s="7"/>
      <c r="M1265" s="7">
        <v>100</v>
      </c>
      <c r="N1265" s="7">
        <v>100</v>
      </c>
      <c r="P1265" s="126">
        <v>46209.706967592603</v>
      </c>
    </row>
    <row r="1266" spans="1:16" ht="15.75" customHeight="1">
      <c r="A1266" s="126">
        <v>46230.015752314801</v>
      </c>
      <c r="B1266" s="7">
        <v>12</v>
      </c>
      <c r="C1266" s="7">
        <v>718</v>
      </c>
      <c r="E1266" s="7" t="s">
        <v>1045</v>
      </c>
      <c r="F1266" s="7" t="s">
        <v>399</v>
      </c>
      <c r="G1266" s="7">
        <v>181</v>
      </c>
      <c r="H1266" s="7" t="s">
        <v>873</v>
      </c>
      <c r="I1266" s="7" t="s">
        <v>874</v>
      </c>
      <c r="J1266" s="7"/>
      <c r="M1266" s="7"/>
      <c r="N1266" s="7" t="s">
        <v>875</v>
      </c>
      <c r="O1266" s="126"/>
      <c r="P1266" s="126"/>
    </row>
    <row r="1267" spans="1:16" ht="15.75" customHeight="1">
      <c r="A1267" s="126">
        <v>46230.015752314801</v>
      </c>
      <c r="B1267" s="7">
        <v>12</v>
      </c>
      <c r="C1267" s="7">
        <v>718</v>
      </c>
      <c r="E1267" s="7" t="s">
        <v>1045</v>
      </c>
      <c r="F1267" s="7" t="s">
        <v>399</v>
      </c>
      <c r="G1267" s="7">
        <v>182</v>
      </c>
      <c r="H1267" s="7" t="s">
        <v>876</v>
      </c>
      <c r="I1267" s="7" t="s">
        <v>874</v>
      </c>
      <c r="J1267" s="7"/>
      <c r="M1267" s="7"/>
      <c r="N1267" s="7" t="s">
        <v>875</v>
      </c>
      <c r="P1267" s="126"/>
    </row>
    <row r="1268" spans="1:16" ht="15.75" customHeight="1">
      <c r="A1268" s="126">
        <v>46230.015752314801</v>
      </c>
      <c r="B1268" s="7">
        <v>12</v>
      </c>
      <c r="C1268" s="7">
        <v>718</v>
      </c>
      <c r="D1268" s="7"/>
      <c r="E1268" s="7" t="s">
        <v>1045</v>
      </c>
      <c r="F1268" s="7" t="s">
        <v>399</v>
      </c>
      <c r="G1268" s="7">
        <v>174</v>
      </c>
      <c r="H1268" s="7" t="s">
        <v>877</v>
      </c>
      <c r="I1268" s="7" t="s">
        <v>878</v>
      </c>
      <c r="J1268" s="7" t="s">
        <v>879</v>
      </c>
      <c r="M1268" s="7">
        <v>100</v>
      </c>
      <c r="N1268" s="7">
        <v>100</v>
      </c>
      <c r="O1268" s="126"/>
      <c r="P1268" s="126">
        <v>46214.415844907402</v>
      </c>
    </row>
    <row r="1269" spans="1:16" ht="15.75" customHeight="1">
      <c r="A1269" s="126">
        <v>46230.015752314801</v>
      </c>
      <c r="B1269" s="7">
        <v>12</v>
      </c>
      <c r="C1269" s="7">
        <v>718</v>
      </c>
      <c r="D1269" s="7"/>
      <c r="E1269" s="7" t="s">
        <v>1045</v>
      </c>
      <c r="F1269" s="7" t="s">
        <v>399</v>
      </c>
      <c r="G1269" s="7">
        <v>180</v>
      </c>
      <c r="H1269" s="7" t="s">
        <v>880</v>
      </c>
      <c r="I1269" s="7" t="s">
        <v>874</v>
      </c>
      <c r="J1269" s="7"/>
      <c r="M1269" s="7"/>
      <c r="N1269" s="7" t="s">
        <v>875</v>
      </c>
      <c r="O1269" s="126"/>
      <c r="P1269" s="126"/>
    </row>
    <row r="1270" spans="1:16" ht="15.75" customHeight="1">
      <c r="A1270" s="126">
        <v>46230.015752314801</v>
      </c>
      <c r="B1270" s="7">
        <v>12</v>
      </c>
      <c r="C1270" s="7">
        <v>718</v>
      </c>
      <c r="D1270" s="7"/>
      <c r="E1270" s="7" t="s">
        <v>1045</v>
      </c>
      <c r="F1270" s="7" t="s">
        <v>399</v>
      </c>
      <c r="G1270" s="7">
        <v>175</v>
      </c>
      <c r="H1270" s="7" t="s">
        <v>881</v>
      </c>
      <c r="I1270" s="7" t="s">
        <v>878</v>
      </c>
      <c r="J1270" s="7" t="s">
        <v>882</v>
      </c>
      <c r="M1270" s="7">
        <v>0</v>
      </c>
      <c r="N1270" s="7">
        <v>0</v>
      </c>
      <c r="O1270" s="126">
        <v>46218.583333333299</v>
      </c>
      <c r="P1270" s="126">
        <v>46218.5840509259</v>
      </c>
    </row>
    <row r="1271" spans="1:16" ht="15.75" customHeight="1">
      <c r="A1271" s="126">
        <v>46230.015752314801</v>
      </c>
      <c r="B1271" s="7">
        <v>12</v>
      </c>
      <c r="C1271" s="7">
        <v>718</v>
      </c>
      <c r="D1271" s="7"/>
      <c r="E1271" s="7" t="s">
        <v>1045</v>
      </c>
      <c r="F1271" s="7" t="s">
        <v>399</v>
      </c>
      <c r="G1271" s="7">
        <v>177</v>
      </c>
      <c r="H1271" s="7" t="s">
        <v>883</v>
      </c>
      <c r="I1271" s="7" t="s">
        <v>878</v>
      </c>
      <c r="J1271" s="7" t="s">
        <v>882</v>
      </c>
      <c r="M1271" s="7"/>
      <c r="N1271" s="7" t="s">
        <v>875</v>
      </c>
      <c r="P1271" s="126"/>
    </row>
    <row r="1272" spans="1:16" ht="15.75" customHeight="1">
      <c r="A1272" s="126">
        <v>46230.015752314801</v>
      </c>
      <c r="B1272" s="7">
        <v>12</v>
      </c>
      <c r="C1272" s="7">
        <v>718</v>
      </c>
      <c r="D1272" s="7"/>
      <c r="E1272" s="7" t="s">
        <v>1045</v>
      </c>
      <c r="F1272" s="7" t="s">
        <v>399</v>
      </c>
      <c r="G1272" s="7">
        <v>176</v>
      </c>
      <c r="H1272" s="7" t="s">
        <v>884</v>
      </c>
      <c r="I1272" s="7" t="s">
        <v>878</v>
      </c>
      <c r="J1272" s="7" t="s">
        <v>882</v>
      </c>
      <c r="M1272" s="7">
        <v>90</v>
      </c>
      <c r="N1272" s="7">
        <v>90</v>
      </c>
      <c r="O1272" s="126">
        <v>46229.582800925898</v>
      </c>
      <c r="P1272" s="126">
        <v>46229.582800925898</v>
      </c>
    </row>
    <row r="1273" spans="1:16" ht="15.75" customHeight="1">
      <c r="A1273" s="126">
        <v>46230.015752314801</v>
      </c>
      <c r="B1273" s="7">
        <v>12</v>
      </c>
      <c r="C1273" s="7">
        <v>718</v>
      </c>
      <c r="D1273" s="7"/>
      <c r="E1273" s="7" t="s">
        <v>1045</v>
      </c>
      <c r="F1273" s="7" t="s">
        <v>399</v>
      </c>
      <c r="G1273" s="7">
        <v>168</v>
      </c>
      <c r="H1273" s="7" t="s">
        <v>885</v>
      </c>
      <c r="I1273" s="7" t="s">
        <v>886</v>
      </c>
      <c r="J1273" s="7"/>
      <c r="M1273" s="7">
        <v>100</v>
      </c>
      <c r="N1273" s="7">
        <v>100</v>
      </c>
      <c r="P1273" s="126">
        <v>46214.415844907402</v>
      </c>
    </row>
    <row r="1274" spans="1:16" ht="15.75" customHeight="1">
      <c r="A1274" s="126">
        <v>46230.015752314801</v>
      </c>
      <c r="B1274" s="7">
        <v>12</v>
      </c>
      <c r="C1274" s="7">
        <v>318</v>
      </c>
      <c r="D1274" s="7"/>
      <c r="E1274" s="7" t="s">
        <v>1046</v>
      </c>
      <c r="F1274" s="7" t="s">
        <v>694</v>
      </c>
      <c r="G1274" s="7">
        <v>181</v>
      </c>
      <c r="H1274" s="7" t="s">
        <v>873</v>
      </c>
      <c r="I1274" s="7" t="s">
        <v>874</v>
      </c>
      <c r="J1274" s="7"/>
      <c r="M1274" s="7"/>
      <c r="N1274" s="7" t="s">
        <v>875</v>
      </c>
      <c r="O1274" s="126"/>
      <c r="P1274" s="126"/>
    </row>
    <row r="1275" spans="1:16" ht="15.75" customHeight="1">
      <c r="A1275" s="126">
        <v>46230.015752314801</v>
      </c>
      <c r="B1275" s="7">
        <v>12</v>
      </c>
      <c r="C1275" s="7">
        <v>318</v>
      </c>
      <c r="D1275" s="7"/>
      <c r="E1275" s="7" t="s">
        <v>1046</v>
      </c>
      <c r="F1275" s="7" t="s">
        <v>694</v>
      </c>
      <c r="G1275" s="7">
        <v>182</v>
      </c>
      <c r="H1275" s="7" t="s">
        <v>876</v>
      </c>
      <c r="I1275" s="7" t="s">
        <v>874</v>
      </c>
      <c r="J1275" s="7"/>
      <c r="M1275" s="7"/>
      <c r="N1275" s="7" t="s">
        <v>875</v>
      </c>
      <c r="O1275" s="126"/>
      <c r="P1275" s="126"/>
    </row>
    <row r="1276" spans="1:16" ht="15.75" customHeight="1">
      <c r="A1276" s="126">
        <v>46230.015752314801</v>
      </c>
      <c r="B1276" s="7">
        <v>12</v>
      </c>
      <c r="C1276" s="7">
        <v>318</v>
      </c>
      <c r="D1276" s="7"/>
      <c r="E1276" s="7" t="s">
        <v>1046</v>
      </c>
      <c r="F1276" s="7" t="s">
        <v>694</v>
      </c>
      <c r="G1276" s="7">
        <v>174</v>
      </c>
      <c r="H1276" s="7" t="s">
        <v>877</v>
      </c>
      <c r="I1276" s="7" t="s">
        <v>878</v>
      </c>
      <c r="J1276" s="7" t="s">
        <v>879</v>
      </c>
      <c r="M1276" s="7">
        <v>100</v>
      </c>
      <c r="N1276" s="7">
        <v>100</v>
      </c>
      <c r="O1276" s="126"/>
      <c r="P1276" s="126">
        <v>46225.4203009259</v>
      </c>
    </row>
    <row r="1277" spans="1:16" ht="15.75" customHeight="1">
      <c r="A1277" s="126">
        <v>46230.015752314801</v>
      </c>
      <c r="B1277" s="7">
        <v>12</v>
      </c>
      <c r="C1277" s="7">
        <v>318</v>
      </c>
      <c r="D1277" s="7"/>
      <c r="E1277" s="7" t="s">
        <v>1046</v>
      </c>
      <c r="F1277" s="7" t="s">
        <v>694</v>
      </c>
      <c r="G1277" s="7">
        <v>180</v>
      </c>
      <c r="H1277" s="7" t="s">
        <v>880</v>
      </c>
      <c r="I1277" s="7" t="s">
        <v>874</v>
      </c>
      <c r="J1277" s="7"/>
      <c r="M1277" s="7"/>
      <c r="N1277" s="7" t="s">
        <v>875</v>
      </c>
      <c r="O1277" s="126"/>
      <c r="P1277" s="126"/>
    </row>
    <row r="1278" spans="1:16" ht="15.75" customHeight="1">
      <c r="A1278" s="126">
        <v>46230.015752314801</v>
      </c>
      <c r="B1278" s="7">
        <v>12</v>
      </c>
      <c r="C1278" s="7">
        <v>318</v>
      </c>
      <c r="D1278" s="7"/>
      <c r="E1278" s="7" t="s">
        <v>1046</v>
      </c>
      <c r="F1278" s="7" t="s">
        <v>694</v>
      </c>
      <c r="G1278" s="7">
        <v>175</v>
      </c>
      <c r="H1278" s="7" t="s">
        <v>881</v>
      </c>
      <c r="I1278" s="7" t="s">
        <v>878</v>
      </c>
      <c r="J1278" s="7" t="s">
        <v>882</v>
      </c>
      <c r="M1278" s="7">
        <v>100</v>
      </c>
      <c r="N1278" s="7">
        <v>100</v>
      </c>
      <c r="O1278" s="126">
        <v>46229.798796296302</v>
      </c>
      <c r="P1278" s="126">
        <v>46229.798796296302</v>
      </c>
    </row>
    <row r="1279" spans="1:16" ht="15.75" customHeight="1">
      <c r="A1279" s="126">
        <v>46230.015752314801</v>
      </c>
      <c r="B1279" s="7">
        <v>12</v>
      </c>
      <c r="C1279" s="7">
        <v>318</v>
      </c>
      <c r="D1279" s="7"/>
      <c r="E1279" s="7" t="s">
        <v>1046</v>
      </c>
      <c r="F1279" s="7" t="s">
        <v>694</v>
      </c>
      <c r="G1279" s="7">
        <v>177</v>
      </c>
      <c r="H1279" s="7" t="s">
        <v>883</v>
      </c>
      <c r="I1279" s="7" t="s">
        <v>878</v>
      </c>
      <c r="J1279" s="7" t="s">
        <v>882</v>
      </c>
      <c r="M1279" s="7"/>
      <c r="N1279" s="7" t="s">
        <v>875</v>
      </c>
      <c r="P1279" s="126"/>
    </row>
    <row r="1280" spans="1:16" ht="15.75" customHeight="1">
      <c r="A1280" s="126">
        <v>46230.015752314801</v>
      </c>
      <c r="B1280" s="7">
        <v>12</v>
      </c>
      <c r="C1280" s="7">
        <v>318</v>
      </c>
      <c r="D1280" s="7"/>
      <c r="E1280" s="7" t="s">
        <v>1046</v>
      </c>
      <c r="F1280" s="7" t="s">
        <v>694</v>
      </c>
      <c r="G1280" s="7">
        <v>176</v>
      </c>
      <c r="H1280" s="7" t="s">
        <v>884</v>
      </c>
      <c r="I1280" s="7" t="s">
        <v>878</v>
      </c>
      <c r="J1280" s="7" t="s">
        <v>882</v>
      </c>
      <c r="M1280" s="7">
        <v>100</v>
      </c>
      <c r="N1280" s="7">
        <v>100</v>
      </c>
      <c r="O1280" s="126">
        <v>46229.791736111103</v>
      </c>
      <c r="P1280" s="126">
        <v>46229.791736111103</v>
      </c>
    </row>
    <row r="1281" spans="1:16" ht="15.75" customHeight="1">
      <c r="A1281" s="126">
        <v>46230.015752314801</v>
      </c>
      <c r="B1281" s="7">
        <v>12</v>
      </c>
      <c r="C1281" s="7">
        <v>318</v>
      </c>
      <c r="D1281" s="7"/>
      <c r="E1281" s="7" t="s">
        <v>1046</v>
      </c>
      <c r="F1281" s="7" t="s">
        <v>694</v>
      </c>
      <c r="G1281" s="7">
        <v>168</v>
      </c>
      <c r="H1281" s="7" t="s">
        <v>885</v>
      </c>
      <c r="I1281" s="7" t="s">
        <v>886</v>
      </c>
      <c r="J1281" s="7"/>
      <c r="M1281" s="7">
        <v>100</v>
      </c>
      <c r="N1281" s="7">
        <v>100</v>
      </c>
      <c r="O1281" s="126"/>
      <c r="P1281" s="126">
        <v>46225.4203009259</v>
      </c>
    </row>
    <row r="1282" spans="1:16" ht="15.75" customHeight="1">
      <c r="A1282" s="126">
        <v>46230.015752314801</v>
      </c>
      <c r="B1282" s="7">
        <v>12</v>
      </c>
      <c r="C1282" s="7">
        <v>819</v>
      </c>
      <c r="D1282" s="7">
        <v>508149</v>
      </c>
      <c r="E1282" s="7" t="s">
        <v>1046</v>
      </c>
      <c r="F1282" s="7" t="s">
        <v>1047</v>
      </c>
      <c r="G1282" s="7">
        <v>181</v>
      </c>
      <c r="H1282" s="7" t="s">
        <v>873</v>
      </c>
      <c r="I1282" s="7" t="s">
        <v>874</v>
      </c>
      <c r="J1282" s="7"/>
      <c r="M1282" s="7"/>
      <c r="N1282" s="7" t="s">
        <v>875</v>
      </c>
      <c r="O1282" s="126"/>
      <c r="P1282" s="126"/>
    </row>
    <row r="1283" spans="1:16" ht="15.75" customHeight="1">
      <c r="A1283" s="126">
        <v>46230.015752314801</v>
      </c>
      <c r="B1283" s="7">
        <v>12</v>
      </c>
      <c r="C1283" s="7">
        <v>819</v>
      </c>
      <c r="D1283" s="7">
        <v>508149</v>
      </c>
      <c r="E1283" s="7" t="s">
        <v>1046</v>
      </c>
      <c r="F1283" s="7" t="s">
        <v>1047</v>
      </c>
      <c r="G1283" s="7">
        <v>182</v>
      </c>
      <c r="H1283" s="7" t="s">
        <v>876</v>
      </c>
      <c r="I1283" s="7" t="s">
        <v>874</v>
      </c>
      <c r="J1283" s="7"/>
      <c r="M1283" s="7"/>
      <c r="N1283" s="7" t="s">
        <v>875</v>
      </c>
      <c r="P1283" s="126"/>
    </row>
    <row r="1284" spans="1:16" ht="15.75" customHeight="1">
      <c r="A1284" s="126">
        <v>46230.015752314801</v>
      </c>
      <c r="B1284" s="7">
        <v>12</v>
      </c>
      <c r="C1284" s="7">
        <v>819</v>
      </c>
      <c r="D1284" s="7">
        <v>508149</v>
      </c>
      <c r="E1284" s="7" t="s">
        <v>1046</v>
      </c>
      <c r="F1284" s="7" t="s">
        <v>1047</v>
      </c>
      <c r="G1284" s="7">
        <v>174</v>
      </c>
      <c r="H1284" s="7" t="s">
        <v>877</v>
      </c>
      <c r="I1284" s="7" t="s">
        <v>878</v>
      </c>
      <c r="J1284" s="7" t="s">
        <v>879</v>
      </c>
      <c r="M1284" s="7"/>
      <c r="N1284" s="7" t="s">
        <v>875</v>
      </c>
      <c r="O1284" s="126"/>
      <c r="P1284" s="126"/>
    </row>
    <row r="1285" spans="1:16" ht="15.75" customHeight="1">
      <c r="A1285" s="126">
        <v>46230.015752314801</v>
      </c>
      <c r="B1285" s="7">
        <v>12</v>
      </c>
      <c r="C1285" s="7">
        <v>819</v>
      </c>
      <c r="D1285" s="7">
        <v>508149</v>
      </c>
      <c r="E1285" s="7" t="s">
        <v>1046</v>
      </c>
      <c r="F1285" s="7" t="s">
        <v>1047</v>
      </c>
      <c r="G1285" s="7">
        <v>180</v>
      </c>
      <c r="H1285" s="7" t="s">
        <v>880</v>
      </c>
      <c r="I1285" s="7" t="s">
        <v>874</v>
      </c>
      <c r="J1285" s="7"/>
      <c r="M1285" s="7"/>
      <c r="N1285" s="7" t="s">
        <v>875</v>
      </c>
      <c r="O1285" s="126"/>
      <c r="P1285" s="126"/>
    </row>
    <row r="1286" spans="1:16" ht="15.75" customHeight="1">
      <c r="A1286" s="126">
        <v>46230.015752314801</v>
      </c>
      <c r="B1286" s="7">
        <v>12</v>
      </c>
      <c r="C1286" s="7">
        <v>819</v>
      </c>
      <c r="D1286" s="7">
        <v>508149</v>
      </c>
      <c r="E1286" s="7" t="s">
        <v>1046</v>
      </c>
      <c r="F1286" s="7" t="s">
        <v>1047</v>
      </c>
      <c r="G1286" s="7">
        <v>175</v>
      </c>
      <c r="H1286" s="7" t="s">
        <v>881</v>
      </c>
      <c r="I1286" s="7" t="s">
        <v>878</v>
      </c>
      <c r="J1286" s="7" t="s">
        <v>882</v>
      </c>
      <c r="M1286" s="7"/>
      <c r="N1286" s="7" t="s">
        <v>875</v>
      </c>
      <c r="O1286" s="126"/>
      <c r="P1286" s="126"/>
    </row>
    <row r="1287" spans="1:16" ht="15.75" customHeight="1">
      <c r="A1287" s="126">
        <v>46230.015752314801</v>
      </c>
      <c r="B1287" s="7">
        <v>12</v>
      </c>
      <c r="C1287" s="7">
        <v>819</v>
      </c>
      <c r="D1287" s="7">
        <v>508149</v>
      </c>
      <c r="E1287" s="7" t="s">
        <v>1046</v>
      </c>
      <c r="F1287" s="7" t="s">
        <v>1047</v>
      </c>
      <c r="G1287" s="7">
        <v>177</v>
      </c>
      <c r="H1287" s="7" t="s">
        <v>883</v>
      </c>
      <c r="I1287" s="7" t="s">
        <v>878</v>
      </c>
      <c r="J1287" s="7" t="s">
        <v>882</v>
      </c>
      <c r="M1287" s="7"/>
      <c r="N1287" s="7" t="s">
        <v>875</v>
      </c>
      <c r="O1287" s="126"/>
      <c r="P1287" s="126"/>
    </row>
    <row r="1288" spans="1:16" ht="15.75" customHeight="1">
      <c r="A1288" s="126">
        <v>46230.015752314801</v>
      </c>
      <c r="B1288" s="7">
        <v>12</v>
      </c>
      <c r="C1288" s="7">
        <v>819</v>
      </c>
      <c r="D1288" s="7">
        <v>508149</v>
      </c>
      <c r="E1288" s="7" t="s">
        <v>1046</v>
      </c>
      <c r="F1288" s="7" t="s">
        <v>1047</v>
      </c>
      <c r="G1288" s="7">
        <v>176</v>
      </c>
      <c r="H1288" s="7" t="s">
        <v>884</v>
      </c>
      <c r="I1288" s="7" t="s">
        <v>878</v>
      </c>
      <c r="J1288" s="7" t="s">
        <v>882</v>
      </c>
      <c r="M1288" s="7"/>
      <c r="N1288" s="7" t="s">
        <v>875</v>
      </c>
      <c r="O1288" s="126"/>
      <c r="P1288" s="126"/>
    </row>
    <row r="1289" spans="1:16" ht="15.75" customHeight="1">
      <c r="A1289" s="126">
        <v>46230.015752314801</v>
      </c>
      <c r="B1289" s="7">
        <v>12</v>
      </c>
      <c r="C1289" s="7">
        <v>819</v>
      </c>
      <c r="D1289" s="7">
        <v>508149</v>
      </c>
      <c r="E1289" s="7" t="s">
        <v>1046</v>
      </c>
      <c r="F1289" s="7" t="s">
        <v>1047</v>
      </c>
      <c r="G1289" s="7">
        <v>168</v>
      </c>
      <c r="H1289" s="7" t="s">
        <v>885</v>
      </c>
      <c r="I1289" s="7" t="s">
        <v>886</v>
      </c>
      <c r="J1289" s="7"/>
      <c r="M1289" s="7"/>
      <c r="N1289" s="7" t="s">
        <v>875</v>
      </c>
      <c r="P1289" s="126"/>
    </row>
    <row r="1290" spans="1:16" ht="15.75" customHeight="1">
      <c r="A1290" s="126">
        <v>46230.015752314801</v>
      </c>
      <c r="B1290" s="7">
        <v>12</v>
      </c>
      <c r="C1290" s="7">
        <v>775</v>
      </c>
      <c r="D1290" s="7"/>
      <c r="E1290" s="7" t="s">
        <v>1048</v>
      </c>
      <c r="F1290" s="7" t="s">
        <v>114</v>
      </c>
      <c r="G1290" s="7">
        <v>181</v>
      </c>
      <c r="H1290" s="7" t="s">
        <v>873</v>
      </c>
      <c r="I1290" s="7" t="s">
        <v>874</v>
      </c>
      <c r="J1290" s="7"/>
      <c r="M1290" s="7"/>
      <c r="N1290" s="7" t="s">
        <v>875</v>
      </c>
      <c r="P1290" s="126"/>
    </row>
    <row r="1291" spans="1:16" ht="15.75" customHeight="1">
      <c r="A1291" s="126">
        <v>46230.015752314801</v>
      </c>
      <c r="B1291" s="7">
        <v>12</v>
      </c>
      <c r="C1291" s="7">
        <v>775</v>
      </c>
      <c r="D1291" s="7"/>
      <c r="E1291" s="7" t="s">
        <v>1048</v>
      </c>
      <c r="F1291" s="7" t="s">
        <v>114</v>
      </c>
      <c r="G1291" s="7">
        <v>182</v>
      </c>
      <c r="H1291" s="7" t="s">
        <v>876</v>
      </c>
      <c r="I1291" s="7" t="s">
        <v>874</v>
      </c>
      <c r="J1291" s="7"/>
      <c r="M1291" s="7"/>
      <c r="N1291" s="7" t="s">
        <v>875</v>
      </c>
      <c r="P1291" s="126"/>
    </row>
    <row r="1292" spans="1:16" ht="15.75" customHeight="1">
      <c r="A1292" s="126">
        <v>46230.015752314801</v>
      </c>
      <c r="B1292" s="7">
        <v>12</v>
      </c>
      <c r="C1292" s="7">
        <v>775</v>
      </c>
      <c r="E1292" s="7" t="s">
        <v>1048</v>
      </c>
      <c r="F1292" s="7" t="s">
        <v>114</v>
      </c>
      <c r="G1292" s="7">
        <v>174</v>
      </c>
      <c r="H1292" s="7" t="s">
        <v>877</v>
      </c>
      <c r="I1292" s="7" t="s">
        <v>878</v>
      </c>
      <c r="J1292" s="7" t="s">
        <v>879</v>
      </c>
      <c r="M1292" s="7">
        <v>100</v>
      </c>
      <c r="N1292" s="7">
        <v>100</v>
      </c>
      <c r="O1292" s="126"/>
      <c r="P1292" s="126">
        <v>46209.682372685202</v>
      </c>
    </row>
    <row r="1293" spans="1:16" ht="15.75" customHeight="1">
      <c r="A1293" s="126">
        <v>46230.015752314801</v>
      </c>
      <c r="B1293" s="7">
        <v>12</v>
      </c>
      <c r="C1293" s="7">
        <v>775</v>
      </c>
      <c r="E1293" s="7" t="s">
        <v>1048</v>
      </c>
      <c r="F1293" s="7" t="s">
        <v>114</v>
      </c>
      <c r="G1293" s="7">
        <v>180</v>
      </c>
      <c r="H1293" s="7" t="s">
        <v>880</v>
      </c>
      <c r="I1293" s="7" t="s">
        <v>874</v>
      </c>
      <c r="J1293" s="7"/>
      <c r="M1293" s="7"/>
      <c r="N1293" s="7" t="s">
        <v>875</v>
      </c>
      <c r="O1293" s="126"/>
      <c r="P1293" s="126"/>
    </row>
    <row r="1294" spans="1:16" ht="15.75" customHeight="1">
      <c r="A1294" s="126">
        <v>46230.015752314801</v>
      </c>
      <c r="B1294" s="7">
        <v>12</v>
      </c>
      <c r="C1294" s="7">
        <v>775</v>
      </c>
      <c r="E1294" s="7" t="s">
        <v>1048</v>
      </c>
      <c r="F1294" s="7" t="s">
        <v>114</v>
      </c>
      <c r="G1294" s="7">
        <v>175</v>
      </c>
      <c r="H1294" s="7" t="s">
        <v>881</v>
      </c>
      <c r="I1294" s="7" t="s">
        <v>878</v>
      </c>
      <c r="J1294" s="7" t="s">
        <v>882</v>
      </c>
      <c r="M1294" s="7">
        <v>75</v>
      </c>
      <c r="N1294" s="7">
        <v>75</v>
      </c>
      <c r="O1294" s="126">
        <v>46214.460289351897</v>
      </c>
      <c r="P1294" s="126">
        <v>46214.460289351897</v>
      </c>
    </row>
    <row r="1295" spans="1:16" ht="15.75" customHeight="1">
      <c r="A1295" s="126">
        <v>46230.015752314801</v>
      </c>
      <c r="B1295" s="7">
        <v>12</v>
      </c>
      <c r="C1295" s="7">
        <v>775</v>
      </c>
      <c r="E1295" s="7" t="s">
        <v>1048</v>
      </c>
      <c r="F1295" s="7" t="s">
        <v>114</v>
      </c>
      <c r="G1295" s="7">
        <v>177</v>
      </c>
      <c r="H1295" s="7" t="s">
        <v>883</v>
      </c>
      <c r="I1295" s="7" t="s">
        <v>878</v>
      </c>
      <c r="J1295" s="7" t="s">
        <v>882</v>
      </c>
      <c r="M1295" s="7"/>
      <c r="N1295" s="7" t="s">
        <v>875</v>
      </c>
      <c r="O1295" s="126"/>
      <c r="P1295" s="126"/>
    </row>
    <row r="1296" spans="1:16" ht="15.75" customHeight="1">
      <c r="A1296" s="126">
        <v>46230.015752314801</v>
      </c>
      <c r="B1296" s="7">
        <v>12</v>
      </c>
      <c r="C1296" s="7">
        <v>775</v>
      </c>
      <c r="E1296" s="7" t="s">
        <v>1048</v>
      </c>
      <c r="F1296" s="7" t="s">
        <v>114</v>
      </c>
      <c r="G1296" s="7">
        <v>176</v>
      </c>
      <c r="H1296" s="7" t="s">
        <v>884</v>
      </c>
      <c r="I1296" s="7" t="s">
        <v>878</v>
      </c>
      <c r="J1296" s="7" t="s">
        <v>882</v>
      </c>
      <c r="M1296" s="7">
        <v>90</v>
      </c>
      <c r="N1296" s="7">
        <v>90</v>
      </c>
      <c r="O1296" s="126">
        <v>46223.761701388903</v>
      </c>
      <c r="P1296" s="126">
        <v>46223.793657407397</v>
      </c>
    </row>
    <row r="1297" spans="1:16" ht="15.75" customHeight="1">
      <c r="A1297" s="126">
        <v>46230.015752314801</v>
      </c>
      <c r="B1297" s="7">
        <v>12</v>
      </c>
      <c r="C1297" s="7">
        <v>775</v>
      </c>
      <c r="E1297" s="7" t="s">
        <v>1048</v>
      </c>
      <c r="F1297" s="7" t="s">
        <v>114</v>
      </c>
      <c r="G1297" s="7">
        <v>168</v>
      </c>
      <c r="H1297" s="7" t="s">
        <v>885</v>
      </c>
      <c r="I1297" s="7" t="s">
        <v>886</v>
      </c>
      <c r="M1297" s="7">
        <v>100</v>
      </c>
      <c r="N1297" s="7">
        <v>100</v>
      </c>
      <c r="P1297" s="126">
        <v>46209.682372685202</v>
      </c>
    </row>
    <row r="1298" spans="1:16" ht="15.75" customHeight="1">
      <c r="A1298" s="126">
        <v>46230.015752314801</v>
      </c>
      <c r="B1298" s="7">
        <v>12</v>
      </c>
      <c r="C1298" s="7">
        <v>333</v>
      </c>
      <c r="D1298" s="7"/>
      <c r="E1298" s="7" t="s">
        <v>1049</v>
      </c>
      <c r="F1298" s="7" t="s">
        <v>165</v>
      </c>
      <c r="G1298" s="7">
        <v>181</v>
      </c>
      <c r="H1298" s="7" t="s">
        <v>873</v>
      </c>
      <c r="I1298" s="7" t="s">
        <v>874</v>
      </c>
      <c r="J1298" s="7"/>
      <c r="M1298" s="7"/>
      <c r="N1298" s="7" t="s">
        <v>875</v>
      </c>
      <c r="P1298" s="126"/>
    </row>
    <row r="1299" spans="1:16" ht="15.75" customHeight="1">
      <c r="A1299" s="126">
        <v>46230.015752314801</v>
      </c>
      <c r="B1299" s="7">
        <v>12</v>
      </c>
      <c r="C1299" s="7">
        <v>333</v>
      </c>
      <c r="D1299" s="7"/>
      <c r="E1299" s="7" t="s">
        <v>1049</v>
      </c>
      <c r="F1299" s="7" t="s">
        <v>165</v>
      </c>
      <c r="G1299" s="7">
        <v>182</v>
      </c>
      <c r="H1299" s="7" t="s">
        <v>876</v>
      </c>
      <c r="I1299" s="7" t="s">
        <v>874</v>
      </c>
      <c r="J1299" s="7"/>
      <c r="M1299" s="7"/>
      <c r="N1299" s="7" t="s">
        <v>875</v>
      </c>
      <c r="O1299" s="126"/>
      <c r="P1299" s="126"/>
    </row>
    <row r="1300" spans="1:16" ht="15.75" customHeight="1">
      <c r="A1300" s="126">
        <v>46230.015752314801</v>
      </c>
      <c r="B1300" s="7">
        <v>12</v>
      </c>
      <c r="C1300" s="7">
        <v>333</v>
      </c>
      <c r="D1300" s="7"/>
      <c r="E1300" s="7" t="s">
        <v>1049</v>
      </c>
      <c r="F1300" s="7" t="s">
        <v>165</v>
      </c>
      <c r="G1300" s="7">
        <v>174</v>
      </c>
      <c r="H1300" s="7" t="s">
        <v>877</v>
      </c>
      <c r="I1300" s="7" t="s">
        <v>878</v>
      </c>
      <c r="J1300" s="7" t="s">
        <v>879</v>
      </c>
      <c r="M1300" s="7">
        <v>100</v>
      </c>
      <c r="N1300" s="7">
        <v>100</v>
      </c>
      <c r="O1300" s="126"/>
      <c r="P1300" s="126">
        <v>46209.706967592603</v>
      </c>
    </row>
    <row r="1301" spans="1:16" ht="15.75" customHeight="1">
      <c r="A1301" s="126">
        <v>46230.015752314801</v>
      </c>
      <c r="B1301" s="7">
        <v>12</v>
      </c>
      <c r="C1301" s="7">
        <v>333</v>
      </c>
      <c r="D1301" s="7"/>
      <c r="E1301" s="7" t="s">
        <v>1049</v>
      </c>
      <c r="F1301" s="7" t="s">
        <v>165</v>
      </c>
      <c r="G1301" s="7">
        <v>180</v>
      </c>
      <c r="H1301" s="7" t="s">
        <v>880</v>
      </c>
      <c r="I1301" s="7" t="s">
        <v>874</v>
      </c>
      <c r="J1301" s="7"/>
      <c r="M1301" s="7"/>
      <c r="N1301" s="7" t="s">
        <v>875</v>
      </c>
      <c r="O1301" s="126"/>
      <c r="P1301" s="126"/>
    </row>
    <row r="1302" spans="1:16" ht="15.75" customHeight="1">
      <c r="A1302" s="126">
        <v>46230.015752314801</v>
      </c>
      <c r="B1302" s="7">
        <v>12</v>
      </c>
      <c r="C1302" s="7">
        <v>333</v>
      </c>
      <c r="D1302" s="7"/>
      <c r="E1302" s="7" t="s">
        <v>1049</v>
      </c>
      <c r="F1302" s="7" t="s">
        <v>165</v>
      </c>
      <c r="G1302" s="7">
        <v>175</v>
      </c>
      <c r="H1302" s="7" t="s">
        <v>881</v>
      </c>
      <c r="I1302" s="7" t="s">
        <v>878</v>
      </c>
      <c r="J1302" s="7" t="s">
        <v>882</v>
      </c>
      <c r="M1302" s="7">
        <v>100</v>
      </c>
      <c r="N1302" s="7">
        <v>100</v>
      </c>
      <c r="O1302" s="126">
        <v>46213.703379629602</v>
      </c>
      <c r="P1302" s="126">
        <v>46213.703379629602</v>
      </c>
    </row>
    <row r="1303" spans="1:16" ht="15.75" customHeight="1">
      <c r="A1303" s="126">
        <v>46230.015752314801</v>
      </c>
      <c r="B1303" s="7">
        <v>12</v>
      </c>
      <c r="C1303" s="7">
        <v>333</v>
      </c>
      <c r="D1303" s="7"/>
      <c r="E1303" s="7" t="s">
        <v>1049</v>
      </c>
      <c r="F1303" s="7" t="s">
        <v>165</v>
      </c>
      <c r="G1303" s="7">
        <v>177</v>
      </c>
      <c r="H1303" s="7" t="s">
        <v>883</v>
      </c>
      <c r="I1303" s="7" t="s">
        <v>878</v>
      </c>
      <c r="J1303" s="7" t="s">
        <v>882</v>
      </c>
      <c r="M1303" s="7"/>
      <c r="N1303" s="7" t="s">
        <v>875</v>
      </c>
      <c r="P1303" s="126"/>
    </row>
    <row r="1304" spans="1:16" ht="15.75" customHeight="1">
      <c r="A1304" s="126">
        <v>46230.015752314801</v>
      </c>
      <c r="B1304" s="7">
        <v>12</v>
      </c>
      <c r="C1304" s="7">
        <v>333</v>
      </c>
      <c r="D1304" s="7"/>
      <c r="E1304" s="7" t="s">
        <v>1049</v>
      </c>
      <c r="F1304" s="7" t="s">
        <v>165</v>
      </c>
      <c r="G1304" s="7">
        <v>176</v>
      </c>
      <c r="H1304" s="7" t="s">
        <v>884</v>
      </c>
      <c r="I1304" s="7" t="s">
        <v>878</v>
      </c>
      <c r="J1304" s="7" t="s">
        <v>882</v>
      </c>
      <c r="M1304" s="7">
        <v>95</v>
      </c>
      <c r="N1304" s="7">
        <v>95</v>
      </c>
      <c r="O1304" s="126">
        <v>46226.635046296302</v>
      </c>
      <c r="P1304" s="126">
        <v>46226.635046296302</v>
      </c>
    </row>
    <row r="1305" spans="1:16" ht="15.75" customHeight="1">
      <c r="A1305" s="126">
        <v>46230.015752314801</v>
      </c>
      <c r="B1305" s="7">
        <v>12</v>
      </c>
      <c r="C1305" s="7">
        <v>333</v>
      </c>
      <c r="D1305" s="7"/>
      <c r="E1305" s="7" t="s">
        <v>1049</v>
      </c>
      <c r="F1305" s="7" t="s">
        <v>165</v>
      </c>
      <c r="G1305" s="7">
        <v>168</v>
      </c>
      <c r="H1305" s="7" t="s">
        <v>885</v>
      </c>
      <c r="I1305" s="7" t="s">
        <v>886</v>
      </c>
      <c r="J1305" s="7"/>
      <c r="M1305" s="7">
        <v>100</v>
      </c>
      <c r="N1305" s="7">
        <v>100</v>
      </c>
      <c r="O1305" s="126"/>
      <c r="P1305" s="126">
        <v>46209.706967592603</v>
      </c>
    </row>
    <row r="1306" spans="1:16" ht="15.75" customHeight="1">
      <c r="A1306" s="126">
        <v>46230.015752314801</v>
      </c>
      <c r="B1306" s="7">
        <v>12</v>
      </c>
      <c r="C1306" s="7">
        <v>325</v>
      </c>
      <c r="D1306" s="7"/>
      <c r="E1306" s="7" t="s">
        <v>1050</v>
      </c>
      <c r="F1306" s="7" t="s">
        <v>630</v>
      </c>
      <c r="G1306" s="7">
        <v>181</v>
      </c>
      <c r="H1306" s="7" t="s">
        <v>873</v>
      </c>
      <c r="I1306" s="7" t="s">
        <v>874</v>
      </c>
      <c r="J1306" s="7"/>
      <c r="M1306" s="7"/>
      <c r="N1306" s="7" t="s">
        <v>875</v>
      </c>
      <c r="O1306" s="126"/>
      <c r="P1306" s="126"/>
    </row>
    <row r="1307" spans="1:16" ht="15.75" customHeight="1">
      <c r="A1307" s="126">
        <v>46230.015752314801</v>
      </c>
      <c r="B1307" s="7">
        <v>12</v>
      </c>
      <c r="C1307" s="7">
        <v>325</v>
      </c>
      <c r="D1307" s="7"/>
      <c r="E1307" s="7" t="s">
        <v>1050</v>
      </c>
      <c r="F1307" s="7" t="s">
        <v>630</v>
      </c>
      <c r="G1307" s="7">
        <v>182</v>
      </c>
      <c r="H1307" s="7" t="s">
        <v>876</v>
      </c>
      <c r="I1307" s="7" t="s">
        <v>874</v>
      </c>
      <c r="J1307" s="7"/>
      <c r="M1307" s="7"/>
      <c r="N1307" s="7" t="s">
        <v>875</v>
      </c>
      <c r="P1307" s="126"/>
    </row>
    <row r="1308" spans="1:16" ht="15.75" customHeight="1">
      <c r="A1308" s="126">
        <v>46230.015752314801</v>
      </c>
      <c r="B1308" s="7">
        <v>12</v>
      </c>
      <c r="C1308" s="7">
        <v>325</v>
      </c>
      <c r="D1308" s="7"/>
      <c r="E1308" s="7" t="s">
        <v>1050</v>
      </c>
      <c r="F1308" s="7" t="s">
        <v>630</v>
      </c>
      <c r="G1308" s="7">
        <v>174</v>
      </c>
      <c r="H1308" s="7" t="s">
        <v>877</v>
      </c>
      <c r="I1308" s="7" t="s">
        <v>878</v>
      </c>
      <c r="J1308" s="7" t="s">
        <v>879</v>
      </c>
      <c r="M1308" s="7">
        <v>100</v>
      </c>
      <c r="N1308" s="7">
        <v>100</v>
      </c>
      <c r="P1308" s="126">
        <v>46209.7015972222</v>
      </c>
    </row>
    <row r="1309" spans="1:16" ht="15.75" customHeight="1">
      <c r="A1309" s="126">
        <v>46230.015752314801</v>
      </c>
      <c r="B1309" s="7">
        <v>12</v>
      </c>
      <c r="C1309" s="7">
        <v>325</v>
      </c>
      <c r="D1309" s="7"/>
      <c r="E1309" s="7" t="s">
        <v>1050</v>
      </c>
      <c r="F1309" s="7" t="s">
        <v>630</v>
      </c>
      <c r="G1309" s="7">
        <v>180</v>
      </c>
      <c r="H1309" s="7" t="s">
        <v>880</v>
      </c>
      <c r="I1309" s="7" t="s">
        <v>874</v>
      </c>
      <c r="J1309" s="7"/>
      <c r="M1309" s="7"/>
      <c r="N1309" s="7" t="s">
        <v>875</v>
      </c>
      <c r="O1309" s="126"/>
      <c r="P1309" s="126"/>
    </row>
    <row r="1310" spans="1:16" ht="15.75" customHeight="1">
      <c r="A1310" s="126">
        <v>46230.015752314801</v>
      </c>
      <c r="B1310" s="7">
        <v>12</v>
      </c>
      <c r="C1310" s="7">
        <v>325</v>
      </c>
      <c r="D1310" s="7"/>
      <c r="E1310" s="7" t="s">
        <v>1050</v>
      </c>
      <c r="F1310" s="7" t="s">
        <v>630</v>
      </c>
      <c r="G1310" s="7">
        <v>175</v>
      </c>
      <c r="H1310" s="7" t="s">
        <v>881</v>
      </c>
      <c r="I1310" s="7" t="s">
        <v>878</v>
      </c>
      <c r="J1310" s="7" t="s">
        <v>882</v>
      </c>
      <c r="M1310" s="7">
        <v>75</v>
      </c>
      <c r="N1310" s="7">
        <v>75</v>
      </c>
      <c r="O1310" s="126">
        <v>46215.4462152778</v>
      </c>
      <c r="P1310" s="126">
        <v>46215.4462152778</v>
      </c>
    </row>
    <row r="1311" spans="1:16" ht="15.75" customHeight="1">
      <c r="A1311" s="126">
        <v>46230.015752314801</v>
      </c>
      <c r="B1311" s="7">
        <v>12</v>
      </c>
      <c r="C1311" s="7">
        <v>325</v>
      </c>
      <c r="D1311" s="7"/>
      <c r="E1311" s="7" t="s">
        <v>1050</v>
      </c>
      <c r="F1311" s="7" t="s">
        <v>630</v>
      </c>
      <c r="G1311" s="7">
        <v>177</v>
      </c>
      <c r="H1311" s="7" t="s">
        <v>883</v>
      </c>
      <c r="I1311" s="7" t="s">
        <v>878</v>
      </c>
      <c r="J1311" s="7" t="s">
        <v>882</v>
      </c>
      <c r="M1311" s="7"/>
      <c r="N1311" s="7" t="s">
        <v>875</v>
      </c>
      <c r="O1311" s="126"/>
      <c r="P1311" s="126"/>
    </row>
    <row r="1312" spans="1:16" ht="15.75" customHeight="1">
      <c r="A1312" s="126">
        <v>46230.015752314801</v>
      </c>
      <c r="B1312" s="7">
        <v>12</v>
      </c>
      <c r="C1312" s="7">
        <v>325</v>
      </c>
      <c r="D1312" s="7"/>
      <c r="E1312" s="7" t="s">
        <v>1050</v>
      </c>
      <c r="F1312" s="7" t="s">
        <v>630</v>
      </c>
      <c r="G1312" s="7">
        <v>176</v>
      </c>
      <c r="H1312" s="7" t="s">
        <v>884</v>
      </c>
      <c r="I1312" s="7" t="s">
        <v>878</v>
      </c>
      <c r="J1312" s="7" t="s">
        <v>882</v>
      </c>
      <c r="M1312" s="7">
        <v>90</v>
      </c>
      <c r="N1312" s="7">
        <v>90</v>
      </c>
      <c r="O1312" s="126">
        <v>46223.966655092598</v>
      </c>
      <c r="P1312" s="126">
        <v>46223.966655092598</v>
      </c>
    </row>
    <row r="1313" spans="1:16" ht="15.75" customHeight="1">
      <c r="A1313" s="126">
        <v>46230.015752314801</v>
      </c>
      <c r="B1313" s="7">
        <v>12</v>
      </c>
      <c r="C1313" s="7">
        <v>325</v>
      </c>
      <c r="D1313" s="7"/>
      <c r="E1313" s="7" t="s">
        <v>1050</v>
      </c>
      <c r="F1313" s="7" t="s">
        <v>630</v>
      </c>
      <c r="G1313" s="7">
        <v>168</v>
      </c>
      <c r="H1313" s="7" t="s">
        <v>885</v>
      </c>
      <c r="I1313" s="7" t="s">
        <v>886</v>
      </c>
      <c r="J1313" s="7"/>
      <c r="M1313" s="7">
        <v>100</v>
      </c>
      <c r="N1313" s="7">
        <v>100</v>
      </c>
      <c r="O1313" s="126"/>
      <c r="P1313" s="126">
        <v>46209.7015972222</v>
      </c>
    </row>
    <row r="1314" spans="1:16" ht="15.75" customHeight="1">
      <c r="A1314" s="126">
        <v>46230.015752314801</v>
      </c>
      <c r="B1314" s="7">
        <v>12</v>
      </c>
      <c r="C1314" s="7">
        <v>741</v>
      </c>
      <c r="D1314" s="7"/>
      <c r="E1314" s="7" t="s">
        <v>1051</v>
      </c>
      <c r="F1314" s="7" t="s">
        <v>409</v>
      </c>
      <c r="G1314" s="7">
        <v>181</v>
      </c>
      <c r="H1314" s="7" t="s">
        <v>873</v>
      </c>
      <c r="I1314" s="7" t="s">
        <v>874</v>
      </c>
      <c r="J1314" s="7"/>
      <c r="M1314" s="7"/>
      <c r="N1314" s="7" t="s">
        <v>875</v>
      </c>
      <c r="O1314" s="126"/>
      <c r="P1314" s="126"/>
    </row>
    <row r="1315" spans="1:16" ht="15.75" customHeight="1">
      <c r="A1315" s="126">
        <v>46230.015752314801</v>
      </c>
      <c r="B1315" s="7">
        <v>12</v>
      </c>
      <c r="C1315" s="7">
        <v>741</v>
      </c>
      <c r="D1315" s="7"/>
      <c r="E1315" s="7" t="s">
        <v>1051</v>
      </c>
      <c r="F1315" s="7" t="s">
        <v>409</v>
      </c>
      <c r="G1315" s="7">
        <v>182</v>
      </c>
      <c r="H1315" s="7" t="s">
        <v>876</v>
      </c>
      <c r="I1315" s="7" t="s">
        <v>874</v>
      </c>
      <c r="J1315" s="7"/>
      <c r="M1315" s="7"/>
      <c r="N1315" s="7" t="s">
        <v>875</v>
      </c>
      <c r="P1315" s="126"/>
    </row>
    <row r="1316" spans="1:16" ht="15.75" customHeight="1">
      <c r="A1316" s="126">
        <v>46230.015752314801</v>
      </c>
      <c r="B1316" s="7">
        <v>12</v>
      </c>
      <c r="C1316" s="7">
        <v>741</v>
      </c>
      <c r="D1316" s="7"/>
      <c r="E1316" s="7" t="s">
        <v>1051</v>
      </c>
      <c r="F1316" s="7" t="s">
        <v>409</v>
      </c>
      <c r="G1316" s="7">
        <v>174</v>
      </c>
      <c r="H1316" s="7" t="s">
        <v>877</v>
      </c>
      <c r="I1316" s="7" t="s">
        <v>878</v>
      </c>
      <c r="J1316" s="7" t="s">
        <v>879</v>
      </c>
      <c r="M1316" s="7">
        <v>100</v>
      </c>
      <c r="N1316" s="7">
        <v>100</v>
      </c>
      <c r="O1316" s="126"/>
      <c r="P1316" s="126">
        <v>46209.706967592603</v>
      </c>
    </row>
    <row r="1317" spans="1:16" ht="15.75" customHeight="1">
      <c r="A1317" s="126">
        <v>46230.015752314801</v>
      </c>
      <c r="B1317" s="7">
        <v>12</v>
      </c>
      <c r="C1317" s="7">
        <v>741</v>
      </c>
      <c r="D1317" s="7"/>
      <c r="E1317" s="7" t="s">
        <v>1051</v>
      </c>
      <c r="F1317" s="7" t="s">
        <v>409</v>
      </c>
      <c r="G1317" s="7">
        <v>180</v>
      </c>
      <c r="H1317" s="7" t="s">
        <v>880</v>
      </c>
      <c r="I1317" s="7" t="s">
        <v>874</v>
      </c>
      <c r="J1317" s="7"/>
      <c r="M1317" s="7"/>
      <c r="N1317" s="7" t="s">
        <v>875</v>
      </c>
      <c r="O1317" s="126"/>
      <c r="P1317" s="126"/>
    </row>
    <row r="1318" spans="1:16" ht="15.75" customHeight="1">
      <c r="A1318" s="126">
        <v>46230.015752314801</v>
      </c>
      <c r="B1318" s="7">
        <v>12</v>
      </c>
      <c r="C1318" s="7">
        <v>741</v>
      </c>
      <c r="D1318" s="7"/>
      <c r="E1318" s="7" t="s">
        <v>1051</v>
      </c>
      <c r="F1318" s="7" t="s">
        <v>409</v>
      </c>
      <c r="G1318" s="7">
        <v>175</v>
      </c>
      <c r="H1318" s="7" t="s">
        <v>881</v>
      </c>
      <c r="I1318" s="7" t="s">
        <v>878</v>
      </c>
      <c r="J1318" s="7" t="s">
        <v>882</v>
      </c>
      <c r="M1318" s="7">
        <v>87.5</v>
      </c>
      <c r="N1318" s="7">
        <v>87.5</v>
      </c>
      <c r="O1318" s="126">
        <v>46213.810694444401</v>
      </c>
      <c r="P1318" s="126">
        <v>46213.810694444401</v>
      </c>
    </row>
    <row r="1319" spans="1:16" ht="15.75" customHeight="1">
      <c r="A1319" s="126">
        <v>46230.015752314801</v>
      </c>
      <c r="B1319" s="7">
        <v>12</v>
      </c>
      <c r="C1319" s="7">
        <v>741</v>
      </c>
      <c r="D1319" s="7"/>
      <c r="E1319" s="7" t="s">
        <v>1051</v>
      </c>
      <c r="F1319" s="7" t="s">
        <v>409</v>
      </c>
      <c r="G1319" s="7">
        <v>177</v>
      </c>
      <c r="H1319" s="7" t="s">
        <v>883</v>
      </c>
      <c r="I1319" s="7" t="s">
        <v>878</v>
      </c>
      <c r="J1319" s="7" t="s">
        <v>882</v>
      </c>
      <c r="M1319" s="7"/>
      <c r="N1319" s="7" t="s">
        <v>875</v>
      </c>
      <c r="P1319" s="126"/>
    </row>
    <row r="1320" spans="1:16" ht="15.75" customHeight="1">
      <c r="A1320" s="126">
        <v>46230.015752314801</v>
      </c>
      <c r="B1320" s="7">
        <v>12</v>
      </c>
      <c r="C1320" s="7">
        <v>741</v>
      </c>
      <c r="D1320" s="7"/>
      <c r="E1320" s="7" t="s">
        <v>1051</v>
      </c>
      <c r="F1320" s="7" t="s">
        <v>409</v>
      </c>
      <c r="G1320" s="7">
        <v>176</v>
      </c>
      <c r="H1320" s="7" t="s">
        <v>884</v>
      </c>
      <c r="I1320" s="7" t="s">
        <v>878</v>
      </c>
      <c r="J1320" s="7" t="s">
        <v>882</v>
      </c>
      <c r="M1320" s="7">
        <v>100</v>
      </c>
      <c r="N1320" s="7">
        <v>100</v>
      </c>
      <c r="O1320" s="126">
        <v>46224.687476851897</v>
      </c>
      <c r="P1320" s="126">
        <v>46224.687476851897</v>
      </c>
    </row>
    <row r="1321" spans="1:16" ht="15.75" customHeight="1">
      <c r="A1321" s="126">
        <v>46230.015752314801</v>
      </c>
      <c r="B1321" s="7">
        <v>12</v>
      </c>
      <c r="C1321" s="7">
        <v>741</v>
      </c>
      <c r="D1321" s="7"/>
      <c r="E1321" s="7" t="s">
        <v>1051</v>
      </c>
      <c r="F1321" s="7" t="s">
        <v>409</v>
      </c>
      <c r="G1321" s="7">
        <v>168</v>
      </c>
      <c r="H1321" s="7" t="s">
        <v>885</v>
      </c>
      <c r="I1321" s="7" t="s">
        <v>886</v>
      </c>
      <c r="J1321" s="7"/>
      <c r="M1321" s="7">
        <v>100</v>
      </c>
      <c r="N1321" s="7">
        <v>100</v>
      </c>
      <c r="P1321" s="126">
        <v>46209.706967592603</v>
      </c>
    </row>
    <row r="1322" spans="1:16" ht="15.75" customHeight="1">
      <c r="A1322" s="126">
        <v>46230.015752314801</v>
      </c>
      <c r="B1322" s="7">
        <v>12</v>
      </c>
      <c r="C1322" s="7">
        <v>234</v>
      </c>
      <c r="D1322" s="7"/>
      <c r="E1322" s="7" t="s">
        <v>1052</v>
      </c>
      <c r="F1322" s="7" t="s">
        <v>642</v>
      </c>
      <c r="G1322" s="7">
        <v>181</v>
      </c>
      <c r="H1322" s="7" t="s">
        <v>873</v>
      </c>
      <c r="I1322" s="7" t="s">
        <v>874</v>
      </c>
      <c r="J1322" s="7"/>
      <c r="M1322" s="7"/>
      <c r="N1322" s="7" t="s">
        <v>875</v>
      </c>
      <c r="O1322" s="126"/>
      <c r="P1322" s="126"/>
    </row>
    <row r="1323" spans="1:16" ht="15.75" customHeight="1">
      <c r="A1323" s="126">
        <v>46230.015752314801</v>
      </c>
      <c r="B1323" s="7">
        <v>12</v>
      </c>
      <c r="C1323" s="7">
        <v>234</v>
      </c>
      <c r="D1323" s="7"/>
      <c r="E1323" s="7" t="s">
        <v>1052</v>
      </c>
      <c r="F1323" s="7" t="s">
        <v>642</v>
      </c>
      <c r="G1323" s="7">
        <v>182</v>
      </c>
      <c r="H1323" s="7" t="s">
        <v>876</v>
      </c>
      <c r="I1323" s="7" t="s">
        <v>874</v>
      </c>
      <c r="J1323" s="7"/>
      <c r="M1323" s="7"/>
      <c r="N1323" s="7" t="s">
        <v>875</v>
      </c>
      <c r="O1323" s="126"/>
      <c r="P1323" s="126"/>
    </row>
    <row r="1324" spans="1:16" ht="15.75" customHeight="1">
      <c r="A1324" s="126">
        <v>46230.015752314801</v>
      </c>
      <c r="B1324" s="7">
        <v>12</v>
      </c>
      <c r="C1324" s="7">
        <v>234</v>
      </c>
      <c r="D1324" s="7"/>
      <c r="E1324" s="7" t="s">
        <v>1052</v>
      </c>
      <c r="F1324" s="7" t="s">
        <v>642</v>
      </c>
      <c r="G1324" s="7">
        <v>174</v>
      </c>
      <c r="H1324" s="7" t="s">
        <v>877</v>
      </c>
      <c r="I1324" s="7" t="s">
        <v>878</v>
      </c>
      <c r="J1324" s="7" t="s">
        <v>879</v>
      </c>
      <c r="M1324" s="7">
        <v>100</v>
      </c>
      <c r="N1324" s="7">
        <v>100</v>
      </c>
      <c r="O1324" s="126"/>
      <c r="P1324" s="126">
        <v>46209.706967592603</v>
      </c>
    </row>
    <row r="1325" spans="1:16" ht="15.75" customHeight="1">
      <c r="A1325" s="126">
        <v>46230.015752314801</v>
      </c>
      <c r="B1325" s="7">
        <v>12</v>
      </c>
      <c r="C1325" s="7">
        <v>234</v>
      </c>
      <c r="D1325" s="7"/>
      <c r="E1325" s="7" t="s">
        <v>1052</v>
      </c>
      <c r="F1325" s="7" t="s">
        <v>642</v>
      </c>
      <c r="G1325" s="7">
        <v>180</v>
      </c>
      <c r="H1325" s="7" t="s">
        <v>880</v>
      </c>
      <c r="I1325" s="7" t="s">
        <v>874</v>
      </c>
      <c r="J1325" s="7"/>
      <c r="M1325" s="7"/>
      <c r="N1325" s="7" t="s">
        <v>875</v>
      </c>
      <c r="O1325" s="126"/>
      <c r="P1325" s="126"/>
    </row>
    <row r="1326" spans="1:16" ht="15.75" customHeight="1">
      <c r="A1326" s="126">
        <v>46230.015752314801</v>
      </c>
      <c r="B1326" s="7">
        <v>12</v>
      </c>
      <c r="C1326" s="7">
        <v>234</v>
      </c>
      <c r="D1326" s="7"/>
      <c r="E1326" s="7" t="s">
        <v>1052</v>
      </c>
      <c r="F1326" s="7" t="s">
        <v>642</v>
      </c>
      <c r="G1326" s="7">
        <v>175</v>
      </c>
      <c r="H1326" s="7" t="s">
        <v>881</v>
      </c>
      <c r="I1326" s="7" t="s">
        <v>878</v>
      </c>
      <c r="J1326" s="7" t="s">
        <v>882</v>
      </c>
      <c r="M1326" s="7">
        <v>62.5</v>
      </c>
      <c r="N1326" s="7">
        <v>62.5</v>
      </c>
      <c r="O1326" s="126">
        <v>46215.8433912037</v>
      </c>
      <c r="P1326" s="126">
        <v>46215.8433912037</v>
      </c>
    </row>
    <row r="1327" spans="1:16" ht="15.75" customHeight="1">
      <c r="A1327" s="126">
        <v>46230.015752314801</v>
      </c>
      <c r="B1327" s="7">
        <v>12</v>
      </c>
      <c r="C1327" s="7">
        <v>234</v>
      </c>
      <c r="D1327" s="7"/>
      <c r="E1327" s="7" t="s">
        <v>1052</v>
      </c>
      <c r="F1327" s="7" t="s">
        <v>642</v>
      </c>
      <c r="G1327" s="7">
        <v>177</v>
      </c>
      <c r="H1327" s="7" t="s">
        <v>883</v>
      </c>
      <c r="I1327" s="7" t="s">
        <v>878</v>
      </c>
      <c r="J1327" s="7" t="s">
        <v>882</v>
      </c>
      <c r="M1327" s="7"/>
      <c r="N1327" s="7" t="s">
        <v>875</v>
      </c>
      <c r="P1327" s="126"/>
    </row>
    <row r="1328" spans="1:16" ht="15.75" customHeight="1">
      <c r="A1328" s="126">
        <v>46230.015752314801</v>
      </c>
      <c r="B1328" s="7">
        <v>12</v>
      </c>
      <c r="C1328" s="7">
        <v>234</v>
      </c>
      <c r="D1328" s="7"/>
      <c r="E1328" s="7" t="s">
        <v>1052</v>
      </c>
      <c r="F1328" s="7" t="s">
        <v>642</v>
      </c>
      <c r="G1328" s="7">
        <v>176</v>
      </c>
      <c r="H1328" s="7" t="s">
        <v>884</v>
      </c>
      <c r="I1328" s="7" t="s">
        <v>878</v>
      </c>
      <c r="J1328" s="7" t="s">
        <v>882</v>
      </c>
      <c r="M1328" s="7">
        <v>100</v>
      </c>
      <c r="N1328" s="7">
        <v>100</v>
      </c>
      <c r="O1328" s="126">
        <v>46224.834502314799</v>
      </c>
      <c r="P1328" s="126">
        <v>46224.834502314799</v>
      </c>
    </row>
    <row r="1329" spans="1:16" ht="15.75" customHeight="1">
      <c r="A1329" s="126">
        <v>46230.015752314801</v>
      </c>
      <c r="B1329" s="7">
        <v>12</v>
      </c>
      <c r="C1329" s="7">
        <v>234</v>
      </c>
      <c r="D1329" s="7"/>
      <c r="E1329" s="7" t="s">
        <v>1052</v>
      </c>
      <c r="F1329" s="7" t="s">
        <v>642</v>
      </c>
      <c r="G1329" s="7">
        <v>168</v>
      </c>
      <c r="H1329" s="7" t="s">
        <v>885</v>
      </c>
      <c r="I1329" s="7" t="s">
        <v>886</v>
      </c>
      <c r="J1329" s="7"/>
      <c r="M1329" s="7">
        <v>100</v>
      </c>
      <c r="N1329" s="7">
        <v>100</v>
      </c>
      <c r="O1329" s="126"/>
      <c r="P1329" s="126">
        <v>46209.706967592603</v>
      </c>
    </row>
    <row r="1330" spans="1:16" ht="15.75" customHeight="1">
      <c r="A1330" s="126">
        <v>46230.015752314801</v>
      </c>
      <c r="B1330" s="7">
        <v>12</v>
      </c>
      <c r="C1330" s="7">
        <v>755</v>
      </c>
      <c r="D1330" s="7"/>
      <c r="E1330" s="7" t="s">
        <v>1053</v>
      </c>
      <c r="F1330" s="7" t="s">
        <v>486</v>
      </c>
      <c r="G1330" s="7">
        <v>181</v>
      </c>
      <c r="H1330" s="7" t="s">
        <v>873</v>
      </c>
      <c r="I1330" s="7" t="s">
        <v>874</v>
      </c>
      <c r="J1330" s="7"/>
      <c r="M1330" s="7"/>
      <c r="N1330" s="7" t="s">
        <v>875</v>
      </c>
      <c r="O1330" s="126"/>
      <c r="P1330" s="126"/>
    </row>
    <row r="1331" spans="1:16" ht="15.75" customHeight="1">
      <c r="A1331" s="126">
        <v>46230.015752314801</v>
      </c>
      <c r="B1331" s="7">
        <v>12</v>
      </c>
      <c r="C1331" s="7">
        <v>755</v>
      </c>
      <c r="D1331" s="7"/>
      <c r="E1331" s="7" t="s">
        <v>1053</v>
      </c>
      <c r="F1331" s="7" t="s">
        <v>486</v>
      </c>
      <c r="G1331" s="7">
        <v>182</v>
      </c>
      <c r="H1331" s="7" t="s">
        <v>876</v>
      </c>
      <c r="I1331" s="7" t="s">
        <v>874</v>
      </c>
      <c r="J1331" s="7"/>
      <c r="M1331" s="7"/>
      <c r="N1331" s="7" t="s">
        <v>875</v>
      </c>
      <c r="O1331" s="126"/>
      <c r="P1331" s="126"/>
    </row>
    <row r="1332" spans="1:16" ht="15.75" customHeight="1">
      <c r="A1332" s="126">
        <v>46230.015752314801</v>
      </c>
      <c r="B1332" s="7">
        <v>12</v>
      </c>
      <c r="C1332" s="7">
        <v>755</v>
      </c>
      <c r="D1332" s="7"/>
      <c r="E1332" s="7" t="s">
        <v>1053</v>
      </c>
      <c r="F1332" s="7" t="s">
        <v>486</v>
      </c>
      <c r="G1332" s="7">
        <v>174</v>
      </c>
      <c r="H1332" s="7" t="s">
        <v>877</v>
      </c>
      <c r="I1332" s="7" t="s">
        <v>878</v>
      </c>
      <c r="J1332" s="7" t="s">
        <v>879</v>
      </c>
      <c r="M1332" s="7">
        <v>100</v>
      </c>
      <c r="N1332" s="7">
        <v>100</v>
      </c>
      <c r="O1332" s="126"/>
      <c r="P1332" s="126">
        <v>46209.706967592603</v>
      </c>
    </row>
    <row r="1333" spans="1:16" ht="15.75" customHeight="1">
      <c r="A1333" s="126">
        <v>46230.015752314801</v>
      </c>
      <c r="B1333" s="7">
        <v>12</v>
      </c>
      <c r="C1333" s="7">
        <v>755</v>
      </c>
      <c r="D1333" s="7"/>
      <c r="E1333" s="7" t="s">
        <v>1053</v>
      </c>
      <c r="F1333" s="7" t="s">
        <v>486</v>
      </c>
      <c r="G1333" s="7">
        <v>180</v>
      </c>
      <c r="H1333" s="7" t="s">
        <v>880</v>
      </c>
      <c r="I1333" s="7" t="s">
        <v>874</v>
      </c>
      <c r="J1333" s="7"/>
      <c r="M1333" s="7"/>
      <c r="N1333" s="7" t="s">
        <v>875</v>
      </c>
      <c r="P1333" s="126"/>
    </row>
    <row r="1334" spans="1:16" ht="15.75" customHeight="1">
      <c r="A1334" s="126">
        <v>46230.015752314801</v>
      </c>
      <c r="B1334" s="7">
        <v>12</v>
      </c>
      <c r="C1334" s="7">
        <v>755</v>
      </c>
      <c r="E1334" s="7" t="s">
        <v>1053</v>
      </c>
      <c r="F1334" s="7" t="s">
        <v>486</v>
      </c>
      <c r="G1334" s="7">
        <v>175</v>
      </c>
      <c r="H1334" s="7" t="s">
        <v>881</v>
      </c>
      <c r="I1334" s="7" t="s">
        <v>878</v>
      </c>
      <c r="J1334" s="7" t="s">
        <v>882</v>
      </c>
      <c r="M1334" s="7">
        <v>87.5</v>
      </c>
      <c r="N1334" s="7">
        <v>87.5</v>
      </c>
      <c r="O1334" s="126">
        <v>46216.574374999997</v>
      </c>
      <c r="P1334" s="126">
        <v>46216.574374999997</v>
      </c>
    </row>
    <row r="1335" spans="1:16" ht="15.75" customHeight="1">
      <c r="A1335" s="126">
        <v>46230.015752314801</v>
      </c>
      <c r="B1335" s="7">
        <v>12</v>
      </c>
      <c r="C1335" s="7">
        <v>755</v>
      </c>
      <c r="E1335" s="7" t="s">
        <v>1053</v>
      </c>
      <c r="F1335" s="7" t="s">
        <v>486</v>
      </c>
      <c r="G1335" s="7">
        <v>177</v>
      </c>
      <c r="H1335" s="7" t="s">
        <v>883</v>
      </c>
      <c r="I1335" s="7" t="s">
        <v>878</v>
      </c>
      <c r="J1335" s="7" t="s">
        <v>882</v>
      </c>
      <c r="M1335" s="7"/>
      <c r="N1335" s="7" t="s">
        <v>875</v>
      </c>
      <c r="O1335" s="126"/>
      <c r="P1335" s="126"/>
    </row>
    <row r="1336" spans="1:16" ht="15.75" customHeight="1">
      <c r="A1336" s="126">
        <v>46230.015752314801</v>
      </c>
      <c r="B1336" s="7">
        <v>12</v>
      </c>
      <c r="C1336" s="7">
        <v>755</v>
      </c>
      <c r="E1336" s="7" t="s">
        <v>1053</v>
      </c>
      <c r="F1336" s="7" t="s">
        <v>486</v>
      </c>
      <c r="G1336" s="7">
        <v>176</v>
      </c>
      <c r="H1336" s="7" t="s">
        <v>884</v>
      </c>
      <c r="I1336" s="7" t="s">
        <v>878</v>
      </c>
      <c r="J1336" s="7" t="s">
        <v>882</v>
      </c>
      <c r="M1336" s="7">
        <v>90</v>
      </c>
      <c r="N1336" s="7">
        <v>90</v>
      </c>
      <c r="O1336" s="126">
        <v>46223.896759259304</v>
      </c>
      <c r="P1336" s="126">
        <v>46223.896759259304</v>
      </c>
    </row>
    <row r="1337" spans="1:16" ht="15.75" customHeight="1">
      <c r="A1337" s="126">
        <v>46230.015752314801</v>
      </c>
      <c r="B1337" s="7">
        <v>12</v>
      </c>
      <c r="C1337" s="7">
        <v>755</v>
      </c>
      <c r="E1337" s="7" t="s">
        <v>1053</v>
      </c>
      <c r="F1337" s="7" t="s">
        <v>486</v>
      </c>
      <c r="G1337" s="7">
        <v>168</v>
      </c>
      <c r="H1337" s="7" t="s">
        <v>885</v>
      </c>
      <c r="I1337" s="7" t="s">
        <v>886</v>
      </c>
      <c r="J1337" s="7"/>
      <c r="M1337" s="7">
        <v>100</v>
      </c>
      <c r="N1337" s="7">
        <v>100</v>
      </c>
      <c r="P1337" s="126">
        <v>46209.706967592603</v>
      </c>
    </row>
    <row r="1338" spans="1:16" ht="15.75" customHeight="1">
      <c r="A1338" s="126">
        <v>46230.015752314801</v>
      </c>
      <c r="B1338" s="7">
        <v>12</v>
      </c>
      <c r="C1338" s="7">
        <v>604</v>
      </c>
      <c r="E1338" s="7" t="s">
        <v>1054</v>
      </c>
      <c r="F1338" s="7" t="s">
        <v>212</v>
      </c>
      <c r="G1338" s="7">
        <v>181</v>
      </c>
      <c r="H1338" s="7" t="s">
        <v>873</v>
      </c>
      <c r="I1338" s="7" t="s">
        <v>874</v>
      </c>
      <c r="J1338" s="7"/>
      <c r="M1338" s="7"/>
      <c r="N1338" s="7" t="s">
        <v>875</v>
      </c>
      <c r="O1338" s="126"/>
      <c r="P1338" s="126"/>
    </row>
    <row r="1339" spans="1:16" ht="15.75" customHeight="1">
      <c r="A1339" s="126">
        <v>46230.015752314801</v>
      </c>
      <c r="B1339" s="7">
        <v>12</v>
      </c>
      <c r="C1339" s="7">
        <v>604</v>
      </c>
      <c r="E1339" s="7" t="s">
        <v>1054</v>
      </c>
      <c r="F1339" s="7" t="s">
        <v>212</v>
      </c>
      <c r="G1339" s="7">
        <v>182</v>
      </c>
      <c r="H1339" s="7" t="s">
        <v>876</v>
      </c>
      <c r="I1339" s="7" t="s">
        <v>874</v>
      </c>
      <c r="J1339" s="7"/>
      <c r="M1339" s="7"/>
      <c r="N1339" s="7" t="s">
        <v>875</v>
      </c>
      <c r="P1339" s="126"/>
    </row>
    <row r="1340" spans="1:16" ht="15.75" customHeight="1">
      <c r="A1340" s="126">
        <v>46230.015752314801</v>
      </c>
      <c r="B1340" s="7">
        <v>12</v>
      </c>
      <c r="C1340" s="7">
        <v>604</v>
      </c>
      <c r="E1340" s="7" t="s">
        <v>1054</v>
      </c>
      <c r="F1340" s="7" t="s">
        <v>212</v>
      </c>
      <c r="G1340" s="7">
        <v>174</v>
      </c>
      <c r="H1340" s="7" t="s">
        <v>877</v>
      </c>
      <c r="I1340" s="7" t="s">
        <v>878</v>
      </c>
      <c r="J1340" s="7" t="s">
        <v>879</v>
      </c>
      <c r="M1340" s="7">
        <v>100</v>
      </c>
      <c r="N1340" s="7">
        <v>100</v>
      </c>
      <c r="O1340" s="126"/>
      <c r="P1340" s="126">
        <v>46209.706944444399</v>
      </c>
    </row>
    <row r="1341" spans="1:16" ht="15.75" customHeight="1">
      <c r="A1341" s="126">
        <v>46230.015752314801</v>
      </c>
      <c r="B1341" s="7">
        <v>12</v>
      </c>
      <c r="C1341" s="7">
        <v>604</v>
      </c>
      <c r="E1341" s="7" t="s">
        <v>1054</v>
      </c>
      <c r="F1341" s="7" t="s">
        <v>212</v>
      </c>
      <c r="G1341" s="7">
        <v>180</v>
      </c>
      <c r="H1341" s="7" t="s">
        <v>880</v>
      </c>
      <c r="I1341" s="7" t="s">
        <v>874</v>
      </c>
      <c r="J1341" s="7"/>
      <c r="M1341" s="7"/>
      <c r="N1341" s="7" t="s">
        <v>875</v>
      </c>
      <c r="O1341" s="126"/>
      <c r="P1341" s="126"/>
    </row>
    <row r="1342" spans="1:16" ht="15.75" customHeight="1">
      <c r="A1342" s="126">
        <v>46230.015752314801</v>
      </c>
      <c r="B1342" s="7">
        <v>12</v>
      </c>
      <c r="C1342" s="7">
        <v>604</v>
      </c>
      <c r="E1342" s="7" t="s">
        <v>1054</v>
      </c>
      <c r="F1342" s="7" t="s">
        <v>212</v>
      </c>
      <c r="G1342" s="7">
        <v>175</v>
      </c>
      <c r="H1342" s="7" t="s">
        <v>881</v>
      </c>
      <c r="I1342" s="7" t="s">
        <v>878</v>
      </c>
      <c r="J1342" s="7" t="s">
        <v>882</v>
      </c>
      <c r="M1342" s="7">
        <v>62.5</v>
      </c>
      <c r="N1342" s="7">
        <v>62.5</v>
      </c>
      <c r="O1342" s="126">
        <v>46218.374467592599</v>
      </c>
      <c r="P1342" s="126">
        <v>46218.374467592599</v>
      </c>
    </row>
    <row r="1343" spans="1:16" ht="15.75" customHeight="1">
      <c r="A1343" s="126">
        <v>46230.015752314801</v>
      </c>
      <c r="B1343" s="7">
        <v>12</v>
      </c>
      <c r="C1343" s="7">
        <v>604</v>
      </c>
      <c r="E1343" s="7" t="s">
        <v>1054</v>
      </c>
      <c r="F1343" s="7" t="s">
        <v>212</v>
      </c>
      <c r="G1343" s="7">
        <v>177</v>
      </c>
      <c r="H1343" s="7" t="s">
        <v>883</v>
      </c>
      <c r="I1343" s="7" t="s">
        <v>878</v>
      </c>
      <c r="J1343" s="7" t="s">
        <v>882</v>
      </c>
      <c r="M1343" s="7"/>
      <c r="N1343" s="7" t="s">
        <v>875</v>
      </c>
      <c r="P1343" s="126"/>
    </row>
    <row r="1344" spans="1:16" ht="15.75" customHeight="1">
      <c r="A1344" s="126">
        <v>46230.015752314801</v>
      </c>
      <c r="B1344" s="7">
        <v>12</v>
      </c>
      <c r="C1344" s="7">
        <v>604</v>
      </c>
      <c r="E1344" s="7" t="s">
        <v>1054</v>
      </c>
      <c r="F1344" s="7" t="s">
        <v>212</v>
      </c>
      <c r="G1344" s="7">
        <v>176</v>
      </c>
      <c r="H1344" s="7" t="s">
        <v>884</v>
      </c>
      <c r="I1344" s="7" t="s">
        <v>878</v>
      </c>
      <c r="J1344" s="7" t="s">
        <v>882</v>
      </c>
      <c r="M1344" s="7">
        <v>95</v>
      </c>
      <c r="N1344" s="7">
        <v>95</v>
      </c>
      <c r="O1344" s="126">
        <v>46224.223148148201</v>
      </c>
      <c r="P1344" s="126">
        <v>46224.223148148201</v>
      </c>
    </row>
    <row r="1345" spans="1:16" ht="15.75" customHeight="1">
      <c r="A1345" s="126">
        <v>46230.015752314801</v>
      </c>
      <c r="B1345" s="7">
        <v>12</v>
      </c>
      <c r="C1345" s="7">
        <v>604</v>
      </c>
      <c r="E1345" s="7" t="s">
        <v>1054</v>
      </c>
      <c r="F1345" s="7" t="s">
        <v>212</v>
      </c>
      <c r="G1345" s="7">
        <v>168</v>
      </c>
      <c r="H1345" s="7" t="s">
        <v>885</v>
      </c>
      <c r="I1345" s="7" t="s">
        <v>886</v>
      </c>
      <c r="J1345" s="7"/>
      <c r="M1345" s="7">
        <v>100</v>
      </c>
      <c r="N1345" s="7">
        <v>100</v>
      </c>
      <c r="P1345" s="126">
        <v>46209.706944444399</v>
      </c>
    </row>
    <row r="1346" spans="1:16" ht="15.75" customHeight="1">
      <c r="A1346" s="126">
        <v>46230.015752314801</v>
      </c>
      <c r="B1346" s="7">
        <v>12</v>
      </c>
      <c r="C1346" s="7">
        <v>716</v>
      </c>
      <c r="D1346" s="7"/>
      <c r="E1346" s="7" t="s">
        <v>1055</v>
      </c>
      <c r="F1346" s="7" t="s">
        <v>644</v>
      </c>
      <c r="G1346" s="7">
        <v>181</v>
      </c>
      <c r="H1346" s="7" t="s">
        <v>873</v>
      </c>
      <c r="I1346" s="7" t="s">
        <v>874</v>
      </c>
      <c r="J1346" s="7"/>
      <c r="M1346" s="7"/>
      <c r="N1346" s="7" t="s">
        <v>875</v>
      </c>
      <c r="O1346" s="126"/>
      <c r="P1346" s="126"/>
    </row>
    <row r="1347" spans="1:16" ht="15.75" customHeight="1">
      <c r="A1347" s="126">
        <v>46230.015752314801</v>
      </c>
      <c r="B1347" s="7">
        <v>12</v>
      </c>
      <c r="C1347" s="7">
        <v>716</v>
      </c>
      <c r="D1347" s="7"/>
      <c r="E1347" s="7" t="s">
        <v>1055</v>
      </c>
      <c r="F1347" s="7" t="s">
        <v>644</v>
      </c>
      <c r="G1347" s="7">
        <v>182</v>
      </c>
      <c r="H1347" s="7" t="s">
        <v>876</v>
      </c>
      <c r="I1347" s="7" t="s">
        <v>874</v>
      </c>
      <c r="J1347" s="7"/>
      <c r="M1347" s="7"/>
      <c r="N1347" s="7" t="s">
        <v>875</v>
      </c>
      <c r="O1347" s="126"/>
      <c r="P1347" s="126"/>
    </row>
    <row r="1348" spans="1:16" ht="15.75" customHeight="1">
      <c r="A1348" s="126">
        <v>46230.015752314801</v>
      </c>
      <c r="B1348" s="7">
        <v>12</v>
      </c>
      <c r="C1348" s="7">
        <v>716</v>
      </c>
      <c r="D1348" s="7"/>
      <c r="E1348" s="7" t="s">
        <v>1055</v>
      </c>
      <c r="F1348" s="7" t="s">
        <v>644</v>
      </c>
      <c r="G1348" s="7">
        <v>174</v>
      </c>
      <c r="H1348" s="7" t="s">
        <v>877</v>
      </c>
      <c r="I1348" s="7" t="s">
        <v>878</v>
      </c>
      <c r="J1348" s="7" t="s">
        <v>879</v>
      </c>
      <c r="M1348" s="7">
        <v>100</v>
      </c>
      <c r="N1348" s="7">
        <v>100</v>
      </c>
      <c r="O1348" s="126"/>
      <c r="P1348" s="126">
        <v>46209.706979166702</v>
      </c>
    </row>
    <row r="1349" spans="1:16" ht="15.75" customHeight="1">
      <c r="A1349" s="126">
        <v>46230.015752314801</v>
      </c>
      <c r="B1349" s="7">
        <v>12</v>
      </c>
      <c r="C1349" s="7">
        <v>716</v>
      </c>
      <c r="D1349" s="7"/>
      <c r="E1349" s="7" t="s">
        <v>1055</v>
      </c>
      <c r="F1349" s="7" t="s">
        <v>644</v>
      </c>
      <c r="G1349" s="7">
        <v>180</v>
      </c>
      <c r="H1349" s="7" t="s">
        <v>880</v>
      </c>
      <c r="I1349" s="7" t="s">
        <v>874</v>
      </c>
      <c r="J1349" s="7"/>
      <c r="M1349" s="7"/>
      <c r="N1349" s="7" t="s">
        <v>875</v>
      </c>
      <c r="O1349" s="126"/>
      <c r="P1349" s="126"/>
    </row>
    <row r="1350" spans="1:16" ht="15.75" customHeight="1">
      <c r="A1350" s="126">
        <v>46230.015752314801</v>
      </c>
      <c r="B1350" s="7">
        <v>12</v>
      </c>
      <c r="C1350" s="7">
        <v>716</v>
      </c>
      <c r="D1350" s="7"/>
      <c r="E1350" s="7" t="s">
        <v>1055</v>
      </c>
      <c r="F1350" s="7" t="s">
        <v>644</v>
      </c>
      <c r="G1350" s="7">
        <v>175</v>
      </c>
      <c r="H1350" s="7" t="s">
        <v>881</v>
      </c>
      <c r="I1350" s="7" t="s">
        <v>878</v>
      </c>
      <c r="J1350" s="7" t="s">
        <v>882</v>
      </c>
      <c r="M1350" s="7">
        <v>75</v>
      </c>
      <c r="N1350" s="7">
        <v>75</v>
      </c>
      <c r="O1350" s="126">
        <v>46215.9440046296</v>
      </c>
      <c r="P1350" s="126">
        <v>46215.9440046296</v>
      </c>
    </row>
    <row r="1351" spans="1:16" ht="15.75" customHeight="1">
      <c r="A1351" s="126">
        <v>46230.015752314801</v>
      </c>
      <c r="B1351" s="7">
        <v>12</v>
      </c>
      <c r="C1351" s="7">
        <v>716</v>
      </c>
      <c r="D1351" s="7"/>
      <c r="E1351" s="7" t="s">
        <v>1055</v>
      </c>
      <c r="F1351" s="7" t="s">
        <v>644</v>
      </c>
      <c r="G1351" s="7">
        <v>177</v>
      </c>
      <c r="H1351" s="7" t="s">
        <v>883</v>
      </c>
      <c r="I1351" s="7" t="s">
        <v>878</v>
      </c>
      <c r="J1351" s="7" t="s">
        <v>882</v>
      </c>
      <c r="M1351" s="7"/>
      <c r="N1351" s="7" t="s">
        <v>875</v>
      </c>
      <c r="P1351" s="126"/>
    </row>
    <row r="1352" spans="1:16" ht="15.75" customHeight="1">
      <c r="A1352" s="126">
        <v>46230.015752314801</v>
      </c>
      <c r="B1352" s="7">
        <v>12</v>
      </c>
      <c r="C1352" s="7">
        <v>716</v>
      </c>
      <c r="D1352" s="7"/>
      <c r="E1352" s="7" t="s">
        <v>1055</v>
      </c>
      <c r="F1352" s="7" t="s">
        <v>644</v>
      </c>
      <c r="G1352" s="7">
        <v>176</v>
      </c>
      <c r="H1352" s="7" t="s">
        <v>884</v>
      </c>
      <c r="I1352" s="7" t="s">
        <v>878</v>
      </c>
      <c r="J1352" s="7" t="s">
        <v>882</v>
      </c>
      <c r="M1352" s="7">
        <v>100</v>
      </c>
      <c r="N1352" s="7">
        <v>100</v>
      </c>
      <c r="O1352" s="126">
        <v>46229.956099536997</v>
      </c>
      <c r="P1352" s="126">
        <v>46229.956099536997</v>
      </c>
    </row>
    <row r="1353" spans="1:16" ht="15.75" customHeight="1">
      <c r="A1353" s="126">
        <v>46230.015752314801</v>
      </c>
      <c r="B1353" s="7">
        <v>12</v>
      </c>
      <c r="C1353" s="7">
        <v>716</v>
      </c>
      <c r="D1353" s="7"/>
      <c r="E1353" s="7" t="s">
        <v>1055</v>
      </c>
      <c r="F1353" s="7" t="s">
        <v>644</v>
      </c>
      <c r="G1353" s="7">
        <v>168</v>
      </c>
      <c r="H1353" s="7" t="s">
        <v>885</v>
      </c>
      <c r="I1353" s="7" t="s">
        <v>886</v>
      </c>
      <c r="J1353" s="7"/>
      <c r="M1353" s="7">
        <v>100</v>
      </c>
      <c r="N1353" s="7">
        <v>100</v>
      </c>
      <c r="O1353" s="126"/>
      <c r="P1353" s="126">
        <v>46209.706979166702</v>
      </c>
    </row>
    <row r="1354" spans="1:16" ht="15.75" customHeight="1">
      <c r="A1354" s="126">
        <v>46230.015752314801</v>
      </c>
      <c r="B1354" s="7">
        <v>12</v>
      </c>
      <c r="C1354" s="7">
        <v>651</v>
      </c>
      <c r="D1354" s="7"/>
      <c r="E1354" s="7" t="s">
        <v>1056</v>
      </c>
      <c r="F1354" s="7" t="s">
        <v>323</v>
      </c>
      <c r="G1354" s="7">
        <v>181</v>
      </c>
      <c r="H1354" s="7" t="s">
        <v>873</v>
      </c>
      <c r="I1354" s="7" t="s">
        <v>874</v>
      </c>
      <c r="J1354" s="7"/>
      <c r="M1354" s="7"/>
      <c r="N1354" s="7" t="s">
        <v>875</v>
      </c>
      <c r="O1354" s="126"/>
      <c r="P1354" s="126"/>
    </row>
    <row r="1355" spans="1:16" ht="15.75" customHeight="1">
      <c r="A1355" s="126">
        <v>46230.015752314801</v>
      </c>
      <c r="B1355" s="7">
        <v>12</v>
      </c>
      <c r="C1355" s="7">
        <v>651</v>
      </c>
      <c r="D1355" s="7"/>
      <c r="E1355" s="7" t="s">
        <v>1056</v>
      </c>
      <c r="F1355" s="7" t="s">
        <v>323</v>
      </c>
      <c r="G1355" s="7">
        <v>182</v>
      </c>
      <c r="H1355" s="7" t="s">
        <v>876</v>
      </c>
      <c r="I1355" s="7" t="s">
        <v>874</v>
      </c>
      <c r="J1355" s="7"/>
      <c r="M1355" s="7"/>
      <c r="N1355" s="7" t="s">
        <v>875</v>
      </c>
      <c r="P1355" s="126"/>
    </row>
    <row r="1356" spans="1:16" ht="15.75" customHeight="1">
      <c r="A1356" s="126">
        <v>46230.015752314801</v>
      </c>
      <c r="B1356" s="7">
        <v>12</v>
      </c>
      <c r="C1356" s="7">
        <v>651</v>
      </c>
      <c r="D1356" s="7"/>
      <c r="E1356" s="7" t="s">
        <v>1056</v>
      </c>
      <c r="F1356" s="7" t="s">
        <v>323</v>
      </c>
      <c r="G1356" s="7">
        <v>174</v>
      </c>
      <c r="H1356" s="7" t="s">
        <v>877</v>
      </c>
      <c r="I1356" s="7" t="s">
        <v>878</v>
      </c>
      <c r="J1356" s="7" t="s">
        <v>879</v>
      </c>
      <c r="M1356" s="7">
        <v>100</v>
      </c>
      <c r="N1356" s="7">
        <v>100</v>
      </c>
      <c r="O1356" s="126"/>
      <c r="P1356" s="126">
        <v>46210.417476851799</v>
      </c>
    </row>
    <row r="1357" spans="1:16" ht="15.75" customHeight="1">
      <c r="A1357" s="126">
        <v>46230.015752314801</v>
      </c>
      <c r="B1357" s="7">
        <v>12</v>
      </c>
      <c r="C1357" s="7">
        <v>651</v>
      </c>
      <c r="D1357" s="7"/>
      <c r="E1357" s="7" t="s">
        <v>1056</v>
      </c>
      <c r="F1357" s="7" t="s">
        <v>323</v>
      </c>
      <c r="G1357" s="7">
        <v>180</v>
      </c>
      <c r="H1357" s="7" t="s">
        <v>880</v>
      </c>
      <c r="I1357" s="7" t="s">
        <v>874</v>
      </c>
      <c r="J1357" s="7"/>
      <c r="M1357" s="7"/>
      <c r="N1357" s="7" t="s">
        <v>875</v>
      </c>
      <c r="O1357" s="126"/>
      <c r="P1357" s="126"/>
    </row>
    <row r="1358" spans="1:16" ht="15.75" customHeight="1">
      <c r="A1358" s="126">
        <v>46230.015752314801</v>
      </c>
      <c r="B1358" s="7">
        <v>12</v>
      </c>
      <c r="C1358" s="7">
        <v>651</v>
      </c>
      <c r="D1358" s="7"/>
      <c r="E1358" s="7" t="s">
        <v>1056</v>
      </c>
      <c r="F1358" s="7" t="s">
        <v>323</v>
      </c>
      <c r="G1358" s="7">
        <v>175</v>
      </c>
      <c r="H1358" s="7" t="s">
        <v>881</v>
      </c>
      <c r="I1358" s="7" t="s">
        <v>878</v>
      </c>
      <c r="J1358" s="7" t="s">
        <v>882</v>
      </c>
      <c r="M1358" s="7">
        <v>100</v>
      </c>
      <c r="N1358" s="7">
        <v>100</v>
      </c>
      <c r="O1358" s="126">
        <v>46214.925532407397</v>
      </c>
      <c r="P1358" s="126">
        <v>46214.925532407397</v>
      </c>
    </row>
    <row r="1359" spans="1:16" ht="15.75" customHeight="1">
      <c r="A1359" s="126">
        <v>46230.015752314801</v>
      </c>
      <c r="B1359" s="7">
        <v>12</v>
      </c>
      <c r="C1359" s="7">
        <v>651</v>
      </c>
      <c r="D1359" s="7"/>
      <c r="E1359" s="7" t="s">
        <v>1056</v>
      </c>
      <c r="F1359" s="7" t="s">
        <v>323</v>
      </c>
      <c r="G1359" s="7">
        <v>177</v>
      </c>
      <c r="H1359" s="7" t="s">
        <v>883</v>
      </c>
      <c r="I1359" s="7" t="s">
        <v>878</v>
      </c>
      <c r="J1359" s="7" t="s">
        <v>882</v>
      </c>
      <c r="M1359" s="7"/>
      <c r="N1359" s="7" t="s">
        <v>875</v>
      </c>
      <c r="O1359" s="126"/>
      <c r="P1359" s="126"/>
    </row>
    <row r="1360" spans="1:16" ht="15.75" customHeight="1">
      <c r="A1360" s="126">
        <v>46230.015752314801</v>
      </c>
      <c r="B1360" s="7">
        <v>12</v>
      </c>
      <c r="C1360" s="7">
        <v>651</v>
      </c>
      <c r="D1360" s="7"/>
      <c r="E1360" s="7" t="s">
        <v>1056</v>
      </c>
      <c r="F1360" s="7" t="s">
        <v>323</v>
      </c>
      <c r="G1360" s="7">
        <v>176</v>
      </c>
      <c r="H1360" s="7" t="s">
        <v>884</v>
      </c>
      <c r="I1360" s="7" t="s">
        <v>878</v>
      </c>
      <c r="J1360" s="7" t="s">
        <v>882</v>
      </c>
      <c r="M1360" s="7">
        <v>100</v>
      </c>
      <c r="N1360" s="7">
        <v>100</v>
      </c>
      <c r="O1360" s="126">
        <v>46223.813946759299</v>
      </c>
      <c r="P1360" s="126">
        <v>46223.813946759299</v>
      </c>
    </row>
    <row r="1361" spans="1:16" ht="15.75" customHeight="1">
      <c r="A1361" s="126">
        <v>46230.015752314801</v>
      </c>
      <c r="B1361" s="7">
        <v>12</v>
      </c>
      <c r="C1361" s="7">
        <v>651</v>
      </c>
      <c r="D1361" s="7"/>
      <c r="E1361" s="7" t="s">
        <v>1056</v>
      </c>
      <c r="F1361" s="7" t="s">
        <v>323</v>
      </c>
      <c r="G1361" s="7">
        <v>168</v>
      </c>
      <c r="H1361" s="7" t="s">
        <v>885</v>
      </c>
      <c r="I1361" s="7" t="s">
        <v>886</v>
      </c>
      <c r="J1361" s="7"/>
      <c r="M1361" s="7">
        <v>100</v>
      </c>
      <c r="N1361" s="7">
        <v>100</v>
      </c>
      <c r="P1361" s="126">
        <v>46210.417476851799</v>
      </c>
    </row>
    <row r="1362" spans="1:16" ht="15.75" customHeight="1">
      <c r="A1362" s="126">
        <v>46230.015752314801</v>
      </c>
      <c r="B1362" s="7">
        <v>12</v>
      </c>
      <c r="C1362" s="7">
        <v>746</v>
      </c>
      <c r="D1362" s="7"/>
      <c r="E1362" s="7" t="s">
        <v>1057</v>
      </c>
      <c r="F1362" s="7" t="s">
        <v>738</v>
      </c>
      <c r="G1362" s="7">
        <v>181</v>
      </c>
      <c r="H1362" s="7" t="s">
        <v>873</v>
      </c>
      <c r="I1362" s="7" t="s">
        <v>874</v>
      </c>
      <c r="J1362" s="7"/>
      <c r="M1362" s="7"/>
      <c r="N1362" s="7" t="s">
        <v>875</v>
      </c>
      <c r="P1362" s="126"/>
    </row>
    <row r="1363" spans="1:16" ht="15.75" customHeight="1">
      <c r="A1363" s="126">
        <v>46230.015752314801</v>
      </c>
      <c r="B1363" s="7">
        <v>12</v>
      </c>
      <c r="C1363" s="7">
        <v>746</v>
      </c>
      <c r="D1363" s="7"/>
      <c r="E1363" s="7" t="s">
        <v>1057</v>
      </c>
      <c r="F1363" s="7" t="s">
        <v>738</v>
      </c>
      <c r="G1363" s="7">
        <v>182</v>
      </c>
      <c r="H1363" s="7" t="s">
        <v>876</v>
      </c>
      <c r="I1363" s="7" t="s">
        <v>874</v>
      </c>
      <c r="J1363" s="7"/>
      <c r="M1363" s="7"/>
      <c r="N1363" s="7" t="s">
        <v>875</v>
      </c>
      <c r="P1363" s="126"/>
    </row>
    <row r="1364" spans="1:16" ht="15.75" customHeight="1">
      <c r="A1364" s="126">
        <v>46230.015752314801</v>
      </c>
      <c r="B1364" s="7">
        <v>12</v>
      </c>
      <c r="C1364" s="7">
        <v>746</v>
      </c>
      <c r="E1364" s="7" t="s">
        <v>1057</v>
      </c>
      <c r="F1364" s="7" t="s">
        <v>738</v>
      </c>
      <c r="G1364" s="7">
        <v>174</v>
      </c>
      <c r="H1364" s="7" t="s">
        <v>877</v>
      </c>
      <c r="I1364" s="7" t="s">
        <v>878</v>
      </c>
      <c r="J1364" s="7" t="s">
        <v>879</v>
      </c>
      <c r="M1364" s="7">
        <v>100</v>
      </c>
      <c r="N1364" s="7">
        <v>100</v>
      </c>
      <c r="O1364" s="126"/>
      <c r="P1364" s="126">
        <v>46209.706979166702</v>
      </c>
    </row>
    <row r="1365" spans="1:16" ht="15.75" customHeight="1">
      <c r="A1365" s="126">
        <v>46230.015752314801</v>
      </c>
      <c r="B1365" s="7">
        <v>12</v>
      </c>
      <c r="C1365" s="7">
        <v>746</v>
      </c>
      <c r="E1365" s="7" t="s">
        <v>1057</v>
      </c>
      <c r="F1365" s="7" t="s">
        <v>738</v>
      </c>
      <c r="G1365" s="7">
        <v>180</v>
      </c>
      <c r="H1365" s="7" t="s">
        <v>880</v>
      </c>
      <c r="I1365" s="7" t="s">
        <v>874</v>
      </c>
      <c r="J1365" s="7"/>
      <c r="M1365" s="7"/>
      <c r="N1365" s="7" t="s">
        <v>875</v>
      </c>
      <c r="O1365" s="126"/>
      <c r="P1365" s="126"/>
    </row>
    <row r="1366" spans="1:16" ht="15.75" customHeight="1">
      <c r="A1366" s="126">
        <v>46230.015752314801</v>
      </c>
      <c r="B1366" s="7">
        <v>12</v>
      </c>
      <c r="C1366" s="7">
        <v>746</v>
      </c>
      <c r="E1366" s="7" t="s">
        <v>1057</v>
      </c>
      <c r="F1366" s="7" t="s">
        <v>738</v>
      </c>
      <c r="G1366" s="7">
        <v>175</v>
      </c>
      <c r="H1366" s="7" t="s">
        <v>881</v>
      </c>
      <c r="I1366" s="7" t="s">
        <v>878</v>
      </c>
      <c r="J1366" s="7" t="s">
        <v>882</v>
      </c>
      <c r="M1366" s="7">
        <v>100</v>
      </c>
      <c r="N1366" s="7">
        <v>100</v>
      </c>
      <c r="O1366" s="126">
        <v>46215.612604166701</v>
      </c>
      <c r="P1366" s="126">
        <v>46215.612604166701</v>
      </c>
    </row>
    <row r="1367" spans="1:16" ht="15.75" customHeight="1">
      <c r="A1367" s="126">
        <v>46230.015752314801</v>
      </c>
      <c r="B1367" s="7">
        <v>12</v>
      </c>
      <c r="C1367" s="7">
        <v>746</v>
      </c>
      <c r="E1367" s="7" t="s">
        <v>1057</v>
      </c>
      <c r="F1367" s="7" t="s">
        <v>738</v>
      </c>
      <c r="G1367" s="7">
        <v>177</v>
      </c>
      <c r="H1367" s="7" t="s">
        <v>883</v>
      </c>
      <c r="I1367" s="7" t="s">
        <v>878</v>
      </c>
      <c r="J1367" s="7" t="s">
        <v>882</v>
      </c>
      <c r="M1367" s="7"/>
      <c r="N1367" s="7" t="s">
        <v>875</v>
      </c>
      <c r="O1367" s="126"/>
      <c r="P1367" s="126"/>
    </row>
    <row r="1368" spans="1:16" ht="15.75" customHeight="1">
      <c r="A1368" s="126">
        <v>46230.015752314801</v>
      </c>
      <c r="B1368" s="7">
        <v>12</v>
      </c>
      <c r="C1368" s="7">
        <v>746</v>
      </c>
      <c r="E1368" s="7" t="s">
        <v>1057</v>
      </c>
      <c r="F1368" s="7" t="s">
        <v>738</v>
      </c>
      <c r="G1368" s="7">
        <v>176</v>
      </c>
      <c r="H1368" s="7" t="s">
        <v>884</v>
      </c>
      <c r="I1368" s="7" t="s">
        <v>878</v>
      </c>
      <c r="J1368" s="7" t="s">
        <v>882</v>
      </c>
      <c r="M1368" s="7">
        <v>100</v>
      </c>
      <c r="N1368" s="7">
        <v>100</v>
      </c>
      <c r="O1368" s="126">
        <v>46225.4363773148</v>
      </c>
      <c r="P1368" s="126">
        <v>46225.4363773148</v>
      </c>
    </row>
    <row r="1369" spans="1:16" ht="15.75" customHeight="1">
      <c r="A1369" s="126">
        <v>46230.015752314801</v>
      </c>
      <c r="B1369" s="7">
        <v>12</v>
      </c>
      <c r="C1369" s="7">
        <v>746</v>
      </c>
      <c r="E1369" s="7" t="s">
        <v>1057</v>
      </c>
      <c r="F1369" s="7" t="s">
        <v>738</v>
      </c>
      <c r="G1369" s="7">
        <v>168</v>
      </c>
      <c r="H1369" s="7" t="s">
        <v>885</v>
      </c>
      <c r="I1369" s="7" t="s">
        <v>886</v>
      </c>
      <c r="M1369" s="7">
        <v>100</v>
      </c>
      <c r="N1369" s="7">
        <v>100</v>
      </c>
      <c r="P1369" s="126">
        <v>46209.706979166702</v>
      </c>
    </row>
    <row r="1370" spans="1:16" ht="15.75" customHeight="1">
      <c r="A1370" s="126">
        <v>46230.015752314801</v>
      </c>
      <c r="B1370" s="7">
        <v>12</v>
      </c>
      <c r="C1370" s="7">
        <v>372</v>
      </c>
      <c r="E1370" s="7" t="s">
        <v>1058</v>
      </c>
      <c r="F1370" s="7" t="s">
        <v>681</v>
      </c>
      <c r="G1370" s="7">
        <v>181</v>
      </c>
      <c r="H1370" s="7" t="s">
        <v>873</v>
      </c>
      <c r="I1370" s="7" t="s">
        <v>874</v>
      </c>
      <c r="J1370" s="7"/>
      <c r="M1370" s="7"/>
      <c r="N1370" s="7" t="s">
        <v>875</v>
      </c>
      <c r="O1370" s="126"/>
      <c r="P1370" s="126"/>
    </row>
    <row r="1371" spans="1:16" ht="15.75" customHeight="1">
      <c r="A1371" s="126">
        <v>46230.015752314801</v>
      </c>
      <c r="B1371" s="7">
        <v>12</v>
      </c>
      <c r="C1371" s="7">
        <v>372</v>
      </c>
      <c r="E1371" s="7" t="s">
        <v>1058</v>
      </c>
      <c r="F1371" s="7" t="s">
        <v>681</v>
      </c>
      <c r="G1371" s="7">
        <v>182</v>
      </c>
      <c r="H1371" s="7" t="s">
        <v>876</v>
      </c>
      <c r="I1371" s="7" t="s">
        <v>874</v>
      </c>
      <c r="J1371" s="7"/>
      <c r="M1371" s="7"/>
      <c r="N1371" s="7" t="s">
        <v>875</v>
      </c>
      <c r="O1371" s="126"/>
      <c r="P1371" s="126"/>
    </row>
    <row r="1372" spans="1:16" ht="15.75" customHeight="1">
      <c r="A1372" s="126">
        <v>46230.015752314801</v>
      </c>
      <c r="B1372" s="7">
        <v>12</v>
      </c>
      <c r="C1372" s="7">
        <v>372</v>
      </c>
      <c r="E1372" s="7" t="s">
        <v>1058</v>
      </c>
      <c r="F1372" s="7" t="s">
        <v>681</v>
      </c>
      <c r="G1372" s="7">
        <v>174</v>
      </c>
      <c r="H1372" s="7" t="s">
        <v>877</v>
      </c>
      <c r="I1372" s="7" t="s">
        <v>878</v>
      </c>
      <c r="J1372" s="7" t="s">
        <v>879</v>
      </c>
      <c r="M1372" s="7">
        <v>100</v>
      </c>
      <c r="N1372" s="7">
        <v>100</v>
      </c>
      <c r="O1372" s="126"/>
      <c r="P1372" s="126">
        <v>46209.706944444399</v>
      </c>
    </row>
    <row r="1373" spans="1:16" ht="15.75" customHeight="1">
      <c r="A1373" s="126">
        <v>46230.015752314801</v>
      </c>
      <c r="B1373" s="7">
        <v>12</v>
      </c>
      <c r="C1373" s="7">
        <v>372</v>
      </c>
      <c r="E1373" s="7" t="s">
        <v>1058</v>
      </c>
      <c r="F1373" s="7" t="s">
        <v>681</v>
      </c>
      <c r="G1373" s="7">
        <v>180</v>
      </c>
      <c r="H1373" s="7" t="s">
        <v>880</v>
      </c>
      <c r="I1373" s="7" t="s">
        <v>874</v>
      </c>
      <c r="J1373" s="7"/>
      <c r="M1373" s="7"/>
      <c r="N1373" s="7" t="s">
        <v>875</v>
      </c>
      <c r="O1373" s="126"/>
      <c r="P1373" s="126"/>
    </row>
    <row r="1374" spans="1:16" ht="15.75" customHeight="1">
      <c r="A1374" s="126">
        <v>46230.015752314801</v>
      </c>
      <c r="B1374" s="7">
        <v>12</v>
      </c>
      <c r="C1374" s="7">
        <v>372</v>
      </c>
      <c r="E1374" s="7" t="s">
        <v>1058</v>
      </c>
      <c r="F1374" s="7" t="s">
        <v>681</v>
      </c>
      <c r="G1374" s="7">
        <v>175</v>
      </c>
      <c r="H1374" s="7" t="s">
        <v>881</v>
      </c>
      <c r="I1374" s="7" t="s">
        <v>878</v>
      </c>
      <c r="J1374" s="7" t="s">
        <v>882</v>
      </c>
      <c r="M1374" s="7">
        <v>100</v>
      </c>
      <c r="N1374" s="7">
        <v>100</v>
      </c>
      <c r="O1374" s="126">
        <v>46216.554363425901</v>
      </c>
      <c r="P1374" s="126">
        <v>46216.554363425901</v>
      </c>
    </row>
    <row r="1375" spans="1:16" ht="15.75" customHeight="1">
      <c r="A1375" s="126">
        <v>46230.015752314801</v>
      </c>
      <c r="B1375" s="7">
        <v>12</v>
      </c>
      <c r="C1375" s="7">
        <v>372</v>
      </c>
      <c r="E1375" s="7" t="s">
        <v>1058</v>
      </c>
      <c r="F1375" s="7" t="s">
        <v>681</v>
      </c>
      <c r="G1375" s="7">
        <v>177</v>
      </c>
      <c r="H1375" s="7" t="s">
        <v>883</v>
      </c>
      <c r="I1375" s="7" t="s">
        <v>878</v>
      </c>
      <c r="J1375" s="7" t="s">
        <v>882</v>
      </c>
      <c r="M1375" s="7"/>
      <c r="N1375" s="7" t="s">
        <v>875</v>
      </c>
      <c r="P1375" s="126"/>
    </row>
    <row r="1376" spans="1:16" ht="15.75" customHeight="1">
      <c r="A1376" s="126">
        <v>46230.015752314801</v>
      </c>
      <c r="B1376" s="7">
        <v>12</v>
      </c>
      <c r="C1376" s="7">
        <v>372</v>
      </c>
      <c r="E1376" s="7" t="s">
        <v>1058</v>
      </c>
      <c r="F1376" s="7" t="s">
        <v>681</v>
      </c>
      <c r="G1376" s="7">
        <v>176</v>
      </c>
      <c r="H1376" s="7" t="s">
        <v>884</v>
      </c>
      <c r="I1376" s="7" t="s">
        <v>878</v>
      </c>
      <c r="J1376" s="7" t="s">
        <v>882</v>
      </c>
      <c r="M1376" s="7"/>
      <c r="N1376" s="7" t="s">
        <v>875</v>
      </c>
      <c r="O1376" s="126"/>
      <c r="P1376" s="126"/>
    </row>
    <row r="1377" spans="1:16" ht="15.75" customHeight="1">
      <c r="A1377" s="126">
        <v>46230.015752314801</v>
      </c>
      <c r="B1377" s="7">
        <v>12</v>
      </c>
      <c r="C1377" s="7">
        <v>372</v>
      </c>
      <c r="E1377" s="7" t="s">
        <v>1058</v>
      </c>
      <c r="F1377" s="7" t="s">
        <v>681</v>
      </c>
      <c r="G1377" s="7">
        <v>168</v>
      </c>
      <c r="H1377" s="7" t="s">
        <v>885</v>
      </c>
      <c r="I1377" s="7" t="s">
        <v>886</v>
      </c>
      <c r="J1377" s="7"/>
      <c r="M1377" s="7">
        <v>100</v>
      </c>
      <c r="N1377" s="7">
        <v>100</v>
      </c>
      <c r="O1377" s="126"/>
      <c r="P1377" s="126">
        <v>46209.706944444399</v>
      </c>
    </row>
    <row r="1378" spans="1:16" ht="15.75" customHeight="1">
      <c r="A1378" s="126">
        <v>46230.015752314801</v>
      </c>
      <c r="B1378" s="7">
        <v>12</v>
      </c>
      <c r="C1378" s="7">
        <v>660</v>
      </c>
      <c r="E1378" s="7" t="s">
        <v>1059</v>
      </c>
      <c r="F1378" s="7" t="s">
        <v>742</v>
      </c>
      <c r="G1378" s="7">
        <v>181</v>
      </c>
      <c r="H1378" s="7" t="s">
        <v>873</v>
      </c>
      <c r="I1378" s="7" t="s">
        <v>874</v>
      </c>
      <c r="J1378" s="7"/>
      <c r="M1378" s="7"/>
      <c r="N1378" s="7" t="s">
        <v>875</v>
      </c>
      <c r="O1378" s="126"/>
      <c r="P1378" s="126"/>
    </row>
    <row r="1379" spans="1:16" ht="15.75" customHeight="1">
      <c r="A1379" s="126">
        <v>46230.015752314801</v>
      </c>
      <c r="B1379" s="7">
        <v>12</v>
      </c>
      <c r="C1379" s="7">
        <v>660</v>
      </c>
      <c r="E1379" s="7" t="s">
        <v>1059</v>
      </c>
      <c r="F1379" s="7" t="s">
        <v>742</v>
      </c>
      <c r="G1379" s="7">
        <v>182</v>
      </c>
      <c r="H1379" s="7" t="s">
        <v>876</v>
      </c>
      <c r="I1379" s="7" t="s">
        <v>874</v>
      </c>
      <c r="J1379" s="7"/>
      <c r="M1379" s="7"/>
      <c r="N1379" s="7" t="s">
        <v>875</v>
      </c>
      <c r="P1379" s="126"/>
    </row>
    <row r="1380" spans="1:16" ht="15.75" customHeight="1">
      <c r="A1380" s="126">
        <v>46230.015752314801</v>
      </c>
      <c r="B1380" s="7">
        <v>12</v>
      </c>
      <c r="C1380" s="7">
        <v>660</v>
      </c>
      <c r="E1380" s="7" t="s">
        <v>1059</v>
      </c>
      <c r="F1380" s="7" t="s">
        <v>742</v>
      </c>
      <c r="G1380" s="7">
        <v>174</v>
      </c>
      <c r="H1380" s="7" t="s">
        <v>877</v>
      </c>
      <c r="I1380" s="7" t="s">
        <v>878</v>
      </c>
      <c r="J1380" s="7" t="s">
        <v>879</v>
      </c>
      <c r="M1380" s="7">
        <v>100</v>
      </c>
      <c r="N1380" s="7">
        <v>100</v>
      </c>
      <c r="P1380" s="126">
        <v>46209.709745370397</v>
      </c>
    </row>
    <row r="1381" spans="1:16" ht="15.75" customHeight="1">
      <c r="A1381" s="126">
        <v>46230.015752314801</v>
      </c>
      <c r="B1381" s="7">
        <v>12</v>
      </c>
      <c r="C1381" s="7">
        <v>660</v>
      </c>
      <c r="E1381" s="7" t="s">
        <v>1059</v>
      </c>
      <c r="F1381" s="7" t="s">
        <v>742</v>
      </c>
      <c r="G1381" s="7">
        <v>180</v>
      </c>
      <c r="H1381" s="7" t="s">
        <v>880</v>
      </c>
      <c r="I1381" s="7" t="s">
        <v>874</v>
      </c>
      <c r="J1381" s="7"/>
      <c r="M1381" s="7"/>
      <c r="N1381" s="7" t="s">
        <v>875</v>
      </c>
      <c r="O1381" s="126"/>
      <c r="P1381" s="126"/>
    </row>
    <row r="1382" spans="1:16" ht="15.75" customHeight="1">
      <c r="A1382" s="126">
        <v>46230.015752314801</v>
      </c>
      <c r="B1382" s="7">
        <v>12</v>
      </c>
      <c r="C1382" s="7">
        <v>660</v>
      </c>
      <c r="E1382" s="7" t="s">
        <v>1059</v>
      </c>
      <c r="F1382" s="7" t="s">
        <v>742</v>
      </c>
      <c r="G1382" s="7">
        <v>175</v>
      </c>
      <c r="H1382" s="7" t="s">
        <v>881</v>
      </c>
      <c r="I1382" s="7" t="s">
        <v>878</v>
      </c>
      <c r="J1382" s="7" t="s">
        <v>882</v>
      </c>
      <c r="M1382" s="7">
        <v>100</v>
      </c>
      <c r="N1382" s="7">
        <v>100</v>
      </c>
      <c r="O1382" s="126">
        <v>46216.004189814797</v>
      </c>
      <c r="P1382" s="126">
        <v>46216.004189814797</v>
      </c>
    </row>
    <row r="1383" spans="1:16" ht="15.75" customHeight="1">
      <c r="A1383" s="126">
        <v>46230.015752314801</v>
      </c>
      <c r="B1383" s="7">
        <v>12</v>
      </c>
      <c r="C1383" s="7">
        <v>660</v>
      </c>
      <c r="E1383" s="7" t="s">
        <v>1059</v>
      </c>
      <c r="F1383" s="7" t="s">
        <v>742</v>
      </c>
      <c r="G1383" s="7">
        <v>177</v>
      </c>
      <c r="H1383" s="7" t="s">
        <v>883</v>
      </c>
      <c r="I1383" s="7" t="s">
        <v>878</v>
      </c>
      <c r="J1383" s="7" t="s">
        <v>882</v>
      </c>
      <c r="M1383" s="7"/>
      <c r="N1383" s="7" t="s">
        <v>875</v>
      </c>
      <c r="O1383" s="126"/>
      <c r="P1383" s="126"/>
    </row>
    <row r="1384" spans="1:16" ht="15.75" customHeight="1">
      <c r="A1384" s="126">
        <v>46230.015752314801</v>
      </c>
      <c r="B1384" s="7">
        <v>12</v>
      </c>
      <c r="C1384" s="7">
        <v>660</v>
      </c>
      <c r="E1384" s="7" t="s">
        <v>1059</v>
      </c>
      <c r="F1384" s="7" t="s">
        <v>742</v>
      </c>
      <c r="G1384" s="7">
        <v>176</v>
      </c>
      <c r="H1384" s="7" t="s">
        <v>884</v>
      </c>
      <c r="I1384" s="7" t="s">
        <v>878</v>
      </c>
      <c r="J1384" s="7" t="s">
        <v>882</v>
      </c>
      <c r="M1384" s="7">
        <v>100</v>
      </c>
      <c r="N1384" s="7">
        <v>100</v>
      </c>
      <c r="O1384" s="126">
        <v>46225.002442129597</v>
      </c>
      <c r="P1384" s="126">
        <v>46225.002442129597</v>
      </c>
    </row>
    <row r="1385" spans="1:16" ht="15.75" customHeight="1">
      <c r="A1385" s="126">
        <v>46230.015752314801</v>
      </c>
      <c r="B1385" s="7">
        <v>12</v>
      </c>
      <c r="C1385" s="7">
        <v>660</v>
      </c>
      <c r="E1385" s="7" t="s">
        <v>1059</v>
      </c>
      <c r="F1385" s="7" t="s">
        <v>742</v>
      </c>
      <c r="G1385" s="7">
        <v>168</v>
      </c>
      <c r="H1385" s="7" t="s">
        <v>885</v>
      </c>
      <c r="I1385" s="7" t="s">
        <v>886</v>
      </c>
      <c r="J1385" s="7"/>
      <c r="M1385" s="7">
        <v>100</v>
      </c>
      <c r="N1385" s="7">
        <v>100</v>
      </c>
      <c r="O1385" s="126"/>
      <c r="P1385" s="126">
        <v>46209.709745370397</v>
      </c>
    </row>
    <row r="1386" spans="1:16" ht="15.75" customHeight="1">
      <c r="A1386" s="126">
        <v>46230.015752314801</v>
      </c>
      <c r="B1386" s="7">
        <v>12</v>
      </c>
      <c r="C1386" s="7">
        <v>599</v>
      </c>
      <c r="E1386" s="7" t="s">
        <v>1060</v>
      </c>
      <c r="F1386" s="7" t="s">
        <v>290</v>
      </c>
      <c r="G1386" s="7">
        <v>181</v>
      </c>
      <c r="H1386" s="7" t="s">
        <v>873</v>
      </c>
      <c r="I1386" s="7" t="s">
        <v>874</v>
      </c>
      <c r="J1386" s="7"/>
      <c r="M1386" s="7"/>
      <c r="N1386" s="7" t="s">
        <v>875</v>
      </c>
      <c r="O1386" s="126"/>
      <c r="P1386" s="126"/>
    </row>
    <row r="1387" spans="1:16" ht="15.75" customHeight="1">
      <c r="A1387" s="126">
        <v>46230.015752314801</v>
      </c>
      <c r="B1387" s="7">
        <v>12</v>
      </c>
      <c r="C1387" s="7">
        <v>599</v>
      </c>
      <c r="E1387" s="7" t="s">
        <v>1060</v>
      </c>
      <c r="F1387" s="7" t="s">
        <v>290</v>
      </c>
      <c r="G1387" s="7">
        <v>182</v>
      </c>
      <c r="H1387" s="7" t="s">
        <v>876</v>
      </c>
      <c r="I1387" s="7" t="s">
        <v>874</v>
      </c>
      <c r="J1387" s="7"/>
      <c r="M1387" s="7"/>
      <c r="N1387" s="7" t="s">
        <v>875</v>
      </c>
      <c r="P1387" s="126"/>
    </row>
    <row r="1388" spans="1:16" ht="15.75" customHeight="1">
      <c r="A1388" s="126">
        <v>46230.015752314801</v>
      </c>
      <c r="B1388" s="7">
        <v>12</v>
      </c>
      <c r="C1388" s="7">
        <v>599</v>
      </c>
      <c r="E1388" s="7" t="s">
        <v>1060</v>
      </c>
      <c r="F1388" s="7" t="s">
        <v>290</v>
      </c>
      <c r="G1388" s="7">
        <v>174</v>
      </c>
      <c r="H1388" s="7" t="s">
        <v>877</v>
      </c>
      <c r="I1388" s="7" t="s">
        <v>878</v>
      </c>
      <c r="J1388" s="7" t="s">
        <v>879</v>
      </c>
      <c r="M1388" s="7">
        <v>100</v>
      </c>
      <c r="N1388" s="7">
        <v>100</v>
      </c>
      <c r="P1388" s="126">
        <v>46209.706932870402</v>
      </c>
    </row>
    <row r="1389" spans="1:16" ht="15.75" customHeight="1">
      <c r="A1389" s="126">
        <v>46230.015752314801</v>
      </c>
      <c r="B1389" s="7">
        <v>12</v>
      </c>
      <c r="C1389" s="7">
        <v>599</v>
      </c>
      <c r="E1389" s="7" t="s">
        <v>1060</v>
      </c>
      <c r="F1389" s="7" t="s">
        <v>290</v>
      </c>
      <c r="G1389" s="7">
        <v>180</v>
      </c>
      <c r="H1389" s="7" t="s">
        <v>880</v>
      </c>
      <c r="I1389" s="7" t="s">
        <v>874</v>
      </c>
      <c r="J1389" s="7"/>
      <c r="M1389" s="7"/>
      <c r="N1389" s="7" t="s">
        <v>875</v>
      </c>
      <c r="O1389" s="126"/>
      <c r="P1389" s="126"/>
    </row>
    <row r="1390" spans="1:16" ht="15.75" customHeight="1">
      <c r="A1390" s="126">
        <v>46230.015752314801</v>
      </c>
      <c r="B1390" s="7">
        <v>12</v>
      </c>
      <c r="C1390" s="7">
        <v>599</v>
      </c>
      <c r="E1390" s="7" t="s">
        <v>1060</v>
      </c>
      <c r="F1390" s="7" t="s">
        <v>290</v>
      </c>
      <c r="G1390" s="7">
        <v>175</v>
      </c>
      <c r="H1390" s="7" t="s">
        <v>881</v>
      </c>
      <c r="I1390" s="7" t="s">
        <v>878</v>
      </c>
      <c r="J1390" s="7" t="s">
        <v>882</v>
      </c>
      <c r="M1390" s="7">
        <v>100</v>
      </c>
      <c r="N1390" s="7">
        <v>100</v>
      </c>
      <c r="O1390" s="126">
        <v>46215.501111111102</v>
      </c>
      <c r="P1390" s="126">
        <v>46215.501111111102</v>
      </c>
    </row>
    <row r="1391" spans="1:16" ht="15.75" customHeight="1">
      <c r="A1391" s="126">
        <v>46230.015752314801</v>
      </c>
      <c r="B1391" s="7">
        <v>12</v>
      </c>
      <c r="C1391" s="7">
        <v>599</v>
      </c>
      <c r="E1391" s="7" t="s">
        <v>1060</v>
      </c>
      <c r="F1391" s="7" t="s">
        <v>290</v>
      </c>
      <c r="G1391" s="7">
        <v>177</v>
      </c>
      <c r="H1391" s="7" t="s">
        <v>883</v>
      </c>
      <c r="I1391" s="7" t="s">
        <v>878</v>
      </c>
      <c r="J1391" s="7" t="s">
        <v>882</v>
      </c>
      <c r="M1391" s="7"/>
      <c r="N1391" s="7" t="s">
        <v>875</v>
      </c>
      <c r="P1391" s="126"/>
    </row>
    <row r="1392" spans="1:16" ht="15.75" customHeight="1">
      <c r="A1392" s="126">
        <v>46230.015752314801</v>
      </c>
      <c r="B1392" s="7">
        <v>12</v>
      </c>
      <c r="C1392" s="7">
        <v>599</v>
      </c>
      <c r="E1392" s="7" t="s">
        <v>1060</v>
      </c>
      <c r="F1392" s="7" t="s">
        <v>290</v>
      </c>
      <c r="G1392" s="7">
        <v>176</v>
      </c>
      <c r="H1392" s="7" t="s">
        <v>884</v>
      </c>
      <c r="I1392" s="7" t="s">
        <v>878</v>
      </c>
      <c r="J1392" s="7" t="s">
        <v>882</v>
      </c>
      <c r="M1392" s="7">
        <v>100</v>
      </c>
      <c r="N1392" s="7">
        <v>100</v>
      </c>
      <c r="O1392" s="126">
        <v>46227.568842592598</v>
      </c>
      <c r="P1392" s="126">
        <v>46227.568842592598</v>
      </c>
    </row>
    <row r="1393" spans="1:16" ht="15.75" customHeight="1">
      <c r="A1393" s="126">
        <v>46230.015752314801</v>
      </c>
      <c r="B1393" s="7">
        <v>12</v>
      </c>
      <c r="C1393" s="7">
        <v>599</v>
      </c>
      <c r="E1393" s="7" t="s">
        <v>1060</v>
      </c>
      <c r="F1393" s="7" t="s">
        <v>290</v>
      </c>
      <c r="G1393" s="7">
        <v>168</v>
      </c>
      <c r="H1393" s="7" t="s">
        <v>885</v>
      </c>
      <c r="I1393" s="7" t="s">
        <v>886</v>
      </c>
      <c r="J1393" s="7"/>
      <c r="M1393" s="7">
        <v>100</v>
      </c>
      <c r="N1393" s="7">
        <v>100</v>
      </c>
      <c r="P1393" s="126">
        <v>46209.706932870402</v>
      </c>
    </row>
    <row r="1394" spans="1:16" ht="15.75" customHeight="1">
      <c r="A1394" s="126">
        <v>46230.015752314801</v>
      </c>
      <c r="B1394" s="7">
        <v>12</v>
      </c>
      <c r="C1394" s="7">
        <v>467</v>
      </c>
      <c r="E1394" s="7" t="s">
        <v>1061</v>
      </c>
      <c r="F1394" s="7" t="s">
        <v>724</v>
      </c>
      <c r="G1394" s="7">
        <v>181</v>
      </c>
      <c r="H1394" s="7" t="s">
        <v>873</v>
      </c>
      <c r="I1394" s="7" t="s">
        <v>874</v>
      </c>
      <c r="J1394" s="7"/>
      <c r="M1394" s="7"/>
      <c r="N1394" s="7" t="s">
        <v>875</v>
      </c>
      <c r="O1394" s="126"/>
      <c r="P1394" s="126"/>
    </row>
    <row r="1395" spans="1:16" ht="15.75" customHeight="1">
      <c r="A1395" s="126">
        <v>46230.015752314801</v>
      </c>
      <c r="B1395" s="7">
        <v>12</v>
      </c>
      <c r="C1395" s="7">
        <v>467</v>
      </c>
      <c r="E1395" s="7" t="s">
        <v>1061</v>
      </c>
      <c r="F1395" s="7" t="s">
        <v>724</v>
      </c>
      <c r="G1395" s="7">
        <v>182</v>
      </c>
      <c r="H1395" s="7" t="s">
        <v>876</v>
      </c>
      <c r="I1395" s="7" t="s">
        <v>874</v>
      </c>
      <c r="J1395" s="7"/>
      <c r="M1395" s="7"/>
      <c r="N1395" s="7" t="s">
        <v>875</v>
      </c>
      <c r="O1395" s="126"/>
      <c r="P1395" s="126"/>
    </row>
    <row r="1396" spans="1:16" ht="15.75" customHeight="1">
      <c r="A1396" s="126">
        <v>46230.015752314801</v>
      </c>
      <c r="B1396" s="7">
        <v>12</v>
      </c>
      <c r="C1396" s="7">
        <v>467</v>
      </c>
      <c r="E1396" s="7" t="s">
        <v>1061</v>
      </c>
      <c r="F1396" s="7" t="s">
        <v>724</v>
      </c>
      <c r="G1396" s="7">
        <v>174</v>
      </c>
      <c r="H1396" s="7" t="s">
        <v>877</v>
      </c>
      <c r="I1396" s="7" t="s">
        <v>878</v>
      </c>
      <c r="J1396" s="7" t="s">
        <v>879</v>
      </c>
      <c r="M1396" s="7">
        <v>100</v>
      </c>
      <c r="N1396" s="7">
        <v>100</v>
      </c>
      <c r="O1396" s="126"/>
      <c r="P1396" s="126">
        <v>46213.554039351897</v>
      </c>
    </row>
    <row r="1397" spans="1:16" ht="15.75" customHeight="1">
      <c r="A1397" s="126">
        <v>46230.015752314801</v>
      </c>
      <c r="B1397" s="7">
        <v>12</v>
      </c>
      <c r="C1397" s="7">
        <v>467</v>
      </c>
      <c r="E1397" s="7" t="s">
        <v>1061</v>
      </c>
      <c r="F1397" s="7" t="s">
        <v>724</v>
      </c>
      <c r="G1397" s="7">
        <v>180</v>
      </c>
      <c r="H1397" s="7" t="s">
        <v>880</v>
      </c>
      <c r="I1397" s="7" t="s">
        <v>874</v>
      </c>
      <c r="J1397" s="7"/>
      <c r="M1397" s="7"/>
      <c r="N1397" s="7" t="s">
        <v>875</v>
      </c>
      <c r="O1397" s="126"/>
      <c r="P1397" s="126"/>
    </row>
    <row r="1398" spans="1:16" ht="15.75" customHeight="1">
      <c r="A1398" s="126">
        <v>46230.015752314801</v>
      </c>
      <c r="B1398" s="7">
        <v>12</v>
      </c>
      <c r="C1398" s="7">
        <v>467</v>
      </c>
      <c r="E1398" s="7" t="s">
        <v>1061</v>
      </c>
      <c r="F1398" s="7" t="s">
        <v>724</v>
      </c>
      <c r="G1398" s="7">
        <v>175</v>
      </c>
      <c r="H1398" s="7" t="s">
        <v>881</v>
      </c>
      <c r="I1398" s="7" t="s">
        <v>878</v>
      </c>
      <c r="J1398" s="7" t="s">
        <v>882</v>
      </c>
      <c r="M1398" s="7">
        <v>87.5</v>
      </c>
      <c r="N1398" s="7">
        <v>87.5</v>
      </c>
      <c r="O1398" s="126">
        <v>46214.781226851897</v>
      </c>
      <c r="P1398" s="126">
        <v>46214.781226851897</v>
      </c>
    </row>
    <row r="1399" spans="1:16" ht="15.75" customHeight="1">
      <c r="A1399" s="126">
        <v>46230.015752314801</v>
      </c>
      <c r="B1399" s="7">
        <v>12</v>
      </c>
      <c r="C1399" s="7">
        <v>467</v>
      </c>
      <c r="E1399" s="7" t="s">
        <v>1061</v>
      </c>
      <c r="F1399" s="7" t="s">
        <v>724</v>
      </c>
      <c r="G1399" s="7">
        <v>177</v>
      </c>
      <c r="H1399" s="7" t="s">
        <v>883</v>
      </c>
      <c r="I1399" s="7" t="s">
        <v>878</v>
      </c>
      <c r="J1399" s="7" t="s">
        <v>882</v>
      </c>
      <c r="M1399" s="7"/>
      <c r="N1399" s="7" t="s">
        <v>875</v>
      </c>
      <c r="P1399" s="126"/>
    </row>
    <row r="1400" spans="1:16" ht="15.75" customHeight="1">
      <c r="A1400" s="126">
        <v>46230.015752314801</v>
      </c>
      <c r="B1400" s="7">
        <v>12</v>
      </c>
      <c r="C1400" s="7">
        <v>467</v>
      </c>
      <c r="E1400" s="7" t="s">
        <v>1061</v>
      </c>
      <c r="F1400" s="7" t="s">
        <v>724</v>
      </c>
      <c r="G1400" s="7">
        <v>176</v>
      </c>
      <c r="H1400" s="7" t="s">
        <v>884</v>
      </c>
      <c r="I1400" s="7" t="s">
        <v>878</v>
      </c>
      <c r="J1400" s="7" t="s">
        <v>882</v>
      </c>
      <c r="M1400" s="7">
        <v>90</v>
      </c>
      <c r="N1400" s="7">
        <v>90</v>
      </c>
      <c r="O1400" s="126">
        <v>46225.7660763889</v>
      </c>
      <c r="P1400" s="126">
        <v>46225.7660763889</v>
      </c>
    </row>
    <row r="1401" spans="1:16" ht="15.75" customHeight="1">
      <c r="A1401" s="126">
        <v>46230.015752314801</v>
      </c>
      <c r="B1401" s="7">
        <v>12</v>
      </c>
      <c r="C1401" s="7">
        <v>467</v>
      </c>
      <c r="E1401" s="7" t="s">
        <v>1061</v>
      </c>
      <c r="F1401" s="7" t="s">
        <v>724</v>
      </c>
      <c r="G1401" s="7">
        <v>168</v>
      </c>
      <c r="H1401" s="7" t="s">
        <v>885</v>
      </c>
      <c r="I1401" s="7" t="s">
        <v>886</v>
      </c>
      <c r="J1401" s="7"/>
      <c r="M1401" s="7">
        <v>100</v>
      </c>
      <c r="N1401" s="7">
        <v>100</v>
      </c>
      <c r="O1401" s="126"/>
      <c r="P1401" s="126">
        <v>46213.554039351897</v>
      </c>
    </row>
    <row r="1402" spans="1:16" ht="15.75" customHeight="1">
      <c r="A1402" s="126">
        <v>46230.015752314801</v>
      </c>
      <c r="B1402" s="7">
        <v>12</v>
      </c>
      <c r="C1402" s="7">
        <v>332</v>
      </c>
      <c r="D1402" s="7"/>
      <c r="E1402" s="7" t="s">
        <v>1062</v>
      </c>
      <c r="F1402" s="7" t="s">
        <v>302</v>
      </c>
      <c r="G1402" s="7">
        <v>181</v>
      </c>
      <c r="H1402" s="7" t="s">
        <v>873</v>
      </c>
      <c r="I1402" s="7" t="s">
        <v>874</v>
      </c>
      <c r="J1402" s="7"/>
      <c r="N1402" s="7" t="s">
        <v>875</v>
      </c>
    </row>
    <row r="1403" spans="1:16" ht="15.75" customHeight="1">
      <c r="A1403" s="126">
        <v>46230.015752314801</v>
      </c>
      <c r="B1403" s="7">
        <v>12</v>
      </c>
      <c r="C1403" s="7">
        <v>332</v>
      </c>
      <c r="D1403" s="7"/>
      <c r="E1403" s="7" t="s">
        <v>1062</v>
      </c>
      <c r="F1403" s="7" t="s">
        <v>302</v>
      </c>
      <c r="G1403" s="7">
        <v>182</v>
      </c>
      <c r="H1403" s="7" t="s">
        <v>876</v>
      </c>
      <c r="I1403" s="7" t="s">
        <v>874</v>
      </c>
      <c r="J1403" s="7"/>
      <c r="M1403" s="7"/>
      <c r="N1403" s="7" t="s">
        <v>875</v>
      </c>
      <c r="O1403" s="126"/>
      <c r="P1403" s="126"/>
    </row>
    <row r="1404" spans="1:16" ht="15.75" customHeight="1">
      <c r="A1404" s="126">
        <v>46230.015752314801</v>
      </c>
      <c r="B1404" s="7">
        <v>12</v>
      </c>
      <c r="C1404" s="7">
        <v>332</v>
      </c>
      <c r="D1404" s="7"/>
      <c r="E1404" s="7" t="s">
        <v>1062</v>
      </c>
      <c r="F1404" s="7" t="s">
        <v>302</v>
      </c>
      <c r="G1404" s="7">
        <v>174</v>
      </c>
      <c r="H1404" s="7" t="s">
        <v>877</v>
      </c>
      <c r="I1404" s="7" t="s">
        <v>878</v>
      </c>
      <c r="J1404" s="7" t="s">
        <v>879</v>
      </c>
      <c r="M1404" s="7">
        <v>100</v>
      </c>
      <c r="N1404" s="7">
        <v>100</v>
      </c>
      <c r="O1404" s="126"/>
      <c r="P1404" s="126">
        <v>46209.706956018497</v>
      </c>
    </row>
    <row r="1405" spans="1:16" ht="15.75" customHeight="1">
      <c r="A1405" s="126">
        <v>46230.015752314801</v>
      </c>
      <c r="B1405" s="7">
        <v>12</v>
      </c>
      <c r="C1405" s="7">
        <v>332</v>
      </c>
      <c r="D1405" s="7"/>
      <c r="E1405" s="7" t="s">
        <v>1062</v>
      </c>
      <c r="F1405" s="7" t="s">
        <v>302</v>
      </c>
      <c r="G1405" s="7">
        <v>180</v>
      </c>
      <c r="H1405" s="7" t="s">
        <v>880</v>
      </c>
      <c r="I1405" s="7" t="s">
        <v>874</v>
      </c>
      <c r="J1405" s="7"/>
      <c r="M1405" s="7"/>
      <c r="N1405" s="7" t="s">
        <v>875</v>
      </c>
      <c r="O1405" s="126"/>
      <c r="P1405" s="126"/>
    </row>
    <row r="1406" spans="1:16" ht="15.75" customHeight="1">
      <c r="A1406" s="126">
        <v>46230.015752314801</v>
      </c>
      <c r="B1406" s="7">
        <v>12</v>
      </c>
      <c r="C1406" s="7">
        <v>332</v>
      </c>
      <c r="D1406" s="7"/>
      <c r="E1406" s="7" t="s">
        <v>1062</v>
      </c>
      <c r="F1406" s="7" t="s">
        <v>302</v>
      </c>
      <c r="G1406" s="7">
        <v>175</v>
      </c>
      <c r="H1406" s="7" t="s">
        <v>881</v>
      </c>
      <c r="I1406" s="7" t="s">
        <v>878</v>
      </c>
      <c r="J1406" s="7" t="s">
        <v>882</v>
      </c>
      <c r="M1406" s="7">
        <v>75</v>
      </c>
      <c r="N1406" s="7">
        <v>75</v>
      </c>
      <c r="O1406" s="126">
        <v>46214.488298611097</v>
      </c>
      <c r="P1406" s="126">
        <v>46214.488298611097</v>
      </c>
    </row>
    <row r="1407" spans="1:16" ht="15.75" customHeight="1">
      <c r="A1407" s="126">
        <v>46230.015752314801</v>
      </c>
      <c r="B1407" s="7">
        <v>12</v>
      </c>
      <c r="C1407" s="7">
        <v>332</v>
      </c>
      <c r="D1407" s="7"/>
      <c r="E1407" s="7" t="s">
        <v>1062</v>
      </c>
      <c r="F1407" s="7" t="s">
        <v>302</v>
      </c>
      <c r="G1407" s="7">
        <v>177</v>
      </c>
      <c r="H1407" s="7" t="s">
        <v>883</v>
      </c>
      <c r="I1407" s="7" t="s">
        <v>878</v>
      </c>
      <c r="J1407" s="7" t="s">
        <v>882</v>
      </c>
      <c r="M1407" s="7"/>
      <c r="N1407" s="7" t="s">
        <v>875</v>
      </c>
      <c r="O1407" s="126"/>
      <c r="P1407" s="126"/>
    </row>
    <row r="1408" spans="1:16" ht="15.75" customHeight="1">
      <c r="A1408" s="126">
        <v>46230.015752314801</v>
      </c>
      <c r="B1408" s="7">
        <v>12</v>
      </c>
      <c r="C1408" s="7">
        <v>332</v>
      </c>
      <c r="D1408" s="7"/>
      <c r="E1408" s="7" t="s">
        <v>1062</v>
      </c>
      <c r="F1408" s="7" t="s">
        <v>302</v>
      </c>
      <c r="G1408" s="7">
        <v>176</v>
      </c>
      <c r="H1408" s="7" t="s">
        <v>884</v>
      </c>
      <c r="I1408" s="7" t="s">
        <v>878</v>
      </c>
      <c r="J1408" s="7" t="s">
        <v>882</v>
      </c>
      <c r="M1408" s="7">
        <v>85</v>
      </c>
      <c r="N1408" s="7">
        <v>85</v>
      </c>
      <c r="O1408" s="126">
        <v>46224.6531944444</v>
      </c>
      <c r="P1408" s="126">
        <v>46224.6531944444</v>
      </c>
    </row>
    <row r="1409" spans="1:16" ht="15.75" customHeight="1">
      <c r="A1409" s="126">
        <v>46230.015752314801</v>
      </c>
      <c r="B1409" s="7">
        <v>12</v>
      </c>
      <c r="C1409" s="7">
        <v>332</v>
      </c>
      <c r="D1409" s="7"/>
      <c r="E1409" s="7" t="s">
        <v>1062</v>
      </c>
      <c r="F1409" s="7" t="s">
        <v>302</v>
      </c>
      <c r="G1409" s="7">
        <v>168</v>
      </c>
      <c r="H1409" s="7" t="s">
        <v>885</v>
      </c>
      <c r="I1409" s="7" t="s">
        <v>886</v>
      </c>
      <c r="J1409" s="7"/>
      <c r="M1409" s="7">
        <v>100</v>
      </c>
      <c r="N1409" s="7">
        <v>100</v>
      </c>
      <c r="P1409" s="126">
        <v>46209.706956018497</v>
      </c>
    </row>
    <row r="1410" spans="1:16" ht="15.75" customHeight="1">
      <c r="A1410" s="126">
        <v>46230.015752314801</v>
      </c>
      <c r="B1410" s="7">
        <v>12</v>
      </c>
      <c r="C1410" s="7">
        <v>624</v>
      </c>
      <c r="D1410" s="7">
        <v>266905</v>
      </c>
      <c r="E1410" s="7" t="s">
        <v>1063</v>
      </c>
      <c r="F1410" s="7" t="s">
        <v>75</v>
      </c>
      <c r="G1410" s="7">
        <v>181</v>
      </c>
      <c r="H1410" s="7" t="s">
        <v>873</v>
      </c>
      <c r="I1410" s="7" t="s">
        <v>874</v>
      </c>
      <c r="J1410" s="7"/>
      <c r="M1410" s="7"/>
      <c r="N1410" s="7" t="s">
        <v>875</v>
      </c>
      <c r="O1410" s="126"/>
      <c r="P1410" s="126"/>
    </row>
    <row r="1411" spans="1:16" ht="15.75" customHeight="1">
      <c r="A1411" s="126">
        <v>46230.015752314801</v>
      </c>
      <c r="B1411" s="7">
        <v>12</v>
      </c>
      <c r="C1411" s="7">
        <v>624</v>
      </c>
      <c r="D1411" s="7">
        <v>266905</v>
      </c>
      <c r="E1411" s="7" t="s">
        <v>1063</v>
      </c>
      <c r="F1411" s="7" t="s">
        <v>75</v>
      </c>
      <c r="G1411" s="7">
        <v>182</v>
      </c>
      <c r="H1411" s="7" t="s">
        <v>876</v>
      </c>
      <c r="I1411" s="7" t="s">
        <v>874</v>
      </c>
      <c r="J1411" s="7"/>
      <c r="M1411" s="7"/>
      <c r="N1411" s="7" t="s">
        <v>875</v>
      </c>
      <c r="P1411" s="126"/>
    </row>
    <row r="1412" spans="1:16" ht="15.75" customHeight="1">
      <c r="A1412" s="126">
        <v>46230.015752314801</v>
      </c>
      <c r="B1412" s="7">
        <v>12</v>
      </c>
      <c r="C1412" s="7">
        <v>624</v>
      </c>
      <c r="D1412" s="7">
        <v>266905</v>
      </c>
      <c r="E1412" s="7" t="s">
        <v>1063</v>
      </c>
      <c r="F1412" s="7" t="s">
        <v>75</v>
      </c>
      <c r="G1412" s="7">
        <v>174</v>
      </c>
      <c r="H1412" s="7" t="s">
        <v>877</v>
      </c>
      <c r="I1412" s="7" t="s">
        <v>878</v>
      </c>
      <c r="J1412" s="7" t="s">
        <v>879</v>
      </c>
      <c r="M1412" s="7">
        <v>100</v>
      </c>
      <c r="N1412" s="7">
        <v>100</v>
      </c>
      <c r="O1412" s="126"/>
      <c r="P1412" s="126">
        <v>46209.706956018497</v>
      </c>
    </row>
    <row r="1413" spans="1:16" ht="15.75" customHeight="1">
      <c r="A1413" s="126">
        <v>46230.015752314801</v>
      </c>
      <c r="B1413" s="7">
        <v>12</v>
      </c>
      <c r="C1413" s="7">
        <v>624</v>
      </c>
      <c r="D1413" s="7">
        <v>266905</v>
      </c>
      <c r="E1413" s="7" t="s">
        <v>1063</v>
      </c>
      <c r="F1413" s="7" t="s">
        <v>75</v>
      </c>
      <c r="G1413" s="7">
        <v>180</v>
      </c>
      <c r="H1413" s="7" t="s">
        <v>880</v>
      </c>
      <c r="I1413" s="7" t="s">
        <v>874</v>
      </c>
      <c r="J1413" s="7"/>
      <c r="M1413" s="7"/>
      <c r="N1413" s="7" t="s">
        <v>875</v>
      </c>
      <c r="O1413" s="126"/>
      <c r="P1413" s="126"/>
    </row>
    <row r="1414" spans="1:16" ht="15.75" customHeight="1">
      <c r="A1414" s="126">
        <v>46230.015752314801</v>
      </c>
      <c r="B1414" s="7">
        <v>12</v>
      </c>
      <c r="C1414" s="7">
        <v>624</v>
      </c>
      <c r="D1414" s="7">
        <v>266905</v>
      </c>
      <c r="E1414" s="7" t="s">
        <v>1063</v>
      </c>
      <c r="F1414" s="7" t="s">
        <v>75</v>
      </c>
      <c r="G1414" s="7">
        <v>175</v>
      </c>
      <c r="H1414" s="7" t="s">
        <v>881</v>
      </c>
      <c r="I1414" s="7" t="s">
        <v>878</v>
      </c>
      <c r="J1414" s="7" t="s">
        <v>882</v>
      </c>
      <c r="M1414" s="7">
        <v>87.5</v>
      </c>
      <c r="N1414" s="7">
        <v>87.5</v>
      </c>
      <c r="O1414" s="126">
        <v>46215.455381944397</v>
      </c>
      <c r="P1414" s="126">
        <v>46215.455381944397</v>
      </c>
    </row>
    <row r="1415" spans="1:16" ht="15.75" customHeight="1">
      <c r="A1415" s="126">
        <v>46230.015752314801</v>
      </c>
      <c r="B1415" s="7">
        <v>12</v>
      </c>
      <c r="C1415" s="7">
        <v>624</v>
      </c>
      <c r="D1415" s="7">
        <v>266905</v>
      </c>
      <c r="E1415" s="7" t="s">
        <v>1063</v>
      </c>
      <c r="F1415" s="7" t="s">
        <v>75</v>
      </c>
      <c r="G1415" s="7">
        <v>177</v>
      </c>
      <c r="H1415" s="7" t="s">
        <v>883</v>
      </c>
      <c r="I1415" s="7" t="s">
        <v>878</v>
      </c>
      <c r="J1415" s="7" t="s">
        <v>882</v>
      </c>
      <c r="M1415" s="7"/>
      <c r="N1415" s="7" t="s">
        <v>875</v>
      </c>
      <c r="P1415" s="126"/>
    </row>
    <row r="1416" spans="1:16" ht="15.75" customHeight="1">
      <c r="A1416" s="126">
        <v>46230.015752314801</v>
      </c>
      <c r="B1416" s="7">
        <v>12</v>
      </c>
      <c r="C1416" s="7">
        <v>624</v>
      </c>
      <c r="D1416" s="7">
        <v>266905</v>
      </c>
      <c r="E1416" s="7" t="s">
        <v>1063</v>
      </c>
      <c r="F1416" s="7" t="s">
        <v>75</v>
      </c>
      <c r="G1416" s="7">
        <v>176</v>
      </c>
      <c r="H1416" s="7" t="s">
        <v>884</v>
      </c>
      <c r="I1416" s="7" t="s">
        <v>878</v>
      </c>
      <c r="J1416" s="7" t="s">
        <v>882</v>
      </c>
      <c r="M1416" s="7">
        <v>90</v>
      </c>
      <c r="N1416" s="7">
        <v>90</v>
      </c>
      <c r="O1416" s="126">
        <v>46223.837858796302</v>
      </c>
      <c r="P1416" s="126">
        <v>46223.837858796302</v>
      </c>
    </row>
    <row r="1417" spans="1:16" ht="15.75" customHeight="1">
      <c r="A1417" s="126">
        <v>46230.015752314801</v>
      </c>
      <c r="B1417" s="7">
        <v>12</v>
      </c>
      <c r="C1417" s="7">
        <v>624</v>
      </c>
      <c r="D1417" s="7">
        <v>266905</v>
      </c>
      <c r="E1417" s="7" t="s">
        <v>1063</v>
      </c>
      <c r="F1417" s="7" t="s">
        <v>75</v>
      </c>
      <c r="G1417" s="7">
        <v>168</v>
      </c>
      <c r="H1417" s="7" t="s">
        <v>885</v>
      </c>
      <c r="I1417" s="7" t="s">
        <v>886</v>
      </c>
      <c r="J1417" s="7"/>
      <c r="M1417" s="7">
        <v>100</v>
      </c>
      <c r="N1417" s="7">
        <v>100</v>
      </c>
      <c r="P1417" s="126">
        <v>46209.706956018497</v>
      </c>
    </row>
    <row r="1418" spans="1:16" ht="15.75" customHeight="1">
      <c r="A1418" s="126">
        <v>46230.015752314801</v>
      </c>
      <c r="B1418" s="7">
        <v>12</v>
      </c>
      <c r="C1418" s="7">
        <v>756</v>
      </c>
      <c r="E1418" s="7" t="s">
        <v>1064</v>
      </c>
      <c r="F1418" s="7" t="s">
        <v>214</v>
      </c>
      <c r="G1418" s="7">
        <v>181</v>
      </c>
      <c r="H1418" s="7" t="s">
        <v>873</v>
      </c>
      <c r="I1418" s="7" t="s">
        <v>874</v>
      </c>
      <c r="J1418" s="7"/>
      <c r="M1418" s="7"/>
      <c r="N1418" s="7" t="s">
        <v>875</v>
      </c>
      <c r="O1418" s="126"/>
      <c r="P1418" s="126"/>
    </row>
    <row r="1419" spans="1:16" ht="15.75" customHeight="1">
      <c r="A1419" s="126">
        <v>46230.015752314801</v>
      </c>
      <c r="B1419" s="7">
        <v>12</v>
      </c>
      <c r="C1419" s="7">
        <v>756</v>
      </c>
      <c r="E1419" s="7" t="s">
        <v>1064</v>
      </c>
      <c r="F1419" s="7" t="s">
        <v>214</v>
      </c>
      <c r="G1419" s="7">
        <v>182</v>
      </c>
      <c r="H1419" s="7" t="s">
        <v>876</v>
      </c>
      <c r="I1419" s="7" t="s">
        <v>874</v>
      </c>
      <c r="J1419" s="7"/>
      <c r="M1419" s="7"/>
      <c r="N1419" s="7" t="s">
        <v>875</v>
      </c>
      <c r="O1419" s="126"/>
      <c r="P1419" s="126"/>
    </row>
    <row r="1420" spans="1:16" ht="15.75" customHeight="1">
      <c r="A1420" s="126">
        <v>46230.015752314801</v>
      </c>
      <c r="B1420" s="7">
        <v>12</v>
      </c>
      <c r="C1420" s="7">
        <v>756</v>
      </c>
      <c r="E1420" s="7" t="s">
        <v>1064</v>
      </c>
      <c r="F1420" s="7" t="s">
        <v>214</v>
      </c>
      <c r="G1420" s="7">
        <v>174</v>
      </c>
      <c r="H1420" s="7" t="s">
        <v>877</v>
      </c>
      <c r="I1420" s="7" t="s">
        <v>878</v>
      </c>
      <c r="J1420" s="7" t="s">
        <v>879</v>
      </c>
      <c r="M1420" s="7">
        <v>100</v>
      </c>
      <c r="N1420" s="7">
        <v>100</v>
      </c>
      <c r="O1420" s="126"/>
      <c r="P1420" s="126">
        <v>46209.706944444399</v>
      </c>
    </row>
    <row r="1421" spans="1:16" ht="15.75" customHeight="1">
      <c r="A1421" s="126">
        <v>46230.015752314801</v>
      </c>
      <c r="B1421" s="7">
        <v>12</v>
      </c>
      <c r="C1421" s="7">
        <v>756</v>
      </c>
      <c r="E1421" s="7" t="s">
        <v>1064</v>
      </c>
      <c r="F1421" s="7" t="s">
        <v>214</v>
      </c>
      <c r="G1421" s="7">
        <v>180</v>
      </c>
      <c r="H1421" s="7" t="s">
        <v>880</v>
      </c>
      <c r="I1421" s="7" t="s">
        <v>874</v>
      </c>
      <c r="J1421" s="7"/>
      <c r="M1421" s="7"/>
      <c r="N1421" s="7" t="s">
        <v>875</v>
      </c>
      <c r="O1421" s="126"/>
      <c r="P1421" s="126"/>
    </row>
    <row r="1422" spans="1:16" ht="15.75" customHeight="1">
      <c r="A1422" s="126">
        <v>46230.015752314801</v>
      </c>
      <c r="B1422" s="7">
        <v>12</v>
      </c>
      <c r="C1422" s="7">
        <v>756</v>
      </c>
      <c r="E1422" s="7" t="s">
        <v>1064</v>
      </c>
      <c r="F1422" s="7" t="s">
        <v>214</v>
      </c>
      <c r="G1422" s="7">
        <v>175</v>
      </c>
      <c r="H1422" s="7" t="s">
        <v>881</v>
      </c>
      <c r="I1422" s="7" t="s">
        <v>878</v>
      </c>
      <c r="J1422" s="7" t="s">
        <v>882</v>
      </c>
      <c r="M1422" s="7">
        <v>100</v>
      </c>
      <c r="N1422" s="7">
        <v>100</v>
      </c>
      <c r="O1422" s="126">
        <v>46215.659432870401</v>
      </c>
      <c r="P1422" s="126">
        <v>46215.659432870401</v>
      </c>
    </row>
    <row r="1423" spans="1:16" ht="15.75" customHeight="1">
      <c r="A1423" s="126">
        <v>46230.015752314801</v>
      </c>
      <c r="B1423" s="7">
        <v>12</v>
      </c>
      <c r="C1423" s="7">
        <v>756</v>
      </c>
      <c r="E1423" s="7" t="s">
        <v>1064</v>
      </c>
      <c r="F1423" s="7" t="s">
        <v>214</v>
      </c>
      <c r="G1423" s="7">
        <v>177</v>
      </c>
      <c r="H1423" s="7" t="s">
        <v>883</v>
      </c>
      <c r="I1423" s="7" t="s">
        <v>878</v>
      </c>
      <c r="J1423" s="7" t="s">
        <v>882</v>
      </c>
      <c r="M1423" s="7"/>
      <c r="N1423" s="7" t="s">
        <v>875</v>
      </c>
      <c r="P1423" s="126"/>
    </row>
    <row r="1424" spans="1:16" ht="15.75" customHeight="1">
      <c r="A1424" s="126">
        <v>46230.015752314801</v>
      </c>
      <c r="B1424" s="7">
        <v>12</v>
      </c>
      <c r="C1424" s="7">
        <v>756</v>
      </c>
      <c r="E1424" s="7" t="s">
        <v>1064</v>
      </c>
      <c r="F1424" s="7" t="s">
        <v>214</v>
      </c>
      <c r="G1424" s="7">
        <v>176</v>
      </c>
      <c r="H1424" s="7" t="s">
        <v>884</v>
      </c>
      <c r="I1424" s="7" t="s">
        <v>878</v>
      </c>
      <c r="J1424" s="7" t="s">
        <v>882</v>
      </c>
      <c r="M1424" s="7">
        <v>90</v>
      </c>
      <c r="N1424" s="7">
        <v>90</v>
      </c>
      <c r="O1424" s="126">
        <v>46226.8648958333</v>
      </c>
      <c r="P1424" s="126">
        <v>46226.8648958333</v>
      </c>
    </row>
    <row r="1425" spans="1:16" ht="15.75" customHeight="1">
      <c r="A1425" s="126">
        <v>46230.015752314801</v>
      </c>
      <c r="B1425" s="7">
        <v>12</v>
      </c>
      <c r="C1425" s="7">
        <v>756</v>
      </c>
      <c r="E1425" s="7" t="s">
        <v>1064</v>
      </c>
      <c r="F1425" s="7" t="s">
        <v>214</v>
      </c>
      <c r="G1425" s="7">
        <v>168</v>
      </c>
      <c r="H1425" s="7" t="s">
        <v>885</v>
      </c>
      <c r="I1425" s="7" t="s">
        <v>886</v>
      </c>
      <c r="J1425" s="7"/>
      <c r="M1425" s="7">
        <v>100</v>
      </c>
      <c r="N1425" s="7">
        <v>100</v>
      </c>
      <c r="O1425" s="126"/>
      <c r="P1425" s="126">
        <v>46209.706944444399</v>
      </c>
    </row>
    <row r="1426" spans="1:16" ht="15.75" customHeight="1">
      <c r="A1426" s="126">
        <v>46230.015752314801</v>
      </c>
      <c r="B1426" s="7">
        <v>12</v>
      </c>
      <c r="C1426" s="7">
        <v>479</v>
      </c>
      <c r="E1426" s="7" t="s">
        <v>1065</v>
      </c>
      <c r="F1426" s="7" t="s">
        <v>531</v>
      </c>
      <c r="G1426" s="7">
        <v>181</v>
      </c>
      <c r="H1426" s="7" t="s">
        <v>873</v>
      </c>
      <c r="I1426" s="7" t="s">
        <v>874</v>
      </c>
      <c r="J1426" s="7"/>
      <c r="M1426" s="7"/>
      <c r="N1426" s="7" t="s">
        <v>875</v>
      </c>
      <c r="O1426" s="126"/>
      <c r="P1426" s="126"/>
    </row>
    <row r="1427" spans="1:16" ht="15.75" customHeight="1">
      <c r="A1427" s="126">
        <v>46230.015752314801</v>
      </c>
      <c r="B1427" s="7">
        <v>12</v>
      </c>
      <c r="C1427" s="7">
        <v>479</v>
      </c>
      <c r="E1427" s="7" t="s">
        <v>1065</v>
      </c>
      <c r="F1427" s="7" t="s">
        <v>531</v>
      </c>
      <c r="G1427" s="7">
        <v>182</v>
      </c>
      <c r="H1427" s="7" t="s">
        <v>876</v>
      </c>
      <c r="I1427" s="7" t="s">
        <v>874</v>
      </c>
      <c r="J1427" s="7"/>
      <c r="M1427" s="7"/>
      <c r="N1427" s="7" t="s">
        <v>875</v>
      </c>
      <c r="P1427" s="126"/>
    </row>
    <row r="1428" spans="1:16" ht="15.75" customHeight="1">
      <c r="A1428" s="126">
        <v>46230.015752314801</v>
      </c>
      <c r="B1428" s="7">
        <v>12</v>
      </c>
      <c r="C1428" s="7">
        <v>479</v>
      </c>
      <c r="E1428" s="7" t="s">
        <v>1065</v>
      </c>
      <c r="F1428" s="7" t="s">
        <v>531</v>
      </c>
      <c r="G1428" s="7">
        <v>174</v>
      </c>
      <c r="H1428" s="7" t="s">
        <v>877</v>
      </c>
      <c r="I1428" s="7" t="s">
        <v>878</v>
      </c>
      <c r="J1428" s="7" t="s">
        <v>879</v>
      </c>
      <c r="M1428" s="7">
        <v>100</v>
      </c>
      <c r="N1428" s="7">
        <v>100</v>
      </c>
      <c r="P1428" s="126">
        <v>46210.740949074097</v>
      </c>
    </row>
    <row r="1429" spans="1:16" ht="15.75" customHeight="1">
      <c r="A1429" s="126">
        <v>46230.015752314801</v>
      </c>
      <c r="B1429" s="7">
        <v>12</v>
      </c>
      <c r="C1429" s="7">
        <v>479</v>
      </c>
      <c r="E1429" s="7" t="s">
        <v>1065</v>
      </c>
      <c r="F1429" s="7" t="s">
        <v>531</v>
      </c>
      <c r="G1429" s="7">
        <v>180</v>
      </c>
      <c r="H1429" s="7" t="s">
        <v>880</v>
      </c>
      <c r="I1429" s="7" t="s">
        <v>874</v>
      </c>
      <c r="J1429" s="7"/>
      <c r="M1429" s="7"/>
      <c r="N1429" s="7" t="s">
        <v>875</v>
      </c>
      <c r="O1429" s="126"/>
      <c r="P1429" s="126"/>
    </row>
    <row r="1430" spans="1:16" ht="15.75" customHeight="1">
      <c r="A1430" s="126">
        <v>46230.015752314801</v>
      </c>
      <c r="B1430" s="7">
        <v>12</v>
      </c>
      <c r="C1430" s="7">
        <v>479</v>
      </c>
      <c r="E1430" s="7" t="s">
        <v>1065</v>
      </c>
      <c r="F1430" s="7" t="s">
        <v>531</v>
      </c>
      <c r="G1430" s="7">
        <v>175</v>
      </c>
      <c r="H1430" s="7" t="s">
        <v>881</v>
      </c>
      <c r="I1430" s="7" t="s">
        <v>878</v>
      </c>
      <c r="J1430" s="7" t="s">
        <v>882</v>
      </c>
      <c r="M1430" s="7">
        <v>100</v>
      </c>
      <c r="N1430" s="7">
        <v>100</v>
      </c>
      <c r="O1430" s="126">
        <v>46216.4133912037</v>
      </c>
      <c r="P1430" s="126">
        <v>46216.4133912037</v>
      </c>
    </row>
    <row r="1431" spans="1:16" ht="15.75" customHeight="1">
      <c r="A1431" s="126">
        <v>46230.015752314801</v>
      </c>
      <c r="B1431" s="7">
        <v>12</v>
      </c>
      <c r="C1431" s="7">
        <v>479</v>
      </c>
      <c r="E1431" s="7" t="s">
        <v>1065</v>
      </c>
      <c r="F1431" s="7" t="s">
        <v>531</v>
      </c>
      <c r="G1431" s="7">
        <v>177</v>
      </c>
      <c r="H1431" s="7" t="s">
        <v>883</v>
      </c>
      <c r="I1431" s="7" t="s">
        <v>878</v>
      </c>
      <c r="J1431" s="7" t="s">
        <v>882</v>
      </c>
      <c r="M1431" s="7"/>
      <c r="N1431" s="7" t="s">
        <v>875</v>
      </c>
      <c r="O1431" s="126"/>
      <c r="P1431" s="126"/>
    </row>
    <row r="1432" spans="1:16" ht="15.75" customHeight="1">
      <c r="A1432" s="126">
        <v>46230.015752314801</v>
      </c>
      <c r="B1432" s="7">
        <v>12</v>
      </c>
      <c r="C1432" s="7">
        <v>479</v>
      </c>
      <c r="E1432" s="7" t="s">
        <v>1065</v>
      </c>
      <c r="F1432" s="7" t="s">
        <v>531</v>
      </c>
      <c r="G1432" s="7">
        <v>176</v>
      </c>
      <c r="H1432" s="7" t="s">
        <v>884</v>
      </c>
      <c r="I1432" s="7" t="s">
        <v>878</v>
      </c>
      <c r="J1432" s="7" t="s">
        <v>882</v>
      </c>
      <c r="M1432" s="7">
        <v>100</v>
      </c>
      <c r="N1432" s="7">
        <v>100</v>
      </c>
      <c r="O1432" s="126">
        <v>46225.394814814797</v>
      </c>
      <c r="P1432" s="126">
        <v>46225.394814814797</v>
      </c>
    </row>
    <row r="1433" spans="1:16" ht="15.75" customHeight="1">
      <c r="A1433" s="126">
        <v>46230.015752314801</v>
      </c>
      <c r="B1433" s="7">
        <v>12</v>
      </c>
      <c r="C1433" s="7">
        <v>479</v>
      </c>
      <c r="D1433" s="7"/>
      <c r="E1433" s="7" t="s">
        <v>1065</v>
      </c>
      <c r="F1433" s="7" t="s">
        <v>531</v>
      </c>
      <c r="G1433" s="7">
        <v>168</v>
      </c>
      <c r="H1433" s="7" t="s">
        <v>885</v>
      </c>
      <c r="I1433" s="7" t="s">
        <v>886</v>
      </c>
      <c r="J1433" s="7"/>
      <c r="M1433" s="7">
        <v>100</v>
      </c>
      <c r="N1433" s="7">
        <v>100</v>
      </c>
      <c r="P1433" s="126">
        <v>46210.740949074097</v>
      </c>
    </row>
    <row r="1434" spans="1:16" ht="15.75" customHeight="1">
      <c r="A1434" s="126">
        <v>46230.015752314801</v>
      </c>
      <c r="B1434" s="7">
        <v>12</v>
      </c>
      <c r="C1434" s="7">
        <v>655</v>
      </c>
      <c r="D1434" s="7"/>
      <c r="E1434" s="7" t="s">
        <v>1066</v>
      </c>
      <c r="F1434" s="7" t="s">
        <v>649</v>
      </c>
      <c r="G1434" s="7">
        <v>181</v>
      </c>
      <c r="H1434" s="7" t="s">
        <v>873</v>
      </c>
      <c r="I1434" s="7" t="s">
        <v>874</v>
      </c>
      <c r="J1434" s="7"/>
      <c r="M1434" s="7"/>
      <c r="N1434" s="7" t="s">
        <v>875</v>
      </c>
      <c r="P1434" s="126"/>
    </row>
    <row r="1435" spans="1:16" ht="15.75" customHeight="1">
      <c r="A1435" s="126">
        <v>46230.015752314801</v>
      </c>
      <c r="B1435" s="7">
        <v>12</v>
      </c>
      <c r="C1435" s="7">
        <v>655</v>
      </c>
      <c r="D1435" s="7"/>
      <c r="E1435" s="7" t="s">
        <v>1066</v>
      </c>
      <c r="F1435" s="7" t="s">
        <v>649</v>
      </c>
      <c r="G1435" s="7">
        <v>182</v>
      </c>
      <c r="H1435" s="7" t="s">
        <v>876</v>
      </c>
      <c r="I1435" s="7" t="s">
        <v>874</v>
      </c>
      <c r="J1435" s="7"/>
      <c r="M1435" s="7"/>
      <c r="N1435" s="7" t="s">
        <v>875</v>
      </c>
      <c r="P1435" s="126"/>
    </row>
    <row r="1436" spans="1:16" ht="15.75" customHeight="1">
      <c r="A1436" s="126">
        <v>46230.015752314801</v>
      </c>
      <c r="B1436" s="7">
        <v>12</v>
      </c>
      <c r="C1436" s="7">
        <v>655</v>
      </c>
      <c r="D1436" s="7"/>
      <c r="E1436" s="7" t="s">
        <v>1066</v>
      </c>
      <c r="F1436" s="7" t="s">
        <v>649</v>
      </c>
      <c r="G1436" s="7">
        <v>174</v>
      </c>
      <c r="H1436" s="7" t="s">
        <v>877</v>
      </c>
      <c r="I1436" s="7" t="s">
        <v>878</v>
      </c>
      <c r="J1436" s="7" t="s">
        <v>879</v>
      </c>
      <c r="M1436" s="7">
        <v>100</v>
      </c>
      <c r="N1436" s="7">
        <v>100</v>
      </c>
      <c r="P1436" s="126">
        <v>46209.706979166702</v>
      </c>
    </row>
    <row r="1437" spans="1:16" ht="15.75" customHeight="1">
      <c r="A1437" s="126">
        <v>46230.015752314801</v>
      </c>
      <c r="B1437" s="7">
        <v>12</v>
      </c>
      <c r="C1437" s="7">
        <v>655</v>
      </c>
      <c r="D1437" s="7"/>
      <c r="E1437" s="7" t="s">
        <v>1066</v>
      </c>
      <c r="F1437" s="7" t="s">
        <v>649</v>
      </c>
      <c r="G1437" s="7">
        <v>180</v>
      </c>
      <c r="H1437" s="7" t="s">
        <v>880</v>
      </c>
      <c r="I1437" s="7" t="s">
        <v>874</v>
      </c>
      <c r="J1437" s="7"/>
      <c r="M1437" s="7"/>
      <c r="N1437" s="7" t="s">
        <v>875</v>
      </c>
      <c r="O1437" s="126"/>
      <c r="P1437" s="126"/>
    </row>
    <row r="1438" spans="1:16" ht="15.75" customHeight="1">
      <c r="A1438" s="126">
        <v>46230.015752314801</v>
      </c>
      <c r="B1438" s="7">
        <v>12</v>
      </c>
      <c r="C1438" s="7">
        <v>655</v>
      </c>
      <c r="D1438" s="7"/>
      <c r="E1438" s="7" t="s">
        <v>1066</v>
      </c>
      <c r="F1438" s="7" t="s">
        <v>649</v>
      </c>
      <c r="G1438" s="7">
        <v>175</v>
      </c>
      <c r="H1438" s="7" t="s">
        <v>881</v>
      </c>
      <c r="I1438" s="7" t="s">
        <v>878</v>
      </c>
      <c r="J1438" s="7" t="s">
        <v>882</v>
      </c>
      <c r="M1438" s="7">
        <v>100</v>
      </c>
      <c r="N1438" s="7">
        <v>100</v>
      </c>
      <c r="O1438" s="126">
        <v>46213.659942129598</v>
      </c>
      <c r="P1438" s="126">
        <v>46213.659942129598</v>
      </c>
    </row>
    <row r="1439" spans="1:16" ht="15.75" customHeight="1">
      <c r="A1439" s="126">
        <v>46230.015752314801</v>
      </c>
      <c r="B1439" s="7">
        <v>12</v>
      </c>
      <c r="C1439" s="7">
        <v>655</v>
      </c>
      <c r="D1439" s="7"/>
      <c r="E1439" s="7" t="s">
        <v>1066</v>
      </c>
      <c r="F1439" s="7" t="s">
        <v>649</v>
      </c>
      <c r="G1439" s="7">
        <v>177</v>
      </c>
      <c r="H1439" s="7" t="s">
        <v>883</v>
      </c>
      <c r="I1439" s="7" t="s">
        <v>878</v>
      </c>
      <c r="J1439" s="7" t="s">
        <v>882</v>
      </c>
      <c r="M1439" s="7"/>
      <c r="N1439" s="7" t="s">
        <v>875</v>
      </c>
      <c r="O1439" s="126"/>
      <c r="P1439" s="126"/>
    </row>
    <row r="1440" spans="1:16" ht="15.75" customHeight="1">
      <c r="A1440" s="126">
        <v>46230.015752314801</v>
      </c>
      <c r="B1440" s="7">
        <v>12</v>
      </c>
      <c r="C1440" s="7">
        <v>655</v>
      </c>
      <c r="D1440" s="7"/>
      <c r="E1440" s="7" t="s">
        <v>1066</v>
      </c>
      <c r="F1440" s="7" t="s">
        <v>649</v>
      </c>
      <c r="G1440" s="7">
        <v>176</v>
      </c>
      <c r="H1440" s="7" t="s">
        <v>884</v>
      </c>
      <c r="I1440" s="7" t="s">
        <v>878</v>
      </c>
      <c r="J1440" s="7" t="s">
        <v>882</v>
      </c>
      <c r="M1440" s="7">
        <v>90</v>
      </c>
      <c r="N1440" s="7">
        <v>90</v>
      </c>
      <c r="O1440" s="126">
        <v>46224.4780902778</v>
      </c>
      <c r="P1440" s="126">
        <v>46224.4780902778</v>
      </c>
    </row>
    <row r="1441" spans="1:16" ht="15.75" customHeight="1">
      <c r="A1441" s="126">
        <v>46230.015752314801</v>
      </c>
      <c r="B1441" s="7">
        <v>12</v>
      </c>
      <c r="C1441" s="7">
        <v>655</v>
      </c>
      <c r="D1441" s="7"/>
      <c r="E1441" s="7" t="s">
        <v>1066</v>
      </c>
      <c r="F1441" s="7" t="s">
        <v>649</v>
      </c>
      <c r="G1441" s="7">
        <v>168</v>
      </c>
      <c r="H1441" s="7" t="s">
        <v>885</v>
      </c>
      <c r="I1441" s="7" t="s">
        <v>886</v>
      </c>
      <c r="M1441" s="7">
        <v>100</v>
      </c>
      <c r="N1441" s="7">
        <v>100</v>
      </c>
      <c r="P1441" s="126">
        <v>46209.706979166702</v>
      </c>
    </row>
    <row r="1442" spans="1:16" ht="15.75" customHeight="1">
      <c r="A1442" s="126">
        <v>46230.015752314801</v>
      </c>
      <c r="B1442" s="7">
        <v>12</v>
      </c>
      <c r="C1442" s="7">
        <v>221</v>
      </c>
      <c r="D1442" s="7"/>
      <c r="E1442" s="7" t="s">
        <v>1067</v>
      </c>
      <c r="F1442" s="7" t="s">
        <v>241</v>
      </c>
      <c r="G1442" s="7">
        <v>181</v>
      </c>
      <c r="H1442" s="7" t="s">
        <v>873</v>
      </c>
      <c r="I1442" s="7" t="s">
        <v>874</v>
      </c>
      <c r="J1442" s="7"/>
      <c r="M1442" s="7"/>
      <c r="N1442" s="7" t="s">
        <v>875</v>
      </c>
      <c r="P1442" s="126"/>
    </row>
    <row r="1443" spans="1:16" ht="15.75" customHeight="1">
      <c r="A1443" s="126">
        <v>46230.015752314801</v>
      </c>
      <c r="B1443" s="7">
        <v>12</v>
      </c>
      <c r="C1443" s="7">
        <v>221</v>
      </c>
      <c r="D1443" s="7"/>
      <c r="E1443" s="7" t="s">
        <v>1067</v>
      </c>
      <c r="F1443" s="7" t="s">
        <v>241</v>
      </c>
      <c r="G1443" s="7">
        <v>182</v>
      </c>
      <c r="H1443" s="7" t="s">
        <v>876</v>
      </c>
      <c r="I1443" s="7" t="s">
        <v>874</v>
      </c>
      <c r="J1443" s="7"/>
      <c r="M1443" s="7"/>
      <c r="N1443" s="7" t="s">
        <v>875</v>
      </c>
      <c r="O1443" s="126"/>
      <c r="P1443" s="126"/>
    </row>
    <row r="1444" spans="1:16" ht="15.75" customHeight="1">
      <c r="A1444" s="126">
        <v>46230.015752314801</v>
      </c>
      <c r="B1444" s="7">
        <v>12</v>
      </c>
      <c r="C1444" s="7">
        <v>221</v>
      </c>
      <c r="D1444" s="7"/>
      <c r="E1444" s="7" t="s">
        <v>1067</v>
      </c>
      <c r="F1444" s="7" t="s">
        <v>241</v>
      </c>
      <c r="G1444" s="7">
        <v>174</v>
      </c>
      <c r="H1444" s="7" t="s">
        <v>877</v>
      </c>
      <c r="I1444" s="7" t="s">
        <v>878</v>
      </c>
      <c r="J1444" s="7" t="s">
        <v>879</v>
      </c>
      <c r="M1444" s="7">
        <v>100</v>
      </c>
      <c r="N1444" s="7">
        <v>100</v>
      </c>
      <c r="P1444" s="126">
        <v>46209.706979166702</v>
      </c>
    </row>
    <row r="1445" spans="1:16" ht="15.75" customHeight="1">
      <c r="A1445" s="126">
        <v>46230.015752314801</v>
      </c>
      <c r="B1445" s="7">
        <v>12</v>
      </c>
      <c r="C1445" s="7">
        <v>221</v>
      </c>
      <c r="D1445" s="7"/>
      <c r="E1445" s="7" t="s">
        <v>1067</v>
      </c>
      <c r="F1445" s="7" t="s">
        <v>241</v>
      </c>
      <c r="G1445" s="7">
        <v>180</v>
      </c>
      <c r="H1445" s="7" t="s">
        <v>880</v>
      </c>
      <c r="I1445" s="7" t="s">
        <v>874</v>
      </c>
      <c r="J1445" s="7"/>
      <c r="M1445" s="7"/>
      <c r="N1445" s="7" t="s">
        <v>875</v>
      </c>
      <c r="O1445" s="126"/>
      <c r="P1445" s="126"/>
    </row>
    <row r="1446" spans="1:16" ht="15.75" customHeight="1">
      <c r="A1446" s="126">
        <v>46230.015752314801</v>
      </c>
      <c r="B1446" s="7">
        <v>12</v>
      </c>
      <c r="C1446" s="7">
        <v>221</v>
      </c>
      <c r="D1446" s="7"/>
      <c r="E1446" s="7" t="s">
        <v>1067</v>
      </c>
      <c r="F1446" s="7" t="s">
        <v>241</v>
      </c>
      <c r="G1446" s="7">
        <v>175</v>
      </c>
      <c r="H1446" s="7" t="s">
        <v>881</v>
      </c>
      <c r="I1446" s="7" t="s">
        <v>878</v>
      </c>
      <c r="J1446" s="7" t="s">
        <v>882</v>
      </c>
      <c r="M1446" s="7"/>
      <c r="N1446" s="7" t="s">
        <v>875</v>
      </c>
      <c r="O1446" s="126"/>
      <c r="P1446" s="126"/>
    </row>
    <row r="1447" spans="1:16" ht="15.75" customHeight="1">
      <c r="A1447" s="126">
        <v>46230.015752314801</v>
      </c>
      <c r="B1447" s="7">
        <v>12</v>
      </c>
      <c r="C1447" s="7">
        <v>221</v>
      </c>
      <c r="D1447" s="7"/>
      <c r="E1447" s="7" t="s">
        <v>1067</v>
      </c>
      <c r="F1447" s="7" t="s">
        <v>241</v>
      </c>
      <c r="G1447" s="7">
        <v>177</v>
      </c>
      <c r="H1447" s="7" t="s">
        <v>883</v>
      </c>
      <c r="I1447" s="7" t="s">
        <v>878</v>
      </c>
      <c r="J1447" s="7" t="s">
        <v>882</v>
      </c>
      <c r="M1447" s="7"/>
      <c r="N1447" s="7" t="s">
        <v>875</v>
      </c>
      <c r="P1447" s="126"/>
    </row>
    <row r="1448" spans="1:16" ht="15.75" customHeight="1">
      <c r="A1448" s="126">
        <v>46230.015752314801</v>
      </c>
      <c r="B1448" s="7">
        <v>12</v>
      </c>
      <c r="C1448" s="7">
        <v>221</v>
      </c>
      <c r="D1448" s="7"/>
      <c r="E1448" s="7" t="s">
        <v>1067</v>
      </c>
      <c r="F1448" s="7" t="s">
        <v>241</v>
      </c>
      <c r="G1448" s="7">
        <v>176</v>
      </c>
      <c r="H1448" s="7" t="s">
        <v>884</v>
      </c>
      <c r="I1448" s="7" t="s">
        <v>878</v>
      </c>
      <c r="J1448" s="7" t="s">
        <v>882</v>
      </c>
      <c r="M1448" s="7"/>
      <c r="N1448" s="7" t="s">
        <v>875</v>
      </c>
      <c r="O1448" s="126"/>
      <c r="P1448" s="126"/>
    </row>
    <row r="1449" spans="1:16" ht="15.75" customHeight="1">
      <c r="A1449" s="126">
        <v>46230.015752314801</v>
      </c>
      <c r="B1449" s="7">
        <v>12</v>
      </c>
      <c r="C1449" s="7">
        <v>221</v>
      </c>
      <c r="D1449" s="7"/>
      <c r="E1449" s="7" t="s">
        <v>1067</v>
      </c>
      <c r="F1449" s="7" t="s">
        <v>241</v>
      </c>
      <c r="G1449" s="7">
        <v>168</v>
      </c>
      <c r="H1449" s="7" t="s">
        <v>885</v>
      </c>
      <c r="I1449" s="7" t="s">
        <v>886</v>
      </c>
      <c r="J1449" s="7"/>
      <c r="M1449" s="7">
        <v>100</v>
      </c>
      <c r="N1449" s="7">
        <v>100</v>
      </c>
      <c r="O1449" s="126"/>
      <c r="P1449" s="126">
        <v>46209.706979166702</v>
      </c>
    </row>
    <row r="1450" spans="1:16" ht="15.75" customHeight="1">
      <c r="A1450" s="126">
        <v>46230.015752314801</v>
      </c>
      <c r="B1450" s="7">
        <v>12</v>
      </c>
      <c r="C1450" s="7">
        <v>668</v>
      </c>
      <c r="D1450" s="7"/>
      <c r="E1450" s="7" t="s">
        <v>1068</v>
      </c>
      <c r="F1450" s="7" t="s">
        <v>111</v>
      </c>
      <c r="G1450" s="7">
        <v>181</v>
      </c>
      <c r="H1450" s="7" t="s">
        <v>873</v>
      </c>
      <c r="I1450" s="7" t="s">
        <v>874</v>
      </c>
      <c r="J1450" s="7"/>
      <c r="M1450" s="7"/>
      <c r="N1450" s="7" t="s">
        <v>875</v>
      </c>
      <c r="P1450" s="126"/>
    </row>
    <row r="1451" spans="1:16" ht="15.75" customHeight="1">
      <c r="A1451" s="126">
        <v>46230.015752314801</v>
      </c>
      <c r="B1451" s="7">
        <v>12</v>
      </c>
      <c r="C1451" s="7">
        <v>668</v>
      </c>
      <c r="E1451" s="7" t="s">
        <v>1068</v>
      </c>
      <c r="F1451" s="7" t="s">
        <v>111</v>
      </c>
      <c r="G1451" s="7">
        <v>182</v>
      </c>
      <c r="H1451" s="7" t="s">
        <v>876</v>
      </c>
      <c r="I1451" s="7" t="s">
        <v>874</v>
      </c>
      <c r="J1451" s="7"/>
      <c r="M1451" s="7"/>
      <c r="N1451" s="7" t="s">
        <v>875</v>
      </c>
      <c r="P1451" s="126"/>
    </row>
    <row r="1452" spans="1:16" ht="15.75" customHeight="1">
      <c r="A1452" s="126">
        <v>46230.015752314801</v>
      </c>
      <c r="B1452" s="7">
        <v>12</v>
      </c>
      <c r="C1452" s="7">
        <v>668</v>
      </c>
      <c r="E1452" s="7" t="s">
        <v>1068</v>
      </c>
      <c r="F1452" s="7" t="s">
        <v>111</v>
      </c>
      <c r="G1452" s="7">
        <v>174</v>
      </c>
      <c r="H1452" s="7" t="s">
        <v>877</v>
      </c>
      <c r="I1452" s="7" t="s">
        <v>878</v>
      </c>
      <c r="J1452" s="7" t="s">
        <v>879</v>
      </c>
      <c r="M1452" s="7">
        <v>100</v>
      </c>
      <c r="N1452" s="7">
        <v>100</v>
      </c>
      <c r="P1452" s="126">
        <v>46209.706944444399</v>
      </c>
    </row>
    <row r="1453" spans="1:16" ht="15.75" customHeight="1">
      <c r="A1453" s="126">
        <v>46230.015752314801</v>
      </c>
      <c r="B1453" s="7">
        <v>12</v>
      </c>
      <c r="C1453" s="7">
        <v>668</v>
      </c>
      <c r="E1453" s="7" t="s">
        <v>1068</v>
      </c>
      <c r="F1453" s="7" t="s">
        <v>111</v>
      </c>
      <c r="G1453" s="7">
        <v>180</v>
      </c>
      <c r="H1453" s="7" t="s">
        <v>880</v>
      </c>
      <c r="I1453" s="7" t="s">
        <v>874</v>
      </c>
      <c r="J1453" s="7"/>
      <c r="M1453" s="7"/>
      <c r="N1453" s="7" t="s">
        <v>875</v>
      </c>
      <c r="O1453" s="126"/>
      <c r="P1453" s="126"/>
    </row>
    <row r="1454" spans="1:16" ht="15.75" customHeight="1">
      <c r="A1454" s="126">
        <v>46230.015752314801</v>
      </c>
      <c r="B1454" s="7">
        <v>12</v>
      </c>
      <c r="C1454" s="7">
        <v>668</v>
      </c>
      <c r="E1454" s="7" t="s">
        <v>1068</v>
      </c>
      <c r="F1454" s="7" t="s">
        <v>111</v>
      </c>
      <c r="G1454" s="7">
        <v>175</v>
      </c>
      <c r="H1454" s="7" t="s">
        <v>881</v>
      </c>
      <c r="I1454" s="7" t="s">
        <v>878</v>
      </c>
      <c r="J1454" s="7" t="s">
        <v>882</v>
      </c>
      <c r="M1454" s="7">
        <v>100</v>
      </c>
      <c r="N1454" s="7">
        <v>100</v>
      </c>
      <c r="O1454" s="126">
        <v>46216.765902777799</v>
      </c>
      <c r="P1454" s="126">
        <v>46216.765902777799</v>
      </c>
    </row>
    <row r="1455" spans="1:16" ht="15.75" customHeight="1">
      <c r="A1455" s="126">
        <v>46230.015752314801</v>
      </c>
      <c r="B1455" s="7">
        <v>12</v>
      </c>
      <c r="C1455" s="7">
        <v>668</v>
      </c>
      <c r="E1455" s="7" t="s">
        <v>1068</v>
      </c>
      <c r="F1455" s="7" t="s">
        <v>111</v>
      </c>
      <c r="G1455" s="7">
        <v>177</v>
      </c>
      <c r="H1455" s="7" t="s">
        <v>883</v>
      </c>
      <c r="I1455" s="7" t="s">
        <v>878</v>
      </c>
      <c r="J1455" s="7" t="s">
        <v>882</v>
      </c>
      <c r="M1455" s="7"/>
      <c r="N1455" s="7" t="s">
        <v>875</v>
      </c>
      <c r="O1455" s="126"/>
      <c r="P1455" s="126"/>
    </row>
    <row r="1456" spans="1:16" ht="15.75" customHeight="1">
      <c r="A1456" s="126">
        <v>46230.015752314801</v>
      </c>
      <c r="B1456" s="7">
        <v>12</v>
      </c>
      <c r="C1456" s="7">
        <v>668</v>
      </c>
      <c r="E1456" s="7" t="s">
        <v>1068</v>
      </c>
      <c r="F1456" s="7" t="s">
        <v>111</v>
      </c>
      <c r="G1456" s="7">
        <v>176</v>
      </c>
      <c r="H1456" s="7" t="s">
        <v>884</v>
      </c>
      <c r="I1456" s="7" t="s">
        <v>878</v>
      </c>
      <c r="J1456" s="7" t="s">
        <v>882</v>
      </c>
      <c r="M1456" s="7">
        <v>70</v>
      </c>
      <c r="N1456" s="7">
        <v>70</v>
      </c>
      <c r="O1456" s="126">
        <v>46227.500023148103</v>
      </c>
      <c r="P1456" s="126">
        <v>46227.500023148103</v>
      </c>
    </row>
    <row r="1457" spans="1:16" ht="15.75" customHeight="1">
      <c r="A1457" s="126">
        <v>46230.015752314801</v>
      </c>
      <c r="B1457" s="7">
        <v>12</v>
      </c>
      <c r="C1457" s="7">
        <v>668</v>
      </c>
      <c r="E1457" s="7" t="s">
        <v>1068</v>
      </c>
      <c r="F1457" s="7" t="s">
        <v>111</v>
      </c>
      <c r="G1457" s="7">
        <v>168</v>
      </c>
      <c r="H1457" s="7" t="s">
        <v>885</v>
      </c>
      <c r="I1457" s="7" t="s">
        <v>886</v>
      </c>
      <c r="J1457" s="7"/>
      <c r="M1457" s="7">
        <v>100</v>
      </c>
      <c r="N1457" s="7">
        <v>100</v>
      </c>
      <c r="O1457" s="126"/>
      <c r="P1457" s="126">
        <v>46209.706944444399</v>
      </c>
    </row>
    <row r="1458" spans="1:16" ht="15.75" customHeight="1">
      <c r="A1458" s="126">
        <v>46230.015752314801</v>
      </c>
      <c r="B1458" s="7">
        <v>12</v>
      </c>
      <c r="C1458" s="7">
        <v>724</v>
      </c>
      <c r="E1458" s="7" t="s">
        <v>1069</v>
      </c>
      <c r="F1458" s="7" t="s">
        <v>537</v>
      </c>
      <c r="G1458" s="7">
        <v>181</v>
      </c>
      <c r="H1458" s="7" t="s">
        <v>873</v>
      </c>
      <c r="I1458" s="7" t="s">
        <v>874</v>
      </c>
      <c r="J1458" s="7"/>
      <c r="M1458" s="7"/>
      <c r="N1458" s="7" t="s">
        <v>875</v>
      </c>
      <c r="O1458" s="126"/>
      <c r="P1458" s="126"/>
    </row>
    <row r="1459" spans="1:16" ht="15.75" customHeight="1">
      <c r="A1459" s="126">
        <v>46230.015752314801</v>
      </c>
      <c r="B1459" s="7">
        <v>12</v>
      </c>
      <c r="C1459" s="7">
        <v>724</v>
      </c>
      <c r="E1459" s="7" t="s">
        <v>1069</v>
      </c>
      <c r="F1459" s="7" t="s">
        <v>537</v>
      </c>
      <c r="G1459" s="7">
        <v>182</v>
      </c>
      <c r="H1459" s="7" t="s">
        <v>876</v>
      </c>
      <c r="I1459" s="7" t="s">
        <v>874</v>
      </c>
      <c r="J1459" s="7"/>
      <c r="M1459" s="7"/>
      <c r="N1459" s="7" t="s">
        <v>875</v>
      </c>
      <c r="P1459" s="126"/>
    </row>
    <row r="1460" spans="1:16" ht="15.75" customHeight="1">
      <c r="A1460" s="126">
        <v>46230.015752314801</v>
      </c>
      <c r="B1460" s="7">
        <v>12</v>
      </c>
      <c r="C1460" s="7">
        <v>724</v>
      </c>
      <c r="E1460" s="7" t="s">
        <v>1069</v>
      </c>
      <c r="F1460" s="7" t="s">
        <v>537</v>
      </c>
      <c r="G1460" s="7">
        <v>174</v>
      </c>
      <c r="H1460" s="7" t="s">
        <v>877</v>
      </c>
      <c r="I1460" s="7" t="s">
        <v>878</v>
      </c>
      <c r="J1460" s="7" t="s">
        <v>879</v>
      </c>
      <c r="M1460" s="7">
        <v>100</v>
      </c>
      <c r="N1460" s="7">
        <v>100</v>
      </c>
      <c r="P1460" s="126">
        <v>46209.706979166702</v>
      </c>
    </row>
    <row r="1461" spans="1:16" ht="15.75" customHeight="1">
      <c r="A1461" s="126">
        <v>46230.015752314801</v>
      </c>
      <c r="B1461" s="7">
        <v>12</v>
      </c>
      <c r="C1461" s="7">
        <v>724</v>
      </c>
      <c r="E1461" s="7" t="s">
        <v>1069</v>
      </c>
      <c r="F1461" s="7" t="s">
        <v>537</v>
      </c>
      <c r="G1461" s="7">
        <v>180</v>
      </c>
      <c r="H1461" s="7" t="s">
        <v>880</v>
      </c>
      <c r="I1461" s="7" t="s">
        <v>874</v>
      </c>
      <c r="J1461" s="7"/>
      <c r="M1461" s="7"/>
      <c r="N1461" s="7" t="s">
        <v>875</v>
      </c>
      <c r="O1461" s="126"/>
      <c r="P1461" s="126"/>
    </row>
    <row r="1462" spans="1:16" ht="15.75" customHeight="1">
      <c r="A1462" s="126">
        <v>46230.015752314801</v>
      </c>
      <c r="B1462" s="7">
        <v>12</v>
      </c>
      <c r="C1462" s="7">
        <v>724</v>
      </c>
      <c r="E1462" s="7" t="s">
        <v>1069</v>
      </c>
      <c r="F1462" s="7" t="s">
        <v>537</v>
      </c>
      <c r="G1462" s="7">
        <v>175</v>
      </c>
      <c r="H1462" s="7" t="s">
        <v>881</v>
      </c>
      <c r="I1462" s="7" t="s">
        <v>878</v>
      </c>
      <c r="J1462" s="7" t="s">
        <v>882</v>
      </c>
      <c r="M1462" s="7">
        <v>87.5</v>
      </c>
      <c r="N1462" s="7">
        <v>87.5</v>
      </c>
      <c r="O1462" s="126">
        <v>46216.551585648202</v>
      </c>
      <c r="P1462" s="126">
        <v>46216.551585648202</v>
      </c>
    </row>
    <row r="1463" spans="1:16" ht="15.75" customHeight="1">
      <c r="A1463" s="126">
        <v>46230.015752314801</v>
      </c>
      <c r="B1463" s="7">
        <v>12</v>
      </c>
      <c r="C1463" s="7">
        <v>724</v>
      </c>
      <c r="E1463" s="7" t="s">
        <v>1069</v>
      </c>
      <c r="F1463" s="7" t="s">
        <v>537</v>
      </c>
      <c r="G1463" s="7">
        <v>177</v>
      </c>
      <c r="H1463" s="7" t="s">
        <v>883</v>
      </c>
      <c r="I1463" s="7" t="s">
        <v>878</v>
      </c>
      <c r="J1463" s="7" t="s">
        <v>882</v>
      </c>
      <c r="M1463" s="7"/>
      <c r="N1463" s="7" t="s">
        <v>875</v>
      </c>
      <c r="P1463" s="126"/>
    </row>
    <row r="1464" spans="1:16" ht="15.75" customHeight="1">
      <c r="A1464" s="126">
        <v>46230.015752314801</v>
      </c>
      <c r="B1464" s="7">
        <v>12</v>
      </c>
      <c r="C1464" s="7">
        <v>724</v>
      </c>
      <c r="E1464" s="7" t="s">
        <v>1069</v>
      </c>
      <c r="F1464" s="7" t="s">
        <v>537</v>
      </c>
      <c r="G1464" s="7">
        <v>176</v>
      </c>
      <c r="H1464" s="7" t="s">
        <v>884</v>
      </c>
      <c r="I1464" s="7" t="s">
        <v>878</v>
      </c>
      <c r="J1464" s="7" t="s">
        <v>882</v>
      </c>
      <c r="M1464" s="7">
        <v>90</v>
      </c>
      <c r="N1464" s="7">
        <v>90</v>
      </c>
      <c r="O1464" s="126">
        <v>46224.772372685198</v>
      </c>
      <c r="P1464" s="126">
        <v>46224.772372685198</v>
      </c>
    </row>
    <row r="1465" spans="1:16" ht="15.75" customHeight="1">
      <c r="A1465" s="126">
        <v>46230.015752314801</v>
      </c>
      <c r="B1465" s="7">
        <v>12</v>
      </c>
      <c r="C1465" s="7">
        <v>724</v>
      </c>
      <c r="E1465" s="7" t="s">
        <v>1069</v>
      </c>
      <c r="F1465" s="7" t="s">
        <v>537</v>
      </c>
      <c r="G1465" s="7">
        <v>168</v>
      </c>
      <c r="H1465" s="7" t="s">
        <v>885</v>
      </c>
      <c r="I1465" s="7" t="s">
        <v>886</v>
      </c>
      <c r="J1465" s="7"/>
      <c r="M1465" s="7">
        <v>100</v>
      </c>
      <c r="N1465" s="7">
        <v>100</v>
      </c>
      <c r="P1465" s="126">
        <v>46209.706979166702</v>
      </c>
    </row>
    <row r="1466" spans="1:16" ht="15.75" customHeight="1">
      <c r="A1466" s="126">
        <v>46230.015752314801</v>
      </c>
      <c r="B1466" s="7">
        <v>12</v>
      </c>
      <c r="C1466" s="7">
        <v>659</v>
      </c>
      <c r="E1466" s="7" t="s">
        <v>1070</v>
      </c>
      <c r="F1466" s="7" t="s">
        <v>756</v>
      </c>
      <c r="G1466" s="7">
        <v>181</v>
      </c>
      <c r="H1466" s="7" t="s">
        <v>873</v>
      </c>
      <c r="I1466" s="7" t="s">
        <v>874</v>
      </c>
      <c r="J1466" s="7"/>
      <c r="M1466" s="7"/>
      <c r="N1466" s="7" t="s">
        <v>875</v>
      </c>
      <c r="O1466" s="126"/>
      <c r="P1466" s="126"/>
    </row>
    <row r="1467" spans="1:16" ht="15.75" customHeight="1">
      <c r="A1467" s="126">
        <v>46230.015752314801</v>
      </c>
      <c r="B1467" s="7">
        <v>12</v>
      </c>
      <c r="C1467" s="7">
        <v>659</v>
      </c>
      <c r="E1467" s="7" t="s">
        <v>1070</v>
      </c>
      <c r="F1467" s="7" t="s">
        <v>756</v>
      </c>
      <c r="G1467" s="7">
        <v>182</v>
      </c>
      <c r="H1467" s="7" t="s">
        <v>876</v>
      </c>
      <c r="I1467" s="7" t="s">
        <v>874</v>
      </c>
      <c r="J1467" s="7"/>
      <c r="M1467" s="7"/>
      <c r="N1467" s="7" t="s">
        <v>875</v>
      </c>
      <c r="O1467" s="126"/>
      <c r="P1467" s="126"/>
    </row>
    <row r="1468" spans="1:16" ht="15.75" customHeight="1">
      <c r="A1468" s="126">
        <v>46230.015752314801</v>
      </c>
      <c r="B1468" s="7">
        <v>12</v>
      </c>
      <c r="C1468" s="7">
        <v>659</v>
      </c>
      <c r="E1468" s="7" t="s">
        <v>1070</v>
      </c>
      <c r="F1468" s="7" t="s">
        <v>756</v>
      </c>
      <c r="G1468" s="7">
        <v>174</v>
      </c>
      <c r="H1468" s="7" t="s">
        <v>877</v>
      </c>
      <c r="I1468" s="7" t="s">
        <v>878</v>
      </c>
      <c r="J1468" s="7" t="s">
        <v>879</v>
      </c>
      <c r="M1468" s="7">
        <v>100</v>
      </c>
      <c r="N1468" s="7">
        <v>100</v>
      </c>
      <c r="P1468" s="126">
        <v>46209.706932870402</v>
      </c>
    </row>
    <row r="1469" spans="1:16" ht="15.75" customHeight="1">
      <c r="A1469" s="126">
        <v>46230.015752314801</v>
      </c>
      <c r="B1469" s="7">
        <v>12</v>
      </c>
      <c r="C1469" s="7">
        <v>659</v>
      </c>
      <c r="E1469" s="7" t="s">
        <v>1070</v>
      </c>
      <c r="F1469" s="7" t="s">
        <v>756</v>
      </c>
      <c r="G1469" s="7">
        <v>180</v>
      </c>
      <c r="H1469" s="7" t="s">
        <v>880</v>
      </c>
      <c r="I1469" s="7" t="s">
        <v>874</v>
      </c>
      <c r="J1469" s="7"/>
      <c r="M1469" s="7"/>
      <c r="N1469" s="7" t="s">
        <v>875</v>
      </c>
      <c r="O1469" s="126"/>
      <c r="P1469" s="126"/>
    </row>
    <row r="1470" spans="1:16" ht="15.75" customHeight="1">
      <c r="A1470" s="126">
        <v>46230.015752314801</v>
      </c>
      <c r="B1470" s="7">
        <v>12</v>
      </c>
      <c r="C1470" s="7">
        <v>659</v>
      </c>
      <c r="E1470" s="7" t="s">
        <v>1070</v>
      </c>
      <c r="F1470" s="7" t="s">
        <v>756</v>
      </c>
      <c r="G1470" s="7">
        <v>175</v>
      </c>
      <c r="H1470" s="7" t="s">
        <v>881</v>
      </c>
      <c r="I1470" s="7" t="s">
        <v>878</v>
      </c>
      <c r="J1470" s="7" t="s">
        <v>882</v>
      </c>
      <c r="M1470" s="7">
        <v>100</v>
      </c>
      <c r="N1470" s="7">
        <v>100</v>
      </c>
      <c r="O1470" s="126">
        <v>46216.618634259299</v>
      </c>
      <c r="P1470" s="126">
        <v>46216.618634259299</v>
      </c>
    </row>
    <row r="1471" spans="1:16" ht="15.75" customHeight="1">
      <c r="A1471" s="126">
        <v>46230.015752314801</v>
      </c>
      <c r="B1471" s="7">
        <v>12</v>
      </c>
      <c r="C1471" s="7">
        <v>659</v>
      </c>
      <c r="E1471" s="7" t="s">
        <v>1070</v>
      </c>
      <c r="F1471" s="7" t="s">
        <v>756</v>
      </c>
      <c r="G1471" s="7">
        <v>177</v>
      </c>
      <c r="H1471" s="7" t="s">
        <v>883</v>
      </c>
      <c r="I1471" s="7" t="s">
        <v>878</v>
      </c>
      <c r="J1471" s="7" t="s">
        <v>882</v>
      </c>
      <c r="M1471" s="7"/>
      <c r="N1471" s="7" t="s">
        <v>875</v>
      </c>
      <c r="P1471" s="126"/>
    </row>
    <row r="1472" spans="1:16" ht="15.75" customHeight="1">
      <c r="A1472" s="126">
        <v>46230.015752314801</v>
      </c>
      <c r="B1472" s="7">
        <v>12</v>
      </c>
      <c r="C1472" s="7">
        <v>659</v>
      </c>
      <c r="E1472" s="7" t="s">
        <v>1070</v>
      </c>
      <c r="F1472" s="7" t="s">
        <v>756</v>
      </c>
      <c r="G1472" s="7">
        <v>176</v>
      </c>
      <c r="H1472" s="7" t="s">
        <v>884</v>
      </c>
      <c r="I1472" s="7" t="s">
        <v>878</v>
      </c>
      <c r="J1472" s="7" t="s">
        <v>882</v>
      </c>
      <c r="M1472" s="7">
        <v>90</v>
      </c>
      <c r="N1472" s="7">
        <v>90</v>
      </c>
      <c r="O1472" s="126">
        <v>46223.913078703699</v>
      </c>
      <c r="P1472" s="126">
        <v>46223.913078703699</v>
      </c>
    </row>
    <row r="1473" spans="1:16" ht="15.75" customHeight="1">
      <c r="A1473" s="126">
        <v>46230.015752314801</v>
      </c>
      <c r="B1473" s="7">
        <v>12</v>
      </c>
      <c r="C1473" s="7">
        <v>659</v>
      </c>
      <c r="E1473" s="7" t="s">
        <v>1070</v>
      </c>
      <c r="F1473" s="7" t="s">
        <v>756</v>
      </c>
      <c r="G1473" s="7">
        <v>168</v>
      </c>
      <c r="H1473" s="7" t="s">
        <v>885</v>
      </c>
      <c r="I1473" s="7" t="s">
        <v>886</v>
      </c>
      <c r="J1473" s="7"/>
      <c r="M1473" s="7">
        <v>100</v>
      </c>
      <c r="N1473" s="7">
        <v>100</v>
      </c>
      <c r="O1473" s="126"/>
      <c r="P1473" s="126">
        <v>46209.706932870402</v>
      </c>
    </row>
    <row r="1474" spans="1:16" ht="15.75" customHeight="1">
      <c r="A1474" s="126">
        <v>46230.015752314801</v>
      </c>
      <c r="B1474" s="7">
        <v>12</v>
      </c>
      <c r="C1474" s="7">
        <v>617</v>
      </c>
      <c r="E1474" s="7" t="s">
        <v>1071</v>
      </c>
      <c r="F1474" s="7" t="s">
        <v>370</v>
      </c>
      <c r="G1474" s="7">
        <v>181</v>
      </c>
      <c r="H1474" s="7" t="s">
        <v>873</v>
      </c>
      <c r="I1474" s="7" t="s">
        <v>874</v>
      </c>
      <c r="J1474" s="7"/>
      <c r="M1474" s="7"/>
      <c r="N1474" s="7" t="s">
        <v>875</v>
      </c>
      <c r="P1474" s="126"/>
    </row>
    <row r="1475" spans="1:16" ht="15.75" customHeight="1">
      <c r="A1475" s="126">
        <v>46230.015752314801</v>
      </c>
      <c r="B1475" s="7">
        <v>12</v>
      </c>
      <c r="C1475" s="7">
        <v>617</v>
      </c>
      <c r="E1475" s="7" t="s">
        <v>1071</v>
      </c>
      <c r="F1475" s="7" t="s">
        <v>370</v>
      </c>
      <c r="G1475" s="7">
        <v>182</v>
      </c>
      <c r="H1475" s="7" t="s">
        <v>876</v>
      </c>
      <c r="I1475" s="7" t="s">
        <v>874</v>
      </c>
      <c r="J1475" s="7"/>
      <c r="M1475" s="7"/>
      <c r="N1475" s="7" t="s">
        <v>875</v>
      </c>
      <c r="O1475" s="126"/>
      <c r="P1475" s="126"/>
    </row>
    <row r="1476" spans="1:16" ht="15.75" customHeight="1">
      <c r="A1476" s="126">
        <v>46230.015752314801</v>
      </c>
      <c r="B1476" s="7">
        <v>12</v>
      </c>
      <c r="C1476" s="7">
        <v>617</v>
      </c>
      <c r="E1476" s="7" t="s">
        <v>1071</v>
      </c>
      <c r="F1476" s="7" t="s">
        <v>370</v>
      </c>
      <c r="G1476" s="7">
        <v>174</v>
      </c>
      <c r="H1476" s="7" t="s">
        <v>877</v>
      </c>
      <c r="I1476" s="7" t="s">
        <v>878</v>
      </c>
      <c r="J1476" s="7" t="s">
        <v>879</v>
      </c>
      <c r="M1476" s="7">
        <v>100</v>
      </c>
      <c r="N1476" s="7">
        <v>100</v>
      </c>
      <c r="O1476" s="126"/>
      <c r="P1476" s="126">
        <v>46209.706967592603</v>
      </c>
    </row>
    <row r="1477" spans="1:16" ht="15.75" customHeight="1">
      <c r="A1477" s="126">
        <v>46230.015752314801</v>
      </c>
      <c r="B1477" s="7">
        <v>12</v>
      </c>
      <c r="C1477" s="7">
        <v>617</v>
      </c>
      <c r="E1477" s="7" t="s">
        <v>1071</v>
      </c>
      <c r="F1477" s="7" t="s">
        <v>370</v>
      </c>
      <c r="G1477" s="7">
        <v>180</v>
      </c>
      <c r="H1477" s="7" t="s">
        <v>880</v>
      </c>
      <c r="I1477" s="7" t="s">
        <v>874</v>
      </c>
      <c r="J1477" s="7"/>
      <c r="M1477" s="7"/>
      <c r="N1477" s="7" t="s">
        <v>875</v>
      </c>
      <c r="O1477" s="126"/>
      <c r="P1477" s="126"/>
    </row>
    <row r="1478" spans="1:16" ht="15.75" customHeight="1">
      <c r="A1478" s="126">
        <v>46230.015752314801</v>
      </c>
      <c r="B1478" s="7">
        <v>12</v>
      </c>
      <c r="C1478" s="7">
        <v>617</v>
      </c>
      <c r="E1478" s="7" t="s">
        <v>1071</v>
      </c>
      <c r="F1478" s="7" t="s">
        <v>370</v>
      </c>
      <c r="G1478" s="7">
        <v>175</v>
      </c>
      <c r="H1478" s="7" t="s">
        <v>881</v>
      </c>
      <c r="I1478" s="7" t="s">
        <v>878</v>
      </c>
      <c r="J1478" s="7" t="s">
        <v>882</v>
      </c>
      <c r="M1478" s="7">
        <v>75</v>
      </c>
      <c r="N1478" s="7">
        <v>75</v>
      </c>
      <c r="O1478" s="126">
        <v>46214.494606481501</v>
      </c>
      <c r="P1478" s="126">
        <v>46214.494606481501</v>
      </c>
    </row>
    <row r="1479" spans="1:16" ht="15.75" customHeight="1">
      <c r="A1479" s="126">
        <v>46230.015752314801</v>
      </c>
      <c r="B1479" s="7">
        <v>12</v>
      </c>
      <c r="C1479" s="7">
        <v>617</v>
      </c>
      <c r="E1479" s="7" t="s">
        <v>1071</v>
      </c>
      <c r="F1479" s="7" t="s">
        <v>370</v>
      </c>
      <c r="G1479" s="7">
        <v>177</v>
      </c>
      <c r="H1479" s="7" t="s">
        <v>883</v>
      </c>
      <c r="I1479" s="7" t="s">
        <v>878</v>
      </c>
      <c r="J1479" s="7" t="s">
        <v>882</v>
      </c>
      <c r="M1479" s="7"/>
      <c r="N1479" s="7" t="s">
        <v>875</v>
      </c>
      <c r="O1479" s="126"/>
      <c r="P1479" s="126"/>
    </row>
    <row r="1480" spans="1:16" ht="15.75" customHeight="1">
      <c r="A1480" s="126">
        <v>46230.015752314801</v>
      </c>
      <c r="B1480" s="7">
        <v>12</v>
      </c>
      <c r="C1480" s="7">
        <v>617</v>
      </c>
      <c r="E1480" s="7" t="s">
        <v>1071</v>
      </c>
      <c r="F1480" s="7" t="s">
        <v>370</v>
      </c>
      <c r="G1480" s="7">
        <v>176</v>
      </c>
      <c r="H1480" s="7" t="s">
        <v>884</v>
      </c>
      <c r="I1480" s="7" t="s">
        <v>878</v>
      </c>
      <c r="J1480" s="7" t="s">
        <v>882</v>
      </c>
      <c r="M1480" s="7">
        <v>90</v>
      </c>
      <c r="N1480" s="7">
        <v>90</v>
      </c>
      <c r="O1480" s="126">
        <v>46226.895439814798</v>
      </c>
      <c r="P1480" s="126">
        <v>46226.895439814798</v>
      </c>
    </row>
    <row r="1481" spans="1:16" ht="15.75" customHeight="1">
      <c r="A1481" s="126">
        <v>46230.015752314801</v>
      </c>
      <c r="B1481" s="7">
        <v>12</v>
      </c>
      <c r="C1481" s="7">
        <v>617</v>
      </c>
      <c r="E1481" s="7" t="s">
        <v>1071</v>
      </c>
      <c r="F1481" s="7" t="s">
        <v>370</v>
      </c>
      <c r="G1481" s="7">
        <v>168</v>
      </c>
      <c r="H1481" s="7" t="s">
        <v>885</v>
      </c>
      <c r="I1481" s="7" t="s">
        <v>886</v>
      </c>
      <c r="J1481" s="7"/>
      <c r="M1481" s="7">
        <v>100</v>
      </c>
      <c r="N1481" s="7">
        <v>100</v>
      </c>
      <c r="P1481" s="126">
        <v>46209.706967592603</v>
      </c>
    </row>
    <row r="1482" spans="1:16" ht="15.75" customHeight="1">
      <c r="A1482" s="126">
        <v>46230.015752314801</v>
      </c>
      <c r="B1482" s="7">
        <v>12</v>
      </c>
      <c r="C1482" s="7">
        <v>644</v>
      </c>
      <c r="E1482" s="7" t="s">
        <v>1072</v>
      </c>
      <c r="F1482" s="7" t="s">
        <v>807</v>
      </c>
      <c r="G1482" s="7">
        <v>181</v>
      </c>
      <c r="H1482" s="7" t="s">
        <v>873</v>
      </c>
      <c r="I1482" s="7" t="s">
        <v>874</v>
      </c>
      <c r="J1482" s="7"/>
      <c r="M1482" s="7"/>
      <c r="N1482" s="7" t="s">
        <v>875</v>
      </c>
      <c r="O1482" s="126"/>
      <c r="P1482" s="126"/>
    </row>
    <row r="1483" spans="1:16" ht="15.75" customHeight="1">
      <c r="A1483" s="126">
        <v>46230.015752314801</v>
      </c>
      <c r="B1483" s="7">
        <v>12</v>
      </c>
      <c r="C1483" s="7">
        <v>644</v>
      </c>
      <c r="E1483" s="7" t="s">
        <v>1072</v>
      </c>
      <c r="F1483" s="7" t="s">
        <v>807</v>
      </c>
      <c r="G1483" s="7">
        <v>182</v>
      </c>
      <c r="H1483" s="7" t="s">
        <v>876</v>
      </c>
      <c r="I1483" s="7" t="s">
        <v>874</v>
      </c>
      <c r="J1483" s="7"/>
      <c r="M1483" s="7"/>
      <c r="N1483" s="7" t="s">
        <v>875</v>
      </c>
      <c r="P1483" s="126"/>
    </row>
    <row r="1484" spans="1:16" ht="15.75" customHeight="1">
      <c r="A1484" s="126">
        <v>46230.015752314801</v>
      </c>
      <c r="B1484" s="7">
        <v>12</v>
      </c>
      <c r="C1484" s="7">
        <v>644</v>
      </c>
      <c r="E1484" s="7" t="s">
        <v>1072</v>
      </c>
      <c r="F1484" s="7" t="s">
        <v>807</v>
      </c>
      <c r="G1484" s="7">
        <v>174</v>
      </c>
      <c r="H1484" s="7" t="s">
        <v>877</v>
      </c>
      <c r="I1484" s="7" t="s">
        <v>878</v>
      </c>
      <c r="J1484" s="7" t="s">
        <v>879</v>
      </c>
      <c r="M1484" s="7">
        <v>100</v>
      </c>
      <c r="N1484" s="7">
        <v>100</v>
      </c>
      <c r="O1484" s="126"/>
      <c r="P1484" s="126">
        <v>46209.706979166702</v>
      </c>
    </row>
    <row r="1485" spans="1:16" ht="15.75" customHeight="1">
      <c r="A1485" s="126">
        <v>46230.015752314801</v>
      </c>
      <c r="B1485" s="7">
        <v>12</v>
      </c>
      <c r="C1485" s="7">
        <v>644</v>
      </c>
      <c r="E1485" s="7" t="s">
        <v>1072</v>
      </c>
      <c r="F1485" s="7" t="s">
        <v>807</v>
      </c>
      <c r="G1485" s="7">
        <v>180</v>
      </c>
      <c r="H1485" s="7" t="s">
        <v>880</v>
      </c>
      <c r="I1485" s="7" t="s">
        <v>874</v>
      </c>
      <c r="J1485" s="7"/>
      <c r="M1485" s="7"/>
      <c r="N1485" s="7" t="s">
        <v>875</v>
      </c>
      <c r="O1485" s="126"/>
      <c r="P1485" s="126"/>
    </row>
    <row r="1486" spans="1:16" ht="15.75" customHeight="1">
      <c r="A1486" s="126">
        <v>46230.015752314801</v>
      </c>
      <c r="B1486" s="7">
        <v>12</v>
      </c>
      <c r="C1486" s="7">
        <v>644</v>
      </c>
      <c r="E1486" s="7" t="s">
        <v>1072</v>
      </c>
      <c r="F1486" s="7" t="s">
        <v>807</v>
      </c>
      <c r="G1486" s="7">
        <v>175</v>
      </c>
      <c r="H1486" s="7" t="s">
        <v>881</v>
      </c>
      <c r="I1486" s="7" t="s">
        <v>878</v>
      </c>
      <c r="J1486" s="7" t="s">
        <v>882</v>
      </c>
      <c r="M1486" s="7">
        <v>100</v>
      </c>
      <c r="N1486" s="7">
        <v>100</v>
      </c>
      <c r="O1486" s="126">
        <v>46213.665300925903</v>
      </c>
      <c r="P1486" s="126">
        <v>46213.665300925903</v>
      </c>
    </row>
    <row r="1487" spans="1:16" ht="15.75" customHeight="1">
      <c r="A1487" s="126">
        <v>46230.015752314801</v>
      </c>
      <c r="B1487" s="7">
        <v>12</v>
      </c>
      <c r="C1487" s="7">
        <v>644</v>
      </c>
      <c r="E1487" s="7" t="s">
        <v>1072</v>
      </c>
      <c r="F1487" s="7" t="s">
        <v>807</v>
      </c>
      <c r="G1487" s="7">
        <v>177</v>
      </c>
      <c r="H1487" s="7" t="s">
        <v>883</v>
      </c>
      <c r="I1487" s="7" t="s">
        <v>878</v>
      </c>
      <c r="J1487" s="7" t="s">
        <v>882</v>
      </c>
      <c r="M1487" s="7"/>
      <c r="N1487" s="7" t="s">
        <v>875</v>
      </c>
      <c r="P1487" s="126"/>
    </row>
    <row r="1488" spans="1:16" ht="15.75" customHeight="1">
      <c r="A1488" s="126">
        <v>46230.015752314801</v>
      </c>
      <c r="B1488" s="7">
        <v>12</v>
      </c>
      <c r="C1488" s="7">
        <v>644</v>
      </c>
      <c r="E1488" s="7" t="s">
        <v>1072</v>
      </c>
      <c r="F1488" s="7" t="s">
        <v>807</v>
      </c>
      <c r="G1488" s="7">
        <v>176</v>
      </c>
      <c r="H1488" s="7" t="s">
        <v>884</v>
      </c>
      <c r="I1488" s="7" t="s">
        <v>878</v>
      </c>
      <c r="J1488" s="7" t="s">
        <v>882</v>
      </c>
      <c r="M1488" s="7">
        <v>90</v>
      </c>
      <c r="N1488" s="7">
        <v>90</v>
      </c>
      <c r="O1488" s="126">
        <v>46224.4151388889</v>
      </c>
      <c r="P1488" s="126">
        <v>46224.4151388889</v>
      </c>
    </row>
    <row r="1489" spans="1:16" ht="15.75" customHeight="1">
      <c r="A1489" s="126">
        <v>46230.015752314801</v>
      </c>
      <c r="B1489" s="7">
        <v>12</v>
      </c>
      <c r="C1489" s="7">
        <v>644</v>
      </c>
      <c r="E1489" s="7" t="s">
        <v>1072</v>
      </c>
      <c r="F1489" s="7" t="s">
        <v>807</v>
      </c>
      <c r="G1489" s="7">
        <v>168</v>
      </c>
      <c r="H1489" s="7" t="s">
        <v>885</v>
      </c>
      <c r="I1489" s="7" t="s">
        <v>886</v>
      </c>
      <c r="J1489" s="7"/>
      <c r="M1489" s="7">
        <v>100</v>
      </c>
      <c r="N1489" s="7">
        <v>100</v>
      </c>
      <c r="P1489" s="126">
        <v>46209.706979166702</v>
      </c>
    </row>
    <row r="1490" spans="1:16" ht="15.75" customHeight="1">
      <c r="A1490" s="126">
        <v>46230.015752314801</v>
      </c>
      <c r="B1490" s="7">
        <v>12</v>
      </c>
      <c r="C1490" s="7">
        <v>628</v>
      </c>
      <c r="E1490" s="7" t="s">
        <v>1073</v>
      </c>
      <c r="F1490" s="7" t="s">
        <v>704</v>
      </c>
      <c r="G1490" s="7">
        <v>181</v>
      </c>
      <c r="H1490" s="7" t="s">
        <v>873</v>
      </c>
      <c r="I1490" s="7" t="s">
        <v>874</v>
      </c>
      <c r="J1490" s="7"/>
      <c r="M1490" s="7"/>
      <c r="N1490" s="7" t="s">
        <v>875</v>
      </c>
      <c r="P1490" s="126"/>
    </row>
    <row r="1491" spans="1:16" ht="15.75" customHeight="1">
      <c r="A1491" s="126">
        <v>46230.015752314801</v>
      </c>
      <c r="B1491" s="7">
        <v>12</v>
      </c>
      <c r="C1491" s="7">
        <v>628</v>
      </c>
      <c r="E1491" s="7" t="s">
        <v>1073</v>
      </c>
      <c r="F1491" s="7" t="s">
        <v>704</v>
      </c>
      <c r="G1491" s="7">
        <v>182</v>
      </c>
      <c r="H1491" s="7" t="s">
        <v>876</v>
      </c>
      <c r="I1491" s="7" t="s">
        <v>874</v>
      </c>
      <c r="J1491" s="7"/>
      <c r="M1491" s="7"/>
      <c r="N1491" s="7" t="s">
        <v>875</v>
      </c>
      <c r="O1491" s="126"/>
      <c r="P1491" s="126"/>
    </row>
    <row r="1492" spans="1:16" ht="15.75" customHeight="1">
      <c r="A1492" s="126">
        <v>46230.015752314801</v>
      </c>
      <c r="B1492" s="7">
        <v>12</v>
      </c>
      <c r="C1492" s="7">
        <v>628</v>
      </c>
      <c r="E1492" s="7" t="s">
        <v>1073</v>
      </c>
      <c r="F1492" s="7" t="s">
        <v>704</v>
      </c>
      <c r="G1492" s="7">
        <v>174</v>
      </c>
      <c r="H1492" s="7" t="s">
        <v>877</v>
      </c>
      <c r="I1492" s="7" t="s">
        <v>878</v>
      </c>
      <c r="J1492" s="7" t="s">
        <v>879</v>
      </c>
      <c r="M1492" s="7">
        <v>100</v>
      </c>
      <c r="N1492" s="7">
        <v>100</v>
      </c>
      <c r="P1492" s="126">
        <v>46209.706979166702</v>
      </c>
    </row>
    <row r="1493" spans="1:16" ht="15.75" customHeight="1">
      <c r="A1493" s="126">
        <v>46230.015752314801</v>
      </c>
      <c r="B1493" s="7">
        <v>12</v>
      </c>
      <c r="C1493" s="7">
        <v>628</v>
      </c>
      <c r="E1493" s="7" t="s">
        <v>1073</v>
      </c>
      <c r="F1493" s="7" t="s">
        <v>704</v>
      </c>
      <c r="G1493" s="7">
        <v>180</v>
      </c>
      <c r="H1493" s="7" t="s">
        <v>880</v>
      </c>
      <c r="I1493" s="7" t="s">
        <v>874</v>
      </c>
      <c r="J1493" s="7"/>
      <c r="M1493" s="7"/>
      <c r="N1493" s="7" t="s">
        <v>875</v>
      </c>
      <c r="O1493" s="126"/>
      <c r="P1493" s="126"/>
    </row>
    <row r="1494" spans="1:16" ht="15.75" customHeight="1">
      <c r="A1494" s="126">
        <v>46230.015752314801</v>
      </c>
      <c r="B1494" s="7">
        <v>12</v>
      </c>
      <c r="C1494" s="7">
        <v>628</v>
      </c>
      <c r="E1494" s="7" t="s">
        <v>1073</v>
      </c>
      <c r="F1494" s="7" t="s">
        <v>704</v>
      </c>
      <c r="G1494" s="7">
        <v>175</v>
      </c>
      <c r="H1494" s="7" t="s">
        <v>881</v>
      </c>
      <c r="I1494" s="7" t="s">
        <v>878</v>
      </c>
      <c r="J1494" s="7" t="s">
        <v>882</v>
      </c>
      <c r="M1494" s="7">
        <v>87.5</v>
      </c>
      <c r="N1494" s="7">
        <v>87.5</v>
      </c>
      <c r="O1494" s="126">
        <v>46216.458668981497</v>
      </c>
      <c r="P1494" s="126">
        <v>46216.458680555603</v>
      </c>
    </row>
    <row r="1495" spans="1:16" ht="15.75" customHeight="1">
      <c r="A1495" s="126">
        <v>46230.015752314801</v>
      </c>
      <c r="B1495" s="7">
        <v>12</v>
      </c>
      <c r="C1495" s="7">
        <v>628</v>
      </c>
      <c r="E1495" s="7" t="s">
        <v>1073</v>
      </c>
      <c r="F1495" s="7" t="s">
        <v>704</v>
      </c>
      <c r="G1495" s="7">
        <v>177</v>
      </c>
      <c r="H1495" s="7" t="s">
        <v>883</v>
      </c>
      <c r="I1495" s="7" t="s">
        <v>878</v>
      </c>
      <c r="J1495" s="7" t="s">
        <v>882</v>
      </c>
      <c r="M1495" s="7"/>
      <c r="N1495" s="7" t="s">
        <v>875</v>
      </c>
      <c r="P1495" s="126"/>
    </row>
    <row r="1496" spans="1:16" ht="15.75" customHeight="1">
      <c r="A1496" s="126">
        <v>46230.015752314801</v>
      </c>
      <c r="B1496" s="7">
        <v>12</v>
      </c>
      <c r="C1496" s="7">
        <v>628</v>
      </c>
      <c r="E1496" s="7" t="s">
        <v>1073</v>
      </c>
      <c r="F1496" s="7" t="s">
        <v>704</v>
      </c>
      <c r="G1496" s="7">
        <v>176</v>
      </c>
      <c r="H1496" s="7" t="s">
        <v>884</v>
      </c>
      <c r="I1496" s="7" t="s">
        <v>878</v>
      </c>
      <c r="J1496" s="7" t="s">
        <v>882</v>
      </c>
      <c r="M1496" s="7">
        <v>80</v>
      </c>
      <c r="N1496" s="7">
        <v>80</v>
      </c>
      <c r="O1496" s="126">
        <v>46224.762129629598</v>
      </c>
      <c r="P1496" s="126">
        <v>46224.762129629598</v>
      </c>
    </row>
    <row r="1497" spans="1:16" ht="15.75" customHeight="1">
      <c r="A1497" s="126">
        <v>46230.015752314801</v>
      </c>
      <c r="B1497" s="7">
        <v>12</v>
      </c>
      <c r="C1497" s="7">
        <v>628</v>
      </c>
      <c r="E1497" s="7" t="s">
        <v>1073</v>
      </c>
      <c r="F1497" s="7" t="s">
        <v>704</v>
      </c>
      <c r="G1497" s="7">
        <v>168</v>
      </c>
      <c r="H1497" s="7" t="s">
        <v>885</v>
      </c>
      <c r="I1497" s="7" t="s">
        <v>886</v>
      </c>
      <c r="J1497" s="7"/>
      <c r="M1497" s="7">
        <v>100</v>
      </c>
      <c r="N1497" s="7">
        <v>100</v>
      </c>
      <c r="O1497" s="126"/>
      <c r="P1497" s="126">
        <v>46209.706979166702</v>
      </c>
    </row>
    <row r="1498" spans="1:16" ht="15.75" customHeight="1">
      <c r="A1498" s="126">
        <v>46230.015752314801</v>
      </c>
      <c r="B1498" s="7">
        <v>12</v>
      </c>
      <c r="C1498" s="7">
        <v>455</v>
      </c>
      <c r="E1498" s="7" t="s">
        <v>1074</v>
      </c>
      <c r="F1498" s="7" t="s">
        <v>192</v>
      </c>
      <c r="G1498" s="7">
        <v>181</v>
      </c>
      <c r="H1498" s="7" t="s">
        <v>873</v>
      </c>
      <c r="I1498" s="7" t="s">
        <v>874</v>
      </c>
      <c r="J1498" s="7"/>
      <c r="M1498" s="7"/>
      <c r="N1498" s="7" t="s">
        <v>875</v>
      </c>
      <c r="P1498" s="126"/>
    </row>
    <row r="1499" spans="1:16" ht="15.75" customHeight="1">
      <c r="A1499" s="126">
        <v>46230.015752314801</v>
      </c>
      <c r="B1499" s="7">
        <v>12</v>
      </c>
      <c r="C1499" s="7">
        <v>455</v>
      </c>
      <c r="E1499" s="7" t="s">
        <v>1074</v>
      </c>
      <c r="F1499" s="7" t="s">
        <v>192</v>
      </c>
      <c r="G1499" s="7">
        <v>182</v>
      </c>
      <c r="H1499" s="7" t="s">
        <v>876</v>
      </c>
      <c r="I1499" s="7" t="s">
        <v>874</v>
      </c>
      <c r="J1499" s="7"/>
      <c r="M1499" s="7"/>
      <c r="N1499" s="7" t="s">
        <v>875</v>
      </c>
      <c r="P1499" s="126"/>
    </row>
    <row r="1500" spans="1:16" ht="15.75" customHeight="1">
      <c r="A1500" s="126">
        <v>46230.015752314801</v>
      </c>
      <c r="B1500" s="7">
        <v>12</v>
      </c>
      <c r="C1500" s="7">
        <v>455</v>
      </c>
      <c r="E1500" s="7" t="s">
        <v>1074</v>
      </c>
      <c r="F1500" s="7" t="s">
        <v>192</v>
      </c>
      <c r="G1500" s="7">
        <v>174</v>
      </c>
      <c r="H1500" s="7" t="s">
        <v>877</v>
      </c>
      <c r="I1500" s="7" t="s">
        <v>878</v>
      </c>
      <c r="J1500" s="7" t="s">
        <v>879</v>
      </c>
      <c r="M1500" s="7">
        <v>100</v>
      </c>
      <c r="N1500" s="7">
        <v>100</v>
      </c>
      <c r="O1500" s="126"/>
      <c r="P1500" s="126">
        <v>46209.706979166702</v>
      </c>
    </row>
    <row r="1501" spans="1:16" ht="15.75" customHeight="1">
      <c r="A1501" s="126">
        <v>46230.015752314801</v>
      </c>
      <c r="B1501" s="7">
        <v>12</v>
      </c>
      <c r="C1501" s="7">
        <v>455</v>
      </c>
      <c r="E1501" s="7" t="s">
        <v>1074</v>
      </c>
      <c r="F1501" s="7" t="s">
        <v>192</v>
      </c>
      <c r="G1501" s="7">
        <v>180</v>
      </c>
      <c r="H1501" s="7" t="s">
        <v>880</v>
      </c>
      <c r="I1501" s="7" t="s">
        <v>874</v>
      </c>
      <c r="J1501" s="7"/>
      <c r="M1501" s="7"/>
      <c r="N1501" s="7" t="s">
        <v>875</v>
      </c>
      <c r="O1501" s="126"/>
      <c r="P1501" s="126"/>
    </row>
    <row r="1502" spans="1:16" ht="15.75" customHeight="1">
      <c r="A1502" s="126">
        <v>46230.015752314801</v>
      </c>
      <c r="B1502" s="7">
        <v>12</v>
      </c>
      <c r="C1502" s="7">
        <v>455</v>
      </c>
      <c r="E1502" s="7" t="s">
        <v>1074</v>
      </c>
      <c r="F1502" s="7" t="s">
        <v>192</v>
      </c>
      <c r="G1502" s="7">
        <v>175</v>
      </c>
      <c r="H1502" s="7" t="s">
        <v>881</v>
      </c>
      <c r="I1502" s="7" t="s">
        <v>878</v>
      </c>
      <c r="J1502" s="7" t="s">
        <v>882</v>
      </c>
      <c r="M1502" s="7">
        <v>100</v>
      </c>
      <c r="N1502" s="7">
        <v>100</v>
      </c>
      <c r="O1502" s="126">
        <v>46215.8855092593</v>
      </c>
      <c r="P1502" s="126">
        <v>46215.8855092593</v>
      </c>
    </row>
    <row r="1503" spans="1:16" ht="15.75" customHeight="1">
      <c r="A1503" s="126">
        <v>46230.015752314801</v>
      </c>
      <c r="B1503" s="7">
        <v>12</v>
      </c>
      <c r="C1503" s="7">
        <v>455</v>
      </c>
      <c r="E1503" s="7" t="s">
        <v>1074</v>
      </c>
      <c r="F1503" s="7" t="s">
        <v>192</v>
      </c>
      <c r="G1503" s="7">
        <v>177</v>
      </c>
      <c r="H1503" s="7" t="s">
        <v>883</v>
      </c>
      <c r="I1503" s="7" t="s">
        <v>878</v>
      </c>
      <c r="J1503" s="7" t="s">
        <v>882</v>
      </c>
      <c r="M1503" s="7"/>
      <c r="N1503" s="7" t="s">
        <v>875</v>
      </c>
      <c r="O1503" s="126"/>
      <c r="P1503" s="126"/>
    </row>
    <row r="1504" spans="1:16" ht="15.75" customHeight="1">
      <c r="A1504" s="126">
        <v>46230.015752314801</v>
      </c>
      <c r="B1504" s="7">
        <v>12</v>
      </c>
      <c r="C1504" s="7">
        <v>455</v>
      </c>
      <c r="E1504" s="7" t="s">
        <v>1074</v>
      </c>
      <c r="F1504" s="7" t="s">
        <v>192</v>
      </c>
      <c r="G1504" s="7">
        <v>176</v>
      </c>
      <c r="H1504" s="7" t="s">
        <v>884</v>
      </c>
      <c r="I1504" s="7" t="s">
        <v>878</v>
      </c>
      <c r="J1504" s="7" t="s">
        <v>882</v>
      </c>
      <c r="M1504" s="7">
        <v>90</v>
      </c>
      <c r="N1504" s="7">
        <v>90</v>
      </c>
      <c r="O1504" s="126">
        <v>46225.651666666701</v>
      </c>
      <c r="P1504" s="126">
        <v>46225.651678240698</v>
      </c>
    </row>
    <row r="1505" spans="1:16" ht="15.75" customHeight="1">
      <c r="A1505" s="126">
        <v>46230.015752314801</v>
      </c>
      <c r="B1505" s="7">
        <v>12</v>
      </c>
      <c r="C1505" s="7">
        <v>455</v>
      </c>
      <c r="E1505" s="7" t="s">
        <v>1074</v>
      </c>
      <c r="F1505" s="7" t="s">
        <v>192</v>
      </c>
      <c r="G1505" s="7">
        <v>168</v>
      </c>
      <c r="H1505" s="7" t="s">
        <v>885</v>
      </c>
      <c r="I1505" s="7" t="s">
        <v>886</v>
      </c>
      <c r="J1505" s="7"/>
      <c r="M1505" s="7">
        <v>100</v>
      </c>
      <c r="N1505" s="7">
        <v>100</v>
      </c>
      <c r="P1505" s="126">
        <v>46209.706979166702</v>
      </c>
    </row>
    <row r="1506" spans="1:16" ht="15.75" customHeight="1">
      <c r="A1506" s="126">
        <v>46230.015752314801</v>
      </c>
      <c r="B1506" s="7">
        <v>12</v>
      </c>
      <c r="C1506" s="7">
        <v>278</v>
      </c>
      <c r="E1506" s="7" t="s">
        <v>1075</v>
      </c>
      <c r="F1506" s="7" t="s">
        <v>347</v>
      </c>
      <c r="G1506" s="7">
        <v>181</v>
      </c>
      <c r="H1506" s="7" t="s">
        <v>873</v>
      </c>
      <c r="I1506" s="7" t="s">
        <v>874</v>
      </c>
      <c r="J1506" s="7"/>
      <c r="M1506" s="7"/>
      <c r="N1506" s="7" t="s">
        <v>875</v>
      </c>
      <c r="P1506" s="126"/>
    </row>
    <row r="1507" spans="1:16" ht="15.75" customHeight="1">
      <c r="A1507" s="126">
        <v>46230.015752314801</v>
      </c>
      <c r="B1507" s="7">
        <v>12</v>
      </c>
      <c r="C1507" s="7">
        <v>278</v>
      </c>
      <c r="E1507" s="7" t="s">
        <v>1075</v>
      </c>
      <c r="F1507" s="7" t="s">
        <v>347</v>
      </c>
      <c r="G1507" s="7">
        <v>182</v>
      </c>
      <c r="H1507" s="7" t="s">
        <v>876</v>
      </c>
      <c r="I1507" s="7" t="s">
        <v>874</v>
      </c>
      <c r="J1507" s="7"/>
      <c r="M1507" s="7"/>
      <c r="N1507" s="7" t="s">
        <v>875</v>
      </c>
      <c r="P1507" s="126"/>
    </row>
    <row r="1508" spans="1:16" ht="15.75" customHeight="1">
      <c r="A1508" s="126">
        <v>46230.015752314801</v>
      </c>
      <c r="B1508" s="7">
        <v>12</v>
      </c>
      <c r="C1508" s="7">
        <v>278</v>
      </c>
      <c r="E1508" s="7" t="s">
        <v>1075</v>
      </c>
      <c r="F1508" s="7" t="s">
        <v>347</v>
      </c>
      <c r="G1508" s="7">
        <v>174</v>
      </c>
      <c r="H1508" s="7" t="s">
        <v>877</v>
      </c>
      <c r="I1508" s="7" t="s">
        <v>878</v>
      </c>
      <c r="J1508" s="7" t="s">
        <v>879</v>
      </c>
      <c r="M1508" s="7">
        <v>100</v>
      </c>
      <c r="N1508" s="7">
        <v>100</v>
      </c>
      <c r="P1508" s="126">
        <v>46209.709745370397</v>
      </c>
    </row>
    <row r="1509" spans="1:16" ht="15.75" customHeight="1">
      <c r="A1509" s="126">
        <v>46230.015752314801</v>
      </c>
      <c r="B1509" s="7">
        <v>12</v>
      </c>
      <c r="C1509" s="7">
        <v>278</v>
      </c>
      <c r="E1509" s="7" t="s">
        <v>1075</v>
      </c>
      <c r="F1509" s="7" t="s">
        <v>347</v>
      </c>
      <c r="G1509" s="7">
        <v>180</v>
      </c>
      <c r="H1509" s="7" t="s">
        <v>880</v>
      </c>
      <c r="I1509" s="7" t="s">
        <v>874</v>
      </c>
      <c r="J1509" s="7"/>
      <c r="M1509" s="7"/>
      <c r="N1509" s="7" t="s">
        <v>875</v>
      </c>
      <c r="O1509" s="126"/>
      <c r="P1509" s="126"/>
    </row>
    <row r="1510" spans="1:16" ht="15.75" customHeight="1">
      <c r="A1510" s="126">
        <v>46230.015752314801</v>
      </c>
      <c r="B1510" s="7">
        <v>12</v>
      </c>
      <c r="C1510" s="7">
        <v>278</v>
      </c>
      <c r="E1510" s="7" t="s">
        <v>1075</v>
      </c>
      <c r="F1510" s="7" t="s">
        <v>347</v>
      </c>
      <c r="G1510" s="7">
        <v>175</v>
      </c>
      <c r="H1510" s="7" t="s">
        <v>881</v>
      </c>
      <c r="I1510" s="7" t="s">
        <v>878</v>
      </c>
      <c r="J1510" s="7" t="s">
        <v>882</v>
      </c>
      <c r="M1510" s="7">
        <v>75</v>
      </c>
      <c r="N1510" s="7">
        <v>75</v>
      </c>
      <c r="O1510" s="126">
        <v>46214.861655092602</v>
      </c>
      <c r="P1510" s="126">
        <v>46214.861655092602</v>
      </c>
    </row>
    <row r="1511" spans="1:16" ht="15.75" customHeight="1">
      <c r="A1511" s="126">
        <v>46230.015752314801</v>
      </c>
      <c r="B1511" s="7">
        <v>12</v>
      </c>
      <c r="C1511" s="7">
        <v>278</v>
      </c>
      <c r="E1511" s="7" t="s">
        <v>1075</v>
      </c>
      <c r="F1511" s="7" t="s">
        <v>347</v>
      </c>
      <c r="G1511" s="7">
        <v>177</v>
      </c>
      <c r="H1511" s="7" t="s">
        <v>883</v>
      </c>
      <c r="I1511" s="7" t="s">
        <v>878</v>
      </c>
      <c r="J1511" s="7" t="s">
        <v>882</v>
      </c>
      <c r="M1511" s="7"/>
      <c r="N1511" s="7" t="s">
        <v>875</v>
      </c>
      <c r="O1511" s="126"/>
      <c r="P1511" s="126"/>
    </row>
    <row r="1512" spans="1:16" ht="15.75" customHeight="1">
      <c r="A1512" s="126">
        <v>46230.015752314801</v>
      </c>
      <c r="B1512" s="7">
        <v>12</v>
      </c>
      <c r="C1512" s="7">
        <v>278</v>
      </c>
      <c r="E1512" s="7" t="s">
        <v>1075</v>
      </c>
      <c r="F1512" s="7" t="s">
        <v>347</v>
      </c>
      <c r="G1512" s="7">
        <v>176</v>
      </c>
      <c r="H1512" s="7" t="s">
        <v>884</v>
      </c>
      <c r="I1512" s="7" t="s">
        <v>878</v>
      </c>
      <c r="J1512" s="7" t="s">
        <v>882</v>
      </c>
      <c r="M1512" s="7">
        <v>100</v>
      </c>
      <c r="N1512" s="7">
        <v>100</v>
      </c>
      <c r="O1512" s="126">
        <v>46224.905868055597</v>
      </c>
      <c r="P1512" s="126">
        <v>46224.905868055597</v>
      </c>
    </row>
    <row r="1513" spans="1:16" ht="15.75" customHeight="1">
      <c r="A1513" s="126">
        <v>46230.015752314801</v>
      </c>
      <c r="B1513" s="7">
        <v>12</v>
      </c>
      <c r="C1513" s="7">
        <v>278</v>
      </c>
      <c r="E1513" s="7" t="s">
        <v>1075</v>
      </c>
      <c r="F1513" s="7" t="s">
        <v>347</v>
      </c>
      <c r="G1513" s="7">
        <v>168</v>
      </c>
      <c r="H1513" s="7" t="s">
        <v>885</v>
      </c>
      <c r="I1513" s="7" t="s">
        <v>886</v>
      </c>
      <c r="M1513" s="7">
        <v>100</v>
      </c>
      <c r="N1513" s="7">
        <v>100</v>
      </c>
      <c r="P1513" s="126">
        <v>46209.709745370397</v>
      </c>
    </row>
    <row r="1514" spans="1:16" ht="15.75" customHeight="1">
      <c r="A1514" s="126">
        <v>46230.015752314801</v>
      </c>
      <c r="B1514" s="7">
        <v>12</v>
      </c>
      <c r="C1514" s="7">
        <v>591</v>
      </c>
      <c r="E1514" s="7" t="s">
        <v>1076</v>
      </c>
      <c r="F1514" s="7" t="s">
        <v>767</v>
      </c>
      <c r="G1514" s="7">
        <v>181</v>
      </c>
      <c r="H1514" s="7" t="s">
        <v>873</v>
      </c>
      <c r="I1514" s="7" t="s">
        <v>874</v>
      </c>
      <c r="J1514" s="7"/>
      <c r="M1514" s="7"/>
      <c r="N1514" s="7" t="s">
        <v>875</v>
      </c>
      <c r="P1514" s="126"/>
    </row>
    <row r="1515" spans="1:16" ht="15.75" customHeight="1">
      <c r="A1515" s="126">
        <v>46230.015752314801</v>
      </c>
      <c r="B1515" s="7">
        <v>12</v>
      </c>
      <c r="C1515" s="7">
        <v>591</v>
      </c>
      <c r="E1515" s="7" t="s">
        <v>1076</v>
      </c>
      <c r="F1515" s="7" t="s">
        <v>767</v>
      </c>
      <c r="G1515" s="7">
        <v>182</v>
      </c>
      <c r="H1515" s="7" t="s">
        <v>876</v>
      </c>
      <c r="I1515" s="7" t="s">
        <v>874</v>
      </c>
      <c r="J1515" s="7"/>
      <c r="M1515" s="7"/>
      <c r="N1515" s="7" t="s">
        <v>875</v>
      </c>
      <c r="O1515" s="126"/>
      <c r="P1515" s="126"/>
    </row>
    <row r="1516" spans="1:16" ht="15.75" customHeight="1">
      <c r="A1516" s="126">
        <v>46230.015752314801</v>
      </c>
      <c r="B1516" s="7">
        <v>12</v>
      </c>
      <c r="C1516" s="7">
        <v>591</v>
      </c>
      <c r="E1516" s="7" t="s">
        <v>1076</v>
      </c>
      <c r="F1516" s="7" t="s">
        <v>767</v>
      </c>
      <c r="G1516" s="7">
        <v>174</v>
      </c>
      <c r="H1516" s="7" t="s">
        <v>877</v>
      </c>
      <c r="I1516" s="7" t="s">
        <v>878</v>
      </c>
      <c r="J1516" s="7" t="s">
        <v>879</v>
      </c>
      <c r="M1516" s="7">
        <v>100</v>
      </c>
      <c r="N1516" s="7">
        <v>100</v>
      </c>
      <c r="P1516" s="126">
        <v>46209.706932870402</v>
      </c>
    </row>
    <row r="1517" spans="1:16" ht="15.75" customHeight="1">
      <c r="A1517" s="126">
        <v>46230.015752314801</v>
      </c>
      <c r="B1517" s="7">
        <v>12</v>
      </c>
      <c r="C1517" s="7">
        <v>591</v>
      </c>
      <c r="E1517" s="7" t="s">
        <v>1076</v>
      </c>
      <c r="F1517" s="7" t="s">
        <v>767</v>
      </c>
      <c r="G1517" s="7">
        <v>180</v>
      </c>
      <c r="H1517" s="7" t="s">
        <v>880</v>
      </c>
      <c r="I1517" s="7" t="s">
        <v>874</v>
      </c>
      <c r="J1517" s="7"/>
      <c r="M1517" s="7"/>
      <c r="N1517" s="7" t="s">
        <v>875</v>
      </c>
      <c r="P1517" s="126"/>
    </row>
    <row r="1518" spans="1:16" ht="15.75" customHeight="1">
      <c r="A1518" s="126">
        <v>46230.015752314801</v>
      </c>
      <c r="B1518" s="7">
        <v>12</v>
      </c>
      <c r="C1518" s="7">
        <v>591</v>
      </c>
      <c r="E1518" s="7" t="s">
        <v>1076</v>
      </c>
      <c r="F1518" s="7" t="s">
        <v>767</v>
      </c>
      <c r="G1518" s="7">
        <v>175</v>
      </c>
      <c r="H1518" s="7" t="s">
        <v>881</v>
      </c>
      <c r="I1518" s="7" t="s">
        <v>878</v>
      </c>
      <c r="J1518" s="7" t="s">
        <v>882</v>
      </c>
      <c r="M1518" s="7">
        <v>100</v>
      </c>
      <c r="N1518" s="7">
        <v>100</v>
      </c>
      <c r="O1518" s="126">
        <v>46215.8831712963</v>
      </c>
      <c r="P1518" s="126">
        <v>46215.8831712963</v>
      </c>
    </row>
    <row r="1519" spans="1:16" ht="15.75" customHeight="1">
      <c r="A1519" s="126">
        <v>46230.015752314801</v>
      </c>
      <c r="B1519" s="7">
        <v>12</v>
      </c>
      <c r="C1519" s="7">
        <v>591</v>
      </c>
      <c r="E1519" s="7" t="s">
        <v>1076</v>
      </c>
      <c r="F1519" s="7" t="s">
        <v>767</v>
      </c>
      <c r="G1519" s="7">
        <v>177</v>
      </c>
      <c r="H1519" s="7" t="s">
        <v>883</v>
      </c>
      <c r="I1519" s="7" t="s">
        <v>878</v>
      </c>
      <c r="J1519" s="7" t="s">
        <v>882</v>
      </c>
      <c r="M1519" s="7"/>
      <c r="N1519" s="7" t="s">
        <v>875</v>
      </c>
      <c r="P1519" s="126"/>
    </row>
    <row r="1520" spans="1:16" ht="15.75" customHeight="1">
      <c r="A1520" s="126">
        <v>46230.015752314801</v>
      </c>
      <c r="B1520" s="7">
        <v>12</v>
      </c>
      <c r="C1520" s="7">
        <v>591</v>
      </c>
      <c r="E1520" s="7" t="s">
        <v>1076</v>
      </c>
      <c r="F1520" s="7" t="s">
        <v>767</v>
      </c>
      <c r="G1520" s="7">
        <v>176</v>
      </c>
      <c r="H1520" s="7" t="s">
        <v>884</v>
      </c>
      <c r="I1520" s="7" t="s">
        <v>878</v>
      </c>
      <c r="J1520" s="7" t="s">
        <v>882</v>
      </c>
      <c r="M1520" s="7">
        <v>100</v>
      </c>
      <c r="N1520" s="7">
        <v>100</v>
      </c>
      <c r="O1520" s="126">
        <v>46226.380451388897</v>
      </c>
      <c r="P1520" s="126">
        <v>46226.380451388897</v>
      </c>
    </row>
    <row r="1521" spans="1:16" ht="15.75" customHeight="1">
      <c r="A1521" s="126">
        <v>46230.015752314801</v>
      </c>
      <c r="B1521" s="7">
        <v>12</v>
      </c>
      <c r="C1521" s="7">
        <v>591</v>
      </c>
      <c r="E1521" s="7" t="s">
        <v>1076</v>
      </c>
      <c r="F1521" s="7" t="s">
        <v>767</v>
      </c>
      <c r="G1521" s="7">
        <v>168</v>
      </c>
      <c r="H1521" s="7" t="s">
        <v>885</v>
      </c>
      <c r="I1521" s="7" t="s">
        <v>886</v>
      </c>
      <c r="J1521" s="7"/>
      <c r="M1521" s="7">
        <v>100</v>
      </c>
      <c r="N1521" s="7">
        <v>100</v>
      </c>
      <c r="O1521" s="126"/>
      <c r="P1521" s="126">
        <v>46209.706932870402</v>
      </c>
    </row>
    <row r="1522" spans="1:16" ht="15.75" customHeight="1">
      <c r="A1522" s="126">
        <v>46230.015752314801</v>
      </c>
      <c r="B1522" s="7">
        <v>12</v>
      </c>
      <c r="C1522" s="7">
        <v>276</v>
      </c>
      <c r="E1522" s="7" t="s">
        <v>1077</v>
      </c>
      <c r="F1522" s="7" t="s">
        <v>45</v>
      </c>
      <c r="G1522" s="7">
        <v>181</v>
      </c>
      <c r="H1522" s="7" t="s">
        <v>873</v>
      </c>
      <c r="I1522" s="7" t="s">
        <v>874</v>
      </c>
      <c r="J1522" s="7"/>
      <c r="M1522" s="7"/>
      <c r="N1522" s="7" t="s">
        <v>875</v>
      </c>
      <c r="P1522" s="126"/>
    </row>
    <row r="1523" spans="1:16" ht="15.75" customHeight="1">
      <c r="A1523" s="126">
        <v>46230.015752314801</v>
      </c>
      <c r="B1523" s="7">
        <v>12</v>
      </c>
      <c r="C1523" s="7">
        <v>276</v>
      </c>
      <c r="E1523" s="7" t="s">
        <v>1077</v>
      </c>
      <c r="F1523" s="7" t="s">
        <v>45</v>
      </c>
      <c r="G1523" s="7">
        <v>182</v>
      </c>
      <c r="H1523" s="7" t="s">
        <v>876</v>
      </c>
      <c r="I1523" s="7" t="s">
        <v>874</v>
      </c>
      <c r="J1523" s="7"/>
      <c r="M1523" s="7"/>
      <c r="N1523" s="7" t="s">
        <v>875</v>
      </c>
      <c r="P1523" s="126"/>
    </row>
    <row r="1524" spans="1:16" ht="15.75" customHeight="1">
      <c r="A1524" s="126">
        <v>46230.015752314801</v>
      </c>
      <c r="B1524" s="7">
        <v>12</v>
      </c>
      <c r="C1524" s="7">
        <v>276</v>
      </c>
      <c r="E1524" s="7" t="s">
        <v>1077</v>
      </c>
      <c r="F1524" s="7" t="s">
        <v>45</v>
      </c>
      <c r="G1524" s="7">
        <v>174</v>
      </c>
      <c r="H1524" s="7" t="s">
        <v>877</v>
      </c>
      <c r="I1524" s="7" t="s">
        <v>878</v>
      </c>
      <c r="J1524" s="7" t="s">
        <v>879</v>
      </c>
      <c r="M1524" s="7">
        <v>100</v>
      </c>
      <c r="N1524" s="7">
        <v>100</v>
      </c>
      <c r="P1524" s="126">
        <v>46209.674143518503</v>
      </c>
    </row>
    <row r="1525" spans="1:16" ht="15.75" customHeight="1">
      <c r="A1525" s="126">
        <v>46230.015752314801</v>
      </c>
      <c r="B1525" s="7">
        <v>12</v>
      </c>
      <c r="C1525" s="7">
        <v>276</v>
      </c>
      <c r="E1525" s="7" t="s">
        <v>1077</v>
      </c>
      <c r="F1525" s="7" t="s">
        <v>45</v>
      </c>
      <c r="G1525" s="7">
        <v>180</v>
      </c>
      <c r="H1525" s="7" t="s">
        <v>880</v>
      </c>
      <c r="I1525" s="7" t="s">
        <v>874</v>
      </c>
      <c r="J1525" s="7"/>
      <c r="M1525" s="7"/>
      <c r="N1525" s="7" t="s">
        <v>875</v>
      </c>
      <c r="P1525" s="126"/>
    </row>
    <row r="1526" spans="1:16" ht="15.75" customHeight="1">
      <c r="A1526" s="126">
        <v>46230.015752314801</v>
      </c>
      <c r="B1526" s="7">
        <v>12</v>
      </c>
      <c r="C1526" s="7">
        <v>276</v>
      </c>
      <c r="E1526" s="7" t="s">
        <v>1077</v>
      </c>
      <c r="F1526" s="7" t="s">
        <v>45</v>
      </c>
      <c r="G1526" s="7">
        <v>175</v>
      </c>
      <c r="H1526" s="7" t="s">
        <v>881</v>
      </c>
      <c r="I1526" s="7" t="s">
        <v>878</v>
      </c>
      <c r="J1526" s="7" t="s">
        <v>882</v>
      </c>
      <c r="M1526" s="7"/>
      <c r="N1526" s="7" t="s">
        <v>875</v>
      </c>
      <c r="P1526" s="126"/>
    </row>
    <row r="1527" spans="1:16" ht="15.75" customHeight="1">
      <c r="A1527" s="126">
        <v>46230.015752314801</v>
      </c>
      <c r="B1527" s="7">
        <v>12</v>
      </c>
      <c r="C1527" s="7">
        <v>276</v>
      </c>
      <c r="E1527" s="7" t="s">
        <v>1077</v>
      </c>
      <c r="F1527" s="7" t="s">
        <v>45</v>
      </c>
      <c r="G1527" s="7">
        <v>177</v>
      </c>
      <c r="H1527" s="7" t="s">
        <v>883</v>
      </c>
      <c r="I1527" s="7" t="s">
        <v>878</v>
      </c>
      <c r="J1527" s="7" t="s">
        <v>882</v>
      </c>
      <c r="M1527" s="7"/>
      <c r="N1527" s="7" t="s">
        <v>875</v>
      </c>
      <c r="O1527" s="126"/>
      <c r="P1527" s="126"/>
    </row>
    <row r="1528" spans="1:16" ht="15.75" customHeight="1">
      <c r="A1528" s="126">
        <v>46230.015752314801</v>
      </c>
      <c r="B1528" s="7">
        <v>12</v>
      </c>
      <c r="C1528" s="7">
        <v>276</v>
      </c>
      <c r="E1528" s="7" t="s">
        <v>1077</v>
      </c>
      <c r="F1528" s="7" t="s">
        <v>45</v>
      </c>
      <c r="G1528" s="7">
        <v>176</v>
      </c>
      <c r="H1528" s="7" t="s">
        <v>884</v>
      </c>
      <c r="I1528" s="7" t="s">
        <v>878</v>
      </c>
      <c r="J1528" s="7" t="s">
        <v>882</v>
      </c>
      <c r="M1528" s="7">
        <v>100</v>
      </c>
      <c r="N1528" s="7">
        <v>100</v>
      </c>
      <c r="O1528" s="126">
        <v>46224.935289351903</v>
      </c>
      <c r="P1528" s="126">
        <v>46224.935289351903</v>
      </c>
    </row>
    <row r="1529" spans="1:16" ht="15.75" customHeight="1">
      <c r="A1529" s="126">
        <v>46230.015752314801</v>
      </c>
      <c r="B1529" s="7">
        <v>12</v>
      </c>
      <c r="C1529" s="7">
        <v>276</v>
      </c>
      <c r="E1529" s="7" t="s">
        <v>1077</v>
      </c>
      <c r="F1529" s="7" t="s">
        <v>45</v>
      </c>
      <c r="G1529" s="7">
        <v>168</v>
      </c>
      <c r="H1529" s="7" t="s">
        <v>885</v>
      </c>
      <c r="I1529" s="7" t="s">
        <v>886</v>
      </c>
      <c r="J1529" s="7"/>
      <c r="M1529" s="7">
        <v>100</v>
      </c>
      <c r="N1529" s="7">
        <v>100</v>
      </c>
      <c r="O1529" s="126"/>
      <c r="P1529" s="126">
        <v>46209.674143518503</v>
      </c>
    </row>
    <row r="1530" spans="1:16" ht="15.75" customHeight="1">
      <c r="A1530" s="126">
        <v>46230.015752314801</v>
      </c>
      <c r="B1530" s="7">
        <v>12</v>
      </c>
      <c r="C1530" s="7">
        <v>694</v>
      </c>
      <c r="E1530" s="7" t="s">
        <v>1078</v>
      </c>
      <c r="F1530" s="7" t="s">
        <v>785</v>
      </c>
      <c r="G1530" s="7">
        <v>181</v>
      </c>
      <c r="H1530" s="7" t="s">
        <v>873</v>
      </c>
      <c r="I1530" s="7" t="s">
        <v>874</v>
      </c>
      <c r="J1530" s="7"/>
      <c r="M1530" s="7"/>
      <c r="N1530" s="7" t="s">
        <v>875</v>
      </c>
      <c r="O1530" s="126"/>
      <c r="P1530" s="126"/>
    </row>
    <row r="1531" spans="1:16" ht="15.75" customHeight="1">
      <c r="A1531" s="126">
        <v>46230.015752314801</v>
      </c>
      <c r="B1531" s="7">
        <v>12</v>
      </c>
      <c r="C1531" s="7">
        <v>694</v>
      </c>
      <c r="E1531" s="7" t="s">
        <v>1078</v>
      </c>
      <c r="F1531" s="7" t="s">
        <v>785</v>
      </c>
      <c r="G1531" s="7">
        <v>182</v>
      </c>
      <c r="H1531" s="7" t="s">
        <v>876</v>
      </c>
      <c r="I1531" s="7" t="s">
        <v>874</v>
      </c>
      <c r="J1531" s="7"/>
      <c r="M1531" s="7"/>
      <c r="N1531" s="7" t="s">
        <v>875</v>
      </c>
      <c r="P1531" s="126"/>
    </row>
    <row r="1532" spans="1:16" ht="15.75" customHeight="1">
      <c r="A1532" s="126">
        <v>46230.015752314801</v>
      </c>
      <c r="B1532" s="7">
        <v>12</v>
      </c>
      <c r="C1532" s="7">
        <v>694</v>
      </c>
      <c r="E1532" s="7" t="s">
        <v>1078</v>
      </c>
      <c r="F1532" s="7" t="s">
        <v>785</v>
      </c>
      <c r="G1532" s="7">
        <v>174</v>
      </c>
      <c r="H1532" s="7" t="s">
        <v>877</v>
      </c>
      <c r="I1532" s="7" t="s">
        <v>878</v>
      </c>
      <c r="J1532" s="7" t="s">
        <v>879</v>
      </c>
      <c r="M1532" s="7">
        <v>100</v>
      </c>
      <c r="N1532" s="7">
        <v>100</v>
      </c>
      <c r="P1532" s="126">
        <v>46210.418449074103</v>
      </c>
    </row>
    <row r="1533" spans="1:16" ht="15.75" customHeight="1">
      <c r="A1533" s="126">
        <v>46230.015752314801</v>
      </c>
      <c r="B1533" s="7">
        <v>12</v>
      </c>
      <c r="C1533" s="7">
        <v>694</v>
      </c>
      <c r="E1533" s="7" t="s">
        <v>1078</v>
      </c>
      <c r="F1533" s="7" t="s">
        <v>785</v>
      </c>
      <c r="G1533" s="7">
        <v>180</v>
      </c>
      <c r="H1533" s="7" t="s">
        <v>880</v>
      </c>
      <c r="I1533" s="7" t="s">
        <v>874</v>
      </c>
      <c r="J1533" s="7"/>
      <c r="M1533" s="7"/>
      <c r="N1533" s="7" t="s">
        <v>875</v>
      </c>
      <c r="O1533" s="126"/>
      <c r="P1533" s="126"/>
    </row>
    <row r="1534" spans="1:16" ht="15.75" customHeight="1">
      <c r="A1534" s="126">
        <v>46230.015752314801</v>
      </c>
      <c r="B1534" s="7">
        <v>12</v>
      </c>
      <c r="C1534" s="7">
        <v>694</v>
      </c>
      <c r="E1534" s="7" t="s">
        <v>1078</v>
      </c>
      <c r="F1534" s="7" t="s">
        <v>785</v>
      </c>
      <c r="G1534" s="7">
        <v>175</v>
      </c>
      <c r="H1534" s="7" t="s">
        <v>881</v>
      </c>
      <c r="I1534" s="7" t="s">
        <v>878</v>
      </c>
      <c r="J1534" s="7" t="s">
        <v>882</v>
      </c>
      <c r="M1534" s="7"/>
      <c r="N1534" s="7" t="s">
        <v>875</v>
      </c>
      <c r="P1534" s="126"/>
    </row>
    <row r="1535" spans="1:16" ht="15.75" customHeight="1">
      <c r="A1535" s="126">
        <v>46230.015752314801</v>
      </c>
      <c r="B1535" s="7">
        <v>12</v>
      </c>
      <c r="C1535" s="7">
        <v>694</v>
      </c>
      <c r="E1535" s="7" t="s">
        <v>1078</v>
      </c>
      <c r="F1535" s="7" t="s">
        <v>785</v>
      </c>
      <c r="G1535" s="7">
        <v>177</v>
      </c>
      <c r="H1535" s="7" t="s">
        <v>883</v>
      </c>
      <c r="I1535" s="7" t="s">
        <v>878</v>
      </c>
      <c r="J1535" s="7" t="s">
        <v>882</v>
      </c>
      <c r="M1535" s="7"/>
      <c r="N1535" s="7" t="s">
        <v>875</v>
      </c>
      <c r="P1535" s="126"/>
    </row>
    <row r="1536" spans="1:16" ht="15.75" customHeight="1">
      <c r="A1536" s="126">
        <v>46230.015752314801</v>
      </c>
      <c r="B1536" s="7">
        <v>12</v>
      </c>
      <c r="C1536" s="7">
        <v>694</v>
      </c>
      <c r="E1536" s="7" t="s">
        <v>1078</v>
      </c>
      <c r="F1536" s="7" t="s">
        <v>785</v>
      </c>
      <c r="G1536" s="7">
        <v>176</v>
      </c>
      <c r="H1536" s="7" t="s">
        <v>884</v>
      </c>
      <c r="I1536" s="7" t="s">
        <v>878</v>
      </c>
      <c r="J1536" s="7" t="s">
        <v>882</v>
      </c>
      <c r="M1536" s="7"/>
      <c r="N1536" s="7" t="s">
        <v>875</v>
      </c>
      <c r="O1536" s="126"/>
      <c r="P1536" s="126"/>
    </row>
    <row r="1537" spans="1:16" ht="15.75" customHeight="1">
      <c r="A1537" s="126">
        <v>46230.015752314801</v>
      </c>
      <c r="B1537" s="7">
        <v>12</v>
      </c>
      <c r="C1537" s="7">
        <v>694</v>
      </c>
      <c r="E1537" s="7" t="s">
        <v>1078</v>
      </c>
      <c r="F1537" s="7" t="s">
        <v>785</v>
      </c>
      <c r="G1537" s="7">
        <v>168</v>
      </c>
      <c r="H1537" s="7" t="s">
        <v>885</v>
      </c>
      <c r="I1537" s="7" t="s">
        <v>886</v>
      </c>
      <c r="J1537" s="7"/>
      <c r="M1537" s="7">
        <v>100</v>
      </c>
      <c r="N1537" s="7">
        <v>100</v>
      </c>
      <c r="P1537" s="126">
        <v>46210.418449074103</v>
      </c>
    </row>
    <row r="1538" spans="1:16" ht="15.75" customHeight="1">
      <c r="A1538" s="126">
        <v>46230.015752314801</v>
      </c>
      <c r="B1538" s="7">
        <v>12</v>
      </c>
      <c r="C1538" s="7">
        <v>752</v>
      </c>
      <c r="E1538" s="7" t="s">
        <v>1079</v>
      </c>
      <c r="F1538" s="7" t="s">
        <v>12</v>
      </c>
      <c r="G1538" s="7">
        <v>181</v>
      </c>
      <c r="H1538" s="7" t="s">
        <v>873</v>
      </c>
      <c r="I1538" s="7" t="s">
        <v>874</v>
      </c>
      <c r="J1538" s="7"/>
      <c r="M1538" s="7"/>
      <c r="N1538" s="7" t="s">
        <v>875</v>
      </c>
      <c r="O1538" s="126"/>
      <c r="P1538" s="126"/>
    </row>
    <row r="1539" spans="1:16" ht="15.75" customHeight="1">
      <c r="A1539" s="126">
        <v>46230.015752314801</v>
      </c>
      <c r="B1539" s="7">
        <v>12</v>
      </c>
      <c r="C1539" s="7">
        <v>752</v>
      </c>
      <c r="E1539" s="7" t="s">
        <v>1079</v>
      </c>
      <c r="F1539" s="7" t="s">
        <v>12</v>
      </c>
      <c r="G1539" s="7">
        <v>182</v>
      </c>
      <c r="H1539" s="7" t="s">
        <v>876</v>
      </c>
      <c r="I1539" s="7" t="s">
        <v>874</v>
      </c>
      <c r="J1539" s="7"/>
      <c r="M1539" s="7"/>
      <c r="N1539" s="7" t="s">
        <v>875</v>
      </c>
      <c r="O1539" s="126"/>
      <c r="P1539" s="126"/>
    </row>
    <row r="1540" spans="1:16" ht="15.75" customHeight="1">
      <c r="A1540" s="126">
        <v>46230.015752314801</v>
      </c>
      <c r="B1540" s="7">
        <v>12</v>
      </c>
      <c r="C1540" s="7">
        <v>752</v>
      </c>
      <c r="E1540" s="7" t="s">
        <v>1079</v>
      </c>
      <c r="F1540" s="7" t="s">
        <v>12</v>
      </c>
      <c r="G1540" s="7">
        <v>174</v>
      </c>
      <c r="H1540" s="7" t="s">
        <v>877</v>
      </c>
      <c r="I1540" s="7" t="s">
        <v>878</v>
      </c>
      <c r="J1540" s="7" t="s">
        <v>879</v>
      </c>
      <c r="M1540" s="7">
        <v>100</v>
      </c>
      <c r="N1540" s="7">
        <v>100</v>
      </c>
      <c r="P1540" s="126">
        <v>46212.573923611097</v>
      </c>
    </row>
    <row r="1541" spans="1:16" ht="15.75" customHeight="1">
      <c r="A1541" s="126">
        <v>46230.015752314801</v>
      </c>
      <c r="B1541" s="7">
        <v>12</v>
      </c>
      <c r="C1541" s="7">
        <v>752</v>
      </c>
      <c r="E1541" s="7" t="s">
        <v>1079</v>
      </c>
      <c r="F1541" s="7" t="s">
        <v>12</v>
      </c>
      <c r="G1541" s="7">
        <v>180</v>
      </c>
      <c r="H1541" s="7" t="s">
        <v>880</v>
      </c>
      <c r="I1541" s="7" t="s">
        <v>874</v>
      </c>
      <c r="J1541" s="7"/>
      <c r="M1541" s="7"/>
      <c r="N1541" s="7" t="s">
        <v>875</v>
      </c>
      <c r="O1541" s="126"/>
      <c r="P1541" s="126"/>
    </row>
    <row r="1542" spans="1:16" ht="15.75" customHeight="1">
      <c r="A1542" s="126">
        <v>46230.015752314801</v>
      </c>
      <c r="B1542" s="7">
        <v>12</v>
      </c>
      <c r="C1542" s="7">
        <v>752</v>
      </c>
      <c r="E1542" s="7" t="s">
        <v>1079</v>
      </c>
      <c r="F1542" s="7" t="s">
        <v>12</v>
      </c>
      <c r="G1542" s="7">
        <v>175</v>
      </c>
      <c r="H1542" s="7" t="s">
        <v>881</v>
      </c>
      <c r="I1542" s="7" t="s">
        <v>878</v>
      </c>
      <c r="J1542" s="7" t="s">
        <v>882</v>
      </c>
      <c r="M1542" s="7">
        <v>75</v>
      </c>
      <c r="N1542" s="7">
        <v>75</v>
      </c>
      <c r="O1542" s="126">
        <v>46216.955833333297</v>
      </c>
      <c r="P1542" s="126">
        <v>46216.955833333297</v>
      </c>
    </row>
    <row r="1543" spans="1:16" ht="15.75" customHeight="1">
      <c r="A1543" s="126">
        <v>46230.015752314801</v>
      </c>
      <c r="B1543" s="7">
        <v>12</v>
      </c>
      <c r="C1543" s="7">
        <v>752</v>
      </c>
      <c r="E1543" s="7" t="s">
        <v>1079</v>
      </c>
      <c r="F1543" s="7" t="s">
        <v>12</v>
      </c>
      <c r="G1543" s="7">
        <v>177</v>
      </c>
      <c r="H1543" s="7" t="s">
        <v>883</v>
      </c>
      <c r="I1543" s="7" t="s">
        <v>878</v>
      </c>
      <c r="J1543" s="7" t="s">
        <v>882</v>
      </c>
      <c r="M1543" s="7"/>
      <c r="N1543" s="7" t="s">
        <v>875</v>
      </c>
      <c r="P1543" s="126"/>
    </row>
    <row r="1544" spans="1:16" ht="15.75" customHeight="1">
      <c r="A1544" s="126">
        <v>46230.015752314801</v>
      </c>
      <c r="B1544" s="7">
        <v>12</v>
      </c>
      <c r="C1544" s="7">
        <v>752</v>
      </c>
      <c r="E1544" s="7" t="s">
        <v>1079</v>
      </c>
      <c r="F1544" s="7" t="s">
        <v>12</v>
      </c>
      <c r="G1544" s="7">
        <v>176</v>
      </c>
      <c r="H1544" s="7" t="s">
        <v>884</v>
      </c>
      <c r="I1544" s="7" t="s">
        <v>878</v>
      </c>
      <c r="J1544" s="7" t="s">
        <v>882</v>
      </c>
      <c r="M1544" s="7">
        <v>100</v>
      </c>
      <c r="N1544" s="7">
        <v>100</v>
      </c>
      <c r="O1544" s="126">
        <v>46225.737997685203</v>
      </c>
      <c r="P1544" s="126">
        <v>46225.737997685203</v>
      </c>
    </row>
    <row r="1545" spans="1:16" ht="15.75" customHeight="1">
      <c r="A1545" s="126">
        <v>46230.015752314801</v>
      </c>
      <c r="B1545" s="7">
        <v>12</v>
      </c>
      <c r="C1545" s="7">
        <v>752</v>
      </c>
      <c r="E1545" s="7" t="s">
        <v>1079</v>
      </c>
      <c r="F1545" s="7" t="s">
        <v>12</v>
      </c>
      <c r="G1545" s="7">
        <v>168</v>
      </c>
      <c r="H1545" s="7" t="s">
        <v>885</v>
      </c>
      <c r="I1545" s="7" t="s">
        <v>886</v>
      </c>
      <c r="J1545" s="7"/>
      <c r="M1545" s="7">
        <v>100</v>
      </c>
      <c r="N1545" s="7">
        <v>100</v>
      </c>
      <c r="O1545" s="126"/>
      <c r="P1545" s="126">
        <v>46212.573923611097</v>
      </c>
    </row>
    <row r="1546" spans="1:16" ht="15.75" customHeight="1">
      <c r="A1546" s="126">
        <v>46230.015752314801</v>
      </c>
      <c r="B1546" s="7">
        <v>12</v>
      </c>
      <c r="C1546" s="7">
        <v>714</v>
      </c>
      <c r="E1546" s="7" t="s">
        <v>1080</v>
      </c>
      <c r="F1546" s="7" t="s">
        <v>557</v>
      </c>
      <c r="G1546" s="7">
        <v>181</v>
      </c>
      <c r="H1546" s="7" t="s">
        <v>873</v>
      </c>
      <c r="I1546" s="7" t="s">
        <v>874</v>
      </c>
      <c r="J1546" s="7"/>
      <c r="M1546" s="7"/>
      <c r="N1546" s="7" t="s">
        <v>875</v>
      </c>
      <c r="P1546" s="126"/>
    </row>
    <row r="1547" spans="1:16" ht="15.75" customHeight="1">
      <c r="A1547" s="126">
        <v>46230.015752314801</v>
      </c>
      <c r="B1547" s="7">
        <v>12</v>
      </c>
      <c r="C1547" s="7">
        <v>714</v>
      </c>
      <c r="E1547" s="7" t="s">
        <v>1080</v>
      </c>
      <c r="F1547" s="7" t="s">
        <v>557</v>
      </c>
      <c r="G1547" s="7">
        <v>182</v>
      </c>
      <c r="H1547" s="7" t="s">
        <v>876</v>
      </c>
      <c r="I1547" s="7" t="s">
        <v>874</v>
      </c>
      <c r="J1547" s="7"/>
      <c r="M1547" s="7"/>
      <c r="N1547" s="7" t="s">
        <v>875</v>
      </c>
      <c r="O1547" s="126"/>
      <c r="P1547" s="126"/>
    </row>
    <row r="1548" spans="1:16" ht="15.75" customHeight="1">
      <c r="A1548" s="126">
        <v>46230.015752314801</v>
      </c>
      <c r="B1548" s="7">
        <v>12</v>
      </c>
      <c r="C1548" s="7">
        <v>714</v>
      </c>
      <c r="E1548" s="7" t="s">
        <v>1080</v>
      </c>
      <c r="F1548" s="7" t="s">
        <v>557</v>
      </c>
      <c r="G1548" s="7">
        <v>174</v>
      </c>
      <c r="H1548" s="7" t="s">
        <v>877</v>
      </c>
      <c r="I1548" s="7" t="s">
        <v>878</v>
      </c>
      <c r="J1548" s="7" t="s">
        <v>879</v>
      </c>
      <c r="M1548" s="7">
        <v>100</v>
      </c>
      <c r="N1548" s="7">
        <v>100</v>
      </c>
      <c r="O1548" s="126"/>
      <c r="P1548" s="126">
        <v>46211.502592592602</v>
      </c>
    </row>
    <row r="1549" spans="1:16" ht="15.75" customHeight="1">
      <c r="A1549" s="126">
        <v>46230.015752314801</v>
      </c>
      <c r="B1549" s="7">
        <v>12</v>
      </c>
      <c r="C1549" s="7">
        <v>714</v>
      </c>
      <c r="E1549" s="7" t="s">
        <v>1080</v>
      </c>
      <c r="F1549" s="7" t="s">
        <v>557</v>
      </c>
      <c r="G1549" s="7">
        <v>180</v>
      </c>
      <c r="H1549" s="7" t="s">
        <v>880</v>
      </c>
      <c r="I1549" s="7" t="s">
        <v>874</v>
      </c>
      <c r="J1549" s="7"/>
      <c r="M1549" s="7"/>
      <c r="N1549" s="7" t="s">
        <v>875</v>
      </c>
      <c r="O1549" s="126"/>
      <c r="P1549" s="126"/>
    </row>
    <row r="1550" spans="1:16" ht="15.75" customHeight="1">
      <c r="A1550" s="126">
        <v>46230.015752314801</v>
      </c>
      <c r="B1550" s="7">
        <v>12</v>
      </c>
      <c r="C1550" s="7">
        <v>714</v>
      </c>
      <c r="E1550" s="7" t="s">
        <v>1080</v>
      </c>
      <c r="F1550" s="7" t="s">
        <v>557</v>
      </c>
      <c r="G1550" s="7">
        <v>175</v>
      </c>
      <c r="H1550" s="7" t="s">
        <v>881</v>
      </c>
      <c r="I1550" s="7" t="s">
        <v>878</v>
      </c>
      <c r="J1550" s="7" t="s">
        <v>882</v>
      </c>
      <c r="M1550" s="7">
        <v>100</v>
      </c>
      <c r="N1550" s="7">
        <v>100</v>
      </c>
      <c r="O1550" s="126">
        <v>46216.5414930556</v>
      </c>
      <c r="P1550" s="126">
        <v>46216.5414930556</v>
      </c>
    </row>
    <row r="1551" spans="1:16" ht="15.75" customHeight="1">
      <c r="A1551" s="126">
        <v>46230.015752314801</v>
      </c>
      <c r="B1551" s="7">
        <v>12</v>
      </c>
      <c r="C1551" s="7">
        <v>714</v>
      </c>
      <c r="E1551" s="7" t="s">
        <v>1080</v>
      </c>
      <c r="F1551" s="7" t="s">
        <v>557</v>
      </c>
      <c r="G1551" s="7">
        <v>177</v>
      </c>
      <c r="H1551" s="7" t="s">
        <v>883</v>
      </c>
      <c r="I1551" s="7" t="s">
        <v>878</v>
      </c>
      <c r="J1551" s="7" t="s">
        <v>882</v>
      </c>
      <c r="M1551" s="7"/>
      <c r="N1551" s="7" t="s">
        <v>875</v>
      </c>
      <c r="O1551" s="126"/>
      <c r="P1551" s="126"/>
    </row>
    <row r="1552" spans="1:16" ht="15.75" customHeight="1">
      <c r="A1552" s="126">
        <v>46230.015752314801</v>
      </c>
      <c r="B1552" s="7">
        <v>12</v>
      </c>
      <c r="C1552" s="7">
        <v>714</v>
      </c>
      <c r="E1552" s="7" t="s">
        <v>1080</v>
      </c>
      <c r="F1552" s="7" t="s">
        <v>557</v>
      </c>
      <c r="G1552" s="7">
        <v>176</v>
      </c>
      <c r="H1552" s="7" t="s">
        <v>884</v>
      </c>
      <c r="I1552" s="7" t="s">
        <v>878</v>
      </c>
      <c r="J1552" s="7" t="s">
        <v>882</v>
      </c>
      <c r="M1552" s="7">
        <v>90</v>
      </c>
      <c r="N1552" s="7">
        <v>90</v>
      </c>
      <c r="O1552" s="126">
        <v>46226.750972222202</v>
      </c>
      <c r="P1552" s="126">
        <v>46226.750972222202</v>
      </c>
    </row>
    <row r="1553" spans="1:16" ht="15.75" customHeight="1">
      <c r="A1553" s="126">
        <v>46230.015752314801</v>
      </c>
      <c r="B1553" s="7">
        <v>12</v>
      </c>
      <c r="C1553" s="7">
        <v>714</v>
      </c>
      <c r="E1553" s="7" t="s">
        <v>1080</v>
      </c>
      <c r="F1553" s="7" t="s">
        <v>557</v>
      </c>
      <c r="G1553" s="7">
        <v>168</v>
      </c>
      <c r="H1553" s="7" t="s">
        <v>885</v>
      </c>
      <c r="I1553" s="7" t="s">
        <v>886</v>
      </c>
      <c r="J1553" s="7"/>
      <c r="M1553" s="7">
        <v>100</v>
      </c>
      <c r="N1553" s="7">
        <v>100</v>
      </c>
      <c r="P1553" s="126">
        <v>46211.502592592602</v>
      </c>
    </row>
    <row r="1554" spans="1:16" ht="15.75" customHeight="1">
      <c r="A1554" s="126">
        <v>46230.015752314801</v>
      </c>
      <c r="B1554" s="7">
        <v>12</v>
      </c>
      <c r="C1554" s="7">
        <v>766</v>
      </c>
      <c r="E1554" s="7" t="s">
        <v>1081</v>
      </c>
      <c r="F1554" s="7" t="s">
        <v>142</v>
      </c>
      <c r="G1554" s="7">
        <v>181</v>
      </c>
      <c r="H1554" s="7" t="s">
        <v>873</v>
      </c>
      <c r="I1554" s="7" t="s">
        <v>874</v>
      </c>
      <c r="J1554" s="7"/>
      <c r="M1554" s="7"/>
      <c r="N1554" s="7" t="s">
        <v>875</v>
      </c>
      <c r="O1554" s="126"/>
      <c r="P1554" s="126"/>
    </row>
    <row r="1555" spans="1:16" ht="15.75" customHeight="1">
      <c r="A1555" s="126">
        <v>46230.015752314801</v>
      </c>
      <c r="B1555" s="7">
        <v>12</v>
      </c>
      <c r="C1555" s="7">
        <v>766</v>
      </c>
      <c r="E1555" s="7" t="s">
        <v>1081</v>
      </c>
      <c r="F1555" s="7" t="s">
        <v>142</v>
      </c>
      <c r="G1555" s="7">
        <v>182</v>
      </c>
      <c r="H1555" s="7" t="s">
        <v>876</v>
      </c>
      <c r="I1555" s="7" t="s">
        <v>874</v>
      </c>
      <c r="J1555" s="7"/>
      <c r="M1555" s="7"/>
      <c r="N1555" s="7" t="s">
        <v>875</v>
      </c>
      <c r="P1555" s="126"/>
    </row>
    <row r="1556" spans="1:16" ht="15.75" customHeight="1">
      <c r="A1556" s="126">
        <v>46230.015752314801</v>
      </c>
      <c r="B1556" s="7">
        <v>12</v>
      </c>
      <c r="C1556" s="7">
        <v>766</v>
      </c>
      <c r="E1556" s="7" t="s">
        <v>1081</v>
      </c>
      <c r="F1556" s="7" t="s">
        <v>142</v>
      </c>
      <c r="G1556" s="7">
        <v>174</v>
      </c>
      <c r="H1556" s="7" t="s">
        <v>877</v>
      </c>
      <c r="I1556" s="7" t="s">
        <v>878</v>
      </c>
      <c r="J1556" s="7" t="s">
        <v>879</v>
      </c>
      <c r="M1556" s="7">
        <v>100</v>
      </c>
      <c r="N1556" s="7">
        <v>100</v>
      </c>
      <c r="O1556" s="126"/>
      <c r="P1556" s="126">
        <v>46209.706979166702</v>
      </c>
    </row>
    <row r="1557" spans="1:16" ht="15.75" customHeight="1">
      <c r="A1557" s="126">
        <v>46230.015752314801</v>
      </c>
      <c r="B1557" s="7">
        <v>12</v>
      </c>
      <c r="C1557" s="7">
        <v>766</v>
      </c>
      <c r="E1557" s="7" t="s">
        <v>1081</v>
      </c>
      <c r="F1557" s="7" t="s">
        <v>142</v>
      </c>
      <c r="G1557" s="7">
        <v>180</v>
      </c>
      <c r="H1557" s="7" t="s">
        <v>880</v>
      </c>
      <c r="I1557" s="7" t="s">
        <v>874</v>
      </c>
      <c r="J1557" s="7"/>
      <c r="M1557" s="7"/>
      <c r="N1557" s="7" t="s">
        <v>875</v>
      </c>
      <c r="O1557" s="126"/>
      <c r="P1557" s="126"/>
    </row>
    <row r="1558" spans="1:16" ht="15.75" customHeight="1">
      <c r="A1558" s="126">
        <v>46230.015752314801</v>
      </c>
      <c r="B1558" s="7">
        <v>12</v>
      </c>
      <c r="C1558" s="7">
        <v>766</v>
      </c>
      <c r="E1558" s="7" t="s">
        <v>1081</v>
      </c>
      <c r="F1558" s="7" t="s">
        <v>142</v>
      </c>
      <c r="G1558" s="7">
        <v>175</v>
      </c>
      <c r="H1558" s="7" t="s">
        <v>881</v>
      </c>
      <c r="I1558" s="7" t="s">
        <v>878</v>
      </c>
      <c r="J1558" s="7" t="s">
        <v>882</v>
      </c>
      <c r="M1558" s="7">
        <v>87.5</v>
      </c>
      <c r="N1558" s="7">
        <v>87.5</v>
      </c>
      <c r="O1558" s="126">
        <v>46215.528611111098</v>
      </c>
      <c r="P1558" s="126">
        <v>46215.528611111098</v>
      </c>
    </row>
    <row r="1559" spans="1:16" ht="15.75" customHeight="1">
      <c r="A1559" s="126">
        <v>46230.015752314801</v>
      </c>
      <c r="B1559" s="7">
        <v>12</v>
      </c>
      <c r="C1559" s="7">
        <v>766</v>
      </c>
      <c r="E1559" s="7" t="s">
        <v>1081</v>
      </c>
      <c r="F1559" s="7" t="s">
        <v>142</v>
      </c>
      <c r="G1559" s="7">
        <v>177</v>
      </c>
      <c r="H1559" s="7" t="s">
        <v>883</v>
      </c>
      <c r="I1559" s="7" t="s">
        <v>878</v>
      </c>
      <c r="J1559" s="7" t="s">
        <v>882</v>
      </c>
      <c r="M1559" s="7"/>
      <c r="N1559" s="7" t="s">
        <v>875</v>
      </c>
      <c r="P1559" s="126"/>
    </row>
    <row r="1560" spans="1:16" ht="15.75" customHeight="1">
      <c r="A1560" s="126">
        <v>46230.015752314801</v>
      </c>
      <c r="B1560" s="7">
        <v>12</v>
      </c>
      <c r="C1560" s="7">
        <v>766</v>
      </c>
      <c r="E1560" s="7" t="s">
        <v>1081</v>
      </c>
      <c r="F1560" s="7" t="s">
        <v>142</v>
      </c>
      <c r="G1560" s="7">
        <v>176</v>
      </c>
      <c r="H1560" s="7" t="s">
        <v>884</v>
      </c>
      <c r="I1560" s="7" t="s">
        <v>878</v>
      </c>
      <c r="J1560" s="7" t="s">
        <v>882</v>
      </c>
      <c r="M1560" s="7">
        <v>85</v>
      </c>
      <c r="N1560" s="7">
        <v>85</v>
      </c>
      <c r="O1560" s="126">
        <v>46228.659548611096</v>
      </c>
      <c r="P1560" s="126">
        <v>46228.659548611096</v>
      </c>
    </row>
    <row r="1561" spans="1:16" ht="15.75" customHeight="1">
      <c r="A1561" s="126">
        <v>46230.015752314801</v>
      </c>
      <c r="B1561" s="7">
        <v>12</v>
      </c>
      <c r="C1561" s="7">
        <v>766</v>
      </c>
      <c r="E1561" s="7" t="s">
        <v>1081</v>
      </c>
      <c r="F1561" s="7" t="s">
        <v>142</v>
      </c>
      <c r="G1561" s="7">
        <v>168</v>
      </c>
      <c r="H1561" s="7" t="s">
        <v>885</v>
      </c>
      <c r="I1561" s="7" t="s">
        <v>886</v>
      </c>
      <c r="J1561" s="7"/>
      <c r="M1561" s="7">
        <v>100</v>
      </c>
      <c r="N1561" s="7">
        <v>100</v>
      </c>
      <c r="P1561" s="126">
        <v>46209.706979166702</v>
      </c>
    </row>
    <row r="1562" spans="1:16" ht="15.75" customHeight="1">
      <c r="A1562" s="126">
        <v>46230.015752314801</v>
      </c>
      <c r="B1562" s="7">
        <v>12</v>
      </c>
      <c r="C1562" s="7">
        <v>629</v>
      </c>
      <c r="D1562" s="7"/>
      <c r="E1562" s="7" t="s">
        <v>1082</v>
      </c>
      <c r="F1562" s="7" t="s">
        <v>50</v>
      </c>
      <c r="G1562" s="7">
        <v>181</v>
      </c>
      <c r="H1562" s="7" t="s">
        <v>873</v>
      </c>
      <c r="I1562" s="7" t="s">
        <v>874</v>
      </c>
      <c r="J1562" s="7"/>
      <c r="M1562" s="7"/>
      <c r="N1562" s="7" t="s">
        <v>875</v>
      </c>
      <c r="P1562" s="126"/>
    </row>
    <row r="1563" spans="1:16" ht="15.75" customHeight="1">
      <c r="A1563" s="126">
        <v>46230.015752314801</v>
      </c>
      <c r="B1563" s="7">
        <v>12</v>
      </c>
      <c r="C1563" s="7">
        <v>629</v>
      </c>
      <c r="D1563" s="7"/>
      <c r="E1563" s="7" t="s">
        <v>1082</v>
      </c>
      <c r="F1563" s="7" t="s">
        <v>50</v>
      </c>
      <c r="G1563" s="7">
        <v>182</v>
      </c>
      <c r="H1563" s="7" t="s">
        <v>876</v>
      </c>
      <c r="I1563" s="7" t="s">
        <v>874</v>
      </c>
      <c r="J1563" s="7"/>
      <c r="M1563" s="7"/>
      <c r="N1563" s="7" t="s">
        <v>875</v>
      </c>
      <c r="O1563" s="126"/>
      <c r="P1563" s="126"/>
    </row>
    <row r="1564" spans="1:16" ht="15.75" customHeight="1">
      <c r="A1564" s="126">
        <v>46230.015752314801</v>
      </c>
      <c r="B1564" s="7">
        <v>12</v>
      </c>
      <c r="C1564" s="7">
        <v>629</v>
      </c>
      <c r="D1564" s="7"/>
      <c r="E1564" s="7" t="s">
        <v>1082</v>
      </c>
      <c r="F1564" s="7" t="s">
        <v>50</v>
      </c>
      <c r="G1564" s="7">
        <v>174</v>
      </c>
      <c r="H1564" s="7" t="s">
        <v>877</v>
      </c>
      <c r="I1564" s="7" t="s">
        <v>878</v>
      </c>
      <c r="J1564" s="7" t="s">
        <v>879</v>
      </c>
      <c r="M1564" s="7">
        <v>100</v>
      </c>
      <c r="N1564" s="7">
        <v>100</v>
      </c>
      <c r="P1564" s="126">
        <v>46209.706979166702</v>
      </c>
    </row>
    <row r="1565" spans="1:16" ht="15.75" customHeight="1">
      <c r="A1565" s="126">
        <v>46230.015752314801</v>
      </c>
      <c r="B1565" s="7">
        <v>12</v>
      </c>
      <c r="C1565" s="7">
        <v>629</v>
      </c>
      <c r="D1565" s="7"/>
      <c r="E1565" s="7" t="s">
        <v>1082</v>
      </c>
      <c r="F1565" s="7" t="s">
        <v>50</v>
      </c>
      <c r="G1565" s="7">
        <v>180</v>
      </c>
      <c r="H1565" s="7" t="s">
        <v>880</v>
      </c>
      <c r="I1565" s="7" t="s">
        <v>874</v>
      </c>
      <c r="J1565" s="7"/>
      <c r="M1565" s="7"/>
      <c r="N1565" s="7" t="s">
        <v>875</v>
      </c>
      <c r="O1565" s="126"/>
      <c r="P1565" s="126"/>
    </row>
    <row r="1566" spans="1:16" ht="15.75" customHeight="1">
      <c r="A1566" s="126">
        <v>46230.015752314801</v>
      </c>
      <c r="B1566" s="7">
        <v>12</v>
      </c>
      <c r="C1566" s="7">
        <v>629</v>
      </c>
      <c r="D1566" s="7"/>
      <c r="E1566" s="7" t="s">
        <v>1082</v>
      </c>
      <c r="F1566" s="7" t="s">
        <v>50</v>
      </c>
      <c r="G1566" s="7">
        <v>175</v>
      </c>
      <c r="H1566" s="7" t="s">
        <v>881</v>
      </c>
      <c r="I1566" s="7" t="s">
        <v>878</v>
      </c>
      <c r="J1566" s="7" t="s">
        <v>882</v>
      </c>
      <c r="M1566" s="7">
        <v>87.5</v>
      </c>
      <c r="N1566" s="7">
        <v>87.5</v>
      </c>
      <c r="O1566" s="126">
        <v>46216.426574074103</v>
      </c>
      <c r="P1566" s="126">
        <v>46216.426574074103</v>
      </c>
    </row>
    <row r="1567" spans="1:16" ht="15.75" customHeight="1">
      <c r="A1567" s="126">
        <v>46230.015752314801</v>
      </c>
      <c r="B1567" s="7">
        <v>12</v>
      </c>
      <c r="C1567" s="7">
        <v>629</v>
      </c>
      <c r="D1567" s="7"/>
      <c r="E1567" s="7" t="s">
        <v>1082</v>
      </c>
      <c r="F1567" s="7" t="s">
        <v>50</v>
      </c>
      <c r="G1567" s="7">
        <v>177</v>
      </c>
      <c r="H1567" s="7" t="s">
        <v>883</v>
      </c>
      <c r="I1567" s="7" t="s">
        <v>878</v>
      </c>
      <c r="J1567" s="7" t="s">
        <v>882</v>
      </c>
      <c r="M1567" s="7"/>
      <c r="N1567" s="7" t="s">
        <v>875</v>
      </c>
      <c r="P1567" s="126"/>
    </row>
    <row r="1568" spans="1:16" ht="15.75" customHeight="1">
      <c r="A1568" s="126">
        <v>46230.015752314801</v>
      </c>
      <c r="B1568" s="7">
        <v>12</v>
      </c>
      <c r="C1568" s="7">
        <v>629</v>
      </c>
      <c r="D1568" s="7"/>
      <c r="E1568" s="7" t="s">
        <v>1082</v>
      </c>
      <c r="F1568" s="7" t="s">
        <v>50</v>
      </c>
      <c r="G1568" s="7">
        <v>176</v>
      </c>
      <c r="H1568" s="7" t="s">
        <v>884</v>
      </c>
      <c r="I1568" s="7" t="s">
        <v>878</v>
      </c>
      <c r="J1568" s="7" t="s">
        <v>882</v>
      </c>
      <c r="M1568" s="7">
        <v>100</v>
      </c>
      <c r="N1568" s="7">
        <v>100</v>
      </c>
      <c r="O1568" s="126">
        <v>46225.4941666667</v>
      </c>
      <c r="P1568" s="126">
        <v>46225.4941666667</v>
      </c>
    </row>
    <row r="1569" spans="1:16" ht="15.75" customHeight="1">
      <c r="A1569" s="126">
        <v>46230.015752314801</v>
      </c>
      <c r="B1569" s="7">
        <v>12</v>
      </c>
      <c r="C1569" s="7">
        <v>629</v>
      </c>
      <c r="D1569" s="7"/>
      <c r="E1569" s="7" t="s">
        <v>1082</v>
      </c>
      <c r="F1569" s="7" t="s">
        <v>50</v>
      </c>
      <c r="G1569" s="7">
        <v>168</v>
      </c>
      <c r="H1569" s="7" t="s">
        <v>885</v>
      </c>
      <c r="I1569" s="7" t="s">
        <v>886</v>
      </c>
      <c r="J1569" s="7"/>
      <c r="M1569" s="7">
        <v>100</v>
      </c>
      <c r="N1569" s="7">
        <v>100</v>
      </c>
      <c r="O1569" s="126"/>
      <c r="P1569" s="126">
        <v>46209.706979166702</v>
      </c>
    </row>
    <row r="1570" spans="1:16" ht="15.75" customHeight="1">
      <c r="A1570" s="126">
        <v>46230.015752314801</v>
      </c>
      <c r="B1570" s="7">
        <v>12</v>
      </c>
      <c r="C1570" s="7">
        <v>733</v>
      </c>
      <c r="D1570" s="7"/>
      <c r="E1570" s="7" t="s">
        <v>1083</v>
      </c>
      <c r="F1570" s="7" t="s">
        <v>791</v>
      </c>
      <c r="G1570" s="7">
        <v>181</v>
      </c>
      <c r="H1570" s="7" t="s">
        <v>873</v>
      </c>
      <c r="I1570" s="7" t="s">
        <v>874</v>
      </c>
      <c r="J1570" s="7"/>
      <c r="M1570" s="7"/>
      <c r="N1570" s="7" t="s">
        <v>875</v>
      </c>
      <c r="P1570" s="126"/>
    </row>
    <row r="1571" spans="1:16" ht="15.75" customHeight="1">
      <c r="A1571" s="126">
        <v>46230.015752314801</v>
      </c>
      <c r="B1571" s="7">
        <v>12</v>
      </c>
      <c r="C1571" s="7">
        <v>733</v>
      </c>
      <c r="D1571" s="7"/>
      <c r="E1571" s="7" t="s">
        <v>1083</v>
      </c>
      <c r="F1571" s="7" t="s">
        <v>791</v>
      </c>
      <c r="G1571" s="7">
        <v>182</v>
      </c>
      <c r="H1571" s="7" t="s">
        <v>876</v>
      </c>
      <c r="I1571" s="7" t="s">
        <v>874</v>
      </c>
      <c r="J1571" s="7"/>
      <c r="M1571" s="7"/>
      <c r="N1571" s="7" t="s">
        <v>875</v>
      </c>
      <c r="P1571" s="126"/>
    </row>
    <row r="1572" spans="1:16" ht="15.75" customHeight="1">
      <c r="A1572" s="126">
        <v>46230.015752314801</v>
      </c>
      <c r="B1572" s="7">
        <v>12</v>
      </c>
      <c r="C1572" s="7">
        <v>733</v>
      </c>
      <c r="D1572" s="7"/>
      <c r="E1572" s="7" t="s">
        <v>1083</v>
      </c>
      <c r="F1572" s="7" t="s">
        <v>791</v>
      </c>
      <c r="G1572" s="7">
        <v>174</v>
      </c>
      <c r="H1572" s="7" t="s">
        <v>877</v>
      </c>
      <c r="I1572" s="7" t="s">
        <v>878</v>
      </c>
      <c r="J1572" s="7" t="s">
        <v>879</v>
      </c>
      <c r="M1572" s="7">
        <v>100</v>
      </c>
      <c r="N1572" s="7">
        <v>100</v>
      </c>
      <c r="O1572" s="126"/>
      <c r="P1572" s="126">
        <v>46209.678761574098</v>
      </c>
    </row>
    <row r="1573" spans="1:16" ht="15.75" customHeight="1">
      <c r="A1573" s="126">
        <v>46230.015752314801</v>
      </c>
      <c r="B1573" s="7">
        <v>12</v>
      </c>
      <c r="C1573" s="7">
        <v>733</v>
      </c>
      <c r="D1573" s="7"/>
      <c r="E1573" s="7" t="s">
        <v>1083</v>
      </c>
      <c r="F1573" s="7" t="s">
        <v>791</v>
      </c>
      <c r="G1573" s="7">
        <v>180</v>
      </c>
      <c r="H1573" s="7" t="s">
        <v>880</v>
      </c>
      <c r="I1573" s="7" t="s">
        <v>874</v>
      </c>
      <c r="J1573" s="7"/>
      <c r="M1573" s="7"/>
      <c r="N1573" s="7" t="s">
        <v>875</v>
      </c>
      <c r="O1573" s="126"/>
      <c r="P1573" s="126"/>
    </row>
    <row r="1574" spans="1:16" ht="15.75" customHeight="1">
      <c r="A1574" s="126">
        <v>46230.015752314801</v>
      </c>
      <c r="B1574" s="7">
        <v>12</v>
      </c>
      <c r="C1574" s="7">
        <v>733</v>
      </c>
      <c r="D1574" s="7"/>
      <c r="E1574" s="7" t="s">
        <v>1083</v>
      </c>
      <c r="F1574" s="7" t="s">
        <v>791</v>
      </c>
      <c r="G1574" s="7">
        <v>175</v>
      </c>
      <c r="H1574" s="7" t="s">
        <v>881</v>
      </c>
      <c r="I1574" s="7" t="s">
        <v>878</v>
      </c>
      <c r="J1574" s="7" t="s">
        <v>882</v>
      </c>
      <c r="M1574" s="7">
        <v>100</v>
      </c>
      <c r="N1574" s="7">
        <v>100</v>
      </c>
      <c r="O1574" s="126">
        <v>46215.738078703696</v>
      </c>
      <c r="P1574" s="126">
        <v>46215.738078703696</v>
      </c>
    </row>
    <row r="1575" spans="1:16" ht="15.75" customHeight="1">
      <c r="A1575" s="126">
        <v>46230.015752314801</v>
      </c>
      <c r="B1575" s="7">
        <v>12</v>
      </c>
      <c r="C1575" s="7">
        <v>733</v>
      </c>
      <c r="D1575" s="7"/>
      <c r="E1575" s="7" t="s">
        <v>1083</v>
      </c>
      <c r="F1575" s="7" t="s">
        <v>791</v>
      </c>
      <c r="G1575" s="7">
        <v>177</v>
      </c>
      <c r="H1575" s="7" t="s">
        <v>883</v>
      </c>
      <c r="I1575" s="7" t="s">
        <v>878</v>
      </c>
      <c r="J1575" s="7" t="s">
        <v>882</v>
      </c>
      <c r="M1575" s="7"/>
      <c r="N1575" s="7" t="s">
        <v>875</v>
      </c>
      <c r="O1575" s="126"/>
      <c r="P1575" s="126"/>
    </row>
    <row r="1576" spans="1:16" ht="15.75" customHeight="1">
      <c r="A1576" s="126">
        <v>46230.015752314801</v>
      </c>
      <c r="B1576" s="7">
        <v>12</v>
      </c>
      <c r="C1576" s="7">
        <v>733</v>
      </c>
      <c r="D1576" s="7"/>
      <c r="E1576" s="7" t="s">
        <v>1083</v>
      </c>
      <c r="F1576" s="7" t="s">
        <v>791</v>
      </c>
      <c r="G1576" s="7">
        <v>176</v>
      </c>
      <c r="H1576" s="7" t="s">
        <v>884</v>
      </c>
      <c r="I1576" s="7" t="s">
        <v>878</v>
      </c>
      <c r="J1576" s="7" t="s">
        <v>882</v>
      </c>
      <c r="M1576" s="7">
        <v>95</v>
      </c>
      <c r="N1576" s="7">
        <v>95</v>
      </c>
      <c r="O1576" s="126">
        <v>46226.989340277803</v>
      </c>
      <c r="P1576" s="126">
        <v>46226.989340277803</v>
      </c>
    </row>
    <row r="1577" spans="1:16" ht="15.75" customHeight="1">
      <c r="A1577" s="126">
        <v>46230.015752314801</v>
      </c>
      <c r="B1577" s="7">
        <v>12</v>
      </c>
      <c r="C1577" s="7">
        <v>733</v>
      </c>
      <c r="D1577" s="7"/>
      <c r="E1577" s="7" t="s">
        <v>1083</v>
      </c>
      <c r="F1577" s="7" t="s">
        <v>791</v>
      </c>
      <c r="G1577" s="7">
        <v>168</v>
      </c>
      <c r="H1577" s="7" t="s">
        <v>885</v>
      </c>
      <c r="I1577" s="7" t="s">
        <v>886</v>
      </c>
      <c r="J1577" s="7"/>
      <c r="M1577" s="7">
        <v>100</v>
      </c>
      <c r="N1577" s="7">
        <v>100</v>
      </c>
      <c r="P1577" s="126">
        <v>46209.678761574098</v>
      </c>
    </row>
    <row r="1578" spans="1:16" ht="15.75" customHeight="1">
      <c r="A1578" s="126">
        <v>46230.015752314801</v>
      </c>
      <c r="B1578" s="7">
        <v>12</v>
      </c>
      <c r="C1578" s="7">
        <v>730</v>
      </c>
      <c r="D1578" s="7"/>
      <c r="E1578" s="7" t="s">
        <v>1084</v>
      </c>
      <c r="F1578" s="7" t="s">
        <v>778</v>
      </c>
      <c r="G1578" s="7">
        <v>181</v>
      </c>
      <c r="H1578" s="7" t="s">
        <v>873</v>
      </c>
      <c r="I1578" s="7" t="s">
        <v>874</v>
      </c>
      <c r="J1578" s="7"/>
      <c r="M1578" s="7"/>
      <c r="N1578" s="7" t="s">
        <v>875</v>
      </c>
      <c r="P1578" s="126"/>
    </row>
    <row r="1579" spans="1:16" ht="15.75" customHeight="1">
      <c r="A1579" s="126">
        <v>46230.015752314801</v>
      </c>
      <c r="B1579" s="7">
        <v>12</v>
      </c>
      <c r="C1579" s="7">
        <v>730</v>
      </c>
      <c r="D1579" s="7"/>
      <c r="E1579" s="7" t="s">
        <v>1084</v>
      </c>
      <c r="F1579" s="7" t="s">
        <v>778</v>
      </c>
      <c r="G1579" s="7">
        <v>182</v>
      </c>
      <c r="H1579" s="7" t="s">
        <v>876</v>
      </c>
      <c r="I1579" s="7" t="s">
        <v>874</v>
      </c>
      <c r="J1579" s="7"/>
      <c r="M1579" s="7"/>
      <c r="N1579" s="7" t="s">
        <v>875</v>
      </c>
      <c r="P1579" s="126"/>
    </row>
    <row r="1580" spans="1:16" ht="15.75" customHeight="1">
      <c r="A1580" s="126">
        <v>46230.015752314801</v>
      </c>
      <c r="B1580" s="7">
        <v>12</v>
      </c>
      <c r="C1580" s="7">
        <v>730</v>
      </c>
      <c r="D1580" s="7"/>
      <c r="E1580" s="7" t="s">
        <v>1084</v>
      </c>
      <c r="F1580" s="7" t="s">
        <v>778</v>
      </c>
      <c r="G1580" s="7">
        <v>174</v>
      </c>
      <c r="H1580" s="7" t="s">
        <v>877</v>
      </c>
      <c r="I1580" s="7" t="s">
        <v>878</v>
      </c>
      <c r="J1580" s="7" t="s">
        <v>879</v>
      </c>
      <c r="M1580" s="7">
        <v>100</v>
      </c>
      <c r="N1580" s="7">
        <v>100</v>
      </c>
      <c r="P1580" s="126">
        <v>46209.706944444399</v>
      </c>
    </row>
    <row r="1581" spans="1:16" ht="15.75" customHeight="1">
      <c r="A1581" s="126">
        <v>46230.015752314801</v>
      </c>
      <c r="B1581" s="7">
        <v>12</v>
      </c>
      <c r="C1581" s="7">
        <v>730</v>
      </c>
      <c r="D1581" s="7"/>
      <c r="E1581" s="7" t="s">
        <v>1084</v>
      </c>
      <c r="F1581" s="7" t="s">
        <v>778</v>
      </c>
      <c r="G1581" s="7">
        <v>180</v>
      </c>
      <c r="H1581" s="7" t="s">
        <v>880</v>
      </c>
      <c r="I1581" s="7" t="s">
        <v>874</v>
      </c>
      <c r="J1581" s="7"/>
      <c r="M1581" s="7"/>
      <c r="N1581" s="7" t="s">
        <v>875</v>
      </c>
      <c r="O1581" s="126"/>
      <c r="P1581" s="126"/>
    </row>
    <row r="1582" spans="1:16" ht="15.75" customHeight="1">
      <c r="A1582" s="126">
        <v>46230.015752314801</v>
      </c>
      <c r="B1582" s="7">
        <v>12</v>
      </c>
      <c r="C1582" s="7">
        <v>730</v>
      </c>
      <c r="D1582" s="7"/>
      <c r="E1582" s="7" t="s">
        <v>1084</v>
      </c>
      <c r="F1582" s="7" t="s">
        <v>778</v>
      </c>
      <c r="G1582" s="7">
        <v>175</v>
      </c>
      <c r="H1582" s="7" t="s">
        <v>881</v>
      </c>
      <c r="I1582" s="7" t="s">
        <v>878</v>
      </c>
      <c r="J1582" s="7" t="s">
        <v>882</v>
      </c>
      <c r="M1582" s="7">
        <v>100</v>
      </c>
      <c r="N1582" s="7">
        <v>100</v>
      </c>
      <c r="O1582" s="126">
        <v>46215.959224537</v>
      </c>
      <c r="P1582" s="126">
        <v>46215.959224537</v>
      </c>
    </row>
    <row r="1583" spans="1:16" ht="15.75" customHeight="1">
      <c r="A1583" s="126">
        <v>46230.015752314801</v>
      </c>
      <c r="B1583" s="7">
        <v>12</v>
      </c>
      <c r="C1583" s="7">
        <v>730</v>
      </c>
      <c r="D1583" s="7"/>
      <c r="E1583" s="7" t="s">
        <v>1084</v>
      </c>
      <c r="F1583" s="7" t="s">
        <v>778</v>
      </c>
      <c r="G1583" s="7">
        <v>177</v>
      </c>
      <c r="H1583" s="7" t="s">
        <v>883</v>
      </c>
      <c r="I1583" s="7" t="s">
        <v>878</v>
      </c>
      <c r="J1583" s="7" t="s">
        <v>882</v>
      </c>
      <c r="M1583" s="7"/>
      <c r="N1583" s="7" t="s">
        <v>875</v>
      </c>
      <c r="O1583" s="126"/>
      <c r="P1583" s="126"/>
    </row>
    <row r="1584" spans="1:16" ht="15.75" customHeight="1">
      <c r="A1584" s="126">
        <v>46230.015752314801</v>
      </c>
      <c r="B1584" s="7">
        <v>12</v>
      </c>
      <c r="C1584" s="7">
        <v>730</v>
      </c>
      <c r="D1584" s="7"/>
      <c r="E1584" s="7" t="s">
        <v>1084</v>
      </c>
      <c r="F1584" s="7" t="s">
        <v>778</v>
      </c>
      <c r="G1584" s="7">
        <v>176</v>
      </c>
      <c r="H1584" s="7" t="s">
        <v>884</v>
      </c>
      <c r="I1584" s="7" t="s">
        <v>878</v>
      </c>
      <c r="J1584" s="7" t="s">
        <v>882</v>
      </c>
      <c r="M1584" s="7">
        <v>100</v>
      </c>
      <c r="N1584" s="7">
        <v>100</v>
      </c>
      <c r="O1584" s="126">
        <v>46225.4503819444</v>
      </c>
      <c r="P1584" s="126">
        <v>46225.4503819444</v>
      </c>
    </row>
    <row r="1585" spans="1:16" ht="15.75" customHeight="1">
      <c r="A1585" s="126">
        <v>46230.015752314801</v>
      </c>
      <c r="B1585" s="7">
        <v>12</v>
      </c>
      <c r="C1585" s="7">
        <v>730</v>
      </c>
      <c r="D1585" s="7"/>
      <c r="E1585" s="7" t="s">
        <v>1084</v>
      </c>
      <c r="F1585" s="7" t="s">
        <v>778</v>
      </c>
      <c r="G1585" s="7">
        <v>168</v>
      </c>
      <c r="H1585" s="7" t="s">
        <v>885</v>
      </c>
      <c r="I1585" s="7" t="s">
        <v>886</v>
      </c>
      <c r="M1585" s="7">
        <v>100</v>
      </c>
      <c r="N1585" s="7">
        <v>100</v>
      </c>
      <c r="P1585" s="126">
        <v>46209.706944444399</v>
      </c>
    </row>
    <row r="1586" spans="1:16" ht="15.75" customHeight="1">
      <c r="A1586" s="126">
        <v>46230.015752314801</v>
      </c>
      <c r="B1586" s="7">
        <v>12</v>
      </c>
      <c r="C1586" s="7">
        <v>468</v>
      </c>
      <c r="D1586" s="7"/>
      <c r="E1586" s="7" t="s">
        <v>1085</v>
      </c>
      <c r="F1586" s="7" t="s">
        <v>515</v>
      </c>
      <c r="G1586" s="7">
        <v>181</v>
      </c>
      <c r="H1586" s="7" t="s">
        <v>873</v>
      </c>
      <c r="I1586" s="7" t="s">
        <v>874</v>
      </c>
      <c r="J1586" s="7"/>
      <c r="M1586" s="7"/>
      <c r="N1586" s="7" t="s">
        <v>875</v>
      </c>
      <c r="P1586" s="126"/>
    </row>
    <row r="1587" spans="1:16" ht="15.75" customHeight="1">
      <c r="A1587" s="126">
        <v>46230.015752314801</v>
      </c>
      <c r="B1587" s="7">
        <v>12</v>
      </c>
      <c r="C1587" s="7">
        <v>468</v>
      </c>
      <c r="D1587" s="7"/>
      <c r="E1587" s="7" t="s">
        <v>1085</v>
      </c>
      <c r="F1587" s="7" t="s">
        <v>515</v>
      </c>
      <c r="G1587" s="7">
        <v>182</v>
      </c>
      <c r="H1587" s="7" t="s">
        <v>876</v>
      </c>
      <c r="I1587" s="7" t="s">
        <v>874</v>
      </c>
      <c r="J1587" s="7"/>
      <c r="M1587" s="7"/>
      <c r="N1587" s="7" t="s">
        <v>875</v>
      </c>
      <c r="O1587" s="126"/>
      <c r="P1587" s="126"/>
    </row>
    <row r="1588" spans="1:16" ht="15.75" customHeight="1">
      <c r="A1588" s="126">
        <v>46230.015752314801</v>
      </c>
      <c r="B1588" s="7">
        <v>12</v>
      </c>
      <c r="C1588" s="7">
        <v>468</v>
      </c>
      <c r="D1588" s="7"/>
      <c r="E1588" s="7" t="s">
        <v>1085</v>
      </c>
      <c r="F1588" s="7" t="s">
        <v>515</v>
      </c>
      <c r="G1588" s="7">
        <v>174</v>
      </c>
      <c r="H1588" s="7" t="s">
        <v>877</v>
      </c>
      <c r="I1588" s="7" t="s">
        <v>878</v>
      </c>
      <c r="J1588" s="7" t="s">
        <v>879</v>
      </c>
      <c r="M1588" s="7">
        <v>100</v>
      </c>
      <c r="N1588" s="7">
        <v>100</v>
      </c>
      <c r="P1588" s="126">
        <v>46209.706944444399</v>
      </c>
    </row>
    <row r="1589" spans="1:16" ht="15.75" customHeight="1">
      <c r="A1589" s="126">
        <v>46230.015752314801</v>
      </c>
      <c r="B1589" s="7">
        <v>12</v>
      </c>
      <c r="C1589" s="7">
        <v>468</v>
      </c>
      <c r="D1589" s="7"/>
      <c r="E1589" s="7" t="s">
        <v>1085</v>
      </c>
      <c r="F1589" s="7" t="s">
        <v>515</v>
      </c>
      <c r="G1589" s="7">
        <v>180</v>
      </c>
      <c r="H1589" s="7" t="s">
        <v>880</v>
      </c>
      <c r="I1589" s="7" t="s">
        <v>874</v>
      </c>
      <c r="J1589" s="7"/>
      <c r="M1589" s="7"/>
      <c r="N1589" s="7" t="s">
        <v>875</v>
      </c>
      <c r="O1589" s="126"/>
      <c r="P1589" s="126"/>
    </row>
    <row r="1590" spans="1:16" ht="15.75" customHeight="1">
      <c r="A1590" s="126">
        <v>46230.015752314801</v>
      </c>
      <c r="B1590" s="7">
        <v>12</v>
      </c>
      <c r="C1590" s="7">
        <v>468</v>
      </c>
      <c r="D1590" s="7"/>
      <c r="E1590" s="7" t="s">
        <v>1085</v>
      </c>
      <c r="F1590" s="7" t="s">
        <v>515</v>
      </c>
      <c r="G1590" s="7">
        <v>175</v>
      </c>
      <c r="H1590" s="7" t="s">
        <v>881</v>
      </c>
      <c r="I1590" s="7" t="s">
        <v>878</v>
      </c>
      <c r="J1590" s="7" t="s">
        <v>882</v>
      </c>
      <c r="M1590" s="7">
        <v>100</v>
      </c>
      <c r="N1590" s="7">
        <v>100</v>
      </c>
      <c r="O1590" s="126">
        <v>46215.834479166697</v>
      </c>
      <c r="P1590" s="126">
        <v>46215.834479166697</v>
      </c>
    </row>
    <row r="1591" spans="1:16" ht="15.75" customHeight="1">
      <c r="A1591" s="126">
        <v>46230.015752314801</v>
      </c>
      <c r="B1591" s="7">
        <v>12</v>
      </c>
      <c r="C1591" s="7">
        <v>468</v>
      </c>
      <c r="D1591" s="7"/>
      <c r="E1591" s="7" t="s">
        <v>1085</v>
      </c>
      <c r="F1591" s="7" t="s">
        <v>515</v>
      </c>
      <c r="G1591" s="7">
        <v>177</v>
      </c>
      <c r="H1591" s="7" t="s">
        <v>883</v>
      </c>
      <c r="I1591" s="7" t="s">
        <v>878</v>
      </c>
      <c r="J1591" s="7" t="s">
        <v>882</v>
      </c>
      <c r="M1591" s="7"/>
      <c r="N1591" s="7" t="s">
        <v>875</v>
      </c>
      <c r="P1591" s="126"/>
    </row>
    <row r="1592" spans="1:16" ht="15.75" customHeight="1">
      <c r="A1592" s="126">
        <v>46230.015752314801</v>
      </c>
      <c r="B1592" s="7">
        <v>12</v>
      </c>
      <c r="C1592" s="7">
        <v>468</v>
      </c>
      <c r="D1592" s="7"/>
      <c r="E1592" s="7" t="s">
        <v>1085</v>
      </c>
      <c r="F1592" s="7" t="s">
        <v>515</v>
      </c>
      <c r="G1592" s="7">
        <v>176</v>
      </c>
      <c r="H1592" s="7" t="s">
        <v>884</v>
      </c>
      <c r="I1592" s="7" t="s">
        <v>878</v>
      </c>
      <c r="J1592" s="7" t="s">
        <v>882</v>
      </c>
      <c r="M1592" s="7">
        <v>100</v>
      </c>
      <c r="N1592" s="7">
        <v>100</v>
      </c>
      <c r="O1592" s="126">
        <v>46226.418206018498</v>
      </c>
      <c r="P1592" s="126">
        <v>46226.418206018498</v>
      </c>
    </row>
    <row r="1593" spans="1:16" ht="15.75" customHeight="1">
      <c r="A1593" s="126">
        <v>46230.015752314801</v>
      </c>
      <c r="B1593" s="7">
        <v>12</v>
      </c>
      <c r="C1593" s="7">
        <v>468</v>
      </c>
      <c r="D1593" s="7"/>
      <c r="E1593" s="7" t="s">
        <v>1085</v>
      </c>
      <c r="F1593" s="7" t="s">
        <v>515</v>
      </c>
      <c r="G1593" s="7">
        <v>168</v>
      </c>
      <c r="H1593" s="7" t="s">
        <v>885</v>
      </c>
      <c r="I1593" s="7" t="s">
        <v>886</v>
      </c>
      <c r="J1593" s="7"/>
      <c r="M1593" s="7">
        <v>100</v>
      </c>
      <c r="N1593" s="7">
        <v>100</v>
      </c>
      <c r="O1593" s="126"/>
      <c r="P1593" s="126">
        <v>46209.706944444399</v>
      </c>
    </row>
    <row r="1594" spans="1:16" ht="15.75" customHeight="1">
      <c r="A1594" s="126">
        <v>46230.015752314801</v>
      </c>
      <c r="B1594" s="7">
        <v>12</v>
      </c>
      <c r="C1594" s="7">
        <v>391</v>
      </c>
      <c r="D1594" s="7">
        <v>138626</v>
      </c>
      <c r="E1594" s="7" t="s">
        <v>1086</v>
      </c>
      <c r="F1594" s="7" t="s">
        <v>88</v>
      </c>
      <c r="G1594" s="7">
        <v>181</v>
      </c>
      <c r="H1594" s="7" t="s">
        <v>873</v>
      </c>
      <c r="I1594" s="7" t="s">
        <v>874</v>
      </c>
      <c r="J1594" s="7"/>
      <c r="M1594" s="7"/>
      <c r="N1594" s="7" t="s">
        <v>875</v>
      </c>
      <c r="P1594" s="126"/>
    </row>
    <row r="1595" spans="1:16" ht="15.75" customHeight="1">
      <c r="A1595" s="126">
        <v>46230.015752314801</v>
      </c>
      <c r="B1595" s="7">
        <v>12</v>
      </c>
      <c r="C1595" s="7">
        <v>391</v>
      </c>
      <c r="D1595" s="7">
        <v>138626</v>
      </c>
      <c r="E1595" s="7" t="s">
        <v>1086</v>
      </c>
      <c r="F1595" s="7" t="s">
        <v>88</v>
      </c>
      <c r="G1595" s="7">
        <v>182</v>
      </c>
      <c r="H1595" s="7" t="s">
        <v>876</v>
      </c>
      <c r="I1595" s="7" t="s">
        <v>874</v>
      </c>
      <c r="J1595" s="7"/>
      <c r="M1595" s="7"/>
      <c r="N1595" s="7" t="s">
        <v>875</v>
      </c>
      <c r="P1595" s="126"/>
    </row>
    <row r="1596" spans="1:16" ht="15.75" customHeight="1">
      <c r="A1596" s="126">
        <v>46230.015752314801</v>
      </c>
      <c r="B1596" s="7">
        <v>12</v>
      </c>
      <c r="C1596" s="7">
        <v>391</v>
      </c>
      <c r="D1596" s="7">
        <v>138626</v>
      </c>
      <c r="E1596" s="7" t="s">
        <v>1086</v>
      </c>
      <c r="F1596" s="7" t="s">
        <v>88</v>
      </c>
      <c r="G1596" s="7">
        <v>174</v>
      </c>
      <c r="H1596" s="7" t="s">
        <v>877</v>
      </c>
      <c r="I1596" s="7" t="s">
        <v>878</v>
      </c>
      <c r="J1596" s="7" t="s">
        <v>879</v>
      </c>
      <c r="M1596" s="7">
        <v>100</v>
      </c>
      <c r="N1596" s="7">
        <v>100</v>
      </c>
      <c r="P1596" s="126">
        <v>46209.706967592603</v>
      </c>
    </row>
    <row r="1597" spans="1:16" ht="15.75" customHeight="1">
      <c r="A1597" s="126">
        <v>46230.015752314801</v>
      </c>
      <c r="B1597" s="7">
        <v>12</v>
      </c>
      <c r="C1597" s="7">
        <v>391</v>
      </c>
      <c r="D1597" s="7">
        <v>138626</v>
      </c>
      <c r="E1597" s="7" t="s">
        <v>1086</v>
      </c>
      <c r="F1597" s="7" t="s">
        <v>88</v>
      </c>
      <c r="G1597" s="7">
        <v>180</v>
      </c>
      <c r="H1597" s="7" t="s">
        <v>880</v>
      </c>
      <c r="I1597" s="7" t="s">
        <v>874</v>
      </c>
      <c r="J1597" s="7"/>
      <c r="M1597" s="7"/>
      <c r="N1597" s="7" t="s">
        <v>875</v>
      </c>
      <c r="P1597" s="126"/>
    </row>
    <row r="1598" spans="1:16" ht="15.75" customHeight="1">
      <c r="A1598" s="126">
        <v>46230.015752314801</v>
      </c>
      <c r="B1598" s="7">
        <v>12</v>
      </c>
      <c r="C1598" s="7">
        <v>391</v>
      </c>
      <c r="D1598" s="7">
        <v>138626</v>
      </c>
      <c r="E1598" s="7" t="s">
        <v>1086</v>
      </c>
      <c r="F1598" s="7" t="s">
        <v>88</v>
      </c>
      <c r="G1598" s="7">
        <v>175</v>
      </c>
      <c r="H1598" s="7" t="s">
        <v>881</v>
      </c>
      <c r="I1598" s="7" t="s">
        <v>878</v>
      </c>
      <c r="J1598" s="7" t="s">
        <v>882</v>
      </c>
      <c r="M1598" s="7">
        <v>87.5</v>
      </c>
      <c r="N1598" s="7">
        <v>87.5</v>
      </c>
      <c r="O1598" s="126">
        <v>46214.5449884259</v>
      </c>
      <c r="P1598" s="126">
        <v>46214.5449884259</v>
      </c>
    </row>
    <row r="1599" spans="1:16" ht="15.75" customHeight="1">
      <c r="A1599" s="126">
        <v>46230.015752314801</v>
      </c>
      <c r="B1599" s="7">
        <v>12</v>
      </c>
      <c r="C1599" s="7">
        <v>391</v>
      </c>
      <c r="D1599" s="7">
        <v>138626</v>
      </c>
      <c r="E1599" s="7" t="s">
        <v>1086</v>
      </c>
      <c r="F1599" s="7" t="s">
        <v>88</v>
      </c>
      <c r="G1599" s="7">
        <v>177</v>
      </c>
      <c r="H1599" s="7" t="s">
        <v>883</v>
      </c>
      <c r="I1599" s="7" t="s">
        <v>878</v>
      </c>
      <c r="J1599" s="7" t="s">
        <v>882</v>
      </c>
      <c r="M1599" s="7"/>
      <c r="N1599" s="7" t="s">
        <v>875</v>
      </c>
      <c r="O1599" s="126"/>
      <c r="P1599" s="126"/>
    </row>
    <row r="1600" spans="1:16" ht="15.75" customHeight="1">
      <c r="A1600" s="126">
        <v>46230.015752314801</v>
      </c>
      <c r="B1600" s="7">
        <v>12</v>
      </c>
      <c r="C1600" s="7">
        <v>391</v>
      </c>
      <c r="D1600" s="7">
        <v>138626</v>
      </c>
      <c r="E1600" s="7" t="s">
        <v>1086</v>
      </c>
      <c r="F1600" s="7" t="s">
        <v>88</v>
      </c>
      <c r="G1600" s="7">
        <v>176</v>
      </c>
      <c r="H1600" s="7" t="s">
        <v>884</v>
      </c>
      <c r="I1600" s="7" t="s">
        <v>878</v>
      </c>
      <c r="J1600" s="7" t="s">
        <v>882</v>
      </c>
      <c r="M1600" s="7">
        <v>100</v>
      </c>
      <c r="N1600" s="7">
        <v>100</v>
      </c>
      <c r="O1600" s="126">
        <v>46223.788842592599</v>
      </c>
      <c r="P1600" s="126">
        <v>46223.793657407397</v>
      </c>
    </row>
    <row r="1601" spans="1:16" ht="15.75" customHeight="1">
      <c r="A1601" s="126">
        <v>46230.015752314801</v>
      </c>
      <c r="B1601" s="7">
        <v>12</v>
      </c>
      <c r="C1601" s="7">
        <v>391</v>
      </c>
      <c r="D1601" s="7">
        <v>138626</v>
      </c>
      <c r="E1601" s="7" t="s">
        <v>1086</v>
      </c>
      <c r="F1601" s="7" t="s">
        <v>88</v>
      </c>
      <c r="G1601" s="7">
        <v>168</v>
      </c>
      <c r="H1601" s="7" t="s">
        <v>885</v>
      </c>
      <c r="I1601" s="7" t="s">
        <v>886</v>
      </c>
      <c r="J1601" s="7"/>
      <c r="M1601" s="7">
        <v>100</v>
      </c>
      <c r="N1601" s="7">
        <v>100</v>
      </c>
      <c r="O1601" s="126"/>
      <c r="P1601" s="126">
        <v>46209.706967592603</v>
      </c>
    </row>
    <row r="1602" spans="1:16" ht="15.75" customHeight="1">
      <c r="A1602" s="126">
        <v>46230.015752314801</v>
      </c>
      <c r="B1602" s="7">
        <v>12</v>
      </c>
      <c r="C1602" s="7">
        <v>673</v>
      </c>
      <c r="D1602" s="7">
        <v>168494</v>
      </c>
      <c r="E1602" s="7" t="s">
        <v>1087</v>
      </c>
      <c r="F1602" s="7" t="s">
        <v>231</v>
      </c>
      <c r="G1602" s="7">
        <v>181</v>
      </c>
      <c r="H1602" s="7" t="s">
        <v>873</v>
      </c>
      <c r="I1602" s="7" t="s">
        <v>874</v>
      </c>
      <c r="J1602" s="7"/>
      <c r="M1602" s="7"/>
      <c r="N1602" s="7" t="s">
        <v>875</v>
      </c>
      <c r="O1602" s="126"/>
      <c r="P1602" s="126"/>
    </row>
    <row r="1603" spans="1:16" ht="15.75" customHeight="1">
      <c r="A1603" s="126">
        <v>46230.015752314801</v>
      </c>
      <c r="B1603" s="7">
        <v>12</v>
      </c>
      <c r="C1603" s="7">
        <v>673</v>
      </c>
      <c r="D1603" s="7">
        <v>168494</v>
      </c>
      <c r="E1603" s="7" t="s">
        <v>1087</v>
      </c>
      <c r="F1603" s="7" t="s">
        <v>231</v>
      </c>
      <c r="G1603" s="7">
        <v>182</v>
      </c>
      <c r="H1603" s="7" t="s">
        <v>876</v>
      </c>
      <c r="I1603" s="7" t="s">
        <v>874</v>
      </c>
      <c r="J1603" s="7"/>
      <c r="M1603" s="7"/>
      <c r="N1603" s="7" t="s">
        <v>875</v>
      </c>
      <c r="P1603" s="126"/>
    </row>
    <row r="1604" spans="1:16" ht="15.75" customHeight="1">
      <c r="A1604" s="126">
        <v>46230.015752314801</v>
      </c>
      <c r="B1604" s="7">
        <v>12</v>
      </c>
      <c r="C1604" s="7">
        <v>673</v>
      </c>
      <c r="D1604" s="7">
        <v>168494</v>
      </c>
      <c r="E1604" s="7" t="s">
        <v>1087</v>
      </c>
      <c r="F1604" s="7" t="s">
        <v>231</v>
      </c>
      <c r="G1604" s="7">
        <v>174</v>
      </c>
      <c r="H1604" s="7" t="s">
        <v>877</v>
      </c>
      <c r="I1604" s="7" t="s">
        <v>878</v>
      </c>
      <c r="J1604" s="7" t="s">
        <v>879</v>
      </c>
      <c r="M1604" s="7">
        <v>100</v>
      </c>
      <c r="N1604" s="7">
        <v>100</v>
      </c>
      <c r="P1604" s="126">
        <v>46209.679699074099</v>
      </c>
    </row>
    <row r="1605" spans="1:16" ht="15.75" customHeight="1">
      <c r="A1605" s="126">
        <v>46230.015752314801</v>
      </c>
      <c r="B1605" s="7">
        <v>12</v>
      </c>
      <c r="C1605" s="7">
        <v>673</v>
      </c>
      <c r="D1605" s="7">
        <v>168494</v>
      </c>
      <c r="E1605" s="7" t="s">
        <v>1087</v>
      </c>
      <c r="F1605" s="7" t="s">
        <v>231</v>
      </c>
      <c r="G1605" s="7">
        <v>180</v>
      </c>
      <c r="H1605" s="7" t="s">
        <v>880</v>
      </c>
      <c r="I1605" s="7" t="s">
        <v>874</v>
      </c>
      <c r="J1605" s="7"/>
      <c r="M1605" s="7"/>
      <c r="N1605" s="7" t="s">
        <v>875</v>
      </c>
      <c r="O1605" s="126"/>
      <c r="P1605" s="126"/>
    </row>
    <row r="1606" spans="1:16" ht="15.75" customHeight="1">
      <c r="A1606" s="126">
        <v>46230.015752314801</v>
      </c>
      <c r="B1606" s="7">
        <v>12</v>
      </c>
      <c r="C1606" s="7">
        <v>673</v>
      </c>
      <c r="D1606" s="7">
        <v>168494</v>
      </c>
      <c r="E1606" s="7" t="s">
        <v>1087</v>
      </c>
      <c r="F1606" s="7" t="s">
        <v>231</v>
      </c>
      <c r="G1606" s="7">
        <v>175</v>
      </c>
      <c r="H1606" s="7" t="s">
        <v>881</v>
      </c>
      <c r="I1606" s="7" t="s">
        <v>878</v>
      </c>
      <c r="J1606" s="7" t="s">
        <v>882</v>
      </c>
      <c r="M1606" s="7"/>
      <c r="N1606" s="7" t="s">
        <v>875</v>
      </c>
      <c r="P1606" s="126"/>
    </row>
    <row r="1607" spans="1:16" ht="15.75" customHeight="1">
      <c r="A1607" s="126">
        <v>46230.015752314801</v>
      </c>
      <c r="B1607" s="7">
        <v>12</v>
      </c>
      <c r="C1607" s="7">
        <v>673</v>
      </c>
      <c r="D1607" s="7">
        <v>168494</v>
      </c>
      <c r="E1607" s="7" t="s">
        <v>1087</v>
      </c>
      <c r="F1607" s="7" t="s">
        <v>231</v>
      </c>
      <c r="G1607" s="7">
        <v>177</v>
      </c>
      <c r="H1607" s="7" t="s">
        <v>883</v>
      </c>
      <c r="I1607" s="7" t="s">
        <v>878</v>
      </c>
      <c r="J1607" s="7" t="s">
        <v>882</v>
      </c>
      <c r="M1607" s="7"/>
      <c r="N1607" s="7" t="s">
        <v>875</v>
      </c>
      <c r="P1607" s="126"/>
    </row>
    <row r="1608" spans="1:16" ht="15.75" customHeight="1">
      <c r="A1608" s="126">
        <v>46230.015752314801</v>
      </c>
      <c r="B1608" s="7">
        <v>12</v>
      </c>
      <c r="C1608" s="7">
        <v>673</v>
      </c>
      <c r="D1608" s="7">
        <v>168494</v>
      </c>
      <c r="E1608" s="7" t="s">
        <v>1087</v>
      </c>
      <c r="F1608" s="7" t="s">
        <v>231</v>
      </c>
      <c r="G1608" s="7">
        <v>176</v>
      </c>
      <c r="H1608" s="7" t="s">
        <v>884</v>
      </c>
      <c r="I1608" s="7" t="s">
        <v>878</v>
      </c>
      <c r="J1608" s="7" t="s">
        <v>882</v>
      </c>
      <c r="M1608" s="7"/>
      <c r="N1608" s="7" t="s">
        <v>875</v>
      </c>
      <c r="O1608" s="126"/>
      <c r="P1608" s="126"/>
    </row>
    <row r="1609" spans="1:16" ht="15.75" customHeight="1">
      <c r="A1609" s="126">
        <v>46230.015752314801</v>
      </c>
      <c r="B1609" s="7">
        <v>12</v>
      </c>
      <c r="C1609" s="7">
        <v>673</v>
      </c>
      <c r="D1609" s="7">
        <v>168494</v>
      </c>
      <c r="E1609" s="7" t="s">
        <v>1087</v>
      </c>
      <c r="F1609" s="7" t="s">
        <v>231</v>
      </c>
      <c r="G1609" s="7">
        <v>168</v>
      </c>
      <c r="H1609" s="7" t="s">
        <v>885</v>
      </c>
      <c r="I1609" s="7" t="s">
        <v>886</v>
      </c>
      <c r="J1609" s="7"/>
      <c r="M1609" s="7">
        <v>100</v>
      </c>
      <c r="N1609" s="7">
        <v>100</v>
      </c>
      <c r="P1609" s="126">
        <v>46209.679699074099</v>
      </c>
    </row>
    <row r="1610" spans="1:16" ht="15.75" customHeight="1">
      <c r="A1610" s="126">
        <v>46230.015752314801</v>
      </c>
      <c r="B1610" s="7">
        <v>12</v>
      </c>
      <c r="C1610" s="7">
        <v>618</v>
      </c>
      <c r="E1610" s="7" t="s">
        <v>1088</v>
      </c>
      <c r="F1610" s="7" t="s">
        <v>686</v>
      </c>
      <c r="G1610" s="7">
        <v>181</v>
      </c>
      <c r="H1610" s="7" t="s">
        <v>873</v>
      </c>
      <c r="I1610" s="7" t="s">
        <v>874</v>
      </c>
      <c r="J1610" s="7"/>
      <c r="M1610" s="7"/>
      <c r="N1610" s="7" t="s">
        <v>875</v>
      </c>
      <c r="O1610" s="126"/>
      <c r="P1610" s="126"/>
    </row>
    <row r="1611" spans="1:16" ht="15.75" customHeight="1">
      <c r="A1611" s="126">
        <v>46230.015752314801</v>
      </c>
      <c r="B1611" s="7">
        <v>12</v>
      </c>
      <c r="C1611" s="7">
        <v>618</v>
      </c>
      <c r="E1611" s="7" t="s">
        <v>1088</v>
      </c>
      <c r="F1611" s="7" t="s">
        <v>686</v>
      </c>
      <c r="G1611" s="7">
        <v>182</v>
      </c>
      <c r="H1611" s="7" t="s">
        <v>876</v>
      </c>
      <c r="I1611" s="7" t="s">
        <v>874</v>
      </c>
      <c r="J1611" s="7"/>
      <c r="M1611" s="7"/>
      <c r="N1611" s="7" t="s">
        <v>875</v>
      </c>
      <c r="O1611" s="126"/>
      <c r="P1611" s="126"/>
    </row>
    <row r="1612" spans="1:16" ht="15.75" customHeight="1">
      <c r="A1612" s="126">
        <v>46230.015752314801</v>
      </c>
      <c r="B1612" s="7">
        <v>12</v>
      </c>
      <c r="C1612" s="7">
        <v>618</v>
      </c>
      <c r="E1612" s="7" t="s">
        <v>1088</v>
      </c>
      <c r="F1612" s="7" t="s">
        <v>686</v>
      </c>
      <c r="G1612" s="7">
        <v>174</v>
      </c>
      <c r="H1612" s="7" t="s">
        <v>877</v>
      </c>
      <c r="I1612" s="7" t="s">
        <v>878</v>
      </c>
      <c r="J1612" s="7" t="s">
        <v>879</v>
      </c>
      <c r="M1612" s="7">
        <v>100</v>
      </c>
      <c r="N1612" s="7">
        <v>100</v>
      </c>
      <c r="P1612" s="126">
        <v>46210.4147337963</v>
      </c>
    </row>
    <row r="1613" spans="1:16" ht="15.75" customHeight="1">
      <c r="A1613" s="126">
        <v>46230.015752314801</v>
      </c>
      <c r="B1613" s="7">
        <v>12</v>
      </c>
      <c r="C1613" s="7">
        <v>618</v>
      </c>
      <c r="E1613" s="7" t="s">
        <v>1088</v>
      </c>
      <c r="F1613" s="7" t="s">
        <v>686</v>
      </c>
      <c r="G1613" s="7">
        <v>180</v>
      </c>
      <c r="H1613" s="7" t="s">
        <v>880</v>
      </c>
      <c r="I1613" s="7" t="s">
        <v>874</v>
      </c>
      <c r="J1613" s="7"/>
      <c r="M1613" s="7"/>
      <c r="N1613" s="7" t="s">
        <v>875</v>
      </c>
      <c r="O1613" s="126"/>
      <c r="P1613" s="126"/>
    </row>
    <row r="1614" spans="1:16" ht="15.75" customHeight="1">
      <c r="A1614" s="126">
        <v>46230.015752314801</v>
      </c>
      <c r="B1614" s="7">
        <v>12</v>
      </c>
      <c r="C1614" s="7">
        <v>618</v>
      </c>
      <c r="E1614" s="7" t="s">
        <v>1088</v>
      </c>
      <c r="F1614" s="7" t="s">
        <v>686</v>
      </c>
      <c r="G1614" s="7">
        <v>175</v>
      </c>
      <c r="H1614" s="7" t="s">
        <v>881</v>
      </c>
      <c r="I1614" s="7" t="s">
        <v>878</v>
      </c>
      <c r="J1614" s="7" t="s">
        <v>882</v>
      </c>
      <c r="M1614" s="7">
        <v>100</v>
      </c>
      <c r="N1614" s="7">
        <v>100</v>
      </c>
      <c r="O1614" s="126">
        <v>46214.490324074097</v>
      </c>
      <c r="P1614" s="126">
        <v>46214.490324074097</v>
      </c>
    </row>
    <row r="1615" spans="1:16" ht="15.75" customHeight="1">
      <c r="A1615" s="126">
        <v>46230.015752314801</v>
      </c>
      <c r="B1615" s="7">
        <v>12</v>
      </c>
      <c r="C1615" s="7">
        <v>618</v>
      </c>
      <c r="E1615" s="7" t="s">
        <v>1088</v>
      </c>
      <c r="F1615" s="7" t="s">
        <v>686</v>
      </c>
      <c r="G1615" s="7">
        <v>177</v>
      </c>
      <c r="H1615" s="7" t="s">
        <v>883</v>
      </c>
      <c r="I1615" s="7" t="s">
        <v>878</v>
      </c>
      <c r="J1615" s="7" t="s">
        <v>882</v>
      </c>
      <c r="M1615" s="7">
        <v>85.714290000000005</v>
      </c>
      <c r="N1615" s="7">
        <v>85.71</v>
      </c>
      <c r="O1615" s="126">
        <v>46228.788807870398</v>
      </c>
      <c r="P1615" s="126">
        <v>46228.788807870398</v>
      </c>
    </row>
    <row r="1616" spans="1:16" ht="15.75" customHeight="1">
      <c r="A1616" s="126">
        <v>46230.015752314801</v>
      </c>
      <c r="B1616" s="7">
        <v>12</v>
      </c>
      <c r="C1616" s="7">
        <v>618</v>
      </c>
      <c r="E1616" s="7" t="s">
        <v>1088</v>
      </c>
      <c r="F1616" s="7" t="s">
        <v>686</v>
      </c>
      <c r="G1616" s="7">
        <v>176</v>
      </c>
      <c r="H1616" s="7" t="s">
        <v>884</v>
      </c>
      <c r="I1616" s="7" t="s">
        <v>878</v>
      </c>
      <c r="J1616" s="7" t="s">
        <v>882</v>
      </c>
      <c r="M1616" s="7">
        <v>100</v>
      </c>
      <c r="N1616" s="7">
        <v>100</v>
      </c>
      <c r="O1616" s="126">
        <v>46224.091122685197</v>
      </c>
      <c r="P1616" s="126">
        <v>46224.091122685197</v>
      </c>
    </row>
    <row r="1617" spans="1:16" ht="15.75" customHeight="1">
      <c r="A1617" s="126">
        <v>46230.015752314801</v>
      </c>
      <c r="B1617" s="7">
        <v>12</v>
      </c>
      <c r="C1617" s="7">
        <v>618</v>
      </c>
      <c r="E1617" s="7" t="s">
        <v>1088</v>
      </c>
      <c r="F1617" s="7" t="s">
        <v>686</v>
      </c>
      <c r="G1617" s="7">
        <v>168</v>
      </c>
      <c r="H1617" s="7" t="s">
        <v>885</v>
      </c>
      <c r="I1617" s="7" t="s">
        <v>886</v>
      </c>
      <c r="J1617" s="7"/>
      <c r="M1617" s="7">
        <v>100</v>
      </c>
      <c r="N1617" s="7">
        <v>100</v>
      </c>
      <c r="O1617" s="126"/>
      <c r="P1617" s="126">
        <v>46210.4147337963</v>
      </c>
    </row>
    <row r="1618" spans="1:16" ht="15.75" customHeight="1">
      <c r="A1618" s="126">
        <v>46230.015752314801</v>
      </c>
      <c r="B1618" s="7">
        <v>12</v>
      </c>
      <c r="C1618" s="7">
        <v>327</v>
      </c>
      <c r="E1618" s="7" t="s">
        <v>1089</v>
      </c>
      <c r="F1618" s="7" t="s">
        <v>30</v>
      </c>
      <c r="G1618" s="7">
        <v>181</v>
      </c>
      <c r="H1618" s="7" t="s">
        <v>873</v>
      </c>
      <c r="I1618" s="7" t="s">
        <v>874</v>
      </c>
      <c r="J1618" s="7"/>
      <c r="M1618" s="7"/>
      <c r="N1618" s="7" t="s">
        <v>875</v>
      </c>
      <c r="P1618" s="126"/>
    </row>
    <row r="1619" spans="1:16" ht="15.75" customHeight="1">
      <c r="A1619" s="126">
        <v>46230.015752314801</v>
      </c>
      <c r="B1619" s="7">
        <v>12</v>
      </c>
      <c r="C1619" s="7">
        <v>327</v>
      </c>
      <c r="E1619" s="7" t="s">
        <v>1089</v>
      </c>
      <c r="F1619" s="7" t="s">
        <v>30</v>
      </c>
      <c r="G1619" s="7">
        <v>182</v>
      </c>
      <c r="H1619" s="7" t="s">
        <v>876</v>
      </c>
      <c r="I1619" s="7" t="s">
        <v>874</v>
      </c>
      <c r="J1619" s="7"/>
      <c r="M1619" s="7"/>
      <c r="N1619" s="7" t="s">
        <v>875</v>
      </c>
      <c r="O1619" s="126"/>
      <c r="P1619" s="126"/>
    </row>
    <row r="1620" spans="1:16" ht="15.75" customHeight="1">
      <c r="A1620" s="126">
        <v>46230.015752314801</v>
      </c>
      <c r="B1620" s="7">
        <v>12</v>
      </c>
      <c r="C1620" s="7">
        <v>327</v>
      </c>
      <c r="E1620" s="7" t="s">
        <v>1089</v>
      </c>
      <c r="F1620" s="7" t="s">
        <v>30</v>
      </c>
      <c r="G1620" s="7">
        <v>174</v>
      </c>
      <c r="H1620" s="7" t="s">
        <v>877</v>
      </c>
      <c r="I1620" s="7" t="s">
        <v>878</v>
      </c>
      <c r="J1620" s="7" t="s">
        <v>879</v>
      </c>
      <c r="M1620" s="7">
        <v>100</v>
      </c>
      <c r="N1620" s="7">
        <v>100</v>
      </c>
      <c r="O1620" s="126"/>
      <c r="P1620" s="126">
        <v>46209.706967592603</v>
      </c>
    </row>
    <row r="1621" spans="1:16" ht="15.75" customHeight="1">
      <c r="A1621" s="126">
        <v>46230.015752314801</v>
      </c>
      <c r="B1621" s="7">
        <v>12</v>
      </c>
      <c r="C1621" s="7">
        <v>327</v>
      </c>
      <c r="E1621" s="7" t="s">
        <v>1089</v>
      </c>
      <c r="F1621" s="7" t="s">
        <v>30</v>
      </c>
      <c r="G1621" s="7">
        <v>180</v>
      </c>
      <c r="H1621" s="7" t="s">
        <v>880</v>
      </c>
      <c r="I1621" s="7" t="s">
        <v>874</v>
      </c>
      <c r="J1621" s="7"/>
      <c r="M1621" s="7"/>
      <c r="N1621" s="7" t="s">
        <v>875</v>
      </c>
      <c r="O1621" s="126"/>
      <c r="P1621" s="126"/>
    </row>
    <row r="1622" spans="1:16" ht="15.75" customHeight="1">
      <c r="A1622" s="126">
        <v>46230.015752314801</v>
      </c>
      <c r="B1622" s="7">
        <v>12</v>
      </c>
      <c r="C1622" s="7">
        <v>327</v>
      </c>
      <c r="D1622" s="7"/>
      <c r="E1622" s="7" t="s">
        <v>1089</v>
      </c>
      <c r="F1622" s="7" t="s">
        <v>30</v>
      </c>
      <c r="G1622" s="7">
        <v>175</v>
      </c>
      <c r="H1622" s="7" t="s">
        <v>881</v>
      </c>
      <c r="I1622" s="7" t="s">
        <v>878</v>
      </c>
      <c r="J1622" s="7" t="s">
        <v>882</v>
      </c>
      <c r="M1622" s="7">
        <v>87.5</v>
      </c>
      <c r="N1622" s="7">
        <v>87.5</v>
      </c>
      <c r="O1622" s="126">
        <v>46213.6473148148</v>
      </c>
      <c r="P1622" s="126">
        <v>46213.6473148148</v>
      </c>
    </row>
    <row r="1623" spans="1:16" ht="15.75" customHeight="1">
      <c r="A1623" s="126">
        <v>46230.015752314801</v>
      </c>
      <c r="B1623" s="7">
        <v>12</v>
      </c>
      <c r="C1623" s="7">
        <v>327</v>
      </c>
      <c r="D1623" s="7"/>
      <c r="E1623" s="7" t="s">
        <v>1089</v>
      </c>
      <c r="F1623" s="7" t="s">
        <v>30</v>
      </c>
      <c r="G1623" s="7">
        <v>177</v>
      </c>
      <c r="H1623" s="7" t="s">
        <v>883</v>
      </c>
      <c r="I1623" s="7" t="s">
        <v>878</v>
      </c>
      <c r="J1623" s="7" t="s">
        <v>882</v>
      </c>
      <c r="M1623" s="7"/>
      <c r="N1623" s="7" t="s">
        <v>875</v>
      </c>
      <c r="O1623" s="126"/>
      <c r="P1623" s="126"/>
    </row>
    <row r="1624" spans="1:16" ht="15.75" customHeight="1">
      <c r="A1624" s="126">
        <v>46230.015752314801</v>
      </c>
      <c r="B1624" s="7">
        <v>12</v>
      </c>
      <c r="C1624" s="7">
        <v>327</v>
      </c>
      <c r="D1624" s="7"/>
      <c r="E1624" s="7" t="s">
        <v>1089</v>
      </c>
      <c r="F1624" s="7" t="s">
        <v>30</v>
      </c>
      <c r="G1624" s="7">
        <v>176</v>
      </c>
      <c r="H1624" s="7" t="s">
        <v>884</v>
      </c>
      <c r="I1624" s="7" t="s">
        <v>878</v>
      </c>
      <c r="J1624" s="7" t="s">
        <v>882</v>
      </c>
      <c r="M1624" s="7">
        <v>100</v>
      </c>
      <c r="N1624" s="7">
        <v>100</v>
      </c>
      <c r="O1624" s="126">
        <v>46224.532349537003</v>
      </c>
      <c r="P1624" s="126">
        <v>46224.532349537003</v>
      </c>
    </row>
    <row r="1625" spans="1:16" ht="15.75" customHeight="1">
      <c r="A1625" s="126">
        <v>46230.015752314801</v>
      </c>
      <c r="B1625" s="7">
        <v>12</v>
      </c>
      <c r="C1625" s="7">
        <v>327</v>
      </c>
      <c r="D1625" s="7"/>
      <c r="E1625" s="7" t="s">
        <v>1089</v>
      </c>
      <c r="F1625" s="7" t="s">
        <v>30</v>
      </c>
      <c r="G1625" s="7">
        <v>168</v>
      </c>
      <c r="H1625" s="7" t="s">
        <v>885</v>
      </c>
      <c r="I1625" s="7" t="s">
        <v>886</v>
      </c>
      <c r="J1625" s="7"/>
      <c r="M1625" s="7">
        <v>100</v>
      </c>
      <c r="N1625" s="7">
        <v>100</v>
      </c>
      <c r="P1625" s="126">
        <v>46209.706967592603</v>
      </c>
    </row>
    <row r="1626" spans="1:16" ht="15.75" customHeight="1">
      <c r="A1626" s="126">
        <v>46230.015752314801</v>
      </c>
      <c r="B1626" s="7">
        <v>12</v>
      </c>
      <c r="C1626" s="7">
        <v>244</v>
      </c>
      <c r="D1626" s="7"/>
      <c r="E1626" s="7" t="s">
        <v>1090</v>
      </c>
      <c r="F1626" s="7" t="s">
        <v>444</v>
      </c>
      <c r="G1626" s="7">
        <v>181</v>
      </c>
      <c r="H1626" s="7" t="s">
        <v>873</v>
      </c>
      <c r="I1626" s="7" t="s">
        <v>874</v>
      </c>
      <c r="J1626" s="7"/>
      <c r="M1626" s="7"/>
      <c r="N1626" s="7" t="s">
        <v>875</v>
      </c>
      <c r="O1626" s="126"/>
      <c r="P1626" s="126"/>
    </row>
    <row r="1627" spans="1:16" ht="15.75" customHeight="1">
      <c r="A1627" s="126">
        <v>46230.015752314801</v>
      </c>
      <c r="B1627" s="7">
        <v>12</v>
      </c>
      <c r="C1627" s="7">
        <v>244</v>
      </c>
      <c r="D1627" s="7"/>
      <c r="E1627" s="7" t="s">
        <v>1090</v>
      </c>
      <c r="F1627" s="7" t="s">
        <v>444</v>
      </c>
      <c r="G1627" s="7">
        <v>182</v>
      </c>
      <c r="H1627" s="7" t="s">
        <v>876</v>
      </c>
      <c r="I1627" s="7" t="s">
        <v>874</v>
      </c>
      <c r="J1627" s="7"/>
      <c r="M1627" s="7"/>
      <c r="N1627" s="7" t="s">
        <v>875</v>
      </c>
      <c r="P1627" s="126"/>
    </row>
    <row r="1628" spans="1:16" ht="15.75" customHeight="1">
      <c r="A1628" s="126">
        <v>46230.015752314801</v>
      </c>
      <c r="B1628" s="7">
        <v>12</v>
      </c>
      <c r="C1628" s="7">
        <v>244</v>
      </c>
      <c r="D1628" s="7"/>
      <c r="E1628" s="7" t="s">
        <v>1090</v>
      </c>
      <c r="F1628" s="7" t="s">
        <v>444</v>
      </c>
      <c r="G1628" s="7">
        <v>174</v>
      </c>
      <c r="H1628" s="7" t="s">
        <v>877</v>
      </c>
      <c r="I1628" s="7" t="s">
        <v>878</v>
      </c>
      <c r="J1628" s="7" t="s">
        <v>879</v>
      </c>
      <c r="M1628" s="7">
        <v>100</v>
      </c>
      <c r="N1628" s="7">
        <v>100</v>
      </c>
      <c r="O1628" s="126"/>
      <c r="P1628" s="126">
        <v>46209.706967592603</v>
      </c>
    </row>
    <row r="1629" spans="1:16" ht="15.75" customHeight="1">
      <c r="A1629" s="126">
        <v>46230.015752314801</v>
      </c>
      <c r="B1629" s="7">
        <v>12</v>
      </c>
      <c r="C1629" s="7">
        <v>244</v>
      </c>
      <c r="D1629" s="7"/>
      <c r="E1629" s="7" t="s">
        <v>1090</v>
      </c>
      <c r="F1629" s="7" t="s">
        <v>444</v>
      </c>
      <c r="G1629" s="7">
        <v>180</v>
      </c>
      <c r="H1629" s="7" t="s">
        <v>880</v>
      </c>
      <c r="I1629" s="7" t="s">
        <v>874</v>
      </c>
      <c r="J1629" s="7"/>
      <c r="M1629" s="7"/>
      <c r="N1629" s="7" t="s">
        <v>875</v>
      </c>
      <c r="O1629" s="126"/>
      <c r="P1629" s="126"/>
    </row>
    <row r="1630" spans="1:16" ht="15.75" customHeight="1">
      <c r="A1630" s="126">
        <v>46230.015752314801</v>
      </c>
      <c r="B1630" s="7">
        <v>12</v>
      </c>
      <c r="C1630" s="7">
        <v>244</v>
      </c>
      <c r="D1630" s="7"/>
      <c r="E1630" s="7" t="s">
        <v>1090</v>
      </c>
      <c r="F1630" s="7" t="s">
        <v>444</v>
      </c>
      <c r="G1630" s="7">
        <v>175</v>
      </c>
      <c r="H1630" s="7" t="s">
        <v>881</v>
      </c>
      <c r="I1630" s="7" t="s">
        <v>878</v>
      </c>
      <c r="J1630" s="7" t="s">
        <v>882</v>
      </c>
      <c r="M1630" s="7">
        <v>87.5</v>
      </c>
      <c r="N1630" s="7">
        <v>87.5</v>
      </c>
      <c r="O1630" s="126">
        <v>46214.836550925902</v>
      </c>
      <c r="P1630" s="126">
        <v>46214.836550925902</v>
      </c>
    </row>
    <row r="1631" spans="1:16" ht="15.75" customHeight="1">
      <c r="A1631" s="126">
        <v>46230.015752314801</v>
      </c>
      <c r="B1631" s="7">
        <v>12</v>
      </c>
      <c r="C1631" s="7">
        <v>244</v>
      </c>
      <c r="D1631" s="7"/>
      <c r="E1631" s="7" t="s">
        <v>1090</v>
      </c>
      <c r="F1631" s="7" t="s">
        <v>444</v>
      </c>
      <c r="G1631" s="7">
        <v>177</v>
      </c>
      <c r="H1631" s="7" t="s">
        <v>883</v>
      </c>
      <c r="I1631" s="7" t="s">
        <v>878</v>
      </c>
      <c r="J1631" s="7" t="s">
        <v>882</v>
      </c>
      <c r="M1631" s="7"/>
      <c r="N1631" s="7" t="s">
        <v>875</v>
      </c>
      <c r="P1631" s="126"/>
    </row>
    <row r="1632" spans="1:16" ht="15.75" customHeight="1">
      <c r="A1632" s="126">
        <v>46230.015752314801</v>
      </c>
      <c r="B1632" s="7">
        <v>12</v>
      </c>
      <c r="C1632" s="7">
        <v>244</v>
      </c>
      <c r="D1632" s="7"/>
      <c r="E1632" s="7" t="s">
        <v>1090</v>
      </c>
      <c r="F1632" s="7" t="s">
        <v>444</v>
      </c>
      <c r="G1632" s="7">
        <v>176</v>
      </c>
      <c r="H1632" s="7" t="s">
        <v>884</v>
      </c>
      <c r="I1632" s="7" t="s">
        <v>878</v>
      </c>
      <c r="J1632" s="7" t="s">
        <v>882</v>
      </c>
      <c r="M1632" s="7">
        <v>100</v>
      </c>
      <c r="N1632" s="7">
        <v>100</v>
      </c>
      <c r="O1632" s="126">
        <v>46223.832476851901</v>
      </c>
      <c r="P1632" s="126">
        <v>46223.832476851901</v>
      </c>
    </row>
    <row r="1633" spans="1:16" ht="15.75" customHeight="1">
      <c r="A1633" s="126">
        <v>46230.015752314801</v>
      </c>
      <c r="B1633" s="7">
        <v>12</v>
      </c>
      <c r="C1633" s="7">
        <v>244</v>
      </c>
      <c r="D1633" s="7"/>
      <c r="E1633" s="7" t="s">
        <v>1090</v>
      </c>
      <c r="F1633" s="7" t="s">
        <v>444</v>
      </c>
      <c r="G1633" s="7">
        <v>168</v>
      </c>
      <c r="H1633" s="7" t="s">
        <v>885</v>
      </c>
      <c r="I1633" s="7" t="s">
        <v>886</v>
      </c>
      <c r="J1633" s="7"/>
      <c r="M1633" s="7">
        <v>100</v>
      </c>
      <c r="N1633" s="7">
        <v>100</v>
      </c>
      <c r="P1633" s="126">
        <v>46209.706967592603</v>
      </c>
    </row>
    <row r="1634" spans="1:16" ht="15.75" customHeight="1">
      <c r="A1634" s="126">
        <v>46230.015752314801</v>
      </c>
      <c r="B1634" s="7">
        <v>12</v>
      </c>
      <c r="C1634" s="7">
        <v>744</v>
      </c>
      <c r="D1634" s="7"/>
      <c r="E1634" s="7" t="s">
        <v>1091</v>
      </c>
      <c r="F1634" s="7" t="s">
        <v>226</v>
      </c>
      <c r="G1634" s="7">
        <v>181</v>
      </c>
      <c r="H1634" s="7" t="s">
        <v>873</v>
      </c>
      <c r="I1634" s="7" t="s">
        <v>874</v>
      </c>
      <c r="J1634" s="7"/>
      <c r="M1634" s="7"/>
      <c r="N1634" s="7" t="s">
        <v>875</v>
      </c>
      <c r="P1634" s="126"/>
    </row>
    <row r="1635" spans="1:16" ht="15.75" customHeight="1">
      <c r="A1635" s="126">
        <v>46230.015752314801</v>
      </c>
      <c r="B1635" s="7">
        <v>12</v>
      </c>
      <c r="C1635" s="7">
        <v>744</v>
      </c>
      <c r="D1635" s="7"/>
      <c r="E1635" s="7" t="s">
        <v>1091</v>
      </c>
      <c r="F1635" s="7" t="s">
        <v>226</v>
      </c>
      <c r="G1635" s="7">
        <v>182</v>
      </c>
      <c r="H1635" s="7" t="s">
        <v>876</v>
      </c>
      <c r="I1635" s="7" t="s">
        <v>874</v>
      </c>
      <c r="J1635" s="7"/>
      <c r="M1635" s="7"/>
      <c r="N1635" s="7" t="s">
        <v>875</v>
      </c>
      <c r="O1635" s="126"/>
      <c r="P1635" s="126"/>
    </row>
    <row r="1636" spans="1:16" ht="15.75" customHeight="1">
      <c r="A1636" s="126">
        <v>46230.015752314801</v>
      </c>
      <c r="B1636" s="7">
        <v>12</v>
      </c>
      <c r="C1636" s="7">
        <v>744</v>
      </c>
      <c r="D1636" s="7"/>
      <c r="E1636" s="7" t="s">
        <v>1091</v>
      </c>
      <c r="F1636" s="7" t="s">
        <v>226</v>
      </c>
      <c r="G1636" s="7">
        <v>174</v>
      </c>
      <c r="H1636" s="7" t="s">
        <v>877</v>
      </c>
      <c r="I1636" s="7" t="s">
        <v>878</v>
      </c>
      <c r="J1636" s="7" t="s">
        <v>879</v>
      </c>
      <c r="M1636" s="7">
        <v>100</v>
      </c>
      <c r="N1636" s="7">
        <v>100</v>
      </c>
      <c r="P1636" s="126">
        <v>46210.494953703703</v>
      </c>
    </row>
    <row r="1637" spans="1:16" ht="15.75" customHeight="1">
      <c r="A1637" s="126">
        <v>46230.015752314801</v>
      </c>
      <c r="B1637" s="7">
        <v>12</v>
      </c>
      <c r="C1637" s="7">
        <v>744</v>
      </c>
      <c r="D1637" s="7"/>
      <c r="E1637" s="7" t="s">
        <v>1091</v>
      </c>
      <c r="F1637" s="7" t="s">
        <v>226</v>
      </c>
      <c r="G1637" s="7">
        <v>180</v>
      </c>
      <c r="H1637" s="7" t="s">
        <v>880</v>
      </c>
      <c r="I1637" s="7" t="s">
        <v>874</v>
      </c>
      <c r="J1637" s="7"/>
      <c r="M1637" s="7"/>
      <c r="N1637" s="7" t="s">
        <v>875</v>
      </c>
      <c r="O1637" s="126"/>
      <c r="P1637" s="126"/>
    </row>
    <row r="1638" spans="1:16" ht="15.75" customHeight="1">
      <c r="A1638" s="126">
        <v>46230.015752314801</v>
      </c>
      <c r="B1638" s="7">
        <v>12</v>
      </c>
      <c r="C1638" s="7">
        <v>744</v>
      </c>
      <c r="D1638" s="7"/>
      <c r="E1638" s="7" t="s">
        <v>1091</v>
      </c>
      <c r="F1638" s="7" t="s">
        <v>226</v>
      </c>
      <c r="G1638" s="7">
        <v>175</v>
      </c>
      <c r="H1638" s="7" t="s">
        <v>881</v>
      </c>
      <c r="I1638" s="7" t="s">
        <v>878</v>
      </c>
      <c r="J1638" s="7" t="s">
        <v>882</v>
      </c>
      <c r="M1638" s="7"/>
      <c r="N1638" s="7" t="s">
        <v>875</v>
      </c>
      <c r="O1638" s="126"/>
      <c r="P1638" s="126"/>
    </row>
    <row r="1639" spans="1:16" ht="15.75" customHeight="1">
      <c r="A1639" s="126">
        <v>46230.015752314801</v>
      </c>
      <c r="B1639" s="7">
        <v>12</v>
      </c>
      <c r="C1639" s="7">
        <v>744</v>
      </c>
      <c r="D1639" s="7"/>
      <c r="E1639" s="7" t="s">
        <v>1091</v>
      </c>
      <c r="F1639" s="7" t="s">
        <v>226</v>
      </c>
      <c r="G1639" s="7">
        <v>177</v>
      </c>
      <c r="H1639" s="7" t="s">
        <v>883</v>
      </c>
      <c r="I1639" s="7" t="s">
        <v>878</v>
      </c>
      <c r="J1639" s="7" t="s">
        <v>882</v>
      </c>
      <c r="M1639" s="7"/>
      <c r="N1639" s="7" t="s">
        <v>875</v>
      </c>
      <c r="P1639" s="126"/>
    </row>
    <row r="1640" spans="1:16" ht="15.75" customHeight="1">
      <c r="A1640" s="126">
        <v>46230.015752314801</v>
      </c>
      <c r="B1640" s="7">
        <v>12</v>
      </c>
      <c r="C1640" s="7">
        <v>744</v>
      </c>
      <c r="D1640" s="7"/>
      <c r="E1640" s="7" t="s">
        <v>1091</v>
      </c>
      <c r="F1640" s="7" t="s">
        <v>226</v>
      </c>
      <c r="G1640" s="7">
        <v>176</v>
      </c>
      <c r="H1640" s="7" t="s">
        <v>884</v>
      </c>
      <c r="I1640" s="7" t="s">
        <v>878</v>
      </c>
      <c r="J1640" s="7" t="s">
        <v>882</v>
      </c>
      <c r="M1640" s="7">
        <v>80</v>
      </c>
      <c r="N1640" s="7">
        <v>80</v>
      </c>
      <c r="O1640" s="126">
        <v>46225.321331018502</v>
      </c>
      <c r="P1640" s="126">
        <v>46225.321331018502</v>
      </c>
    </row>
    <row r="1641" spans="1:16" ht="15.75" customHeight="1">
      <c r="A1641" s="126">
        <v>46230.015752314801</v>
      </c>
      <c r="B1641" s="7">
        <v>12</v>
      </c>
      <c r="C1641" s="7">
        <v>744</v>
      </c>
      <c r="D1641" s="7"/>
      <c r="E1641" s="7" t="s">
        <v>1091</v>
      </c>
      <c r="F1641" s="7" t="s">
        <v>226</v>
      </c>
      <c r="G1641" s="7">
        <v>168</v>
      </c>
      <c r="H1641" s="7" t="s">
        <v>885</v>
      </c>
      <c r="I1641" s="7" t="s">
        <v>886</v>
      </c>
      <c r="J1641" s="7"/>
      <c r="M1641" s="7">
        <v>100</v>
      </c>
      <c r="N1641" s="7">
        <v>100</v>
      </c>
      <c r="O1641" s="126"/>
      <c r="P1641" s="126">
        <v>46210.494953703703</v>
      </c>
    </row>
    <row r="1642" spans="1:16" ht="15.75" customHeight="1">
      <c r="A1642" s="126">
        <v>46230.015752314801</v>
      </c>
      <c r="B1642" s="7">
        <v>12</v>
      </c>
      <c r="C1642" s="7">
        <v>303</v>
      </c>
      <c r="D1642" s="7">
        <v>399311</v>
      </c>
      <c r="E1642" s="7" t="s">
        <v>1092</v>
      </c>
      <c r="F1642" s="7" t="s">
        <v>62</v>
      </c>
      <c r="G1642" s="7">
        <v>181</v>
      </c>
      <c r="H1642" s="7" t="s">
        <v>873</v>
      </c>
      <c r="I1642" s="7" t="s">
        <v>874</v>
      </c>
      <c r="J1642" s="7"/>
      <c r="M1642" s="7"/>
      <c r="N1642" s="7" t="s">
        <v>875</v>
      </c>
      <c r="P1642" s="126"/>
    </row>
    <row r="1643" spans="1:16" ht="15.75" customHeight="1">
      <c r="A1643" s="126">
        <v>46230.015752314801</v>
      </c>
      <c r="B1643" s="7">
        <v>12</v>
      </c>
      <c r="C1643" s="7">
        <v>303</v>
      </c>
      <c r="D1643" s="7">
        <v>399311</v>
      </c>
      <c r="E1643" s="7" t="s">
        <v>1092</v>
      </c>
      <c r="F1643" s="7" t="s">
        <v>62</v>
      </c>
      <c r="G1643" s="7">
        <v>182</v>
      </c>
      <c r="H1643" s="7" t="s">
        <v>876</v>
      </c>
      <c r="I1643" s="7" t="s">
        <v>874</v>
      </c>
      <c r="J1643" s="7"/>
      <c r="M1643" s="7"/>
      <c r="N1643" s="7" t="s">
        <v>875</v>
      </c>
      <c r="P1643" s="126"/>
    </row>
    <row r="1644" spans="1:16" ht="15.75" customHeight="1">
      <c r="A1644" s="126">
        <v>46230.015752314801</v>
      </c>
      <c r="B1644" s="7">
        <v>12</v>
      </c>
      <c r="C1644" s="7">
        <v>303</v>
      </c>
      <c r="D1644" s="7">
        <v>399311</v>
      </c>
      <c r="E1644" s="7" t="s">
        <v>1092</v>
      </c>
      <c r="F1644" s="7" t="s">
        <v>62</v>
      </c>
      <c r="G1644" s="7">
        <v>174</v>
      </c>
      <c r="H1644" s="7" t="s">
        <v>877</v>
      </c>
      <c r="I1644" s="7" t="s">
        <v>878</v>
      </c>
      <c r="J1644" s="7" t="s">
        <v>879</v>
      </c>
      <c r="M1644" s="7">
        <v>100</v>
      </c>
      <c r="N1644" s="7">
        <v>100</v>
      </c>
      <c r="O1644" s="126"/>
      <c r="P1644" s="126">
        <v>46209.647488425901</v>
      </c>
    </row>
    <row r="1645" spans="1:16" ht="15.75" customHeight="1">
      <c r="A1645" s="126">
        <v>46230.015752314801</v>
      </c>
      <c r="B1645" s="7">
        <v>12</v>
      </c>
      <c r="C1645" s="7">
        <v>303</v>
      </c>
      <c r="D1645" s="7">
        <v>399311</v>
      </c>
      <c r="E1645" s="7" t="s">
        <v>1092</v>
      </c>
      <c r="F1645" s="7" t="s">
        <v>62</v>
      </c>
      <c r="G1645" s="7">
        <v>180</v>
      </c>
      <c r="H1645" s="7" t="s">
        <v>880</v>
      </c>
      <c r="I1645" s="7" t="s">
        <v>874</v>
      </c>
      <c r="J1645" s="7"/>
      <c r="M1645" s="7"/>
      <c r="N1645" s="7" t="s">
        <v>875</v>
      </c>
      <c r="O1645" s="126"/>
      <c r="P1645" s="126"/>
    </row>
    <row r="1646" spans="1:16" ht="15.75" customHeight="1">
      <c r="A1646" s="126">
        <v>46230.015752314801</v>
      </c>
      <c r="B1646" s="7">
        <v>12</v>
      </c>
      <c r="C1646" s="7">
        <v>303</v>
      </c>
      <c r="D1646" s="7">
        <v>399311</v>
      </c>
      <c r="E1646" s="7" t="s">
        <v>1092</v>
      </c>
      <c r="F1646" s="7" t="s">
        <v>62</v>
      </c>
      <c r="G1646" s="7">
        <v>175</v>
      </c>
      <c r="H1646" s="7" t="s">
        <v>881</v>
      </c>
      <c r="I1646" s="7" t="s">
        <v>878</v>
      </c>
      <c r="J1646" s="7" t="s">
        <v>882</v>
      </c>
      <c r="M1646" s="7">
        <v>100</v>
      </c>
      <c r="N1646" s="7">
        <v>100</v>
      </c>
      <c r="O1646" s="126">
        <v>46215.536585648202</v>
      </c>
      <c r="P1646" s="126">
        <v>46215.536585648202</v>
      </c>
    </row>
    <row r="1647" spans="1:16" ht="15.75" customHeight="1">
      <c r="A1647" s="126">
        <v>46230.015752314801</v>
      </c>
      <c r="B1647" s="7">
        <v>12</v>
      </c>
      <c r="C1647" s="7">
        <v>303</v>
      </c>
      <c r="D1647" s="7">
        <v>399311</v>
      </c>
      <c r="E1647" s="7" t="s">
        <v>1092</v>
      </c>
      <c r="F1647" s="7" t="s">
        <v>62</v>
      </c>
      <c r="G1647" s="7">
        <v>177</v>
      </c>
      <c r="H1647" s="7" t="s">
        <v>883</v>
      </c>
      <c r="I1647" s="7" t="s">
        <v>878</v>
      </c>
      <c r="J1647" s="7" t="s">
        <v>882</v>
      </c>
      <c r="M1647" s="7"/>
      <c r="N1647" s="7" t="s">
        <v>875</v>
      </c>
      <c r="O1647" s="126"/>
      <c r="P1647" s="126"/>
    </row>
    <row r="1648" spans="1:16" ht="15.75" customHeight="1">
      <c r="A1648" s="126">
        <v>46230.015752314801</v>
      </c>
      <c r="B1648" s="7">
        <v>12</v>
      </c>
      <c r="C1648" s="7">
        <v>303</v>
      </c>
      <c r="D1648" s="7">
        <v>399311</v>
      </c>
      <c r="E1648" s="7" t="s">
        <v>1092</v>
      </c>
      <c r="F1648" s="7" t="s">
        <v>62</v>
      </c>
      <c r="G1648" s="7">
        <v>176</v>
      </c>
      <c r="H1648" s="7" t="s">
        <v>884</v>
      </c>
      <c r="I1648" s="7" t="s">
        <v>878</v>
      </c>
      <c r="J1648" s="7" t="s">
        <v>882</v>
      </c>
      <c r="M1648" s="7">
        <v>100</v>
      </c>
      <c r="N1648" s="7">
        <v>100</v>
      </c>
      <c r="O1648" s="126">
        <v>46229.607557870397</v>
      </c>
      <c r="P1648" s="126">
        <v>46229.607557870397</v>
      </c>
    </row>
    <row r="1649" spans="1:16" ht="15.75" customHeight="1">
      <c r="A1649" s="126">
        <v>46230.015752314801</v>
      </c>
      <c r="B1649" s="7">
        <v>12</v>
      </c>
      <c r="C1649" s="7">
        <v>303</v>
      </c>
      <c r="D1649" s="7">
        <v>399311</v>
      </c>
      <c r="E1649" s="7" t="s">
        <v>1092</v>
      </c>
      <c r="F1649" s="7" t="s">
        <v>62</v>
      </c>
      <c r="G1649" s="7">
        <v>168</v>
      </c>
      <c r="H1649" s="7" t="s">
        <v>885</v>
      </c>
      <c r="I1649" s="7" t="s">
        <v>886</v>
      </c>
      <c r="J1649" s="7"/>
      <c r="M1649" s="7">
        <v>100</v>
      </c>
      <c r="N1649" s="7">
        <v>100</v>
      </c>
      <c r="P1649" s="126">
        <v>46209.647488425901</v>
      </c>
    </row>
    <row r="1650" spans="1:16" ht="15.75" customHeight="1">
      <c r="A1650" s="126">
        <v>46230.015752314801</v>
      </c>
      <c r="B1650" s="7">
        <v>12</v>
      </c>
      <c r="C1650" s="7">
        <v>723</v>
      </c>
      <c r="D1650" s="7"/>
      <c r="E1650" s="7" t="s">
        <v>1093</v>
      </c>
      <c r="F1650" s="7" t="s">
        <v>591</v>
      </c>
      <c r="G1650" s="7">
        <v>181</v>
      </c>
      <c r="H1650" s="7" t="s">
        <v>873</v>
      </c>
      <c r="I1650" s="7" t="s">
        <v>874</v>
      </c>
      <c r="J1650" s="7"/>
      <c r="M1650" s="7"/>
      <c r="N1650" s="7" t="s">
        <v>875</v>
      </c>
      <c r="P1650" s="126"/>
    </row>
    <row r="1651" spans="1:16" ht="15.75" customHeight="1">
      <c r="A1651" s="126">
        <v>46230.015752314801</v>
      </c>
      <c r="B1651" s="7">
        <v>12</v>
      </c>
      <c r="C1651" s="7">
        <v>723</v>
      </c>
      <c r="D1651" s="7"/>
      <c r="E1651" s="7" t="s">
        <v>1093</v>
      </c>
      <c r="F1651" s="7" t="s">
        <v>591</v>
      </c>
      <c r="G1651" s="7">
        <v>182</v>
      </c>
      <c r="H1651" s="7" t="s">
        <v>876</v>
      </c>
      <c r="I1651" s="7" t="s">
        <v>874</v>
      </c>
      <c r="J1651" s="7"/>
      <c r="M1651" s="7"/>
      <c r="N1651" s="7" t="s">
        <v>875</v>
      </c>
      <c r="P1651" s="126"/>
    </row>
    <row r="1652" spans="1:16" ht="15.75" customHeight="1">
      <c r="A1652" s="126">
        <v>46230.015752314801</v>
      </c>
      <c r="B1652" s="7">
        <v>12</v>
      </c>
      <c r="C1652" s="7">
        <v>723</v>
      </c>
      <c r="D1652" s="7"/>
      <c r="E1652" s="7" t="s">
        <v>1093</v>
      </c>
      <c r="F1652" s="7" t="s">
        <v>591</v>
      </c>
      <c r="G1652" s="7">
        <v>174</v>
      </c>
      <c r="H1652" s="7" t="s">
        <v>877</v>
      </c>
      <c r="I1652" s="7" t="s">
        <v>878</v>
      </c>
      <c r="J1652" s="7" t="s">
        <v>879</v>
      </c>
      <c r="M1652" s="7">
        <v>100</v>
      </c>
      <c r="N1652" s="7">
        <v>100</v>
      </c>
      <c r="P1652" s="126">
        <v>46209.706944444399</v>
      </c>
    </row>
    <row r="1653" spans="1:16" ht="15.75" customHeight="1">
      <c r="A1653" s="126">
        <v>46230.015752314801</v>
      </c>
      <c r="B1653" s="7">
        <v>12</v>
      </c>
      <c r="C1653" s="7">
        <v>723</v>
      </c>
      <c r="D1653" s="7"/>
      <c r="E1653" s="7" t="s">
        <v>1093</v>
      </c>
      <c r="F1653" s="7" t="s">
        <v>591</v>
      </c>
      <c r="G1653" s="7">
        <v>180</v>
      </c>
      <c r="H1653" s="7" t="s">
        <v>880</v>
      </c>
      <c r="I1653" s="7" t="s">
        <v>874</v>
      </c>
      <c r="J1653" s="7"/>
      <c r="M1653" s="7"/>
      <c r="N1653" s="7" t="s">
        <v>875</v>
      </c>
      <c r="O1653" s="126"/>
      <c r="P1653" s="126"/>
    </row>
    <row r="1654" spans="1:16" ht="15.75" customHeight="1">
      <c r="A1654" s="126">
        <v>46230.015752314801</v>
      </c>
      <c r="B1654" s="7">
        <v>12</v>
      </c>
      <c r="C1654" s="7">
        <v>723</v>
      </c>
      <c r="D1654" s="7"/>
      <c r="E1654" s="7" t="s">
        <v>1093</v>
      </c>
      <c r="F1654" s="7" t="s">
        <v>591</v>
      </c>
      <c r="G1654" s="7">
        <v>175</v>
      </c>
      <c r="H1654" s="7" t="s">
        <v>881</v>
      </c>
      <c r="I1654" s="7" t="s">
        <v>878</v>
      </c>
      <c r="J1654" s="7" t="s">
        <v>882</v>
      </c>
      <c r="M1654" s="7">
        <v>87.5</v>
      </c>
      <c r="N1654" s="7">
        <v>87.5</v>
      </c>
      <c r="O1654" s="126">
        <v>46215.895254629599</v>
      </c>
      <c r="P1654" s="126">
        <v>46215.895254629599</v>
      </c>
    </row>
    <row r="1655" spans="1:16" ht="15.75" customHeight="1">
      <c r="A1655" s="126">
        <v>46230.015752314801</v>
      </c>
      <c r="B1655" s="7">
        <v>12</v>
      </c>
      <c r="C1655" s="7">
        <v>723</v>
      </c>
      <c r="D1655" s="7"/>
      <c r="E1655" s="7" t="s">
        <v>1093</v>
      </c>
      <c r="F1655" s="7" t="s">
        <v>591</v>
      </c>
      <c r="G1655" s="7">
        <v>177</v>
      </c>
      <c r="H1655" s="7" t="s">
        <v>883</v>
      </c>
      <c r="I1655" s="7" t="s">
        <v>878</v>
      </c>
      <c r="J1655" s="7" t="s">
        <v>882</v>
      </c>
      <c r="M1655" s="7"/>
      <c r="N1655" s="7" t="s">
        <v>875</v>
      </c>
      <c r="O1655" s="126"/>
      <c r="P1655" s="126"/>
    </row>
    <row r="1656" spans="1:16" ht="15.75" customHeight="1">
      <c r="A1656" s="126">
        <v>46230.015752314801</v>
      </c>
      <c r="B1656" s="7">
        <v>12</v>
      </c>
      <c r="C1656" s="7">
        <v>723</v>
      </c>
      <c r="D1656" s="7"/>
      <c r="E1656" s="7" t="s">
        <v>1093</v>
      </c>
      <c r="F1656" s="7" t="s">
        <v>591</v>
      </c>
      <c r="G1656" s="7">
        <v>176</v>
      </c>
      <c r="H1656" s="7" t="s">
        <v>884</v>
      </c>
      <c r="I1656" s="7" t="s">
        <v>878</v>
      </c>
      <c r="J1656" s="7" t="s">
        <v>882</v>
      </c>
      <c r="M1656" s="7">
        <v>100</v>
      </c>
      <c r="N1656" s="7">
        <v>100</v>
      </c>
      <c r="O1656" s="126">
        <v>46227.339120370401</v>
      </c>
      <c r="P1656" s="126">
        <v>46227.339120370401</v>
      </c>
    </row>
    <row r="1657" spans="1:16" ht="15.75" customHeight="1">
      <c r="A1657" s="126">
        <v>46230.015752314801</v>
      </c>
      <c r="B1657" s="7">
        <v>12</v>
      </c>
      <c r="C1657" s="7">
        <v>723</v>
      </c>
      <c r="D1657" s="7"/>
      <c r="E1657" s="7" t="s">
        <v>1093</v>
      </c>
      <c r="F1657" s="7" t="s">
        <v>591</v>
      </c>
      <c r="G1657" s="7">
        <v>168</v>
      </c>
      <c r="H1657" s="7" t="s">
        <v>885</v>
      </c>
      <c r="I1657" s="7" t="s">
        <v>886</v>
      </c>
      <c r="M1657" s="7">
        <v>100</v>
      </c>
      <c r="N1657" s="7">
        <v>100</v>
      </c>
      <c r="P1657" s="126">
        <v>46209.706944444399</v>
      </c>
    </row>
    <row r="1658" spans="1:16" ht="15.75" customHeight="1">
      <c r="A1658" s="126">
        <v>46230.015752314801</v>
      </c>
      <c r="B1658" s="7">
        <v>12</v>
      </c>
      <c r="C1658" s="7">
        <v>713</v>
      </c>
      <c r="D1658" s="7"/>
      <c r="E1658" s="7" t="s">
        <v>1094</v>
      </c>
      <c r="F1658" s="7" t="s">
        <v>752</v>
      </c>
      <c r="G1658" s="7">
        <v>181</v>
      </c>
      <c r="H1658" s="7" t="s">
        <v>873</v>
      </c>
      <c r="I1658" s="7" t="s">
        <v>874</v>
      </c>
      <c r="J1658" s="7"/>
      <c r="M1658" s="7"/>
      <c r="N1658" s="7" t="s">
        <v>875</v>
      </c>
      <c r="P1658" s="126"/>
    </row>
    <row r="1659" spans="1:16" ht="15.75" customHeight="1">
      <c r="A1659" s="126">
        <v>46230.015752314801</v>
      </c>
      <c r="B1659" s="7">
        <v>12</v>
      </c>
      <c r="C1659" s="7">
        <v>713</v>
      </c>
      <c r="D1659" s="7"/>
      <c r="E1659" s="7" t="s">
        <v>1094</v>
      </c>
      <c r="F1659" s="7" t="s">
        <v>752</v>
      </c>
      <c r="G1659" s="7">
        <v>182</v>
      </c>
      <c r="H1659" s="7" t="s">
        <v>876</v>
      </c>
      <c r="I1659" s="7" t="s">
        <v>874</v>
      </c>
      <c r="J1659" s="7"/>
      <c r="M1659" s="7"/>
      <c r="N1659" s="7" t="s">
        <v>875</v>
      </c>
      <c r="O1659" s="126"/>
      <c r="P1659" s="126"/>
    </row>
    <row r="1660" spans="1:16" ht="15.75" customHeight="1">
      <c r="A1660" s="126">
        <v>46230.015752314801</v>
      </c>
      <c r="B1660" s="7">
        <v>12</v>
      </c>
      <c r="C1660" s="7">
        <v>713</v>
      </c>
      <c r="D1660" s="7"/>
      <c r="E1660" s="7" t="s">
        <v>1094</v>
      </c>
      <c r="F1660" s="7" t="s">
        <v>752</v>
      </c>
      <c r="G1660" s="7">
        <v>174</v>
      </c>
      <c r="H1660" s="7" t="s">
        <v>877</v>
      </c>
      <c r="I1660" s="7" t="s">
        <v>878</v>
      </c>
      <c r="J1660" s="7" t="s">
        <v>879</v>
      </c>
      <c r="M1660" s="7">
        <v>100</v>
      </c>
      <c r="N1660" s="7">
        <v>100</v>
      </c>
      <c r="P1660" s="126">
        <v>46209.706932870402</v>
      </c>
    </row>
    <row r="1661" spans="1:16" ht="15.75" customHeight="1">
      <c r="A1661" s="126">
        <v>46230.015752314801</v>
      </c>
      <c r="B1661" s="7">
        <v>12</v>
      </c>
      <c r="C1661" s="7">
        <v>713</v>
      </c>
      <c r="D1661" s="7"/>
      <c r="E1661" s="7" t="s">
        <v>1094</v>
      </c>
      <c r="F1661" s="7" t="s">
        <v>752</v>
      </c>
      <c r="G1661" s="7">
        <v>180</v>
      </c>
      <c r="H1661" s="7" t="s">
        <v>880</v>
      </c>
      <c r="I1661" s="7" t="s">
        <v>874</v>
      </c>
      <c r="J1661" s="7"/>
      <c r="M1661" s="7"/>
      <c r="N1661" s="7" t="s">
        <v>875</v>
      </c>
      <c r="P1661" s="126"/>
    </row>
    <row r="1662" spans="1:16" ht="15.75" customHeight="1">
      <c r="A1662" s="126">
        <v>46230.015752314801</v>
      </c>
      <c r="B1662" s="7">
        <v>12</v>
      </c>
      <c r="C1662" s="7">
        <v>713</v>
      </c>
      <c r="D1662" s="7"/>
      <c r="E1662" s="7" t="s">
        <v>1094</v>
      </c>
      <c r="F1662" s="7" t="s">
        <v>752</v>
      </c>
      <c r="G1662" s="7">
        <v>175</v>
      </c>
      <c r="H1662" s="7" t="s">
        <v>881</v>
      </c>
      <c r="I1662" s="7" t="s">
        <v>878</v>
      </c>
      <c r="J1662" s="7" t="s">
        <v>882</v>
      </c>
      <c r="M1662" s="7">
        <v>62.5</v>
      </c>
      <c r="N1662" s="7">
        <v>62.5</v>
      </c>
      <c r="O1662" s="126">
        <v>46216.418611111098</v>
      </c>
      <c r="P1662" s="126">
        <v>46216.418611111098</v>
      </c>
    </row>
    <row r="1663" spans="1:16" ht="15.75" customHeight="1">
      <c r="A1663" s="126">
        <v>46230.015752314801</v>
      </c>
      <c r="B1663" s="7">
        <v>12</v>
      </c>
      <c r="C1663" s="7">
        <v>713</v>
      </c>
      <c r="D1663" s="7"/>
      <c r="E1663" s="7" t="s">
        <v>1094</v>
      </c>
      <c r="F1663" s="7" t="s">
        <v>752</v>
      </c>
      <c r="G1663" s="7">
        <v>177</v>
      </c>
      <c r="H1663" s="7" t="s">
        <v>883</v>
      </c>
      <c r="I1663" s="7" t="s">
        <v>878</v>
      </c>
      <c r="J1663" s="7" t="s">
        <v>882</v>
      </c>
      <c r="M1663" s="7"/>
      <c r="N1663" s="7" t="s">
        <v>875</v>
      </c>
      <c r="P1663" s="126"/>
    </row>
    <row r="1664" spans="1:16" ht="15.75" customHeight="1">
      <c r="A1664" s="126">
        <v>46230.015752314801</v>
      </c>
      <c r="B1664" s="7">
        <v>12</v>
      </c>
      <c r="C1664" s="7">
        <v>713</v>
      </c>
      <c r="D1664" s="7"/>
      <c r="E1664" s="7" t="s">
        <v>1094</v>
      </c>
      <c r="F1664" s="7" t="s">
        <v>752</v>
      </c>
      <c r="G1664" s="7">
        <v>176</v>
      </c>
      <c r="H1664" s="7" t="s">
        <v>884</v>
      </c>
      <c r="I1664" s="7" t="s">
        <v>878</v>
      </c>
      <c r="J1664" s="7" t="s">
        <v>882</v>
      </c>
      <c r="M1664" s="7">
        <v>90</v>
      </c>
      <c r="N1664" s="7">
        <v>90</v>
      </c>
      <c r="O1664" s="126">
        <v>46228.971423611103</v>
      </c>
      <c r="P1664" s="126">
        <v>46228.971423611103</v>
      </c>
    </row>
    <row r="1665" spans="1:16" ht="15.75" customHeight="1">
      <c r="A1665" s="126">
        <v>46230.015752314801</v>
      </c>
      <c r="B1665" s="7">
        <v>12</v>
      </c>
      <c r="C1665" s="7">
        <v>713</v>
      </c>
      <c r="D1665" s="7"/>
      <c r="E1665" s="7" t="s">
        <v>1094</v>
      </c>
      <c r="F1665" s="7" t="s">
        <v>752</v>
      </c>
      <c r="G1665" s="7">
        <v>168</v>
      </c>
      <c r="H1665" s="7" t="s">
        <v>885</v>
      </c>
      <c r="I1665" s="7" t="s">
        <v>886</v>
      </c>
      <c r="J1665" s="7"/>
      <c r="M1665" s="7">
        <v>100</v>
      </c>
      <c r="N1665" s="7">
        <v>100</v>
      </c>
      <c r="O1665" s="126"/>
      <c r="P1665" s="126">
        <v>46209.706932870402</v>
      </c>
    </row>
    <row r="1666" spans="1:16" ht="15.75" customHeight="1">
      <c r="A1666" s="126">
        <v>46230.015752314801</v>
      </c>
      <c r="B1666" s="7">
        <v>12</v>
      </c>
      <c r="C1666" s="7">
        <v>280</v>
      </c>
      <c r="D1666" s="7">
        <v>148516</v>
      </c>
      <c r="E1666" s="7" t="s">
        <v>1095</v>
      </c>
      <c r="F1666" s="7" t="s">
        <v>56</v>
      </c>
      <c r="G1666" s="7">
        <v>181</v>
      </c>
      <c r="H1666" s="7" t="s">
        <v>873</v>
      </c>
      <c r="I1666" s="7" t="s">
        <v>874</v>
      </c>
      <c r="J1666" s="7"/>
      <c r="M1666" s="7"/>
      <c r="N1666" s="7" t="s">
        <v>875</v>
      </c>
      <c r="P1666" s="126"/>
    </row>
    <row r="1667" spans="1:16" ht="15.75" customHeight="1">
      <c r="A1667" s="126">
        <v>46230.015752314801</v>
      </c>
      <c r="B1667" s="7">
        <v>12</v>
      </c>
      <c r="C1667" s="7">
        <v>280</v>
      </c>
      <c r="D1667" s="7">
        <v>148516</v>
      </c>
      <c r="E1667" s="7" t="s">
        <v>1095</v>
      </c>
      <c r="F1667" s="7" t="s">
        <v>56</v>
      </c>
      <c r="G1667" s="7">
        <v>182</v>
      </c>
      <c r="H1667" s="7" t="s">
        <v>876</v>
      </c>
      <c r="I1667" s="7" t="s">
        <v>874</v>
      </c>
      <c r="J1667" s="7"/>
      <c r="M1667" s="7"/>
      <c r="N1667" s="7" t="s">
        <v>875</v>
      </c>
      <c r="P1667" s="126"/>
    </row>
    <row r="1668" spans="1:16" ht="15.75" customHeight="1">
      <c r="A1668" s="126">
        <v>46230.015752314801</v>
      </c>
      <c r="B1668" s="7">
        <v>12</v>
      </c>
      <c r="C1668" s="7">
        <v>280</v>
      </c>
      <c r="D1668" s="7">
        <v>148516</v>
      </c>
      <c r="E1668" s="7" t="s">
        <v>1095</v>
      </c>
      <c r="F1668" s="7" t="s">
        <v>56</v>
      </c>
      <c r="G1668" s="7">
        <v>174</v>
      </c>
      <c r="H1668" s="7" t="s">
        <v>877</v>
      </c>
      <c r="I1668" s="7" t="s">
        <v>878</v>
      </c>
      <c r="J1668" s="7" t="s">
        <v>879</v>
      </c>
      <c r="M1668" s="7">
        <v>100</v>
      </c>
      <c r="N1668" s="7">
        <v>100</v>
      </c>
      <c r="P1668" s="126">
        <v>46209.706932870402</v>
      </c>
    </row>
    <row r="1669" spans="1:16" ht="15.75" customHeight="1">
      <c r="A1669" s="126">
        <v>46230.015752314801</v>
      </c>
      <c r="B1669" s="7">
        <v>12</v>
      </c>
      <c r="C1669" s="7">
        <v>280</v>
      </c>
      <c r="D1669" s="7">
        <v>148516</v>
      </c>
      <c r="E1669" s="7" t="s">
        <v>1095</v>
      </c>
      <c r="F1669" s="7" t="s">
        <v>56</v>
      </c>
      <c r="G1669" s="7">
        <v>180</v>
      </c>
      <c r="H1669" s="7" t="s">
        <v>880</v>
      </c>
      <c r="I1669" s="7" t="s">
        <v>874</v>
      </c>
      <c r="J1669" s="7"/>
      <c r="M1669" s="7"/>
      <c r="N1669" s="7" t="s">
        <v>875</v>
      </c>
      <c r="O1669" s="126"/>
      <c r="P1669" s="126"/>
    </row>
    <row r="1670" spans="1:16" ht="15.75" customHeight="1">
      <c r="A1670" s="126">
        <v>46230.015752314801</v>
      </c>
      <c r="B1670" s="7">
        <v>12</v>
      </c>
      <c r="C1670" s="7">
        <v>280</v>
      </c>
      <c r="D1670" s="7">
        <v>148516</v>
      </c>
      <c r="E1670" s="7" t="s">
        <v>1095</v>
      </c>
      <c r="F1670" s="7" t="s">
        <v>56</v>
      </c>
      <c r="G1670" s="7">
        <v>175</v>
      </c>
      <c r="H1670" s="7" t="s">
        <v>881</v>
      </c>
      <c r="I1670" s="7" t="s">
        <v>878</v>
      </c>
      <c r="J1670" s="7" t="s">
        <v>882</v>
      </c>
      <c r="M1670" s="7">
        <v>100</v>
      </c>
      <c r="N1670" s="7">
        <v>100</v>
      </c>
      <c r="P1670" s="126">
        <v>46216.626655092601</v>
      </c>
    </row>
    <row r="1671" spans="1:16" ht="15.75" customHeight="1">
      <c r="A1671" s="126">
        <v>46230.015752314801</v>
      </c>
      <c r="B1671" s="7">
        <v>12</v>
      </c>
      <c r="C1671" s="7">
        <v>280</v>
      </c>
      <c r="D1671" s="7">
        <v>148516</v>
      </c>
      <c r="E1671" s="7" t="s">
        <v>1095</v>
      </c>
      <c r="F1671" s="7" t="s">
        <v>56</v>
      </c>
      <c r="G1671" s="7">
        <v>177</v>
      </c>
      <c r="H1671" s="7" t="s">
        <v>883</v>
      </c>
      <c r="I1671" s="7" t="s">
        <v>878</v>
      </c>
      <c r="J1671" s="7" t="s">
        <v>882</v>
      </c>
      <c r="M1671" s="7"/>
      <c r="N1671" s="7" t="s">
        <v>875</v>
      </c>
      <c r="O1671" s="126"/>
      <c r="P1671" s="126"/>
    </row>
    <row r="1672" spans="1:16" ht="15.75" customHeight="1">
      <c r="A1672" s="126">
        <v>46230.015752314801</v>
      </c>
      <c r="B1672" s="7">
        <v>12</v>
      </c>
      <c r="C1672" s="7">
        <v>280</v>
      </c>
      <c r="D1672" s="7">
        <v>148516</v>
      </c>
      <c r="E1672" s="7" t="s">
        <v>1095</v>
      </c>
      <c r="F1672" s="7" t="s">
        <v>56</v>
      </c>
      <c r="G1672" s="7">
        <v>176</v>
      </c>
      <c r="H1672" s="7" t="s">
        <v>884</v>
      </c>
      <c r="I1672" s="7" t="s">
        <v>878</v>
      </c>
      <c r="J1672" s="7" t="s">
        <v>882</v>
      </c>
      <c r="M1672" s="7">
        <v>100</v>
      </c>
      <c r="N1672" s="7">
        <v>100</v>
      </c>
      <c r="O1672" s="126">
        <v>46229.6063194444</v>
      </c>
      <c r="P1672" s="126">
        <v>46229.6063194444</v>
      </c>
    </row>
    <row r="1673" spans="1:16" ht="15.75" customHeight="1">
      <c r="A1673" s="126">
        <v>46230.015752314801</v>
      </c>
      <c r="B1673" s="7">
        <v>12</v>
      </c>
      <c r="C1673" s="7">
        <v>280</v>
      </c>
      <c r="D1673" s="7">
        <v>148516</v>
      </c>
      <c r="E1673" s="7" t="s">
        <v>1095</v>
      </c>
      <c r="F1673" s="7" t="s">
        <v>56</v>
      </c>
      <c r="G1673" s="7">
        <v>168</v>
      </c>
      <c r="H1673" s="7" t="s">
        <v>885</v>
      </c>
      <c r="I1673" s="7" t="s">
        <v>886</v>
      </c>
      <c r="J1673" s="7"/>
      <c r="M1673" s="7">
        <v>100</v>
      </c>
      <c r="N1673" s="7">
        <v>100</v>
      </c>
      <c r="O1673" s="126"/>
      <c r="P1673" s="126">
        <v>46209.706932870402</v>
      </c>
    </row>
    <row r="1674" spans="1:16" ht="15.75" customHeight="1">
      <c r="A1674" s="126">
        <v>46230.015752314801</v>
      </c>
      <c r="B1674" s="7">
        <v>12</v>
      </c>
      <c r="C1674" s="7">
        <v>678</v>
      </c>
      <c r="D1674" s="7"/>
      <c r="E1674" s="7" t="s">
        <v>1096</v>
      </c>
      <c r="F1674" s="7" t="s">
        <v>542</v>
      </c>
      <c r="G1674" s="7">
        <v>181</v>
      </c>
      <c r="H1674" s="7" t="s">
        <v>873</v>
      </c>
      <c r="I1674" s="7" t="s">
        <v>874</v>
      </c>
      <c r="J1674" s="7"/>
      <c r="M1674" s="7"/>
      <c r="N1674" s="7" t="s">
        <v>875</v>
      </c>
      <c r="O1674" s="126"/>
      <c r="P1674" s="126"/>
    </row>
    <row r="1675" spans="1:16" ht="15.75" customHeight="1">
      <c r="A1675" s="126">
        <v>46230.015752314801</v>
      </c>
      <c r="B1675" s="7">
        <v>12</v>
      </c>
      <c r="C1675" s="7">
        <v>678</v>
      </c>
      <c r="D1675" s="7"/>
      <c r="E1675" s="7" t="s">
        <v>1096</v>
      </c>
      <c r="F1675" s="7" t="s">
        <v>542</v>
      </c>
      <c r="G1675" s="7">
        <v>182</v>
      </c>
      <c r="H1675" s="7" t="s">
        <v>876</v>
      </c>
      <c r="I1675" s="7" t="s">
        <v>874</v>
      </c>
      <c r="J1675" s="7"/>
      <c r="M1675" s="7"/>
      <c r="N1675" s="7" t="s">
        <v>875</v>
      </c>
      <c r="P1675" s="126"/>
    </row>
    <row r="1676" spans="1:16" ht="15.75" customHeight="1">
      <c r="A1676" s="126">
        <v>46230.015752314801</v>
      </c>
      <c r="B1676" s="7">
        <v>12</v>
      </c>
      <c r="C1676" s="7">
        <v>678</v>
      </c>
      <c r="D1676" s="7"/>
      <c r="E1676" s="7" t="s">
        <v>1096</v>
      </c>
      <c r="F1676" s="7" t="s">
        <v>542</v>
      </c>
      <c r="G1676" s="7">
        <v>174</v>
      </c>
      <c r="H1676" s="7" t="s">
        <v>877</v>
      </c>
      <c r="I1676" s="7" t="s">
        <v>878</v>
      </c>
      <c r="J1676" s="7" t="s">
        <v>879</v>
      </c>
      <c r="M1676" s="7">
        <v>100</v>
      </c>
      <c r="N1676" s="7">
        <v>100</v>
      </c>
      <c r="P1676" s="126">
        <v>46209.7133680556</v>
      </c>
    </row>
    <row r="1677" spans="1:16" ht="15.75" customHeight="1">
      <c r="A1677" s="126">
        <v>46230.015752314801</v>
      </c>
      <c r="B1677" s="7">
        <v>12</v>
      </c>
      <c r="C1677" s="7">
        <v>678</v>
      </c>
      <c r="D1677" s="7"/>
      <c r="E1677" s="7" t="s">
        <v>1096</v>
      </c>
      <c r="F1677" s="7" t="s">
        <v>542</v>
      </c>
      <c r="G1677" s="7">
        <v>180</v>
      </c>
      <c r="H1677" s="7" t="s">
        <v>880</v>
      </c>
      <c r="I1677" s="7" t="s">
        <v>874</v>
      </c>
      <c r="J1677" s="7"/>
      <c r="M1677" s="7"/>
      <c r="N1677" s="7" t="s">
        <v>875</v>
      </c>
      <c r="O1677" s="126"/>
      <c r="P1677" s="126"/>
    </row>
    <row r="1678" spans="1:16" ht="15.75" customHeight="1">
      <c r="A1678" s="126">
        <v>46230.015752314801</v>
      </c>
      <c r="B1678" s="7">
        <v>12</v>
      </c>
      <c r="C1678" s="7">
        <v>678</v>
      </c>
      <c r="D1678" s="7"/>
      <c r="E1678" s="7" t="s">
        <v>1096</v>
      </c>
      <c r="F1678" s="7" t="s">
        <v>542</v>
      </c>
      <c r="G1678" s="7">
        <v>175</v>
      </c>
      <c r="H1678" s="7" t="s">
        <v>881</v>
      </c>
      <c r="I1678" s="7" t="s">
        <v>878</v>
      </c>
      <c r="J1678" s="7" t="s">
        <v>882</v>
      </c>
      <c r="M1678" s="7">
        <v>100</v>
      </c>
      <c r="N1678" s="7">
        <v>100</v>
      </c>
      <c r="O1678" s="126">
        <v>46213.674942129597</v>
      </c>
      <c r="P1678" s="126">
        <v>46213.674942129597</v>
      </c>
    </row>
    <row r="1679" spans="1:16" ht="15.75" customHeight="1">
      <c r="A1679" s="126">
        <v>46230.015752314801</v>
      </c>
      <c r="B1679" s="7">
        <v>12</v>
      </c>
      <c r="C1679" s="7">
        <v>678</v>
      </c>
      <c r="D1679" s="7"/>
      <c r="E1679" s="7" t="s">
        <v>1096</v>
      </c>
      <c r="F1679" s="7" t="s">
        <v>542</v>
      </c>
      <c r="G1679" s="7">
        <v>177</v>
      </c>
      <c r="H1679" s="7" t="s">
        <v>883</v>
      </c>
      <c r="I1679" s="7" t="s">
        <v>878</v>
      </c>
      <c r="J1679" s="7" t="s">
        <v>882</v>
      </c>
      <c r="M1679" s="7"/>
      <c r="N1679" s="7" t="s">
        <v>875</v>
      </c>
      <c r="P1679" s="126"/>
    </row>
    <row r="1680" spans="1:16" ht="15.75" customHeight="1">
      <c r="A1680" s="126">
        <v>46230.015752314801</v>
      </c>
      <c r="B1680" s="7">
        <v>12</v>
      </c>
      <c r="C1680" s="7">
        <v>678</v>
      </c>
      <c r="D1680" s="7"/>
      <c r="E1680" s="7" t="s">
        <v>1096</v>
      </c>
      <c r="F1680" s="7" t="s">
        <v>542</v>
      </c>
      <c r="G1680" s="7">
        <v>176</v>
      </c>
      <c r="H1680" s="7" t="s">
        <v>884</v>
      </c>
      <c r="I1680" s="7" t="s">
        <v>878</v>
      </c>
      <c r="J1680" s="7" t="s">
        <v>882</v>
      </c>
      <c r="M1680" s="7">
        <v>100</v>
      </c>
      <c r="N1680" s="7">
        <v>100</v>
      </c>
      <c r="O1680" s="126">
        <v>46224.371006944399</v>
      </c>
      <c r="P1680" s="126">
        <v>46224.371006944399</v>
      </c>
    </row>
    <row r="1681" spans="1:16" ht="15.75" customHeight="1">
      <c r="A1681" s="126">
        <v>46230.015752314801</v>
      </c>
      <c r="B1681" s="7">
        <v>12</v>
      </c>
      <c r="C1681" s="7">
        <v>678</v>
      </c>
      <c r="D1681" s="7"/>
      <c r="E1681" s="7" t="s">
        <v>1096</v>
      </c>
      <c r="F1681" s="7" t="s">
        <v>542</v>
      </c>
      <c r="G1681" s="7">
        <v>168</v>
      </c>
      <c r="H1681" s="7" t="s">
        <v>885</v>
      </c>
      <c r="I1681" s="7" t="s">
        <v>886</v>
      </c>
      <c r="J1681" s="7"/>
      <c r="M1681" s="7">
        <v>100</v>
      </c>
      <c r="N1681" s="7">
        <v>100</v>
      </c>
      <c r="P1681" s="126">
        <v>46209.7133680556</v>
      </c>
    </row>
    <row r="1682" spans="1:16" ht="15.75" customHeight="1">
      <c r="A1682" s="126">
        <v>46230.015752314801</v>
      </c>
      <c r="B1682" s="7">
        <v>12</v>
      </c>
      <c r="C1682" s="7">
        <v>654</v>
      </c>
      <c r="D1682" s="7">
        <v>430549</v>
      </c>
      <c r="E1682" s="7" t="s">
        <v>1097</v>
      </c>
      <c r="F1682" s="7" t="s">
        <v>252</v>
      </c>
      <c r="G1682" s="7">
        <v>181</v>
      </c>
      <c r="H1682" s="7" t="s">
        <v>873</v>
      </c>
      <c r="I1682" s="7" t="s">
        <v>874</v>
      </c>
      <c r="J1682" s="7"/>
      <c r="M1682" s="7"/>
      <c r="N1682" s="7" t="s">
        <v>875</v>
      </c>
      <c r="O1682" s="126"/>
      <c r="P1682" s="126"/>
    </row>
    <row r="1683" spans="1:16" ht="15.75" customHeight="1">
      <c r="A1683" s="126">
        <v>46230.015752314801</v>
      </c>
      <c r="B1683" s="7">
        <v>12</v>
      </c>
      <c r="C1683" s="7">
        <v>654</v>
      </c>
      <c r="D1683" s="7">
        <v>430549</v>
      </c>
      <c r="E1683" s="7" t="s">
        <v>1097</v>
      </c>
      <c r="F1683" s="7" t="s">
        <v>252</v>
      </c>
      <c r="G1683" s="7">
        <v>182</v>
      </c>
      <c r="H1683" s="7" t="s">
        <v>876</v>
      </c>
      <c r="I1683" s="7" t="s">
        <v>874</v>
      </c>
      <c r="J1683" s="7"/>
      <c r="M1683" s="7"/>
      <c r="N1683" s="7" t="s">
        <v>875</v>
      </c>
      <c r="O1683" s="126"/>
      <c r="P1683" s="126"/>
    </row>
    <row r="1684" spans="1:16" ht="15.75" customHeight="1">
      <c r="A1684" s="126">
        <v>46230.015752314801</v>
      </c>
      <c r="B1684" s="7">
        <v>12</v>
      </c>
      <c r="C1684" s="7">
        <v>654</v>
      </c>
      <c r="D1684" s="7">
        <v>430549</v>
      </c>
      <c r="E1684" s="7" t="s">
        <v>1097</v>
      </c>
      <c r="F1684" s="7" t="s">
        <v>252</v>
      </c>
      <c r="G1684" s="7">
        <v>174</v>
      </c>
      <c r="H1684" s="7" t="s">
        <v>877</v>
      </c>
      <c r="I1684" s="7" t="s">
        <v>878</v>
      </c>
      <c r="J1684" s="7" t="s">
        <v>879</v>
      </c>
      <c r="M1684" s="7">
        <v>100</v>
      </c>
      <c r="N1684" s="7">
        <v>100</v>
      </c>
      <c r="P1684" s="126">
        <v>46210.502974536997</v>
      </c>
    </row>
    <row r="1685" spans="1:16" ht="15.75" customHeight="1">
      <c r="A1685" s="126">
        <v>46230.015752314801</v>
      </c>
      <c r="B1685" s="7">
        <v>12</v>
      </c>
      <c r="C1685" s="7">
        <v>654</v>
      </c>
      <c r="D1685" s="7">
        <v>430549</v>
      </c>
      <c r="E1685" s="7" t="s">
        <v>1097</v>
      </c>
      <c r="F1685" s="7" t="s">
        <v>252</v>
      </c>
      <c r="G1685" s="7">
        <v>180</v>
      </c>
      <c r="H1685" s="7" t="s">
        <v>880</v>
      </c>
      <c r="I1685" s="7" t="s">
        <v>874</v>
      </c>
      <c r="J1685" s="7"/>
      <c r="M1685" s="7"/>
      <c r="N1685" s="7" t="s">
        <v>875</v>
      </c>
      <c r="P1685" s="126"/>
    </row>
    <row r="1686" spans="1:16" ht="15.75" customHeight="1">
      <c r="A1686" s="126">
        <v>46230.015752314801</v>
      </c>
      <c r="B1686" s="7">
        <v>12</v>
      </c>
      <c r="C1686" s="7">
        <v>654</v>
      </c>
      <c r="D1686" s="7">
        <v>430549</v>
      </c>
      <c r="E1686" s="7" t="s">
        <v>1097</v>
      </c>
      <c r="F1686" s="7" t="s">
        <v>252</v>
      </c>
      <c r="G1686" s="7">
        <v>175</v>
      </c>
      <c r="H1686" s="7" t="s">
        <v>881</v>
      </c>
      <c r="I1686" s="7" t="s">
        <v>878</v>
      </c>
      <c r="J1686" s="7" t="s">
        <v>882</v>
      </c>
      <c r="M1686" s="7">
        <v>87.5</v>
      </c>
      <c r="N1686" s="7">
        <v>87.5</v>
      </c>
      <c r="O1686" s="126">
        <v>46216.612048611103</v>
      </c>
      <c r="P1686" s="126">
        <v>46216.612048611103</v>
      </c>
    </row>
    <row r="1687" spans="1:16" ht="15.75" customHeight="1">
      <c r="A1687" s="126">
        <v>46230.015752314801</v>
      </c>
      <c r="B1687" s="7">
        <v>12</v>
      </c>
      <c r="C1687" s="7">
        <v>654</v>
      </c>
      <c r="D1687" s="7">
        <v>430549</v>
      </c>
      <c r="E1687" s="7" t="s">
        <v>1097</v>
      </c>
      <c r="F1687" s="7" t="s">
        <v>252</v>
      </c>
      <c r="G1687" s="7">
        <v>177</v>
      </c>
      <c r="H1687" s="7" t="s">
        <v>883</v>
      </c>
      <c r="I1687" s="7" t="s">
        <v>878</v>
      </c>
      <c r="J1687" s="7" t="s">
        <v>882</v>
      </c>
      <c r="M1687" s="7"/>
      <c r="N1687" s="7" t="s">
        <v>875</v>
      </c>
      <c r="P1687" s="126"/>
    </row>
    <row r="1688" spans="1:16" ht="15.75" customHeight="1">
      <c r="A1688" s="126">
        <v>46230.015752314801</v>
      </c>
      <c r="B1688" s="7">
        <v>12</v>
      </c>
      <c r="C1688" s="7">
        <v>654</v>
      </c>
      <c r="D1688" s="7">
        <v>430549</v>
      </c>
      <c r="E1688" s="7" t="s">
        <v>1097</v>
      </c>
      <c r="F1688" s="7" t="s">
        <v>252</v>
      </c>
      <c r="G1688" s="7">
        <v>176</v>
      </c>
      <c r="H1688" s="7" t="s">
        <v>884</v>
      </c>
      <c r="I1688" s="7" t="s">
        <v>878</v>
      </c>
      <c r="J1688" s="7" t="s">
        <v>882</v>
      </c>
      <c r="M1688" s="7">
        <v>100</v>
      </c>
      <c r="N1688" s="7">
        <v>100</v>
      </c>
      <c r="O1688" s="126">
        <v>46224.542766203696</v>
      </c>
      <c r="P1688" s="126">
        <v>46224.542766203696</v>
      </c>
    </row>
    <row r="1689" spans="1:16" ht="15.75" customHeight="1">
      <c r="A1689" s="126">
        <v>46230.015752314801</v>
      </c>
      <c r="B1689" s="7">
        <v>12</v>
      </c>
      <c r="C1689" s="7">
        <v>654</v>
      </c>
      <c r="D1689" s="7">
        <v>430549</v>
      </c>
      <c r="E1689" s="7" t="s">
        <v>1097</v>
      </c>
      <c r="F1689" s="7" t="s">
        <v>252</v>
      </c>
      <c r="G1689" s="7">
        <v>168</v>
      </c>
      <c r="H1689" s="7" t="s">
        <v>885</v>
      </c>
      <c r="I1689" s="7" t="s">
        <v>886</v>
      </c>
      <c r="J1689" s="7"/>
      <c r="M1689" s="7">
        <v>100</v>
      </c>
      <c r="N1689" s="7">
        <v>100</v>
      </c>
      <c r="O1689" s="126"/>
      <c r="P1689" s="126">
        <v>46210.502974536997</v>
      </c>
    </row>
    <row r="1690" spans="1:16" ht="15.75" customHeight="1">
      <c r="A1690" s="126">
        <v>46230.015752314801</v>
      </c>
      <c r="B1690" s="7">
        <v>12</v>
      </c>
      <c r="C1690" s="7">
        <v>492</v>
      </c>
      <c r="D1690" s="7"/>
      <c r="E1690" s="7" t="s">
        <v>1098</v>
      </c>
      <c r="F1690" s="7" t="s">
        <v>311</v>
      </c>
      <c r="G1690" s="7">
        <v>181</v>
      </c>
      <c r="H1690" s="7" t="s">
        <v>873</v>
      </c>
      <c r="I1690" s="7" t="s">
        <v>874</v>
      </c>
      <c r="J1690" s="7"/>
      <c r="M1690" s="7"/>
      <c r="N1690" s="7" t="s">
        <v>875</v>
      </c>
      <c r="P1690" s="126"/>
    </row>
    <row r="1691" spans="1:16" ht="15.75" customHeight="1">
      <c r="A1691" s="126">
        <v>46230.015752314801</v>
      </c>
      <c r="B1691" s="7">
        <v>12</v>
      </c>
      <c r="C1691" s="7">
        <v>492</v>
      </c>
      <c r="D1691" s="7"/>
      <c r="E1691" s="7" t="s">
        <v>1098</v>
      </c>
      <c r="F1691" s="7" t="s">
        <v>311</v>
      </c>
      <c r="G1691" s="7">
        <v>182</v>
      </c>
      <c r="H1691" s="7" t="s">
        <v>876</v>
      </c>
      <c r="I1691" s="7" t="s">
        <v>874</v>
      </c>
      <c r="J1691" s="7"/>
      <c r="M1691" s="7"/>
      <c r="N1691" s="7" t="s">
        <v>875</v>
      </c>
      <c r="O1691" s="126"/>
      <c r="P1691" s="126"/>
    </row>
    <row r="1692" spans="1:16" ht="15.75" customHeight="1">
      <c r="A1692" s="126">
        <v>46230.015752314801</v>
      </c>
      <c r="B1692" s="7">
        <v>12</v>
      </c>
      <c r="C1692" s="7">
        <v>492</v>
      </c>
      <c r="D1692" s="7"/>
      <c r="E1692" s="7" t="s">
        <v>1098</v>
      </c>
      <c r="F1692" s="7" t="s">
        <v>311</v>
      </c>
      <c r="G1692" s="7">
        <v>174</v>
      </c>
      <c r="H1692" s="7" t="s">
        <v>877</v>
      </c>
      <c r="I1692" s="7" t="s">
        <v>878</v>
      </c>
      <c r="J1692" s="7" t="s">
        <v>879</v>
      </c>
      <c r="M1692" s="7">
        <v>100</v>
      </c>
      <c r="N1692" s="7">
        <v>100</v>
      </c>
      <c r="O1692" s="126"/>
      <c r="P1692" s="126">
        <v>46227.332939814798</v>
      </c>
    </row>
    <row r="1693" spans="1:16" ht="15.75" customHeight="1">
      <c r="A1693" s="126">
        <v>46230.015752314801</v>
      </c>
      <c r="B1693" s="7">
        <v>12</v>
      </c>
      <c r="C1693" s="7">
        <v>492</v>
      </c>
      <c r="D1693" s="7"/>
      <c r="E1693" s="7" t="s">
        <v>1098</v>
      </c>
      <c r="F1693" s="7" t="s">
        <v>311</v>
      </c>
      <c r="G1693" s="7">
        <v>180</v>
      </c>
      <c r="H1693" s="7" t="s">
        <v>880</v>
      </c>
      <c r="I1693" s="7" t="s">
        <v>874</v>
      </c>
      <c r="J1693" s="7"/>
      <c r="M1693" s="7"/>
      <c r="N1693" s="7" t="s">
        <v>875</v>
      </c>
      <c r="O1693" s="126"/>
      <c r="P1693" s="126"/>
    </row>
    <row r="1694" spans="1:16" ht="15.75" customHeight="1">
      <c r="A1694" s="126">
        <v>46230.015752314801</v>
      </c>
      <c r="B1694" s="7">
        <v>12</v>
      </c>
      <c r="C1694" s="7">
        <v>492</v>
      </c>
      <c r="D1694" s="7"/>
      <c r="E1694" s="7" t="s">
        <v>1098</v>
      </c>
      <c r="F1694" s="7" t="s">
        <v>311</v>
      </c>
      <c r="G1694" s="7">
        <v>175</v>
      </c>
      <c r="H1694" s="7" t="s">
        <v>881</v>
      </c>
      <c r="I1694" s="7" t="s">
        <v>878</v>
      </c>
      <c r="J1694" s="7" t="s">
        <v>882</v>
      </c>
      <c r="M1694" s="7"/>
      <c r="N1694" s="7" t="s">
        <v>875</v>
      </c>
      <c r="P1694" s="126"/>
    </row>
    <row r="1695" spans="1:16" ht="15.75" customHeight="1">
      <c r="A1695" s="126">
        <v>46230.015752314801</v>
      </c>
      <c r="B1695" s="7">
        <v>12</v>
      </c>
      <c r="C1695" s="7">
        <v>492</v>
      </c>
      <c r="D1695" s="7"/>
      <c r="E1695" s="7" t="s">
        <v>1098</v>
      </c>
      <c r="F1695" s="7" t="s">
        <v>311</v>
      </c>
      <c r="G1695" s="7">
        <v>177</v>
      </c>
      <c r="H1695" s="7" t="s">
        <v>883</v>
      </c>
      <c r="I1695" s="7" t="s">
        <v>878</v>
      </c>
      <c r="J1695" s="7" t="s">
        <v>882</v>
      </c>
      <c r="M1695" s="7"/>
      <c r="N1695" s="7" t="s">
        <v>875</v>
      </c>
      <c r="O1695" s="126"/>
      <c r="P1695" s="126"/>
    </row>
    <row r="1696" spans="1:16" ht="15.75" customHeight="1">
      <c r="A1696" s="126">
        <v>46230.015752314801</v>
      </c>
      <c r="B1696" s="7">
        <v>12</v>
      </c>
      <c r="C1696" s="7">
        <v>492</v>
      </c>
      <c r="D1696" s="7"/>
      <c r="E1696" s="7" t="s">
        <v>1098</v>
      </c>
      <c r="F1696" s="7" t="s">
        <v>311</v>
      </c>
      <c r="G1696" s="7">
        <v>176</v>
      </c>
      <c r="H1696" s="7" t="s">
        <v>884</v>
      </c>
      <c r="I1696" s="7" t="s">
        <v>878</v>
      </c>
      <c r="J1696" s="7" t="s">
        <v>882</v>
      </c>
      <c r="M1696" s="7"/>
      <c r="N1696" s="7" t="s">
        <v>875</v>
      </c>
      <c r="P1696" s="126"/>
    </row>
    <row r="1697" spans="1:16" ht="15.75" customHeight="1">
      <c r="A1697" s="126">
        <v>46230.015752314801</v>
      </c>
      <c r="B1697" s="7">
        <v>12</v>
      </c>
      <c r="C1697" s="7">
        <v>492</v>
      </c>
      <c r="D1697" s="7"/>
      <c r="E1697" s="7" t="s">
        <v>1098</v>
      </c>
      <c r="F1697" s="7" t="s">
        <v>311</v>
      </c>
      <c r="G1697" s="7">
        <v>168</v>
      </c>
      <c r="H1697" s="7" t="s">
        <v>885</v>
      </c>
      <c r="I1697" s="7" t="s">
        <v>886</v>
      </c>
      <c r="J1697" s="7"/>
      <c r="M1697" s="7">
        <v>100</v>
      </c>
      <c r="N1697" s="7">
        <v>100</v>
      </c>
      <c r="P1697" s="126">
        <v>46227.332939814798</v>
      </c>
    </row>
    <row r="1698" spans="1:16" ht="15.75" customHeight="1">
      <c r="A1698" s="126">
        <v>46230.015752314801</v>
      </c>
      <c r="B1698" s="7">
        <v>12</v>
      </c>
      <c r="C1698" s="7">
        <v>639</v>
      </c>
      <c r="D1698" s="7"/>
      <c r="E1698" s="7" t="s">
        <v>1099</v>
      </c>
      <c r="F1698" s="7" t="s">
        <v>273</v>
      </c>
      <c r="G1698" s="7">
        <v>181</v>
      </c>
      <c r="H1698" s="7" t="s">
        <v>873</v>
      </c>
      <c r="I1698" s="7" t="s">
        <v>874</v>
      </c>
      <c r="J1698" s="7"/>
      <c r="M1698" s="7"/>
      <c r="N1698" s="7" t="s">
        <v>875</v>
      </c>
      <c r="O1698" s="126"/>
      <c r="P1698" s="126"/>
    </row>
    <row r="1699" spans="1:16" ht="15.75" customHeight="1">
      <c r="A1699" s="126">
        <v>46230.015752314801</v>
      </c>
      <c r="B1699" s="7">
        <v>12</v>
      </c>
      <c r="C1699" s="7">
        <v>639</v>
      </c>
      <c r="D1699" s="7"/>
      <c r="E1699" s="7" t="s">
        <v>1099</v>
      </c>
      <c r="F1699" s="7" t="s">
        <v>273</v>
      </c>
      <c r="G1699" s="7">
        <v>182</v>
      </c>
      <c r="H1699" s="7" t="s">
        <v>876</v>
      </c>
      <c r="I1699" s="7" t="s">
        <v>874</v>
      </c>
      <c r="J1699" s="7"/>
      <c r="M1699" s="7"/>
      <c r="N1699" s="7" t="s">
        <v>875</v>
      </c>
      <c r="P1699" s="126"/>
    </row>
    <row r="1700" spans="1:16" ht="15.75" customHeight="1">
      <c r="A1700" s="126">
        <v>46230.015752314801</v>
      </c>
      <c r="B1700" s="7">
        <v>12</v>
      </c>
      <c r="C1700" s="7">
        <v>639</v>
      </c>
      <c r="D1700" s="7"/>
      <c r="E1700" s="7" t="s">
        <v>1099</v>
      </c>
      <c r="F1700" s="7" t="s">
        <v>273</v>
      </c>
      <c r="G1700" s="7">
        <v>174</v>
      </c>
      <c r="H1700" s="7" t="s">
        <v>877</v>
      </c>
      <c r="I1700" s="7" t="s">
        <v>878</v>
      </c>
      <c r="J1700" s="7" t="s">
        <v>879</v>
      </c>
      <c r="M1700" s="7">
        <v>100</v>
      </c>
      <c r="N1700" s="7">
        <v>100</v>
      </c>
      <c r="O1700" s="126"/>
      <c r="P1700" s="126">
        <v>46209.706967592603</v>
      </c>
    </row>
    <row r="1701" spans="1:16" ht="15.75" customHeight="1">
      <c r="A1701" s="126">
        <v>46230.015752314801</v>
      </c>
      <c r="B1701" s="7">
        <v>12</v>
      </c>
      <c r="C1701" s="7">
        <v>639</v>
      </c>
      <c r="D1701" s="7"/>
      <c r="E1701" s="7" t="s">
        <v>1099</v>
      </c>
      <c r="F1701" s="7" t="s">
        <v>273</v>
      </c>
      <c r="G1701" s="7">
        <v>180</v>
      </c>
      <c r="H1701" s="7" t="s">
        <v>880</v>
      </c>
      <c r="I1701" s="7" t="s">
        <v>874</v>
      </c>
      <c r="J1701" s="7"/>
      <c r="M1701" s="7"/>
      <c r="N1701" s="7" t="s">
        <v>875</v>
      </c>
      <c r="O1701" s="126"/>
      <c r="P1701" s="126"/>
    </row>
    <row r="1702" spans="1:16" ht="15.75" customHeight="1">
      <c r="A1702" s="126">
        <v>46230.015752314801</v>
      </c>
      <c r="B1702" s="7">
        <v>12</v>
      </c>
      <c r="C1702" s="7">
        <v>639</v>
      </c>
      <c r="D1702" s="7"/>
      <c r="E1702" s="7" t="s">
        <v>1099</v>
      </c>
      <c r="F1702" s="7" t="s">
        <v>273</v>
      </c>
      <c r="G1702" s="7">
        <v>175</v>
      </c>
      <c r="H1702" s="7" t="s">
        <v>881</v>
      </c>
      <c r="I1702" s="7" t="s">
        <v>878</v>
      </c>
      <c r="J1702" s="7" t="s">
        <v>882</v>
      </c>
      <c r="M1702" s="7">
        <v>87.5</v>
      </c>
      <c r="N1702" s="7">
        <v>87.5</v>
      </c>
      <c r="O1702" s="126">
        <v>46215.603344907402</v>
      </c>
      <c r="P1702" s="126">
        <v>46215.603344907402</v>
      </c>
    </row>
    <row r="1703" spans="1:16" ht="15.75" customHeight="1">
      <c r="A1703" s="126">
        <v>46230.015752314801</v>
      </c>
      <c r="B1703" s="7">
        <v>12</v>
      </c>
      <c r="C1703" s="7">
        <v>639</v>
      </c>
      <c r="D1703" s="7"/>
      <c r="E1703" s="7" t="s">
        <v>1099</v>
      </c>
      <c r="F1703" s="7" t="s">
        <v>273</v>
      </c>
      <c r="G1703" s="7">
        <v>177</v>
      </c>
      <c r="H1703" s="7" t="s">
        <v>883</v>
      </c>
      <c r="I1703" s="7" t="s">
        <v>878</v>
      </c>
      <c r="J1703" s="7" t="s">
        <v>882</v>
      </c>
      <c r="M1703" s="7"/>
      <c r="N1703" s="7" t="s">
        <v>875</v>
      </c>
      <c r="P1703" s="126"/>
    </row>
    <row r="1704" spans="1:16" ht="15.75" customHeight="1">
      <c r="A1704" s="126">
        <v>46230.015752314801</v>
      </c>
      <c r="B1704" s="7">
        <v>12</v>
      </c>
      <c r="C1704" s="7">
        <v>639</v>
      </c>
      <c r="D1704" s="7"/>
      <c r="E1704" s="7" t="s">
        <v>1099</v>
      </c>
      <c r="F1704" s="7" t="s">
        <v>273</v>
      </c>
      <c r="G1704" s="7">
        <v>176</v>
      </c>
      <c r="H1704" s="7" t="s">
        <v>884</v>
      </c>
      <c r="I1704" s="7" t="s">
        <v>878</v>
      </c>
      <c r="J1704" s="7" t="s">
        <v>882</v>
      </c>
      <c r="M1704" s="7">
        <v>100</v>
      </c>
      <c r="N1704" s="7">
        <v>100</v>
      </c>
      <c r="O1704" s="126">
        <v>46226.590532407397</v>
      </c>
      <c r="P1704" s="126">
        <v>46226.590543981503</v>
      </c>
    </row>
    <row r="1705" spans="1:16" ht="15.75" customHeight="1">
      <c r="A1705" s="126">
        <v>46230.015752314801</v>
      </c>
      <c r="B1705" s="7">
        <v>12</v>
      </c>
      <c r="C1705" s="7">
        <v>639</v>
      </c>
      <c r="D1705" s="7"/>
      <c r="E1705" s="7" t="s">
        <v>1099</v>
      </c>
      <c r="F1705" s="7" t="s">
        <v>273</v>
      </c>
      <c r="G1705" s="7">
        <v>168</v>
      </c>
      <c r="H1705" s="7" t="s">
        <v>885</v>
      </c>
      <c r="I1705" s="7" t="s">
        <v>886</v>
      </c>
      <c r="J1705" s="7"/>
      <c r="M1705" s="7">
        <v>100</v>
      </c>
      <c r="N1705" s="7">
        <v>100</v>
      </c>
      <c r="P1705" s="126">
        <v>46209.706967592603</v>
      </c>
    </row>
    <row r="1706" spans="1:16" ht="15.75" customHeight="1">
      <c r="A1706" s="126">
        <v>46230.015752314801</v>
      </c>
      <c r="B1706" s="7">
        <v>12</v>
      </c>
      <c r="C1706" s="7">
        <v>687</v>
      </c>
      <c r="D1706" s="7"/>
      <c r="E1706" s="7" t="s">
        <v>1100</v>
      </c>
      <c r="F1706" s="7" t="s">
        <v>173</v>
      </c>
      <c r="G1706" s="7">
        <v>181</v>
      </c>
      <c r="H1706" s="7" t="s">
        <v>873</v>
      </c>
      <c r="I1706" s="7" t="s">
        <v>874</v>
      </c>
      <c r="J1706" s="7"/>
      <c r="M1706" s="7"/>
      <c r="N1706" s="7" t="s">
        <v>875</v>
      </c>
      <c r="P1706" s="126"/>
    </row>
    <row r="1707" spans="1:16" ht="15.75" customHeight="1">
      <c r="A1707" s="126">
        <v>46230.015752314801</v>
      </c>
      <c r="B1707" s="7">
        <v>12</v>
      </c>
      <c r="C1707" s="7">
        <v>687</v>
      </c>
      <c r="D1707" s="7"/>
      <c r="E1707" s="7" t="s">
        <v>1100</v>
      </c>
      <c r="F1707" s="7" t="s">
        <v>173</v>
      </c>
      <c r="G1707" s="7">
        <v>182</v>
      </c>
      <c r="H1707" s="7" t="s">
        <v>876</v>
      </c>
      <c r="I1707" s="7" t="s">
        <v>874</v>
      </c>
      <c r="J1707" s="7"/>
      <c r="M1707" s="7"/>
      <c r="N1707" s="7" t="s">
        <v>875</v>
      </c>
      <c r="O1707" s="126"/>
      <c r="P1707" s="126"/>
    </row>
    <row r="1708" spans="1:16" ht="15.75" customHeight="1">
      <c r="A1708" s="126">
        <v>46230.015752314801</v>
      </c>
      <c r="B1708" s="7">
        <v>12</v>
      </c>
      <c r="C1708" s="7">
        <v>687</v>
      </c>
      <c r="D1708" s="7"/>
      <c r="E1708" s="7" t="s">
        <v>1100</v>
      </c>
      <c r="F1708" s="7" t="s">
        <v>173</v>
      </c>
      <c r="G1708" s="7">
        <v>174</v>
      </c>
      <c r="H1708" s="7" t="s">
        <v>877</v>
      </c>
      <c r="I1708" s="7" t="s">
        <v>878</v>
      </c>
      <c r="J1708" s="7" t="s">
        <v>879</v>
      </c>
      <c r="M1708" s="7">
        <v>100</v>
      </c>
      <c r="N1708" s="7">
        <v>100</v>
      </c>
      <c r="P1708" s="126">
        <v>46209.706979166702</v>
      </c>
    </row>
    <row r="1709" spans="1:16" ht="15.75" customHeight="1">
      <c r="A1709" s="126">
        <v>46230.015752314801</v>
      </c>
      <c r="B1709" s="7">
        <v>12</v>
      </c>
      <c r="C1709" s="7">
        <v>687</v>
      </c>
      <c r="D1709" s="7"/>
      <c r="E1709" s="7" t="s">
        <v>1100</v>
      </c>
      <c r="F1709" s="7" t="s">
        <v>173</v>
      </c>
      <c r="G1709" s="7">
        <v>180</v>
      </c>
      <c r="H1709" s="7" t="s">
        <v>880</v>
      </c>
      <c r="I1709" s="7" t="s">
        <v>874</v>
      </c>
      <c r="J1709" s="7"/>
      <c r="M1709" s="7"/>
      <c r="N1709" s="7" t="s">
        <v>875</v>
      </c>
      <c r="O1709" s="126"/>
      <c r="P1709" s="126"/>
    </row>
    <row r="1710" spans="1:16" ht="15.75" customHeight="1">
      <c r="A1710" s="126">
        <v>46230.015752314801</v>
      </c>
      <c r="B1710" s="7">
        <v>12</v>
      </c>
      <c r="C1710" s="7">
        <v>687</v>
      </c>
      <c r="D1710" s="7"/>
      <c r="E1710" s="7" t="s">
        <v>1100</v>
      </c>
      <c r="F1710" s="7" t="s">
        <v>173</v>
      </c>
      <c r="G1710" s="7">
        <v>175</v>
      </c>
      <c r="H1710" s="7" t="s">
        <v>881</v>
      </c>
      <c r="I1710" s="7" t="s">
        <v>878</v>
      </c>
      <c r="J1710" s="7" t="s">
        <v>882</v>
      </c>
      <c r="M1710" s="7">
        <v>87.5</v>
      </c>
      <c r="N1710" s="7">
        <v>87.5</v>
      </c>
      <c r="O1710" s="126">
        <v>46216.450231481504</v>
      </c>
      <c r="P1710" s="126">
        <v>46216.450231481504</v>
      </c>
    </row>
    <row r="1711" spans="1:16" ht="15.75" customHeight="1">
      <c r="A1711" s="126">
        <v>46230.015752314801</v>
      </c>
      <c r="B1711" s="7">
        <v>12</v>
      </c>
      <c r="C1711" s="7">
        <v>687</v>
      </c>
      <c r="D1711" s="7"/>
      <c r="E1711" s="7" t="s">
        <v>1100</v>
      </c>
      <c r="F1711" s="7" t="s">
        <v>173</v>
      </c>
      <c r="G1711" s="7">
        <v>177</v>
      </c>
      <c r="H1711" s="7" t="s">
        <v>883</v>
      </c>
      <c r="I1711" s="7" t="s">
        <v>878</v>
      </c>
      <c r="J1711" s="7" t="s">
        <v>882</v>
      </c>
      <c r="M1711" s="7"/>
      <c r="N1711" s="7" t="s">
        <v>875</v>
      </c>
      <c r="P1711" s="126"/>
    </row>
    <row r="1712" spans="1:16" ht="15.75" customHeight="1">
      <c r="A1712" s="126">
        <v>46230.015752314801</v>
      </c>
      <c r="B1712" s="7">
        <v>12</v>
      </c>
      <c r="C1712" s="7">
        <v>687</v>
      </c>
      <c r="E1712" s="7" t="s">
        <v>1100</v>
      </c>
      <c r="F1712" s="7" t="s">
        <v>173</v>
      </c>
      <c r="G1712" s="7">
        <v>176</v>
      </c>
      <c r="H1712" s="7" t="s">
        <v>884</v>
      </c>
      <c r="I1712" s="7" t="s">
        <v>878</v>
      </c>
      <c r="J1712" s="7" t="s">
        <v>882</v>
      </c>
      <c r="M1712" s="7"/>
      <c r="N1712" s="7" t="s">
        <v>875</v>
      </c>
      <c r="P1712" s="126"/>
    </row>
    <row r="1713" spans="1:16" ht="15.75" customHeight="1">
      <c r="A1713" s="126">
        <v>46230.015752314801</v>
      </c>
      <c r="B1713" s="7">
        <v>12</v>
      </c>
      <c r="C1713" s="7">
        <v>687</v>
      </c>
      <c r="E1713" s="7" t="s">
        <v>1100</v>
      </c>
      <c r="F1713" s="7" t="s">
        <v>173</v>
      </c>
      <c r="G1713" s="7">
        <v>168</v>
      </c>
      <c r="H1713" s="7" t="s">
        <v>885</v>
      </c>
      <c r="I1713" s="7" t="s">
        <v>886</v>
      </c>
      <c r="J1713" s="7"/>
      <c r="M1713" s="7">
        <v>100</v>
      </c>
      <c r="N1713" s="7">
        <v>100</v>
      </c>
      <c r="O1713" s="126"/>
      <c r="P1713" s="126">
        <v>46209.706979166702</v>
      </c>
    </row>
    <row r="1714" spans="1:16" ht="15.75" customHeight="1">
      <c r="A1714" s="126">
        <v>46230.015752314801</v>
      </c>
      <c r="B1714" s="7">
        <v>12</v>
      </c>
      <c r="C1714" s="7">
        <v>676</v>
      </c>
      <c r="E1714" s="7" t="s">
        <v>1101</v>
      </c>
      <c r="F1714" s="7" t="s">
        <v>308</v>
      </c>
      <c r="G1714" s="7">
        <v>181</v>
      </c>
      <c r="H1714" s="7" t="s">
        <v>873</v>
      </c>
      <c r="I1714" s="7" t="s">
        <v>874</v>
      </c>
      <c r="J1714" s="7"/>
      <c r="M1714" s="7"/>
      <c r="N1714" s="7" t="s">
        <v>875</v>
      </c>
      <c r="P1714" s="126"/>
    </row>
    <row r="1715" spans="1:16" ht="15.75" customHeight="1">
      <c r="A1715" s="126">
        <v>46230.015752314801</v>
      </c>
      <c r="B1715" s="7">
        <v>12</v>
      </c>
      <c r="C1715" s="7">
        <v>676</v>
      </c>
      <c r="E1715" s="7" t="s">
        <v>1101</v>
      </c>
      <c r="F1715" s="7" t="s">
        <v>308</v>
      </c>
      <c r="G1715" s="7">
        <v>182</v>
      </c>
      <c r="H1715" s="7" t="s">
        <v>876</v>
      </c>
      <c r="I1715" s="7" t="s">
        <v>874</v>
      </c>
      <c r="J1715" s="7"/>
      <c r="M1715" s="7"/>
      <c r="N1715" s="7" t="s">
        <v>875</v>
      </c>
      <c r="P1715" s="126"/>
    </row>
    <row r="1716" spans="1:16" ht="15.75" customHeight="1">
      <c r="A1716" s="126">
        <v>46230.015752314801</v>
      </c>
      <c r="B1716" s="7">
        <v>12</v>
      </c>
      <c r="C1716" s="7">
        <v>676</v>
      </c>
      <c r="E1716" s="7" t="s">
        <v>1101</v>
      </c>
      <c r="F1716" s="7" t="s">
        <v>308</v>
      </c>
      <c r="G1716" s="7">
        <v>174</v>
      </c>
      <c r="H1716" s="7" t="s">
        <v>877</v>
      </c>
      <c r="I1716" s="7" t="s">
        <v>878</v>
      </c>
      <c r="J1716" s="7" t="s">
        <v>879</v>
      </c>
      <c r="M1716" s="7">
        <v>100</v>
      </c>
      <c r="N1716" s="7">
        <v>100</v>
      </c>
      <c r="P1716" s="126">
        <v>46209.706979166702</v>
      </c>
    </row>
    <row r="1717" spans="1:16" ht="15.75" customHeight="1">
      <c r="A1717" s="126">
        <v>46230.015752314801</v>
      </c>
      <c r="B1717" s="7">
        <v>12</v>
      </c>
      <c r="C1717" s="7">
        <v>676</v>
      </c>
      <c r="E1717" s="7" t="s">
        <v>1101</v>
      </c>
      <c r="F1717" s="7" t="s">
        <v>308</v>
      </c>
      <c r="G1717" s="7">
        <v>180</v>
      </c>
      <c r="H1717" s="7" t="s">
        <v>880</v>
      </c>
      <c r="I1717" s="7" t="s">
        <v>874</v>
      </c>
      <c r="J1717" s="7"/>
      <c r="M1717" s="7"/>
      <c r="N1717" s="7" t="s">
        <v>875</v>
      </c>
      <c r="O1717" s="126"/>
      <c r="P1717" s="126"/>
    </row>
    <row r="1718" spans="1:16" ht="15.75" customHeight="1">
      <c r="A1718" s="126">
        <v>46230.015752314801</v>
      </c>
      <c r="B1718" s="7">
        <v>12</v>
      </c>
      <c r="C1718" s="7">
        <v>676</v>
      </c>
      <c r="D1718" s="7"/>
      <c r="E1718" s="7" t="s">
        <v>1101</v>
      </c>
      <c r="F1718" s="7" t="s">
        <v>308</v>
      </c>
      <c r="G1718" s="7">
        <v>175</v>
      </c>
      <c r="H1718" s="7" t="s">
        <v>881</v>
      </c>
      <c r="I1718" s="7" t="s">
        <v>878</v>
      </c>
      <c r="J1718" s="7" t="s">
        <v>882</v>
      </c>
      <c r="M1718" s="7">
        <v>100</v>
      </c>
      <c r="N1718" s="7">
        <v>100</v>
      </c>
      <c r="O1718" s="126">
        <v>46214.4561805556</v>
      </c>
      <c r="P1718" s="126">
        <v>46214.4561805556</v>
      </c>
    </row>
    <row r="1719" spans="1:16" ht="15.75" customHeight="1">
      <c r="A1719" s="126">
        <v>46230.015752314801</v>
      </c>
      <c r="B1719" s="7">
        <v>12</v>
      </c>
      <c r="C1719" s="7">
        <v>676</v>
      </c>
      <c r="D1719" s="7"/>
      <c r="E1719" s="7" t="s">
        <v>1101</v>
      </c>
      <c r="F1719" s="7" t="s">
        <v>308</v>
      </c>
      <c r="G1719" s="7">
        <v>177</v>
      </c>
      <c r="H1719" s="7" t="s">
        <v>883</v>
      </c>
      <c r="I1719" s="7" t="s">
        <v>878</v>
      </c>
      <c r="J1719" s="7" t="s">
        <v>882</v>
      </c>
      <c r="M1719" s="7"/>
      <c r="N1719" s="7" t="s">
        <v>875</v>
      </c>
      <c r="O1719" s="126"/>
      <c r="P1719" s="126"/>
    </row>
    <row r="1720" spans="1:16" ht="15.75" customHeight="1">
      <c r="A1720" s="126">
        <v>46230.015752314801</v>
      </c>
      <c r="B1720" s="7">
        <v>12</v>
      </c>
      <c r="C1720" s="7">
        <v>676</v>
      </c>
      <c r="D1720" s="7"/>
      <c r="E1720" s="7" t="s">
        <v>1101</v>
      </c>
      <c r="F1720" s="7" t="s">
        <v>308</v>
      </c>
      <c r="G1720" s="7">
        <v>176</v>
      </c>
      <c r="H1720" s="7" t="s">
        <v>884</v>
      </c>
      <c r="I1720" s="7" t="s">
        <v>878</v>
      </c>
      <c r="J1720" s="7" t="s">
        <v>882</v>
      </c>
      <c r="M1720" s="7">
        <v>100</v>
      </c>
      <c r="N1720" s="7">
        <v>100</v>
      </c>
      <c r="O1720" s="126">
        <v>46223.704965277801</v>
      </c>
      <c r="P1720" s="126">
        <v>46223.793657407397</v>
      </c>
    </row>
    <row r="1721" spans="1:16" ht="15.75" customHeight="1">
      <c r="A1721" s="126">
        <v>46230.015752314801</v>
      </c>
      <c r="B1721" s="7">
        <v>12</v>
      </c>
      <c r="C1721" s="7">
        <v>676</v>
      </c>
      <c r="D1721" s="7"/>
      <c r="E1721" s="7" t="s">
        <v>1101</v>
      </c>
      <c r="F1721" s="7" t="s">
        <v>308</v>
      </c>
      <c r="G1721" s="7">
        <v>168</v>
      </c>
      <c r="H1721" s="7" t="s">
        <v>885</v>
      </c>
      <c r="I1721" s="7" t="s">
        <v>886</v>
      </c>
      <c r="J1721" s="7"/>
      <c r="M1721" s="7">
        <v>100</v>
      </c>
      <c r="N1721" s="7">
        <v>100</v>
      </c>
      <c r="P1721" s="126">
        <v>46209.706979166702</v>
      </c>
    </row>
    <row r="1722" spans="1:16" ht="15.75" customHeight="1">
      <c r="A1722" s="126">
        <v>46230.015752314801</v>
      </c>
      <c r="B1722" s="7">
        <v>12</v>
      </c>
      <c r="C1722" s="7">
        <v>406</v>
      </c>
      <c r="D1722" s="7"/>
      <c r="E1722" s="7" t="s">
        <v>1102</v>
      </c>
      <c r="F1722" s="7" t="s">
        <v>581</v>
      </c>
      <c r="G1722" s="7">
        <v>181</v>
      </c>
      <c r="H1722" s="7" t="s">
        <v>873</v>
      </c>
      <c r="I1722" s="7" t="s">
        <v>874</v>
      </c>
      <c r="J1722" s="7"/>
      <c r="M1722" s="7"/>
      <c r="N1722" s="7" t="s">
        <v>875</v>
      </c>
      <c r="P1722" s="126"/>
    </row>
    <row r="1723" spans="1:16" ht="15.75" customHeight="1">
      <c r="A1723" s="126">
        <v>46230.015752314801</v>
      </c>
      <c r="B1723" s="7">
        <v>12</v>
      </c>
      <c r="C1723" s="7">
        <v>406</v>
      </c>
      <c r="D1723" s="7"/>
      <c r="E1723" s="7" t="s">
        <v>1102</v>
      </c>
      <c r="F1723" s="7" t="s">
        <v>581</v>
      </c>
      <c r="G1723" s="7">
        <v>182</v>
      </c>
      <c r="H1723" s="7" t="s">
        <v>876</v>
      </c>
      <c r="I1723" s="7" t="s">
        <v>874</v>
      </c>
      <c r="J1723" s="7"/>
      <c r="M1723" s="7"/>
      <c r="N1723" s="7" t="s">
        <v>875</v>
      </c>
      <c r="P1723" s="126"/>
    </row>
    <row r="1724" spans="1:16" ht="15.75" customHeight="1">
      <c r="A1724" s="126">
        <v>46230.015752314801</v>
      </c>
      <c r="B1724" s="7">
        <v>12</v>
      </c>
      <c r="C1724" s="7">
        <v>406</v>
      </c>
      <c r="D1724" s="7"/>
      <c r="E1724" s="7" t="s">
        <v>1102</v>
      </c>
      <c r="F1724" s="7" t="s">
        <v>581</v>
      </c>
      <c r="G1724" s="7">
        <v>174</v>
      </c>
      <c r="H1724" s="7" t="s">
        <v>877</v>
      </c>
      <c r="I1724" s="7" t="s">
        <v>878</v>
      </c>
      <c r="J1724" s="7" t="s">
        <v>879</v>
      </c>
      <c r="M1724" s="7">
        <v>100</v>
      </c>
      <c r="N1724" s="7">
        <v>100</v>
      </c>
      <c r="P1724" s="126">
        <v>46211.409282407403</v>
      </c>
    </row>
    <row r="1725" spans="1:16" ht="15.75" customHeight="1">
      <c r="A1725" s="126">
        <v>46230.015752314801</v>
      </c>
      <c r="B1725" s="7">
        <v>12</v>
      </c>
      <c r="C1725" s="7">
        <v>406</v>
      </c>
      <c r="D1725" s="7"/>
      <c r="E1725" s="7" t="s">
        <v>1102</v>
      </c>
      <c r="F1725" s="7" t="s">
        <v>581</v>
      </c>
      <c r="G1725" s="7">
        <v>180</v>
      </c>
      <c r="H1725" s="7" t="s">
        <v>880</v>
      </c>
      <c r="I1725" s="7" t="s">
        <v>874</v>
      </c>
      <c r="J1725" s="7"/>
      <c r="M1725" s="7"/>
      <c r="N1725" s="7" t="s">
        <v>875</v>
      </c>
      <c r="O1725" s="126"/>
      <c r="P1725" s="126"/>
    </row>
    <row r="1726" spans="1:16" ht="15.75" customHeight="1">
      <c r="A1726" s="126">
        <v>46230.015752314801</v>
      </c>
      <c r="B1726" s="7">
        <v>12</v>
      </c>
      <c r="C1726" s="7">
        <v>406</v>
      </c>
      <c r="D1726" s="7"/>
      <c r="E1726" s="7" t="s">
        <v>1102</v>
      </c>
      <c r="F1726" s="7" t="s">
        <v>581</v>
      </c>
      <c r="G1726" s="7">
        <v>175</v>
      </c>
      <c r="H1726" s="7" t="s">
        <v>881</v>
      </c>
      <c r="I1726" s="7" t="s">
        <v>878</v>
      </c>
      <c r="J1726" s="7" t="s">
        <v>882</v>
      </c>
      <c r="M1726" s="7">
        <v>87.5</v>
      </c>
      <c r="N1726" s="7">
        <v>87.5</v>
      </c>
      <c r="O1726" s="126">
        <v>46216.3847453704</v>
      </c>
      <c r="P1726" s="126">
        <v>46216.3847453704</v>
      </c>
    </row>
    <row r="1727" spans="1:16" ht="15.75" customHeight="1">
      <c r="A1727" s="126">
        <v>46230.015752314801</v>
      </c>
      <c r="B1727" s="7">
        <v>12</v>
      </c>
      <c r="C1727" s="7">
        <v>406</v>
      </c>
      <c r="D1727" s="7"/>
      <c r="E1727" s="7" t="s">
        <v>1102</v>
      </c>
      <c r="F1727" s="7" t="s">
        <v>581</v>
      </c>
      <c r="G1727" s="7">
        <v>177</v>
      </c>
      <c r="H1727" s="7" t="s">
        <v>883</v>
      </c>
      <c r="I1727" s="7" t="s">
        <v>878</v>
      </c>
      <c r="J1727" s="7" t="s">
        <v>882</v>
      </c>
      <c r="M1727" s="7"/>
      <c r="N1727" s="7" t="s">
        <v>875</v>
      </c>
      <c r="O1727" s="126"/>
      <c r="P1727" s="126"/>
    </row>
    <row r="1728" spans="1:16" ht="15.75" customHeight="1">
      <c r="A1728" s="126">
        <v>46230.015752314801</v>
      </c>
      <c r="B1728" s="7">
        <v>12</v>
      </c>
      <c r="C1728" s="7">
        <v>406</v>
      </c>
      <c r="D1728" s="7"/>
      <c r="E1728" s="7" t="s">
        <v>1102</v>
      </c>
      <c r="F1728" s="7" t="s">
        <v>581</v>
      </c>
      <c r="G1728" s="7">
        <v>176</v>
      </c>
      <c r="H1728" s="7" t="s">
        <v>884</v>
      </c>
      <c r="I1728" s="7" t="s">
        <v>878</v>
      </c>
      <c r="J1728" s="7" t="s">
        <v>882</v>
      </c>
      <c r="M1728" s="7">
        <v>85</v>
      </c>
      <c r="N1728" s="7">
        <v>85</v>
      </c>
      <c r="O1728" s="126">
        <v>46229.969317129602</v>
      </c>
      <c r="P1728" s="126">
        <v>46229.969328703701</v>
      </c>
    </row>
    <row r="1729" spans="1:16" ht="15.75" customHeight="1">
      <c r="A1729" s="126">
        <v>46230.015752314801</v>
      </c>
      <c r="B1729" s="7">
        <v>12</v>
      </c>
      <c r="C1729" s="7">
        <v>406</v>
      </c>
      <c r="D1729" s="7"/>
      <c r="E1729" s="7" t="s">
        <v>1102</v>
      </c>
      <c r="F1729" s="7" t="s">
        <v>581</v>
      </c>
      <c r="G1729" s="7">
        <v>168</v>
      </c>
      <c r="H1729" s="7" t="s">
        <v>885</v>
      </c>
      <c r="I1729" s="7" t="s">
        <v>886</v>
      </c>
      <c r="M1729" s="7">
        <v>100</v>
      </c>
      <c r="N1729" s="7">
        <v>100</v>
      </c>
      <c r="P1729" s="126">
        <v>46211.409282407403</v>
      </c>
    </row>
    <row r="1730" spans="1:16" ht="15.75" customHeight="1">
      <c r="A1730" s="126">
        <v>46230.015752314801</v>
      </c>
      <c r="B1730" s="7">
        <v>12</v>
      </c>
      <c r="C1730" s="7">
        <v>789</v>
      </c>
      <c r="D1730" s="7"/>
      <c r="E1730" s="7" t="s">
        <v>1103</v>
      </c>
      <c r="F1730" s="7" t="s">
        <v>722</v>
      </c>
      <c r="G1730" s="7">
        <v>181</v>
      </c>
      <c r="H1730" s="7" t="s">
        <v>873</v>
      </c>
      <c r="I1730" s="7" t="s">
        <v>874</v>
      </c>
      <c r="J1730" s="7"/>
      <c r="M1730" s="7"/>
      <c r="N1730" s="7" t="s">
        <v>875</v>
      </c>
      <c r="P1730" s="126"/>
    </row>
    <row r="1731" spans="1:16" ht="15.75" customHeight="1">
      <c r="A1731" s="126">
        <v>46230.015752314801</v>
      </c>
      <c r="B1731" s="7">
        <v>12</v>
      </c>
      <c r="C1731" s="7">
        <v>789</v>
      </c>
      <c r="D1731" s="7"/>
      <c r="E1731" s="7" t="s">
        <v>1103</v>
      </c>
      <c r="F1731" s="7" t="s">
        <v>722</v>
      </c>
      <c r="G1731" s="7">
        <v>182</v>
      </c>
      <c r="H1731" s="7" t="s">
        <v>876</v>
      </c>
      <c r="I1731" s="7" t="s">
        <v>874</v>
      </c>
      <c r="J1731" s="7"/>
      <c r="M1731" s="7"/>
      <c r="N1731" s="7" t="s">
        <v>875</v>
      </c>
      <c r="O1731" s="126"/>
      <c r="P1731" s="126"/>
    </row>
    <row r="1732" spans="1:16" ht="15.75" customHeight="1">
      <c r="A1732" s="126">
        <v>46230.015752314801</v>
      </c>
      <c r="B1732" s="7">
        <v>12</v>
      </c>
      <c r="C1732" s="7">
        <v>789</v>
      </c>
      <c r="D1732" s="7"/>
      <c r="E1732" s="7" t="s">
        <v>1103</v>
      </c>
      <c r="F1732" s="7" t="s">
        <v>722</v>
      </c>
      <c r="G1732" s="7">
        <v>174</v>
      </c>
      <c r="H1732" s="7" t="s">
        <v>877</v>
      </c>
      <c r="I1732" s="7" t="s">
        <v>878</v>
      </c>
      <c r="J1732" s="7" t="s">
        <v>879</v>
      </c>
      <c r="M1732" s="7">
        <v>100</v>
      </c>
      <c r="N1732" s="7">
        <v>100</v>
      </c>
      <c r="P1732" s="126">
        <v>46209.706944444399</v>
      </c>
    </row>
    <row r="1733" spans="1:16" ht="15.75" customHeight="1">
      <c r="A1733" s="126">
        <v>46230.015752314801</v>
      </c>
      <c r="B1733" s="7">
        <v>12</v>
      </c>
      <c r="C1733" s="7">
        <v>789</v>
      </c>
      <c r="D1733" s="7"/>
      <c r="E1733" s="7" t="s">
        <v>1103</v>
      </c>
      <c r="F1733" s="7" t="s">
        <v>722</v>
      </c>
      <c r="G1733" s="7">
        <v>180</v>
      </c>
      <c r="H1733" s="7" t="s">
        <v>880</v>
      </c>
      <c r="I1733" s="7" t="s">
        <v>874</v>
      </c>
      <c r="J1733" s="7"/>
      <c r="M1733" s="7"/>
      <c r="N1733" s="7" t="s">
        <v>875</v>
      </c>
      <c r="O1733" s="126"/>
      <c r="P1733" s="126"/>
    </row>
    <row r="1734" spans="1:16" ht="15.75" customHeight="1">
      <c r="A1734" s="126">
        <v>46230.015752314801</v>
      </c>
      <c r="B1734" s="7">
        <v>12</v>
      </c>
      <c r="C1734" s="7">
        <v>789</v>
      </c>
      <c r="D1734" s="7"/>
      <c r="E1734" s="7" t="s">
        <v>1103</v>
      </c>
      <c r="F1734" s="7" t="s">
        <v>722</v>
      </c>
      <c r="G1734" s="7">
        <v>175</v>
      </c>
      <c r="H1734" s="7" t="s">
        <v>881</v>
      </c>
      <c r="I1734" s="7" t="s">
        <v>878</v>
      </c>
      <c r="J1734" s="7" t="s">
        <v>882</v>
      </c>
      <c r="M1734" s="7">
        <v>100</v>
      </c>
      <c r="N1734" s="7">
        <v>100</v>
      </c>
      <c r="O1734" s="126">
        <v>46215.806238425903</v>
      </c>
      <c r="P1734" s="126">
        <v>46215.806238425903</v>
      </c>
    </row>
    <row r="1735" spans="1:16" ht="15.75" customHeight="1">
      <c r="A1735" s="126">
        <v>46230.015752314801</v>
      </c>
      <c r="B1735" s="7">
        <v>12</v>
      </c>
      <c r="C1735" s="7">
        <v>789</v>
      </c>
      <c r="D1735" s="7"/>
      <c r="E1735" s="7" t="s">
        <v>1103</v>
      </c>
      <c r="F1735" s="7" t="s">
        <v>722</v>
      </c>
      <c r="G1735" s="7">
        <v>177</v>
      </c>
      <c r="H1735" s="7" t="s">
        <v>883</v>
      </c>
      <c r="I1735" s="7" t="s">
        <v>878</v>
      </c>
      <c r="J1735" s="7" t="s">
        <v>882</v>
      </c>
      <c r="M1735" s="7"/>
      <c r="N1735" s="7" t="s">
        <v>875</v>
      </c>
      <c r="P1735" s="126"/>
    </row>
    <row r="1736" spans="1:16" ht="15.75" customHeight="1">
      <c r="A1736" s="126">
        <v>46230.015752314801</v>
      </c>
      <c r="B1736" s="7">
        <v>12</v>
      </c>
      <c r="C1736" s="7">
        <v>789</v>
      </c>
      <c r="D1736" s="7"/>
      <c r="E1736" s="7" t="s">
        <v>1103</v>
      </c>
      <c r="F1736" s="7" t="s">
        <v>722</v>
      </c>
      <c r="G1736" s="7">
        <v>176</v>
      </c>
      <c r="H1736" s="7" t="s">
        <v>884</v>
      </c>
      <c r="I1736" s="7" t="s">
        <v>878</v>
      </c>
      <c r="J1736" s="7" t="s">
        <v>882</v>
      </c>
      <c r="M1736" s="7">
        <v>100</v>
      </c>
      <c r="N1736" s="7">
        <v>100</v>
      </c>
      <c r="O1736" s="126">
        <v>46225.8858680556</v>
      </c>
      <c r="P1736" s="126">
        <v>46225.8858680556</v>
      </c>
    </row>
    <row r="1737" spans="1:16" ht="15.75" customHeight="1">
      <c r="A1737" s="126">
        <v>46230.015752314801</v>
      </c>
      <c r="B1737" s="7">
        <v>12</v>
      </c>
      <c r="C1737" s="7">
        <v>789</v>
      </c>
      <c r="D1737" s="7"/>
      <c r="E1737" s="7" t="s">
        <v>1103</v>
      </c>
      <c r="F1737" s="7" t="s">
        <v>722</v>
      </c>
      <c r="G1737" s="7">
        <v>168</v>
      </c>
      <c r="H1737" s="7" t="s">
        <v>885</v>
      </c>
      <c r="I1737" s="7" t="s">
        <v>886</v>
      </c>
      <c r="J1737" s="7"/>
      <c r="M1737" s="7">
        <v>100</v>
      </c>
      <c r="N1737" s="7">
        <v>100</v>
      </c>
      <c r="O1737" s="126"/>
      <c r="P1737" s="126">
        <v>46209.706944444399</v>
      </c>
    </row>
    <row r="1738" spans="1:16" ht="15.75" customHeight="1">
      <c r="A1738" s="126">
        <v>46230.015752314801</v>
      </c>
      <c r="B1738" s="7">
        <v>12</v>
      </c>
      <c r="C1738" s="7">
        <v>449</v>
      </c>
      <c r="D1738" s="7"/>
      <c r="E1738" s="7" t="s">
        <v>1104</v>
      </c>
      <c r="F1738" s="7" t="s">
        <v>24</v>
      </c>
      <c r="G1738" s="7">
        <v>181</v>
      </c>
      <c r="H1738" s="7" t="s">
        <v>873</v>
      </c>
      <c r="I1738" s="7" t="s">
        <v>874</v>
      </c>
      <c r="J1738" s="7"/>
      <c r="M1738" s="7"/>
      <c r="N1738" s="7" t="s">
        <v>875</v>
      </c>
      <c r="P1738" s="126"/>
    </row>
    <row r="1739" spans="1:16" ht="15.75" customHeight="1">
      <c r="A1739" s="126">
        <v>46230.015752314801</v>
      </c>
      <c r="B1739" s="7">
        <v>12</v>
      </c>
      <c r="C1739" s="7">
        <v>449</v>
      </c>
      <c r="D1739" s="7"/>
      <c r="E1739" s="7" t="s">
        <v>1104</v>
      </c>
      <c r="F1739" s="7" t="s">
        <v>24</v>
      </c>
      <c r="G1739" s="7">
        <v>182</v>
      </c>
      <c r="H1739" s="7" t="s">
        <v>876</v>
      </c>
      <c r="I1739" s="7" t="s">
        <v>874</v>
      </c>
      <c r="J1739" s="7"/>
      <c r="M1739" s="7"/>
      <c r="N1739" s="7" t="s">
        <v>875</v>
      </c>
      <c r="P1739" s="126"/>
    </row>
    <row r="1740" spans="1:16" ht="15.75" customHeight="1">
      <c r="A1740" s="126">
        <v>46230.015752314801</v>
      </c>
      <c r="B1740" s="7">
        <v>12</v>
      </c>
      <c r="C1740" s="7">
        <v>449</v>
      </c>
      <c r="D1740" s="7"/>
      <c r="E1740" s="7" t="s">
        <v>1104</v>
      </c>
      <c r="F1740" s="7" t="s">
        <v>24</v>
      </c>
      <c r="G1740" s="7">
        <v>174</v>
      </c>
      <c r="H1740" s="7" t="s">
        <v>877</v>
      </c>
      <c r="I1740" s="7" t="s">
        <v>878</v>
      </c>
      <c r="J1740" s="7" t="s">
        <v>879</v>
      </c>
      <c r="M1740" s="7">
        <v>100</v>
      </c>
      <c r="N1740" s="7">
        <v>100</v>
      </c>
      <c r="P1740" s="126">
        <v>46209.7133680556</v>
      </c>
    </row>
    <row r="1741" spans="1:16" ht="15.75" customHeight="1">
      <c r="A1741" s="126">
        <v>46230.015752314801</v>
      </c>
      <c r="B1741" s="7">
        <v>12</v>
      </c>
      <c r="C1741" s="7">
        <v>449</v>
      </c>
      <c r="D1741" s="7"/>
      <c r="E1741" s="7" t="s">
        <v>1104</v>
      </c>
      <c r="F1741" s="7" t="s">
        <v>24</v>
      </c>
      <c r="G1741" s="7">
        <v>180</v>
      </c>
      <c r="H1741" s="7" t="s">
        <v>880</v>
      </c>
      <c r="I1741" s="7" t="s">
        <v>874</v>
      </c>
      <c r="J1741" s="7"/>
      <c r="M1741" s="7"/>
      <c r="N1741" s="7" t="s">
        <v>875</v>
      </c>
      <c r="O1741" s="126"/>
      <c r="P1741" s="126"/>
    </row>
    <row r="1742" spans="1:16" ht="15.75" customHeight="1">
      <c r="A1742" s="126">
        <v>46230.015752314801</v>
      </c>
      <c r="B1742" s="7">
        <v>12</v>
      </c>
      <c r="C1742" s="7">
        <v>449</v>
      </c>
      <c r="E1742" s="7" t="s">
        <v>1104</v>
      </c>
      <c r="F1742" s="7" t="s">
        <v>24</v>
      </c>
      <c r="G1742" s="7">
        <v>175</v>
      </c>
      <c r="H1742" s="7" t="s">
        <v>881</v>
      </c>
      <c r="I1742" s="7" t="s">
        <v>878</v>
      </c>
      <c r="J1742" s="7" t="s">
        <v>882</v>
      </c>
      <c r="M1742" s="7">
        <v>62.5</v>
      </c>
      <c r="N1742" s="7">
        <v>62.5</v>
      </c>
      <c r="O1742" s="126">
        <v>46216.441041666701</v>
      </c>
      <c r="P1742" s="126">
        <v>46216.441041666701</v>
      </c>
    </row>
    <row r="1743" spans="1:16" ht="15.75" customHeight="1">
      <c r="A1743" s="126">
        <v>46230.015752314801</v>
      </c>
      <c r="B1743" s="7">
        <v>12</v>
      </c>
      <c r="C1743" s="7">
        <v>449</v>
      </c>
      <c r="E1743" s="7" t="s">
        <v>1104</v>
      </c>
      <c r="F1743" s="7" t="s">
        <v>24</v>
      </c>
      <c r="G1743" s="7">
        <v>177</v>
      </c>
      <c r="H1743" s="7" t="s">
        <v>883</v>
      </c>
      <c r="I1743" s="7" t="s">
        <v>878</v>
      </c>
      <c r="J1743" s="7" t="s">
        <v>882</v>
      </c>
      <c r="M1743" s="7"/>
      <c r="N1743" s="7" t="s">
        <v>875</v>
      </c>
      <c r="O1743" s="126"/>
      <c r="P1743" s="126"/>
    </row>
    <row r="1744" spans="1:16" ht="15.75" customHeight="1">
      <c r="A1744" s="126">
        <v>46230.015752314801</v>
      </c>
      <c r="B1744" s="7">
        <v>12</v>
      </c>
      <c r="C1744" s="7">
        <v>449</v>
      </c>
      <c r="E1744" s="7" t="s">
        <v>1104</v>
      </c>
      <c r="F1744" s="7" t="s">
        <v>24</v>
      </c>
      <c r="G1744" s="7">
        <v>176</v>
      </c>
      <c r="H1744" s="7" t="s">
        <v>884</v>
      </c>
      <c r="I1744" s="7" t="s">
        <v>878</v>
      </c>
      <c r="J1744" s="7" t="s">
        <v>882</v>
      </c>
      <c r="M1744" s="7">
        <v>100</v>
      </c>
      <c r="N1744" s="7">
        <v>100</v>
      </c>
      <c r="O1744" s="126">
        <v>46225.414641203701</v>
      </c>
      <c r="P1744" s="126">
        <v>46225.414641203701</v>
      </c>
    </row>
    <row r="1745" spans="1:16" ht="15.75" customHeight="1">
      <c r="A1745" s="126">
        <v>46230.015752314801</v>
      </c>
      <c r="B1745" s="7">
        <v>12</v>
      </c>
      <c r="C1745" s="7">
        <v>449</v>
      </c>
      <c r="E1745" s="7" t="s">
        <v>1104</v>
      </c>
      <c r="F1745" s="7" t="s">
        <v>24</v>
      </c>
      <c r="G1745" s="7">
        <v>168</v>
      </c>
      <c r="H1745" s="7" t="s">
        <v>885</v>
      </c>
      <c r="I1745" s="7" t="s">
        <v>886</v>
      </c>
      <c r="J1745" s="7"/>
      <c r="M1745" s="7">
        <v>100</v>
      </c>
      <c r="N1745" s="7">
        <v>100</v>
      </c>
      <c r="O1745" s="126"/>
      <c r="P1745" s="126">
        <v>46209.7133680556</v>
      </c>
    </row>
    <row r="1746" spans="1:16" ht="15.75" customHeight="1">
      <c r="A1746" s="126">
        <v>46230.015752314801</v>
      </c>
      <c r="B1746" s="7">
        <v>12</v>
      </c>
      <c r="C1746" s="7">
        <v>643</v>
      </c>
      <c r="E1746" s="7" t="s">
        <v>1105</v>
      </c>
      <c r="F1746" s="7" t="s">
        <v>638</v>
      </c>
      <c r="G1746" s="7">
        <v>181</v>
      </c>
      <c r="H1746" s="7" t="s">
        <v>873</v>
      </c>
      <c r="I1746" s="7" t="s">
        <v>874</v>
      </c>
      <c r="J1746" s="7"/>
      <c r="M1746" s="7"/>
      <c r="N1746" s="7" t="s">
        <v>875</v>
      </c>
      <c r="O1746" s="126"/>
      <c r="P1746" s="126"/>
    </row>
    <row r="1747" spans="1:16" ht="15.75" customHeight="1">
      <c r="A1747" s="126">
        <v>46230.015752314801</v>
      </c>
      <c r="B1747" s="7">
        <v>12</v>
      </c>
      <c r="C1747" s="7">
        <v>643</v>
      </c>
      <c r="E1747" s="7" t="s">
        <v>1105</v>
      </c>
      <c r="F1747" s="7" t="s">
        <v>638</v>
      </c>
      <c r="G1747" s="7">
        <v>182</v>
      </c>
      <c r="H1747" s="7" t="s">
        <v>876</v>
      </c>
      <c r="I1747" s="7" t="s">
        <v>874</v>
      </c>
      <c r="J1747" s="7"/>
      <c r="M1747" s="7"/>
      <c r="N1747" s="7" t="s">
        <v>875</v>
      </c>
      <c r="P1747" s="126"/>
    </row>
    <row r="1748" spans="1:16" ht="15.75" customHeight="1">
      <c r="A1748" s="126">
        <v>46230.015752314801</v>
      </c>
      <c r="B1748" s="7">
        <v>12</v>
      </c>
      <c r="C1748" s="7">
        <v>643</v>
      </c>
      <c r="D1748" s="7"/>
      <c r="E1748" s="7" t="s">
        <v>1105</v>
      </c>
      <c r="F1748" s="7" t="s">
        <v>638</v>
      </c>
      <c r="G1748" s="7">
        <v>174</v>
      </c>
      <c r="H1748" s="7" t="s">
        <v>877</v>
      </c>
      <c r="I1748" s="7" t="s">
        <v>878</v>
      </c>
      <c r="J1748" s="7" t="s">
        <v>879</v>
      </c>
      <c r="M1748" s="7">
        <v>100</v>
      </c>
      <c r="N1748" s="7">
        <v>100</v>
      </c>
      <c r="P1748" s="126">
        <v>46209.673819444397</v>
      </c>
    </row>
    <row r="1749" spans="1:16" ht="15.75" customHeight="1">
      <c r="A1749" s="126">
        <v>46230.015752314801</v>
      </c>
      <c r="B1749" s="7">
        <v>12</v>
      </c>
      <c r="C1749" s="7">
        <v>643</v>
      </c>
      <c r="D1749" s="7"/>
      <c r="E1749" s="7" t="s">
        <v>1105</v>
      </c>
      <c r="F1749" s="7" t="s">
        <v>638</v>
      </c>
      <c r="G1749" s="7">
        <v>180</v>
      </c>
      <c r="H1749" s="7" t="s">
        <v>880</v>
      </c>
      <c r="I1749" s="7" t="s">
        <v>874</v>
      </c>
      <c r="J1749" s="7"/>
      <c r="M1749" s="7"/>
      <c r="N1749" s="7" t="s">
        <v>875</v>
      </c>
      <c r="O1749" s="126"/>
      <c r="P1749" s="126"/>
    </row>
    <row r="1750" spans="1:16" ht="15.75" customHeight="1">
      <c r="A1750" s="126">
        <v>46230.015752314801</v>
      </c>
      <c r="B1750" s="7">
        <v>12</v>
      </c>
      <c r="C1750" s="7">
        <v>643</v>
      </c>
      <c r="D1750" s="7"/>
      <c r="E1750" s="7" t="s">
        <v>1105</v>
      </c>
      <c r="F1750" s="7" t="s">
        <v>638</v>
      </c>
      <c r="G1750" s="7">
        <v>175</v>
      </c>
      <c r="H1750" s="7" t="s">
        <v>881</v>
      </c>
      <c r="I1750" s="7" t="s">
        <v>878</v>
      </c>
      <c r="J1750" s="7" t="s">
        <v>882</v>
      </c>
      <c r="M1750" s="7">
        <v>87.5</v>
      </c>
      <c r="N1750" s="7">
        <v>87.5</v>
      </c>
      <c r="O1750" s="126">
        <v>46215.586932870399</v>
      </c>
      <c r="P1750" s="126">
        <v>46215.586932870399</v>
      </c>
    </row>
    <row r="1751" spans="1:16" ht="15.75" customHeight="1">
      <c r="A1751" s="126">
        <v>46230.015752314801</v>
      </c>
      <c r="B1751" s="7">
        <v>12</v>
      </c>
      <c r="C1751" s="7">
        <v>643</v>
      </c>
      <c r="D1751" s="7"/>
      <c r="E1751" s="7" t="s">
        <v>1105</v>
      </c>
      <c r="F1751" s="7" t="s">
        <v>638</v>
      </c>
      <c r="G1751" s="7">
        <v>177</v>
      </c>
      <c r="H1751" s="7" t="s">
        <v>883</v>
      </c>
      <c r="I1751" s="7" t="s">
        <v>878</v>
      </c>
      <c r="J1751" s="7" t="s">
        <v>882</v>
      </c>
      <c r="M1751" s="7"/>
      <c r="N1751" s="7" t="s">
        <v>875</v>
      </c>
      <c r="P1751" s="126"/>
    </row>
    <row r="1752" spans="1:16" ht="15.75" customHeight="1">
      <c r="A1752" s="126">
        <v>46230.015752314801</v>
      </c>
      <c r="B1752" s="7">
        <v>12</v>
      </c>
      <c r="C1752" s="7">
        <v>643</v>
      </c>
      <c r="D1752" s="7"/>
      <c r="E1752" s="7" t="s">
        <v>1105</v>
      </c>
      <c r="F1752" s="7" t="s">
        <v>638</v>
      </c>
      <c r="G1752" s="7">
        <v>176</v>
      </c>
      <c r="H1752" s="7" t="s">
        <v>884</v>
      </c>
      <c r="I1752" s="7" t="s">
        <v>878</v>
      </c>
      <c r="J1752" s="7" t="s">
        <v>882</v>
      </c>
      <c r="M1752" s="7">
        <v>90</v>
      </c>
      <c r="N1752" s="7">
        <v>90</v>
      </c>
      <c r="O1752" s="126">
        <v>46227.6024652778</v>
      </c>
      <c r="P1752" s="126">
        <v>46227.6024652778</v>
      </c>
    </row>
    <row r="1753" spans="1:16" ht="15.75" customHeight="1">
      <c r="A1753" s="126">
        <v>46230.015752314801</v>
      </c>
      <c r="B1753" s="7">
        <v>12</v>
      </c>
      <c r="C1753" s="7">
        <v>643</v>
      </c>
      <c r="D1753" s="7"/>
      <c r="E1753" s="7" t="s">
        <v>1105</v>
      </c>
      <c r="F1753" s="7" t="s">
        <v>638</v>
      </c>
      <c r="G1753" s="7">
        <v>168</v>
      </c>
      <c r="H1753" s="7" t="s">
        <v>885</v>
      </c>
      <c r="I1753" s="7" t="s">
        <v>886</v>
      </c>
      <c r="J1753" s="7"/>
      <c r="M1753" s="7">
        <v>100</v>
      </c>
      <c r="N1753" s="7">
        <v>100</v>
      </c>
      <c r="P1753" s="126">
        <v>46209.673819444397</v>
      </c>
    </row>
    <row r="1754" spans="1:16" ht="15.75" customHeight="1">
      <c r="A1754" s="126">
        <v>46230.015752314801</v>
      </c>
      <c r="B1754" s="7">
        <v>12</v>
      </c>
      <c r="C1754" s="7">
        <v>772</v>
      </c>
      <c r="D1754" s="7"/>
      <c r="E1754" s="7" t="s">
        <v>1106</v>
      </c>
      <c r="F1754" s="7" t="s">
        <v>451</v>
      </c>
      <c r="G1754" s="7">
        <v>181</v>
      </c>
      <c r="H1754" s="7" t="s">
        <v>873</v>
      </c>
      <c r="I1754" s="7" t="s">
        <v>874</v>
      </c>
      <c r="J1754" s="7"/>
      <c r="M1754" s="7"/>
      <c r="N1754" s="7" t="s">
        <v>875</v>
      </c>
      <c r="O1754" s="126"/>
      <c r="P1754" s="126"/>
    </row>
    <row r="1755" spans="1:16" ht="15.75" customHeight="1">
      <c r="A1755" s="126">
        <v>46230.015752314801</v>
      </c>
      <c r="B1755" s="7">
        <v>12</v>
      </c>
      <c r="C1755" s="7">
        <v>772</v>
      </c>
      <c r="D1755" s="7"/>
      <c r="E1755" s="7" t="s">
        <v>1106</v>
      </c>
      <c r="F1755" s="7" t="s">
        <v>451</v>
      </c>
      <c r="G1755" s="7">
        <v>182</v>
      </c>
      <c r="H1755" s="7" t="s">
        <v>876</v>
      </c>
      <c r="I1755" s="7" t="s">
        <v>874</v>
      </c>
      <c r="J1755" s="7"/>
      <c r="M1755" s="7"/>
      <c r="N1755" s="7" t="s">
        <v>875</v>
      </c>
      <c r="O1755" s="126"/>
      <c r="P1755" s="126"/>
    </row>
    <row r="1756" spans="1:16" ht="15.75" customHeight="1">
      <c r="A1756" s="126">
        <v>46230.015752314801</v>
      </c>
      <c r="B1756" s="7">
        <v>12</v>
      </c>
      <c r="C1756" s="7">
        <v>772</v>
      </c>
      <c r="D1756" s="7"/>
      <c r="E1756" s="7" t="s">
        <v>1106</v>
      </c>
      <c r="F1756" s="7" t="s">
        <v>451</v>
      </c>
      <c r="G1756" s="7">
        <v>174</v>
      </c>
      <c r="H1756" s="7" t="s">
        <v>877</v>
      </c>
      <c r="I1756" s="7" t="s">
        <v>878</v>
      </c>
      <c r="J1756" s="7" t="s">
        <v>879</v>
      </c>
      <c r="M1756" s="7">
        <v>100</v>
      </c>
      <c r="N1756" s="7">
        <v>100</v>
      </c>
      <c r="P1756" s="126">
        <v>46209.706979166702</v>
      </c>
    </row>
    <row r="1757" spans="1:16" ht="15.75" customHeight="1">
      <c r="A1757" s="126">
        <v>46230.015752314801</v>
      </c>
      <c r="B1757" s="7">
        <v>12</v>
      </c>
      <c r="C1757" s="7">
        <v>772</v>
      </c>
      <c r="D1757" s="7"/>
      <c r="E1757" s="7" t="s">
        <v>1106</v>
      </c>
      <c r="F1757" s="7" t="s">
        <v>451</v>
      </c>
      <c r="G1757" s="7">
        <v>180</v>
      </c>
      <c r="H1757" s="7" t="s">
        <v>880</v>
      </c>
      <c r="I1757" s="7" t="s">
        <v>874</v>
      </c>
      <c r="J1757" s="7"/>
      <c r="M1757" s="7"/>
      <c r="N1757" s="7" t="s">
        <v>875</v>
      </c>
      <c r="O1757" s="126"/>
      <c r="P1757" s="126"/>
    </row>
    <row r="1758" spans="1:16" ht="15.75" customHeight="1">
      <c r="A1758" s="126">
        <v>46230.015752314801</v>
      </c>
      <c r="B1758" s="7">
        <v>12</v>
      </c>
      <c r="C1758" s="7">
        <v>772</v>
      </c>
      <c r="D1758" s="7"/>
      <c r="E1758" s="7" t="s">
        <v>1106</v>
      </c>
      <c r="F1758" s="7" t="s">
        <v>451</v>
      </c>
      <c r="G1758" s="7">
        <v>175</v>
      </c>
      <c r="H1758" s="7" t="s">
        <v>881</v>
      </c>
      <c r="I1758" s="7" t="s">
        <v>878</v>
      </c>
      <c r="J1758" s="7" t="s">
        <v>882</v>
      </c>
      <c r="M1758" s="7">
        <v>100</v>
      </c>
      <c r="N1758" s="7">
        <v>100</v>
      </c>
      <c r="O1758" s="126">
        <v>46216.402118055601</v>
      </c>
      <c r="P1758" s="126">
        <v>46216.402118055601</v>
      </c>
    </row>
    <row r="1759" spans="1:16" ht="15.75" customHeight="1">
      <c r="A1759" s="126">
        <v>46230.015752314801</v>
      </c>
      <c r="B1759" s="7">
        <v>12</v>
      </c>
      <c r="C1759" s="7">
        <v>772</v>
      </c>
      <c r="D1759" s="7"/>
      <c r="E1759" s="7" t="s">
        <v>1106</v>
      </c>
      <c r="F1759" s="7" t="s">
        <v>451</v>
      </c>
      <c r="G1759" s="7">
        <v>177</v>
      </c>
      <c r="H1759" s="7" t="s">
        <v>883</v>
      </c>
      <c r="I1759" s="7" t="s">
        <v>878</v>
      </c>
      <c r="J1759" s="7" t="s">
        <v>882</v>
      </c>
      <c r="M1759" s="7"/>
      <c r="N1759" s="7" t="s">
        <v>875</v>
      </c>
      <c r="P1759" s="126"/>
    </row>
    <row r="1760" spans="1:16" ht="15.75" customHeight="1">
      <c r="A1760" s="126">
        <v>46230.015752314801</v>
      </c>
      <c r="B1760" s="7">
        <v>12</v>
      </c>
      <c r="C1760" s="7">
        <v>772</v>
      </c>
      <c r="D1760" s="7"/>
      <c r="E1760" s="7" t="s">
        <v>1106</v>
      </c>
      <c r="F1760" s="7" t="s">
        <v>451</v>
      </c>
      <c r="G1760" s="7">
        <v>176</v>
      </c>
      <c r="H1760" s="7" t="s">
        <v>884</v>
      </c>
      <c r="I1760" s="7" t="s">
        <v>878</v>
      </c>
      <c r="J1760" s="7" t="s">
        <v>882</v>
      </c>
      <c r="M1760" s="7">
        <v>95</v>
      </c>
      <c r="N1760" s="7">
        <v>95</v>
      </c>
      <c r="O1760" s="126">
        <v>46227.634513888901</v>
      </c>
      <c r="P1760" s="126">
        <v>46227.634513888901</v>
      </c>
    </row>
    <row r="1761" spans="1:16" ht="15.75" customHeight="1">
      <c r="A1761" s="126">
        <v>46230.015752314801</v>
      </c>
      <c r="B1761" s="7">
        <v>12</v>
      </c>
      <c r="C1761" s="7">
        <v>772</v>
      </c>
      <c r="D1761" s="7"/>
      <c r="E1761" s="7" t="s">
        <v>1106</v>
      </c>
      <c r="F1761" s="7" t="s">
        <v>451</v>
      </c>
      <c r="G1761" s="7">
        <v>168</v>
      </c>
      <c r="H1761" s="7" t="s">
        <v>885</v>
      </c>
      <c r="I1761" s="7" t="s">
        <v>886</v>
      </c>
      <c r="J1761" s="7"/>
      <c r="M1761" s="7">
        <v>100</v>
      </c>
      <c r="N1761" s="7">
        <v>100</v>
      </c>
      <c r="O1761" s="126"/>
      <c r="P1761" s="126">
        <v>46209.706979166702</v>
      </c>
    </row>
    <row r="1762" spans="1:16" ht="15.75" customHeight="1">
      <c r="A1762" s="126">
        <v>46230.015752314801</v>
      </c>
      <c r="B1762" s="7">
        <v>12</v>
      </c>
      <c r="C1762" s="7">
        <v>785</v>
      </c>
      <c r="D1762" s="7"/>
      <c r="E1762" s="7" t="s">
        <v>1107</v>
      </c>
      <c r="F1762" s="7" t="s">
        <v>197</v>
      </c>
      <c r="G1762" s="7">
        <v>181</v>
      </c>
      <c r="H1762" s="7" t="s">
        <v>873</v>
      </c>
      <c r="I1762" s="7" t="s">
        <v>874</v>
      </c>
      <c r="J1762" s="7"/>
      <c r="M1762" s="7"/>
      <c r="N1762" s="7" t="s">
        <v>875</v>
      </c>
      <c r="P1762" s="126"/>
    </row>
    <row r="1763" spans="1:16" ht="15.75" customHeight="1">
      <c r="A1763" s="126">
        <v>46230.015752314801</v>
      </c>
      <c r="B1763" s="7">
        <v>12</v>
      </c>
      <c r="C1763" s="7">
        <v>785</v>
      </c>
      <c r="D1763" s="7"/>
      <c r="E1763" s="7" t="s">
        <v>1107</v>
      </c>
      <c r="F1763" s="7" t="s">
        <v>197</v>
      </c>
      <c r="G1763" s="7">
        <v>182</v>
      </c>
      <c r="H1763" s="7" t="s">
        <v>876</v>
      </c>
      <c r="I1763" s="7" t="s">
        <v>874</v>
      </c>
      <c r="J1763" s="7"/>
      <c r="M1763" s="7"/>
      <c r="N1763" s="7" t="s">
        <v>875</v>
      </c>
      <c r="O1763" s="126"/>
      <c r="P1763" s="126"/>
    </row>
    <row r="1764" spans="1:16" ht="15.75" customHeight="1">
      <c r="A1764" s="126">
        <v>46230.015752314801</v>
      </c>
      <c r="B1764" s="7">
        <v>12</v>
      </c>
      <c r="C1764" s="7">
        <v>785</v>
      </c>
      <c r="D1764" s="7"/>
      <c r="E1764" s="7" t="s">
        <v>1107</v>
      </c>
      <c r="F1764" s="7" t="s">
        <v>197</v>
      </c>
      <c r="G1764" s="7">
        <v>174</v>
      </c>
      <c r="H1764" s="7" t="s">
        <v>877</v>
      </c>
      <c r="I1764" s="7" t="s">
        <v>878</v>
      </c>
      <c r="J1764" s="7" t="s">
        <v>879</v>
      </c>
      <c r="M1764" s="7">
        <v>100</v>
      </c>
      <c r="N1764" s="7">
        <v>100</v>
      </c>
      <c r="O1764" s="126"/>
      <c r="P1764" s="126">
        <v>46209.714930555601</v>
      </c>
    </row>
    <row r="1765" spans="1:16" ht="15.75" customHeight="1">
      <c r="A1765" s="126">
        <v>46230.015752314801</v>
      </c>
      <c r="B1765" s="7">
        <v>12</v>
      </c>
      <c r="C1765" s="7">
        <v>785</v>
      </c>
      <c r="D1765" s="7"/>
      <c r="E1765" s="7" t="s">
        <v>1107</v>
      </c>
      <c r="F1765" s="7" t="s">
        <v>197</v>
      </c>
      <c r="G1765" s="7">
        <v>180</v>
      </c>
      <c r="H1765" s="7" t="s">
        <v>880</v>
      </c>
      <c r="I1765" s="7" t="s">
        <v>874</v>
      </c>
      <c r="J1765" s="7"/>
      <c r="M1765" s="7"/>
      <c r="N1765" s="7" t="s">
        <v>875</v>
      </c>
      <c r="O1765" s="126"/>
      <c r="P1765" s="126"/>
    </row>
    <row r="1766" spans="1:16" ht="15.75" customHeight="1">
      <c r="A1766" s="126">
        <v>46230.015752314801</v>
      </c>
      <c r="B1766" s="7">
        <v>12</v>
      </c>
      <c r="C1766" s="7">
        <v>785</v>
      </c>
      <c r="D1766" s="7"/>
      <c r="E1766" s="7" t="s">
        <v>1107</v>
      </c>
      <c r="F1766" s="7" t="s">
        <v>197</v>
      </c>
      <c r="G1766" s="7">
        <v>175</v>
      </c>
      <c r="H1766" s="7" t="s">
        <v>881</v>
      </c>
      <c r="I1766" s="7" t="s">
        <v>878</v>
      </c>
      <c r="J1766" s="7" t="s">
        <v>882</v>
      </c>
      <c r="M1766" s="7">
        <v>87.5</v>
      </c>
      <c r="N1766" s="7">
        <v>87.5</v>
      </c>
      <c r="O1766" s="126">
        <v>46216.363692129598</v>
      </c>
      <c r="P1766" s="126">
        <v>46216.363692129598</v>
      </c>
    </row>
    <row r="1767" spans="1:16" ht="15.75" customHeight="1">
      <c r="A1767" s="126">
        <v>46230.015752314801</v>
      </c>
      <c r="B1767" s="7">
        <v>12</v>
      </c>
      <c r="C1767" s="7">
        <v>785</v>
      </c>
      <c r="D1767" s="7"/>
      <c r="E1767" s="7" t="s">
        <v>1107</v>
      </c>
      <c r="F1767" s="7" t="s">
        <v>197</v>
      </c>
      <c r="G1767" s="7">
        <v>177</v>
      </c>
      <c r="H1767" s="7" t="s">
        <v>883</v>
      </c>
      <c r="I1767" s="7" t="s">
        <v>878</v>
      </c>
      <c r="J1767" s="7" t="s">
        <v>882</v>
      </c>
      <c r="M1767" s="7"/>
      <c r="N1767" s="7" t="s">
        <v>875</v>
      </c>
      <c r="O1767" s="126"/>
      <c r="P1767" s="126"/>
    </row>
    <row r="1768" spans="1:16" ht="15.75" customHeight="1">
      <c r="A1768" s="126">
        <v>46230.015752314801</v>
      </c>
      <c r="B1768" s="7">
        <v>12</v>
      </c>
      <c r="C1768" s="7">
        <v>785</v>
      </c>
      <c r="D1768" s="7"/>
      <c r="E1768" s="7" t="s">
        <v>1107</v>
      </c>
      <c r="F1768" s="7" t="s">
        <v>197</v>
      </c>
      <c r="G1768" s="7">
        <v>176</v>
      </c>
      <c r="H1768" s="7" t="s">
        <v>884</v>
      </c>
      <c r="I1768" s="7" t="s">
        <v>878</v>
      </c>
      <c r="J1768" s="7" t="s">
        <v>882</v>
      </c>
      <c r="M1768" s="7">
        <v>90</v>
      </c>
      <c r="N1768" s="7">
        <v>90</v>
      </c>
      <c r="O1768" s="126">
        <v>46224.394340277802</v>
      </c>
      <c r="P1768" s="126">
        <v>46224.394340277802</v>
      </c>
    </row>
    <row r="1769" spans="1:16" ht="15.75" customHeight="1">
      <c r="A1769" s="126">
        <v>46230.015752314801</v>
      </c>
      <c r="B1769" s="7">
        <v>12</v>
      </c>
      <c r="C1769" s="7">
        <v>785</v>
      </c>
      <c r="D1769" s="7"/>
      <c r="E1769" s="7" t="s">
        <v>1107</v>
      </c>
      <c r="F1769" s="7" t="s">
        <v>197</v>
      </c>
      <c r="G1769" s="7">
        <v>168</v>
      </c>
      <c r="H1769" s="7" t="s">
        <v>885</v>
      </c>
      <c r="I1769" s="7" t="s">
        <v>886</v>
      </c>
      <c r="J1769" s="7"/>
      <c r="M1769" s="7">
        <v>100</v>
      </c>
      <c r="N1769" s="7">
        <v>100</v>
      </c>
      <c r="P1769" s="126">
        <v>46209.714930555601</v>
      </c>
    </row>
    <row r="1770" spans="1:16" ht="15.75" customHeight="1">
      <c r="A1770" s="126">
        <v>46230.015752314801</v>
      </c>
      <c r="B1770" s="7">
        <v>12</v>
      </c>
      <c r="C1770" s="7">
        <v>259</v>
      </c>
      <c r="D1770" s="7"/>
      <c r="E1770" s="7" t="s">
        <v>1108</v>
      </c>
      <c r="F1770" s="7" t="s">
        <v>612</v>
      </c>
      <c r="G1770" s="7">
        <v>181</v>
      </c>
      <c r="H1770" s="7" t="s">
        <v>873</v>
      </c>
      <c r="I1770" s="7" t="s">
        <v>874</v>
      </c>
      <c r="J1770" s="7"/>
      <c r="M1770" s="7"/>
      <c r="N1770" s="7" t="s">
        <v>875</v>
      </c>
      <c r="O1770" s="126"/>
      <c r="P1770" s="126"/>
    </row>
    <row r="1771" spans="1:16" ht="15.75" customHeight="1">
      <c r="A1771" s="126">
        <v>46230.015752314801</v>
      </c>
      <c r="B1771" s="7">
        <v>12</v>
      </c>
      <c r="C1771" s="7">
        <v>259</v>
      </c>
      <c r="D1771" s="7"/>
      <c r="E1771" s="7" t="s">
        <v>1108</v>
      </c>
      <c r="F1771" s="7" t="s">
        <v>612</v>
      </c>
      <c r="G1771" s="7">
        <v>182</v>
      </c>
      <c r="H1771" s="7" t="s">
        <v>876</v>
      </c>
      <c r="I1771" s="7" t="s">
        <v>874</v>
      </c>
      <c r="J1771" s="7"/>
      <c r="M1771" s="7"/>
      <c r="N1771" s="7" t="s">
        <v>875</v>
      </c>
      <c r="P1771" s="126"/>
    </row>
    <row r="1772" spans="1:16" ht="15.75" customHeight="1">
      <c r="A1772" s="126">
        <v>46230.015752314801</v>
      </c>
      <c r="B1772" s="7">
        <v>12</v>
      </c>
      <c r="C1772" s="7">
        <v>259</v>
      </c>
      <c r="D1772" s="7"/>
      <c r="E1772" s="7" t="s">
        <v>1108</v>
      </c>
      <c r="F1772" s="7" t="s">
        <v>612</v>
      </c>
      <c r="G1772" s="7">
        <v>174</v>
      </c>
      <c r="H1772" s="7" t="s">
        <v>877</v>
      </c>
      <c r="I1772" s="7" t="s">
        <v>878</v>
      </c>
      <c r="J1772" s="7" t="s">
        <v>879</v>
      </c>
      <c r="M1772" s="7">
        <v>100</v>
      </c>
      <c r="N1772" s="7">
        <v>100</v>
      </c>
      <c r="O1772" s="126"/>
      <c r="P1772" s="126">
        <v>46209.706944444399</v>
      </c>
    </row>
    <row r="1773" spans="1:16" ht="15.75" customHeight="1">
      <c r="A1773" s="126">
        <v>46230.015752314801</v>
      </c>
      <c r="B1773" s="7">
        <v>12</v>
      </c>
      <c r="C1773" s="7">
        <v>259</v>
      </c>
      <c r="D1773" s="7"/>
      <c r="E1773" s="7" t="s">
        <v>1108</v>
      </c>
      <c r="F1773" s="7" t="s">
        <v>612</v>
      </c>
      <c r="G1773" s="7">
        <v>180</v>
      </c>
      <c r="H1773" s="7" t="s">
        <v>880</v>
      </c>
      <c r="I1773" s="7" t="s">
        <v>874</v>
      </c>
      <c r="J1773" s="7"/>
      <c r="M1773" s="7"/>
      <c r="N1773" s="7" t="s">
        <v>875</v>
      </c>
      <c r="O1773" s="126"/>
      <c r="P1773" s="126"/>
    </row>
    <row r="1774" spans="1:16" ht="15.75" customHeight="1">
      <c r="A1774" s="126">
        <v>46230.015752314801</v>
      </c>
      <c r="B1774" s="7">
        <v>12</v>
      </c>
      <c r="C1774" s="7">
        <v>259</v>
      </c>
      <c r="D1774" s="7"/>
      <c r="E1774" s="7" t="s">
        <v>1108</v>
      </c>
      <c r="F1774" s="7" t="s">
        <v>612</v>
      </c>
      <c r="G1774" s="7">
        <v>175</v>
      </c>
      <c r="H1774" s="7" t="s">
        <v>881</v>
      </c>
      <c r="I1774" s="7" t="s">
        <v>878</v>
      </c>
      <c r="J1774" s="7" t="s">
        <v>882</v>
      </c>
      <c r="M1774" s="7">
        <v>75</v>
      </c>
      <c r="N1774" s="7">
        <v>75</v>
      </c>
      <c r="O1774" s="126">
        <v>46216.537418981497</v>
      </c>
      <c r="P1774" s="126">
        <v>46216.537418981497</v>
      </c>
    </row>
    <row r="1775" spans="1:16" ht="15.75" customHeight="1">
      <c r="A1775" s="126">
        <v>46230.015752314801</v>
      </c>
      <c r="B1775" s="7">
        <v>12</v>
      </c>
      <c r="C1775" s="7">
        <v>259</v>
      </c>
      <c r="D1775" s="7"/>
      <c r="E1775" s="7" t="s">
        <v>1108</v>
      </c>
      <c r="F1775" s="7" t="s">
        <v>612</v>
      </c>
      <c r="G1775" s="7">
        <v>177</v>
      </c>
      <c r="H1775" s="7" t="s">
        <v>883</v>
      </c>
      <c r="I1775" s="7" t="s">
        <v>878</v>
      </c>
      <c r="J1775" s="7" t="s">
        <v>882</v>
      </c>
      <c r="M1775" s="7"/>
      <c r="N1775" s="7" t="s">
        <v>875</v>
      </c>
      <c r="P1775" s="126"/>
    </row>
    <row r="1776" spans="1:16" ht="15.75" customHeight="1">
      <c r="A1776" s="126">
        <v>46230.015752314801</v>
      </c>
      <c r="B1776" s="7">
        <v>12</v>
      </c>
      <c r="C1776" s="7">
        <v>259</v>
      </c>
      <c r="D1776" s="7"/>
      <c r="E1776" s="7" t="s">
        <v>1108</v>
      </c>
      <c r="F1776" s="7" t="s">
        <v>612</v>
      </c>
      <c r="G1776" s="7">
        <v>176</v>
      </c>
      <c r="H1776" s="7" t="s">
        <v>884</v>
      </c>
      <c r="I1776" s="7" t="s">
        <v>878</v>
      </c>
      <c r="J1776" s="7" t="s">
        <v>882</v>
      </c>
      <c r="M1776" s="7">
        <v>100</v>
      </c>
      <c r="N1776" s="7">
        <v>100</v>
      </c>
      <c r="O1776" s="126">
        <v>46225.003842592603</v>
      </c>
      <c r="P1776" s="126">
        <v>46225.003842592603</v>
      </c>
    </row>
    <row r="1777" spans="1:16" ht="15.75" customHeight="1">
      <c r="A1777" s="126">
        <v>46230.015752314801</v>
      </c>
      <c r="B1777" s="7">
        <v>12</v>
      </c>
      <c r="C1777" s="7">
        <v>259</v>
      </c>
      <c r="D1777" s="7"/>
      <c r="E1777" s="7" t="s">
        <v>1108</v>
      </c>
      <c r="F1777" s="7" t="s">
        <v>612</v>
      </c>
      <c r="G1777" s="7">
        <v>168</v>
      </c>
      <c r="H1777" s="7" t="s">
        <v>885</v>
      </c>
      <c r="I1777" s="7" t="s">
        <v>886</v>
      </c>
      <c r="J1777" s="7"/>
      <c r="M1777" s="7">
        <v>100</v>
      </c>
      <c r="N1777" s="7">
        <v>100</v>
      </c>
      <c r="P1777" s="126">
        <v>46209.706944444399</v>
      </c>
    </row>
    <row r="1778" spans="1:16" ht="15.75" customHeight="1">
      <c r="A1778" s="126">
        <v>46230.015752314801</v>
      </c>
      <c r="B1778" s="7">
        <v>12</v>
      </c>
      <c r="C1778" s="7">
        <v>414</v>
      </c>
      <c r="D1778" s="7">
        <v>151538</v>
      </c>
      <c r="E1778" s="7" t="s">
        <v>1109</v>
      </c>
      <c r="F1778" s="7" t="s">
        <v>83</v>
      </c>
      <c r="G1778" s="7">
        <v>181</v>
      </c>
      <c r="H1778" s="7" t="s">
        <v>873</v>
      </c>
      <c r="I1778" s="7" t="s">
        <v>874</v>
      </c>
      <c r="J1778" s="7"/>
      <c r="M1778" s="7"/>
      <c r="N1778" s="7" t="s">
        <v>875</v>
      </c>
      <c r="P1778" s="126"/>
    </row>
    <row r="1779" spans="1:16" ht="15.75" customHeight="1">
      <c r="A1779" s="126">
        <v>46230.015752314801</v>
      </c>
      <c r="B1779" s="7">
        <v>12</v>
      </c>
      <c r="C1779" s="7">
        <v>414</v>
      </c>
      <c r="D1779" s="7">
        <v>151538</v>
      </c>
      <c r="E1779" s="7" t="s">
        <v>1109</v>
      </c>
      <c r="F1779" s="7" t="s">
        <v>83</v>
      </c>
      <c r="G1779" s="7">
        <v>182</v>
      </c>
      <c r="H1779" s="7" t="s">
        <v>876</v>
      </c>
      <c r="I1779" s="7" t="s">
        <v>874</v>
      </c>
      <c r="J1779" s="7"/>
      <c r="M1779" s="7"/>
      <c r="N1779" s="7" t="s">
        <v>875</v>
      </c>
      <c r="O1779" s="126"/>
      <c r="P1779" s="126"/>
    </row>
    <row r="1780" spans="1:16" ht="15.75" customHeight="1">
      <c r="A1780" s="126">
        <v>46230.015752314801</v>
      </c>
      <c r="B1780" s="7">
        <v>12</v>
      </c>
      <c r="C1780" s="7">
        <v>414</v>
      </c>
      <c r="D1780" s="7">
        <v>151538</v>
      </c>
      <c r="E1780" s="7" t="s">
        <v>1109</v>
      </c>
      <c r="F1780" s="7" t="s">
        <v>83</v>
      </c>
      <c r="G1780" s="7">
        <v>174</v>
      </c>
      <c r="H1780" s="7" t="s">
        <v>877</v>
      </c>
      <c r="I1780" s="7" t="s">
        <v>878</v>
      </c>
      <c r="J1780" s="7" t="s">
        <v>879</v>
      </c>
      <c r="M1780" s="7">
        <v>100</v>
      </c>
      <c r="N1780" s="7">
        <v>100</v>
      </c>
      <c r="P1780" s="126">
        <v>46209.652928240699</v>
      </c>
    </row>
    <row r="1781" spans="1:16" ht="15.75" customHeight="1">
      <c r="A1781" s="126">
        <v>46230.015752314801</v>
      </c>
      <c r="B1781" s="7">
        <v>12</v>
      </c>
      <c r="C1781" s="7">
        <v>414</v>
      </c>
      <c r="D1781" s="7">
        <v>151538</v>
      </c>
      <c r="E1781" s="7" t="s">
        <v>1109</v>
      </c>
      <c r="F1781" s="7" t="s">
        <v>83</v>
      </c>
      <c r="G1781" s="7">
        <v>180</v>
      </c>
      <c r="H1781" s="7" t="s">
        <v>880</v>
      </c>
      <c r="I1781" s="7" t="s">
        <v>874</v>
      </c>
      <c r="J1781" s="7"/>
      <c r="M1781" s="7"/>
      <c r="N1781" s="7" t="s">
        <v>875</v>
      </c>
      <c r="O1781" s="126"/>
      <c r="P1781" s="126"/>
    </row>
    <row r="1782" spans="1:16" ht="15.75" customHeight="1">
      <c r="A1782" s="126">
        <v>46230.015752314801</v>
      </c>
      <c r="B1782" s="7">
        <v>12</v>
      </c>
      <c r="C1782" s="7">
        <v>414</v>
      </c>
      <c r="D1782" s="7">
        <v>151538</v>
      </c>
      <c r="E1782" s="7" t="s">
        <v>1109</v>
      </c>
      <c r="F1782" s="7" t="s">
        <v>83</v>
      </c>
      <c r="G1782" s="7">
        <v>175</v>
      </c>
      <c r="H1782" s="7" t="s">
        <v>881</v>
      </c>
      <c r="I1782" s="7" t="s">
        <v>878</v>
      </c>
      <c r="J1782" s="7" t="s">
        <v>882</v>
      </c>
      <c r="M1782" s="7">
        <v>100</v>
      </c>
      <c r="N1782" s="7">
        <v>100</v>
      </c>
      <c r="O1782" s="126"/>
      <c r="P1782" s="126">
        <v>46216.626840277801</v>
      </c>
    </row>
    <row r="1783" spans="1:16" ht="15.75" customHeight="1">
      <c r="A1783" s="126">
        <v>46230.015752314801</v>
      </c>
      <c r="B1783" s="7">
        <v>12</v>
      </c>
      <c r="C1783" s="7">
        <v>414</v>
      </c>
      <c r="D1783" s="7">
        <v>151538</v>
      </c>
      <c r="E1783" s="7" t="s">
        <v>1109</v>
      </c>
      <c r="F1783" s="7" t="s">
        <v>83</v>
      </c>
      <c r="G1783" s="7">
        <v>177</v>
      </c>
      <c r="H1783" s="7" t="s">
        <v>883</v>
      </c>
      <c r="I1783" s="7" t="s">
        <v>878</v>
      </c>
      <c r="J1783" s="7" t="s">
        <v>882</v>
      </c>
      <c r="M1783" s="7"/>
      <c r="N1783" s="7" t="s">
        <v>875</v>
      </c>
      <c r="P1783" s="126"/>
    </row>
    <row r="1784" spans="1:16" ht="15.75" customHeight="1">
      <c r="A1784" s="126">
        <v>46230.015752314801</v>
      </c>
      <c r="B1784" s="7">
        <v>12</v>
      </c>
      <c r="C1784" s="7">
        <v>414</v>
      </c>
      <c r="D1784" s="7">
        <v>151538</v>
      </c>
      <c r="E1784" s="7" t="s">
        <v>1109</v>
      </c>
      <c r="F1784" s="7" t="s">
        <v>83</v>
      </c>
      <c r="G1784" s="7">
        <v>176</v>
      </c>
      <c r="H1784" s="7" t="s">
        <v>884</v>
      </c>
      <c r="I1784" s="7" t="s">
        <v>878</v>
      </c>
      <c r="J1784" s="7" t="s">
        <v>882</v>
      </c>
      <c r="M1784" s="7">
        <v>90</v>
      </c>
      <c r="N1784" s="7">
        <v>90</v>
      </c>
      <c r="O1784" s="126">
        <v>46224.441481481503</v>
      </c>
      <c r="P1784" s="126">
        <v>46224.441481481503</v>
      </c>
    </row>
    <row r="1785" spans="1:16" ht="15.75" customHeight="1">
      <c r="A1785" s="126">
        <v>46230.015752314801</v>
      </c>
      <c r="B1785" s="7">
        <v>12</v>
      </c>
      <c r="C1785" s="7">
        <v>414</v>
      </c>
      <c r="D1785" s="7">
        <v>151538</v>
      </c>
      <c r="E1785" s="7" t="s">
        <v>1109</v>
      </c>
      <c r="F1785" s="7" t="s">
        <v>83</v>
      </c>
      <c r="G1785" s="7">
        <v>168</v>
      </c>
      <c r="H1785" s="7" t="s">
        <v>885</v>
      </c>
      <c r="I1785" s="7" t="s">
        <v>886</v>
      </c>
      <c r="J1785" s="7"/>
      <c r="M1785" s="7">
        <v>100</v>
      </c>
      <c r="N1785" s="7">
        <v>100</v>
      </c>
      <c r="O1785" s="126"/>
      <c r="P1785" s="126">
        <v>46209.652928240699</v>
      </c>
    </row>
    <row r="1786" spans="1:16" ht="15.75" customHeight="1">
      <c r="A1786" s="126">
        <v>46230.015752314801</v>
      </c>
      <c r="B1786" s="7">
        <v>12</v>
      </c>
      <c r="C1786" s="7">
        <v>232</v>
      </c>
      <c r="D1786" s="7"/>
      <c r="E1786" s="7" t="s">
        <v>1110</v>
      </c>
      <c r="F1786" s="7" t="s">
        <v>35</v>
      </c>
      <c r="G1786" s="7">
        <v>181</v>
      </c>
      <c r="H1786" s="7" t="s">
        <v>873</v>
      </c>
      <c r="I1786" s="7" t="s">
        <v>874</v>
      </c>
      <c r="J1786" s="7"/>
      <c r="M1786" s="7"/>
      <c r="N1786" s="7" t="s">
        <v>875</v>
      </c>
      <c r="P1786" s="126"/>
    </row>
    <row r="1787" spans="1:16" ht="15.75" customHeight="1">
      <c r="A1787" s="126">
        <v>46230.015752314801</v>
      </c>
      <c r="B1787" s="7">
        <v>12</v>
      </c>
      <c r="C1787" s="7">
        <v>232</v>
      </c>
      <c r="D1787" s="7"/>
      <c r="E1787" s="7" t="s">
        <v>1110</v>
      </c>
      <c r="F1787" s="7" t="s">
        <v>35</v>
      </c>
      <c r="G1787" s="7">
        <v>182</v>
      </c>
      <c r="H1787" s="7" t="s">
        <v>876</v>
      </c>
      <c r="I1787" s="7" t="s">
        <v>874</v>
      </c>
      <c r="J1787" s="7"/>
      <c r="M1787" s="7"/>
      <c r="N1787" s="7" t="s">
        <v>875</v>
      </c>
      <c r="P1787" s="126"/>
    </row>
    <row r="1788" spans="1:16" ht="15.75" customHeight="1">
      <c r="A1788" s="126">
        <v>46230.015752314801</v>
      </c>
      <c r="B1788" s="7">
        <v>12</v>
      </c>
      <c r="C1788" s="7">
        <v>232</v>
      </c>
      <c r="D1788" s="7"/>
      <c r="E1788" s="7" t="s">
        <v>1110</v>
      </c>
      <c r="F1788" s="7" t="s">
        <v>35</v>
      </c>
      <c r="G1788" s="7">
        <v>174</v>
      </c>
      <c r="H1788" s="7" t="s">
        <v>877</v>
      </c>
      <c r="I1788" s="7" t="s">
        <v>878</v>
      </c>
      <c r="J1788" s="7" t="s">
        <v>879</v>
      </c>
      <c r="M1788" s="7">
        <v>100</v>
      </c>
      <c r="N1788" s="7">
        <v>100</v>
      </c>
      <c r="O1788" s="126"/>
      <c r="P1788" s="126">
        <v>46219.635694444398</v>
      </c>
    </row>
    <row r="1789" spans="1:16" ht="15.75" customHeight="1">
      <c r="A1789" s="126">
        <v>46230.015752314801</v>
      </c>
      <c r="B1789" s="7">
        <v>12</v>
      </c>
      <c r="C1789" s="7">
        <v>232</v>
      </c>
      <c r="D1789" s="7"/>
      <c r="E1789" s="7" t="s">
        <v>1110</v>
      </c>
      <c r="F1789" s="7" t="s">
        <v>35</v>
      </c>
      <c r="G1789" s="7">
        <v>180</v>
      </c>
      <c r="H1789" s="7" t="s">
        <v>880</v>
      </c>
      <c r="I1789" s="7" t="s">
        <v>874</v>
      </c>
      <c r="J1789" s="7"/>
      <c r="M1789" s="7"/>
      <c r="N1789" s="7" t="s">
        <v>875</v>
      </c>
      <c r="O1789" s="126"/>
      <c r="P1789" s="126"/>
    </row>
    <row r="1790" spans="1:16" ht="15.75" customHeight="1">
      <c r="A1790" s="126">
        <v>46230.015752314801</v>
      </c>
      <c r="B1790" s="7">
        <v>12</v>
      </c>
      <c r="C1790" s="7">
        <v>232</v>
      </c>
      <c r="D1790" s="7"/>
      <c r="E1790" s="7" t="s">
        <v>1110</v>
      </c>
      <c r="F1790" s="7" t="s">
        <v>35</v>
      </c>
      <c r="G1790" s="7">
        <v>175</v>
      </c>
      <c r="H1790" s="7" t="s">
        <v>881</v>
      </c>
      <c r="I1790" s="7" t="s">
        <v>878</v>
      </c>
      <c r="J1790" s="7" t="s">
        <v>882</v>
      </c>
      <c r="M1790" s="7">
        <v>75</v>
      </c>
      <c r="N1790" s="7">
        <v>75</v>
      </c>
      <c r="O1790" s="126">
        <v>46228.927372685197</v>
      </c>
      <c r="P1790" s="126">
        <v>46228.927372685197</v>
      </c>
    </row>
    <row r="1791" spans="1:16" ht="15.75" customHeight="1">
      <c r="A1791" s="126">
        <v>46230.015752314801</v>
      </c>
      <c r="B1791" s="7">
        <v>12</v>
      </c>
      <c r="C1791" s="7">
        <v>232</v>
      </c>
      <c r="D1791" s="7"/>
      <c r="E1791" s="7" t="s">
        <v>1110</v>
      </c>
      <c r="F1791" s="7" t="s">
        <v>35</v>
      </c>
      <c r="G1791" s="7">
        <v>177</v>
      </c>
      <c r="H1791" s="7" t="s">
        <v>883</v>
      </c>
      <c r="I1791" s="7" t="s">
        <v>878</v>
      </c>
      <c r="J1791" s="7" t="s">
        <v>882</v>
      </c>
      <c r="M1791" s="7"/>
      <c r="N1791" s="7" t="s">
        <v>875</v>
      </c>
      <c r="O1791" s="126"/>
      <c r="P1791" s="126"/>
    </row>
    <row r="1792" spans="1:16" ht="15.75" customHeight="1">
      <c r="A1792" s="126">
        <v>46230.015752314801</v>
      </c>
      <c r="B1792" s="7">
        <v>12</v>
      </c>
      <c r="C1792" s="7">
        <v>232</v>
      </c>
      <c r="D1792" s="7"/>
      <c r="E1792" s="7" t="s">
        <v>1110</v>
      </c>
      <c r="F1792" s="7" t="s">
        <v>35</v>
      </c>
      <c r="G1792" s="7">
        <v>176</v>
      </c>
      <c r="H1792" s="7" t="s">
        <v>884</v>
      </c>
      <c r="I1792" s="7" t="s">
        <v>878</v>
      </c>
      <c r="J1792" s="7" t="s">
        <v>882</v>
      </c>
      <c r="M1792" s="7">
        <v>100</v>
      </c>
      <c r="N1792" s="7">
        <v>100</v>
      </c>
      <c r="O1792" s="126">
        <v>46228.929004629601</v>
      </c>
      <c r="P1792" s="126">
        <v>46228.929004629601</v>
      </c>
    </row>
    <row r="1793" spans="1:16" ht="15.75" customHeight="1">
      <c r="A1793" s="126">
        <v>46230.015752314801</v>
      </c>
      <c r="B1793" s="7">
        <v>12</v>
      </c>
      <c r="C1793" s="7">
        <v>232</v>
      </c>
      <c r="D1793" s="7"/>
      <c r="E1793" s="7" t="s">
        <v>1110</v>
      </c>
      <c r="F1793" s="7" t="s">
        <v>35</v>
      </c>
      <c r="G1793" s="7">
        <v>168</v>
      </c>
      <c r="H1793" s="7" t="s">
        <v>885</v>
      </c>
      <c r="I1793" s="7" t="s">
        <v>886</v>
      </c>
      <c r="J1793" s="7"/>
      <c r="M1793" s="7">
        <v>100</v>
      </c>
      <c r="N1793" s="7">
        <v>100</v>
      </c>
      <c r="P1793" s="126">
        <v>46219.635694444398</v>
      </c>
    </row>
    <row r="1794" spans="1:16" ht="15.75" customHeight="1">
      <c r="A1794" s="126">
        <v>46230.015752314801</v>
      </c>
      <c r="B1794" s="7">
        <v>12</v>
      </c>
      <c r="C1794" s="7">
        <v>366</v>
      </c>
      <c r="D1794" s="7"/>
      <c r="E1794" s="7" t="s">
        <v>1111</v>
      </c>
      <c r="F1794" s="7" t="s">
        <v>160</v>
      </c>
      <c r="G1794" s="7">
        <v>181</v>
      </c>
      <c r="H1794" s="7" t="s">
        <v>873</v>
      </c>
      <c r="I1794" s="7" t="s">
        <v>874</v>
      </c>
      <c r="J1794" s="7"/>
      <c r="M1794" s="7"/>
      <c r="N1794" s="7" t="s">
        <v>875</v>
      </c>
      <c r="P1794" s="126"/>
    </row>
    <row r="1795" spans="1:16" ht="15.75" customHeight="1">
      <c r="A1795" s="126">
        <v>46230.015752314801</v>
      </c>
      <c r="B1795" s="7">
        <v>12</v>
      </c>
      <c r="C1795" s="7">
        <v>366</v>
      </c>
      <c r="D1795" s="7"/>
      <c r="E1795" s="7" t="s">
        <v>1111</v>
      </c>
      <c r="F1795" s="7" t="s">
        <v>160</v>
      </c>
      <c r="G1795" s="7">
        <v>182</v>
      </c>
      <c r="H1795" s="7" t="s">
        <v>876</v>
      </c>
      <c r="I1795" s="7" t="s">
        <v>874</v>
      </c>
      <c r="J1795" s="7"/>
      <c r="M1795" s="7"/>
      <c r="N1795" s="7" t="s">
        <v>875</v>
      </c>
      <c r="P1795" s="126"/>
    </row>
    <row r="1796" spans="1:16" ht="15.75" customHeight="1">
      <c r="A1796" s="126">
        <v>46230.015752314801</v>
      </c>
      <c r="B1796" s="7">
        <v>12</v>
      </c>
      <c r="C1796" s="7">
        <v>366</v>
      </c>
      <c r="D1796" s="7"/>
      <c r="E1796" s="7" t="s">
        <v>1111</v>
      </c>
      <c r="F1796" s="7" t="s">
        <v>160</v>
      </c>
      <c r="G1796" s="7">
        <v>174</v>
      </c>
      <c r="H1796" s="7" t="s">
        <v>877</v>
      </c>
      <c r="I1796" s="7" t="s">
        <v>878</v>
      </c>
      <c r="J1796" s="7" t="s">
        <v>879</v>
      </c>
      <c r="M1796" s="7">
        <v>100</v>
      </c>
      <c r="N1796" s="7">
        <v>100</v>
      </c>
      <c r="P1796" s="126">
        <v>46209.706944444399</v>
      </c>
    </row>
    <row r="1797" spans="1:16" ht="15.75" customHeight="1">
      <c r="A1797" s="126">
        <v>46230.015752314801</v>
      </c>
      <c r="B1797" s="7">
        <v>12</v>
      </c>
      <c r="C1797" s="7">
        <v>366</v>
      </c>
      <c r="D1797" s="7"/>
      <c r="E1797" s="7" t="s">
        <v>1111</v>
      </c>
      <c r="F1797" s="7" t="s">
        <v>160</v>
      </c>
      <c r="G1797" s="7">
        <v>180</v>
      </c>
      <c r="H1797" s="7" t="s">
        <v>880</v>
      </c>
      <c r="I1797" s="7" t="s">
        <v>874</v>
      </c>
      <c r="J1797" s="7"/>
      <c r="M1797" s="7"/>
      <c r="N1797" s="7" t="s">
        <v>875</v>
      </c>
      <c r="O1797" s="126"/>
      <c r="P1797" s="126"/>
    </row>
    <row r="1798" spans="1:16" ht="15.75" customHeight="1">
      <c r="A1798" s="126">
        <v>46230.015752314801</v>
      </c>
      <c r="B1798" s="7">
        <v>12</v>
      </c>
      <c r="C1798" s="7">
        <v>366</v>
      </c>
      <c r="D1798" s="7"/>
      <c r="E1798" s="7" t="s">
        <v>1111</v>
      </c>
      <c r="F1798" s="7" t="s">
        <v>160</v>
      </c>
      <c r="G1798" s="7">
        <v>175</v>
      </c>
      <c r="H1798" s="7" t="s">
        <v>881</v>
      </c>
      <c r="I1798" s="7" t="s">
        <v>878</v>
      </c>
      <c r="J1798" s="7" t="s">
        <v>882</v>
      </c>
      <c r="M1798" s="7">
        <v>75</v>
      </c>
      <c r="N1798" s="7">
        <v>75</v>
      </c>
      <c r="O1798" s="126">
        <v>46216.472314814797</v>
      </c>
      <c r="P1798" s="126">
        <v>46216.472314814797</v>
      </c>
    </row>
    <row r="1799" spans="1:16" ht="15.75" customHeight="1">
      <c r="A1799" s="126">
        <v>46230.015752314801</v>
      </c>
      <c r="B1799" s="7">
        <v>12</v>
      </c>
      <c r="C1799" s="7">
        <v>366</v>
      </c>
      <c r="D1799" s="7"/>
      <c r="E1799" s="7" t="s">
        <v>1111</v>
      </c>
      <c r="F1799" s="7" t="s">
        <v>160</v>
      </c>
      <c r="G1799" s="7">
        <v>177</v>
      </c>
      <c r="H1799" s="7" t="s">
        <v>883</v>
      </c>
      <c r="I1799" s="7" t="s">
        <v>878</v>
      </c>
      <c r="J1799" s="7" t="s">
        <v>882</v>
      </c>
      <c r="M1799" s="7"/>
      <c r="N1799" s="7" t="s">
        <v>875</v>
      </c>
      <c r="O1799" s="126"/>
      <c r="P1799" s="126"/>
    </row>
    <row r="1800" spans="1:16" ht="15.75" customHeight="1">
      <c r="A1800" s="126">
        <v>46230.015752314801</v>
      </c>
      <c r="B1800" s="7">
        <v>12</v>
      </c>
      <c r="C1800" s="7">
        <v>366</v>
      </c>
      <c r="D1800" s="7"/>
      <c r="E1800" s="7" t="s">
        <v>1111</v>
      </c>
      <c r="F1800" s="7" t="s">
        <v>160</v>
      </c>
      <c r="G1800" s="7">
        <v>176</v>
      </c>
      <c r="H1800" s="7" t="s">
        <v>884</v>
      </c>
      <c r="I1800" s="7" t="s">
        <v>878</v>
      </c>
      <c r="J1800" s="7" t="s">
        <v>882</v>
      </c>
      <c r="M1800" s="7"/>
      <c r="N1800" s="7" t="s">
        <v>875</v>
      </c>
      <c r="O1800" s="126"/>
      <c r="P1800" s="126"/>
    </row>
    <row r="1801" spans="1:16" ht="15.75" customHeight="1">
      <c r="A1801" s="126">
        <v>46230.015752314801</v>
      </c>
      <c r="B1801" s="7">
        <v>12</v>
      </c>
      <c r="C1801" s="7">
        <v>366</v>
      </c>
      <c r="D1801" s="7"/>
      <c r="E1801" s="7" t="s">
        <v>1111</v>
      </c>
      <c r="F1801" s="7" t="s">
        <v>160</v>
      </c>
      <c r="G1801" s="7">
        <v>168</v>
      </c>
      <c r="H1801" s="7" t="s">
        <v>885</v>
      </c>
      <c r="I1801" s="7" t="s">
        <v>886</v>
      </c>
      <c r="M1801" s="7">
        <v>100</v>
      </c>
      <c r="N1801" s="7">
        <v>100</v>
      </c>
      <c r="P1801" s="126">
        <v>46209.706944444399</v>
      </c>
    </row>
    <row r="1802" spans="1:16" ht="15.75" customHeight="1">
      <c r="A1802" s="126">
        <v>46230.015752314801</v>
      </c>
      <c r="B1802" s="7">
        <v>12</v>
      </c>
      <c r="C1802" s="7">
        <v>740</v>
      </c>
      <c r="D1802" s="7"/>
      <c r="E1802" s="7" t="s">
        <v>1112</v>
      </c>
      <c r="F1802" s="7" t="s">
        <v>684</v>
      </c>
      <c r="G1802" s="7">
        <v>181</v>
      </c>
      <c r="H1802" s="7" t="s">
        <v>873</v>
      </c>
      <c r="I1802" s="7" t="s">
        <v>874</v>
      </c>
      <c r="J1802" s="7"/>
      <c r="M1802" s="7"/>
      <c r="N1802" s="7" t="s">
        <v>875</v>
      </c>
      <c r="P1802" s="126"/>
    </row>
    <row r="1803" spans="1:16" ht="15.75" customHeight="1">
      <c r="A1803" s="126">
        <v>46230.015752314801</v>
      </c>
      <c r="B1803" s="7">
        <v>12</v>
      </c>
      <c r="C1803" s="7">
        <v>740</v>
      </c>
      <c r="D1803" s="7"/>
      <c r="E1803" s="7" t="s">
        <v>1112</v>
      </c>
      <c r="F1803" s="7" t="s">
        <v>684</v>
      </c>
      <c r="G1803" s="7">
        <v>182</v>
      </c>
      <c r="H1803" s="7" t="s">
        <v>876</v>
      </c>
      <c r="I1803" s="7" t="s">
        <v>874</v>
      </c>
      <c r="J1803" s="7"/>
      <c r="M1803" s="7"/>
      <c r="N1803" s="7" t="s">
        <v>875</v>
      </c>
      <c r="O1803" s="126"/>
      <c r="P1803" s="126"/>
    </row>
    <row r="1804" spans="1:16" ht="15.75" customHeight="1">
      <c r="A1804" s="126">
        <v>46230.015752314801</v>
      </c>
      <c r="B1804" s="7">
        <v>12</v>
      </c>
      <c r="C1804" s="7">
        <v>740</v>
      </c>
      <c r="D1804" s="7"/>
      <c r="E1804" s="7" t="s">
        <v>1112</v>
      </c>
      <c r="F1804" s="7" t="s">
        <v>684</v>
      </c>
      <c r="G1804" s="7">
        <v>174</v>
      </c>
      <c r="H1804" s="7" t="s">
        <v>877</v>
      </c>
      <c r="I1804" s="7" t="s">
        <v>878</v>
      </c>
      <c r="J1804" s="7" t="s">
        <v>879</v>
      </c>
      <c r="M1804" s="7">
        <v>100</v>
      </c>
      <c r="N1804" s="7">
        <v>100</v>
      </c>
      <c r="P1804" s="126">
        <v>46209.709745370397</v>
      </c>
    </row>
    <row r="1805" spans="1:16" ht="15.75" customHeight="1">
      <c r="A1805" s="126">
        <v>46230.015752314801</v>
      </c>
      <c r="B1805" s="7">
        <v>12</v>
      </c>
      <c r="C1805" s="7">
        <v>740</v>
      </c>
      <c r="D1805" s="7"/>
      <c r="E1805" s="7" t="s">
        <v>1112</v>
      </c>
      <c r="F1805" s="7" t="s">
        <v>684</v>
      </c>
      <c r="G1805" s="7">
        <v>180</v>
      </c>
      <c r="H1805" s="7" t="s">
        <v>880</v>
      </c>
      <c r="I1805" s="7" t="s">
        <v>874</v>
      </c>
      <c r="J1805" s="7"/>
      <c r="M1805" s="7"/>
      <c r="N1805" s="7" t="s">
        <v>875</v>
      </c>
      <c r="O1805" s="126"/>
      <c r="P1805" s="126"/>
    </row>
    <row r="1806" spans="1:16" ht="15.75" customHeight="1">
      <c r="A1806" s="126">
        <v>46230.015752314801</v>
      </c>
      <c r="B1806" s="7">
        <v>12</v>
      </c>
      <c r="C1806" s="7">
        <v>740</v>
      </c>
      <c r="D1806" s="7"/>
      <c r="E1806" s="7" t="s">
        <v>1112</v>
      </c>
      <c r="F1806" s="7" t="s">
        <v>684</v>
      </c>
      <c r="G1806" s="7">
        <v>175</v>
      </c>
      <c r="H1806" s="7" t="s">
        <v>881</v>
      </c>
      <c r="I1806" s="7" t="s">
        <v>878</v>
      </c>
      <c r="J1806" s="7" t="s">
        <v>882</v>
      </c>
      <c r="M1806" s="7">
        <v>87.5</v>
      </c>
      <c r="N1806" s="7">
        <v>87.5</v>
      </c>
      <c r="O1806" s="126">
        <v>46215.790752314802</v>
      </c>
      <c r="P1806" s="126">
        <v>46215.790752314802</v>
      </c>
    </row>
    <row r="1807" spans="1:16" ht="15.75" customHeight="1">
      <c r="A1807" s="126">
        <v>46230.015752314801</v>
      </c>
      <c r="B1807" s="7">
        <v>12</v>
      </c>
      <c r="C1807" s="7">
        <v>740</v>
      </c>
      <c r="D1807" s="7"/>
      <c r="E1807" s="7" t="s">
        <v>1112</v>
      </c>
      <c r="F1807" s="7" t="s">
        <v>684</v>
      </c>
      <c r="G1807" s="7">
        <v>177</v>
      </c>
      <c r="H1807" s="7" t="s">
        <v>883</v>
      </c>
      <c r="I1807" s="7" t="s">
        <v>878</v>
      </c>
      <c r="J1807" s="7" t="s">
        <v>882</v>
      </c>
      <c r="M1807" s="7"/>
      <c r="N1807" s="7" t="s">
        <v>875</v>
      </c>
      <c r="P1807" s="126"/>
    </row>
    <row r="1808" spans="1:16" ht="15.75" customHeight="1">
      <c r="A1808" s="126">
        <v>46230.015752314801</v>
      </c>
      <c r="B1808" s="7">
        <v>12</v>
      </c>
      <c r="C1808" s="7">
        <v>740</v>
      </c>
      <c r="D1808" s="7"/>
      <c r="E1808" s="7" t="s">
        <v>1112</v>
      </c>
      <c r="F1808" s="7" t="s">
        <v>684</v>
      </c>
      <c r="G1808" s="7">
        <v>176</v>
      </c>
      <c r="H1808" s="7" t="s">
        <v>884</v>
      </c>
      <c r="I1808" s="7" t="s">
        <v>878</v>
      </c>
      <c r="J1808" s="7" t="s">
        <v>882</v>
      </c>
      <c r="M1808" s="7">
        <v>90</v>
      </c>
      <c r="N1808" s="7">
        <v>90</v>
      </c>
      <c r="O1808" s="126">
        <v>46229.584224537</v>
      </c>
      <c r="P1808" s="126">
        <v>46229.584224537</v>
      </c>
    </row>
    <row r="1809" spans="1:16" ht="15.75" customHeight="1">
      <c r="A1809" s="126">
        <v>46230.015752314801</v>
      </c>
      <c r="B1809" s="7">
        <v>12</v>
      </c>
      <c r="C1809" s="7">
        <v>740</v>
      </c>
      <c r="D1809" s="7"/>
      <c r="E1809" s="7" t="s">
        <v>1112</v>
      </c>
      <c r="F1809" s="7" t="s">
        <v>684</v>
      </c>
      <c r="G1809" s="7">
        <v>168</v>
      </c>
      <c r="H1809" s="7" t="s">
        <v>885</v>
      </c>
      <c r="I1809" s="7" t="s">
        <v>886</v>
      </c>
      <c r="J1809" s="7"/>
      <c r="M1809" s="7">
        <v>100</v>
      </c>
      <c r="N1809" s="7">
        <v>100</v>
      </c>
      <c r="O1809" s="126"/>
      <c r="P1809" s="126">
        <v>46209.709745370397</v>
      </c>
    </row>
    <row r="1810" spans="1:16" ht="15.75" customHeight="1">
      <c r="A1810" s="126">
        <v>46230.015752314801</v>
      </c>
      <c r="B1810" s="7">
        <v>12</v>
      </c>
      <c r="C1810" s="7">
        <v>482</v>
      </c>
      <c r="D1810" s="7"/>
      <c r="E1810" s="7" t="s">
        <v>1113</v>
      </c>
      <c r="F1810" s="7" t="s">
        <v>320</v>
      </c>
      <c r="G1810" s="7">
        <v>181</v>
      </c>
      <c r="H1810" s="7" t="s">
        <v>873</v>
      </c>
      <c r="I1810" s="7" t="s">
        <v>874</v>
      </c>
      <c r="J1810" s="7"/>
      <c r="M1810" s="7"/>
      <c r="N1810" s="7" t="s">
        <v>875</v>
      </c>
      <c r="P1810" s="126"/>
    </row>
    <row r="1811" spans="1:16" ht="15.75" customHeight="1">
      <c r="A1811" s="126">
        <v>46230.015752314801</v>
      </c>
      <c r="B1811" s="7">
        <v>12</v>
      </c>
      <c r="C1811" s="7">
        <v>482</v>
      </c>
      <c r="D1811" s="7"/>
      <c r="E1811" s="7" t="s">
        <v>1113</v>
      </c>
      <c r="F1811" s="7" t="s">
        <v>320</v>
      </c>
      <c r="G1811" s="7">
        <v>182</v>
      </c>
      <c r="H1811" s="7" t="s">
        <v>876</v>
      </c>
      <c r="I1811" s="7" t="s">
        <v>874</v>
      </c>
      <c r="J1811" s="7"/>
      <c r="M1811" s="7"/>
      <c r="N1811" s="7" t="s">
        <v>875</v>
      </c>
      <c r="P1811" s="126"/>
    </row>
    <row r="1812" spans="1:16" ht="15.75" customHeight="1">
      <c r="A1812" s="126">
        <v>46230.015752314801</v>
      </c>
      <c r="B1812" s="7">
        <v>12</v>
      </c>
      <c r="C1812" s="7">
        <v>482</v>
      </c>
      <c r="D1812" s="7"/>
      <c r="E1812" s="7" t="s">
        <v>1113</v>
      </c>
      <c r="F1812" s="7" t="s">
        <v>320</v>
      </c>
      <c r="G1812" s="7">
        <v>174</v>
      </c>
      <c r="H1812" s="7" t="s">
        <v>877</v>
      </c>
      <c r="I1812" s="7" t="s">
        <v>878</v>
      </c>
      <c r="J1812" s="7" t="s">
        <v>879</v>
      </c>
      <c r="M1812" s="7">
        <v>100</v>
      </c>
      <c r="N1812" s="7">
        <v>100</v>
      </c>
      <c r="P1812" s="126">
        <v>46209.706967592603</v>
      </c>
    </row>
    <row r="1813" spans="1:16" ht="15.75" customHeight="1">
      <c r="A1813" s="126">
        <v>46230.015752314801</v>
      </c>
      <c r="B1813" s="7">
        <v>12</v>
      </c>
      <c r="C1813" s="7">
        <v>482</v>
      </c>
      <c r="D1813" s="7"/>
      <c r="E1813" s="7" t="s">
        <v>1113</v>
      </c>
      <c r="F1813" s="7" t="s">
        <v>320</v>
      </c>
      <c r="G1813" s="7">
        <v>180</v>
      </c>
      <c r="H1813" s="7" t="s">
        <v>880</v>
      </c>
      <c r="I1813" s="7" t="s">
        <v>874</v>
      </c>
      <c r="J1813" s="7"/>
      <c r="M1813" s="7"/>
      <c r="N1813" s="7" t="s">
        <v>875</v>
      </c>
      <c r="O1813" s="126"/>
      <c r="P1813" s="126"/>
    </row>
    <row r="1814" spans="1:16" ht="15.75" customHeight="1">
      <c r="A1814" s="126">
        <v>46230.015752314801</v>
      </c>
      <c r="B1814" s="7">
        <v>12</v>
      </c>
      <c r="C1814" s="7">
        <v>482</v>
      </c>
      <c r="D1814" s="7"/>
      <c r="E1814" s="7" t="s">
        <v>1113</v>
      </c>
      <c r="F1814" s="7" t="s">
        <v>320</v>
      </c>
      <c r="G1814" s="7">
        <v>175</v>
      </c>
      <c r="H1814" s="7" t="s">
        <v>881</v>
      </c>
      <c r="I1814" s="7" t="s">
        <v>878</v>
      </c>
      <c r="J1814" s="7" t="s">
        <v>882</v>
      </c>
      <c r="M1814" s="7">
        <v>100</v>
      </c>
      <c r="N1814" s="7">
        <v>100</v>
      </c>
      <c r="O1814" s="126">
        <v>46215.437650462998</v>
      </c>
      <c r="P1814" s="126">
        <v>46215.437650462998</v>
      </c>
    </row>
    <row r="1815" spans="1:16" ht="15.75" customHeight="1">
      <c r="A1815" s="126">
        <v>46230.015752314801</v>
      </c>
      <c r="B1815" s="7">
        <v>12</v>
      </c>
      <c r="C1815" s="7">
        <v>482</v>
      </c>
      <c r="D1815" s="7"/>
      <c r="E1815" s="7" t="s">
        <v>1113</v>
      </c>
      <c r="F1815" s="7" t="s">
        <v>320</v>
      </c>
      <c r="G1815" s="7">
        <v>177</v>
      </c>
      <c r="H1815" s="7" t="s">
        <v>883</v>
      </c>
      <c r="I1815" s="7" t="s">
        <v>878</v>
      </c>
      <c r="J1815" s="7" t="s">
        <v>882</v>
      </c>
      <c r="M1815" s="7"/>
      <c r="N1815" s="7" t="s">
        <v>875</v>
      </c>
      <c r="O1815" s="126"/>
      <c r="P1815" s="126"/>
    </row>
    <row r="1816" spans="1:16" ht="15.75" customHeight="1">
      <c r="A1816" s="126">
        <v>46230.015752314801</v>
      </c>
      <c r="B1816" s="7">
        <v>12</v>
      </c>
      <c r="C1816" s="7">
        <v>482</v>
      </c>
      <c r="D1816" s="7"/>
      <c r="E1816" s="7" t="s">
        <v>1113</v>
      </c>
      <c r="F1816" s="7" t="s">
        <v>320</v>
      </c>
      <c r="G1816" s="7">
        <v>176</v>
      </c>
      <c r="H1816" s="7" t="s">
        <v>884</v>
      </c>
      <c r="I1816" s="7" t="s">
        <v>878</v>
      </c>
      <c r="J1816" s="7" t="s">
        <v>882</v>
      </c>
      <c r="M1816" s="7"/>
      <c r="N1816" s="7" t="s">
        <v>875</v>
      </c>
      <c r="P1816" s="126"/>
    </row>
    <row r="1817" spans="1:16" ht="15.75" customHeight="1">
      <c r="A1817" s="126">
        <v>46230.015752314801</v>
      </c>
      <c r="B1817" s="7">
        <v>12</v>
      </c>
      <c r="C1817" s="7">
        <v>482</v>
      </c>
      <c r="D1817" s="7"/>
      <c r="E1817" s="7" t="s">
        <v>1113</v>
      </c>
      <c r="F1817" s="7" t="s">
        <v>320</v>
      </c>
      <c r="G1817" s="7">
        <v>168</v>
      </c>
      <c r="H1817" s="7" t="s">
        <v>885</v>
      </c>
      <c r="I1817" s="7" t="s">
        <v>886</v>
      </c>
      <c r="J1817" s="7"/>
      <c r="M1817" s="7">
        <v>100</v>
      </c>
      <c r="N1817" s="7">
        <v>100</v>
      </c>
      <c r="O1817" s="126"/>
      <c r="P1817" s="126">
        <v>46209.706967592603</v>
      </c>
    </row>
    <row r="1818" spans="1:16" ht="15.75" customHeight="1">
      <c r="A1818" s="126">
        <v>46230.015752314801</v>
      </c>
      <c r="B1818" s="7">
        <v>12</v>
      </c>
      <c r="C1818" s="7">
        <v>749</v>
      </c>
      <c r="D1818" s="7">
        <v>298684</v>
      </c>
      <c r="E1818" s="7" t="s">
        <v>1114</v>
      </c>
      <c r="F1818" s="7" t="s">
        <v>94</v>
      </c>
      <c r="G1818" s="7">
        <v>181</v>
      </c>
      <c r="H1818" s="7" t="s">
        <v>873</v>
      </c>
      <c r="I1818" s="7" t="s">
        <v>874</v>
      </c>
      <c r="J1818" s="7"/>
      <c r="M1818" s="7"/>
      <c r="N1818" s="7" t="s">
        <v>875</v>
      </c>
      <c r="O1818" s="126"/>
      <c r="P1818" s="126"/>
    </row>
    <row r="1819" spans="1:16" ht="15.75" customHeight="1">
      <c r="A1819" s="126">
        <v>46230.015752314801</v>
      </c>
      <c r="B1819" s="7">
        <v>12</v>
      </c>
      <c r="C1819" s="7">
        <v>749</v>
      </c>
      <c r="D1819" s="7">
        <v>298684</v>
      </c>
      <c r="E1819" s="7" t="s">
        <v>1114</v>
      </c>
      <c r="F1819" s="7" t="s">
        <v>94</v>
      </c>
      <c r="G1819" s="7">
        <v>182</v>
      </c>
      <c r="H1819" s="7" t="s">
        <v>876</v>
      </c>
      <c r="I1819" s="7" t="s">
        <v>874</v>
      </c>
      <c r="J1819" s="7"/>
      <c r="M1819" s="7"/>
      <c r="N1819" s="7" t="s">
        <v>875</v>
      </c>
      <c r="P1819" s="126"/>
    </row>
    <row r="1820" spans="1:16" ht="15.75" customHeight="1">
      <c r="A1820" s="126">
        <v>46230.015752314801</v>
      </c>
      <c r="B1820" s="7">
        <v>12</v>
      </c>
      <c r="C1820" s="7">
        <v>749</v>
      </c>
      <c r="D1820" s="7">
        <v>298684</v>
      </c>
      <c r="E1820" s="7" t="s">
        <v>1114</v>
      </c>
      <c r="F1820" s="7" t="s">
        <v>94</v>
      </c>
      <c r="G1820" s="7">
        <v>174</v>
      </c>
      <c r="H1820" s="7" t="s">
        <v>877</v>
      </c>
      <c r="I1820" s="7" t="s">
        <v>878</v>
      </c>
      <c r="J1820" s="7" t="s">
        <v>879</v>
      </c>
      <c r="M1820" s="7">
        <v>100</v>
      </c>
      <c r="N1820" s="7">
        <v>100</v>
      </c>
      <c r="P1820" s="126">
        <v>46209.646967592598</v>
      </c>
    </row>
    <row r="1821" spans="1:16" ht="15.75" customHeight="1">
      <c r="A1821" s="126">
        <v>46230.015752314801</v>
      </c>
      <c r="B1821" s="7">
        <v>12</v>
      </c>
      <c r="C1821" s="7">
        <v>749</v>
      </c>
      <c r="D1821" s="7">
        <v>298684</v>
      </c>
      <c r="E1821" s="7" t="s">
        <v>1114</v>
      </c>
      <c r="F1821" s="7" t="s">
        <v>94</v>
      </c>
      <c r="G1821" s="7">
        <v>180</v>
      </c>
      <c r="H1821" s="7" t="s">
        <v>880</v>
      </c>
      <c r="I1821" s="7" t="s">
        <v>874</v>
      </c>
      <c r="J1821" s="7"/>
      <c r="M1821" s="7"/>
      <c r="N1821" s="7" t="s">
        <v>875</v>
      </c>
      <c r="O1821" s="126"/>
      <c r="P1821" s="126"/>
    </row>
    <row r="1822" spans="1:16" ht="15.75" customHeight="1">
      <c r="A1822" s="126">
        <v>46230.015752314801</v>
      </c>
      <c r="B1822" s="7">
        <v>12</v>
      </c>
      <c r="C1822" s="7">
        <v>749</v>
      </c>
      <c r="D1822" s="7">
        <v>298684</v>
      </c>
      <c r="E1822" s="7" t="s">
        <v>1114</v>
      </c>
      <c r="F1822" s="7" t="s">
        <v>94</v>
      </c>
      <c r="G1822" s="7">
        <v>175</v>
      </c>
      <c r="H1822" s="7" t="s">
        <v>881</v>
      </c>
      <c r="I1822" s="7" t="s">
        <v>878</v>
      </c>
      <c r="J1822" s="7" t="s">
        <v>882</v>
      </c>
      <c r="M1822" s="7">
        <v>100</v>
      </c>
      <c r="N1822" s="7">
        <v>100</v>
      </c>
      <c r="O1822" s="126">
        <v>46216.587280092601</v>
      </c>
      <c r="P1822" s="126">
        <v>46216.587280092601</v>
      </c>
    </row>
    <row r="1823" spans="1:16" ht="15.75" customHeight="1">
      <c r="A1823" s="126">
        <v>46230.015752314801</v>
      </c>
      <c r="B1823" s="7">
        <v>12</v>
      </c>
      <c r="C1823" s="7">
        <v>749</v>
      </c>
      <c r="D1823" s="7">
        <v>298684</v>
      </c>
      <c r="E1823" s="7" t="s">
        <v>1114</v>
      </c>
      <c r="F1823" s="7" t="s">
        <v>94</v>
      </c>
      <c r="G1823" s="7">
        <v>177</v>
      </c>
      <c r="H1823" s="7" t="s">
        <v>883</v>
      </c>
      <c r="I1823" s="7" t="s">
        <v>878</v>
      </c>
      <c r="J1823" s="7" t="s">
        <v>882</v>
      </c>
      <c r="M1823" s="7"/>
      <c r="N1823" s="7" t="s">
        <v>875</v>
      </c>
      <c r="P1823" s="126"/>
    </row>
    <row r="1824" spans="1:16" ht="15.75" customHeight="1">
      <c r="A1824" s="126">
        <v>46230.015752314801</v>
      </c>
      <c r="B1824" s="7">
        <v>12</v>
      </c>
      <c r="C1824" s="7">
        <v>749</v>
      </c>
      <c r="D1824" s="7">
        <v>298684</v>
      </c>
      <c r="E1824" s="7" t="s">
        <v>1114</v>
      </c>
      <c r="F1824" s="7" t="s">
        <v>94</v>
      </c>
      <c r="G1824" s="7">
        <v>176</v>
      </c>
      <c r="H1824" s="7" t="s">
        <v>884</v>
      </c>
      <c r="I1824" s="7" t="s">
        <v>878</v>
      </c>
      <c r="J1824" s="7" t="s">
        <v>882</v>
      </c>
      <c r="M1824" s="7">
        <v>100</v>
      </c>
      <c r="N1824" s="7">
        <v>100</v>
      </c>
      <c r="O1824" s="126">
        <v>46229.949421296304</v>
      </c>
      <c r="P1824" s="126">
        <v>46229.949421296304</v>
      </c>
    </row>
    <row r="1825" spans="1:16" ht="15.75" customHeight="1">
      <c r="A1825" s="126">
        <v>46230.015752314801</v>
      </c>
      <c r="B1825" s="7">
        <v>12</v>
      </c>
      <c r="C1825" s="7">
        <v>749</v>
      </c>
      <c r="D1825" s="7">
        <v>298684</v>
      </c>
      <c r="E1825" s="7" t="s">
        <v>1114</v>
      </c>
      <c r="F1825" s="7" t="s">
        <v>94</v>
      </c>
      <c r="G1825" s="7">
        <v>168</v>
      </c>
      <c r="H1825" s="7" t="s">
        <v>885</v>
      </c>
      <c r="I1825" s="7" t="s">
        <v>886</v>
      </c>
      <c r="J1825" s="7"/>
      <c r="M1825" s="7">
        <v>100</v>
      </c>
      <c r="N1825" s="7">
        <v>100</v>
      </c>
      <c r="P1825" s="126">
        <v>46209.646967592598</v>
      </c>
    </row>
    <row r="1826" spans="1:16" ht="15.75" customHeight="1">
      <c r="A1826" s="126">
        <v>46230.015752314801</v>
      </c>
      <c r="B1826" s="7">
        <v>12</v>
      </c>
      <c r="C1826" s="7">
        <v>603</v>
      </c>
      <c r="E1826" s="7" t="s">
        <v>1115</v>
      </c>
      <c r="F1826" s="7" t="s">
        <v>379</v>
      </c>
      <c r="G1826" s="7">
        <v>181</v>
      </c>
      <c r="H1826" s="7" t="s">
        <v>873</v>
      </c>
      <c r="I1826" s="7" t="s">
        <v>874</v>
      </c>
      <c r="J1826" s="7"/>
      <c r="M1826" s="7"/>
      <c r="N1826" s="7" t="s">
        <v>875</v>
      </c>
      <c r="O1826" s="126"/>
      <c r="P1826" s="126"/>
    </row>
    <row r="1827" spans="1:16" ht="15.75" customHeight="1">
      <c r="A1827" s="126">
        <v>46230.015752314801</v>
      </c>
      <c r="B1827" s="7">
        <v>12</v>
      </c>
      <c r="C1827" s="7">
        <v>603</v>
      </c>
      <c r="E1827" s="7" t="s">
        <v>1115</v>
      </c>
      <c r="F1827" s="7" t="s">
        <v>379</v>
      </c>
      <c r="G1827" s="7">
        <v>182</v>
      </c>
      <c r="H1827" s="7" t="s">
        <v>876</v>
      </c>
      <c r="I1827" s="7" t="s">
        <v>874</v>
      </c>
      <c r="J1827" s="7"/>
      <c r="M1827" s="7"/>
      <c r="N1827" s="7" t="s">
        <v>875</v>
      </c>
      <c r="O1827" s="126"/>
      <c r="P1827" s="126"/>
    </row>
    <row r="1828" spans="1:16" ht="15.75" customHeight="1">
      <c r="A1828" s="126">
        <v>46230.015752314801</v>
      </c>
      <c r="B1828" s="7">
        <v>12</v>
      </c>
      <c r="C1828" s="7">
        <v>603</v>
      </c>
      <c r="E1828" s="7" t="s">
        <v>1115</v>
      </c>
      <c r="F1828" s="7" t="s">
        <v>379</v>
      </c>
      <c r="G1828" s="7">
        <v>174</v>
      </c>
      <c r="H1828" s="7" t="s">
        <v>877</v>
      </c>
      <c r="I1828" s="7" t="s">
        <v>878</v>
      </c>
      <c r="J1828" s="7" t="s">
        <v>879</v>
      </c>
      <c r="M1828" s="7">
        <v>100</v>
      </c>
      <c r="N1828" s="7">
        <v>100</v>
      </c>
      <c r="P1828" s="126">
        <v>46209.632615740702</v>
      </c>
    </row>
    <row r="1829" spans="1:16" ht="15.75" customHeight="1">
      <c r="A1829" s="126">
        <v>46230.015752314801</v>
      </c>
      <c r="B1829" s="7">
        <v>12</v>
      </c>
      <c r="C1829" s="7">
        <v>603</v>
      </c>
      <c r="D1829" s="7"/>
      <c r="E1829" s="7" t="s">
        <v>1115</v>
      </c>
      <c r="F1829" s="7" t="s">
        <v>379</v>
      </c>
      <c r="G1829" s="7">
        <v>180</v>
      </c>
      <c r="H1829" s="7" t="s">
        <v>880</v>
      </c>
      <c r="I1829" s="7" t="s">
        <v>874</v>
      </c>
      <c r="J1829" s="7"/>
      <c r="M1829" s="7"/>
      <c r="N1829" s="7" t="s">
        <v>875</v>
      </c>
      <c r="O1829" s="126"/>
      <c r="P1829" s="126"/>
    </row>
    <row r="1830" spans="1:16" ht="15.75" customHeight="1">
      <c r="A1830" s="126">
        <v>46230.015752314801</v>
      </c>
      <c r="B1830" s="7">
        <v>12</v>
      </c>
      <c r="C1830" s="7">
        <v>603</v>
      </c>
      <c r="D1830" s="7"/>
      <c r="E1830" s="7" t="s">
        <v>1115</v>
      </c>
      <c r="F1830" s="7" t="s">
        <v>379</v>
      </c>
      <c r="G1830" s="7">
        <v>175</v>
      </c>
      <c r="H1830" s="7" t="s">
        <v>881</v>
      </c>
      <c r="I1830" s="7" t="s">
        <v>878</v>
      </c>
      <c r="J1830" s="7" t="s">
        <v>882</v>
      </c>
      <c r="M1830" s="7">
        <v>100</v>
      </c>
      <c r="N1830" s="7">
        <v>100</v>
      </c>
      <c r="O1830" s="126">
        <v>46216.4932638889</v>
      </c>
      <c r="P1830" s="126">
        <v>46216.4932638889</v>
      </c>
    </row>
    <row r="1831" spans="1:16" ht="15.75" customHeight="1">
      <c r="A1831" s="126">
        <v>46230.015752314801</v>
      </c>
      <c r="B1831" s="7">
        <v>12</v>
      </c>
      <c r="C1831" s="7">
        <v>603</v>
      </c>
      <c r="D1831" s="7"/>
      <c r="E1831" s="7" t="s">
        <v>1115</v>
      </c>
      <c r="F1831" s="7" t="s">
        <v>379</v>
      </c>
      <c r="G1831" s="7">
        <v>177</v>
      </c>
      <c r="H1831" s="7" t="s">
        <v>883</v>
      </c>
      <c r="I1831" s="7" t="s">
        <v>878</v>
      </c>
      <c r="J1831" s="7" t="s">
        <v>882</v>
      </c>
      <c r="M1831" s="7"/>
      <c r="N1831" s="7" t="s">
        <v>875</v>
      </c>
      <c r="P1831" s="126"/>
    </row>
    <row r="1832" spans="1:16" ht="15.75" customHeight="1">
      <c r="A1832" s="126">
        <v>46230.015752314801</v>
      </c>
      <c r="B1832" s="7">
        <v>12</v>
      </c>
      <c r="C1832" s="7">
        <v>603</v>
      </c>
      <c r="D1832" s="7"/>
      <c r="E1832" s="7" t="s">
        <v>1115</v>
      </c>
      <c r="F1832" s="7" t="s">
        <v>379</v>
      </c>
      <c r="G1832" s="7">
        <v>176</v>
      </c>
      <c r="H1832" s="7" t="s">
        <v>884</v>
      </c>
      <c r="I1832" s="7" t="s">
        <v>878</v>
      </c>
      <c r="J1832" s="7" t="s">
        <v>882</v>
      </c>
      <c r="M1832" s="7">
        <v>100</v>
      </c>
      <c r="N1832" s="7">
        <v>100</v>
      </c>
      <c r="O1832" s="126">
        <v>46223.803229166697</v>
      </c>
      <c r="P1832" s="126">
        <v>46223.803229166697</v>
      </c>
    </row>
    <row r="1833" spans="1:16" ht="15.75" customHeight="1">
      <c r="A1833" s="126">
        <v>46230.015752314801</v>
      </c>
      <c r="B1833" s="7">
        <v>12</v>
      </c>
      <c r="C1833" s="7">
        <v>603</v>
      </c>
      <c r="D1833" s="7"/>
      <c r="E1833" s="7" t="s">
        <v>1115</v>
      </c>
      <c r="F1833" s="7" t="s">
        <v>379</v>
      </c>
      <c r="G1833" s="7">
        <v>168</v>
      </c>
      <c r="H1833" s="7" t="s">
        <v>885</v>
      </c>
      <c r="I1833" s="7" t="s">
        <v>886</v>
      </c>
      <c r="J1833" s="7"/>
      <c r="M1833" s="7">
        <v>100</v>
      </c>
      <c r="N1833" s="7">
        <v>100</v>
      </c>
      <c r="O1833" s="126"/>
      <c r="P1833" s="126">
        <v>46209.632615740702</v>
      </c>
    </row>
    <row r="1834" spans="1:16" ht="15.75" customHeight="1">
      <c r="A1834" s="126">
        <v>46230.015752314801</v>
      </c>
      <c r="B1834" s="7">
        <v>12</v>
      </c>
      <c r="C1834" s="7">
        <v>623</v>
      </c>
      <c r="D1834" s="7"/>
      <c r="E1834" s="7" t="s">
        <v>1116</v>
      </c>
      <c r="F1834" s="7" t="s">
        <v>238</v>
      </c>
      <c r="G1834" s="7">
        <v>181</v>
      </c>
      <c r="H1834" s="7" t="s">
        <v>873</v>
      </c>
      <c r="I1834" s="7" t="s">
        <v>874</v>
      </c>
      <c r="J1834" s="7"/>
      <c r="M1834" s="7"/>
      <c r="N1834" s="7" t="s">
        <v>875</v>
      </c>
      <c r="P1834" s="126"/>
    </row>
    <row r="1835" spans="1:16" ht="15.75" customHeight="1">
      <c r="A1835" s="126">
        <v>46230.015752314801</v>
      </c>
      <c r="B1835" s="7">
        <v>12</v>
      </c>
      <c r="C1835" s="7">
        <v>623</v>
      </c>
      <c r="D1835" s="7"/>
      <c r="E1835" s="7" t="s">
        <v>1116</v>
      </c>
      <c r="F1835" s="7" t="s">
        <v>238</v>
      </c>
      <c r="G1835" s="7">
        <v>182</v>
      </c>
      <c r="H1835" s="7" t="s">
        <v>876</v>
      </c>
      <c r="I1835" s="7" t="s">
        <v>874</v>
      </c>
      <c r="J1835" s="7"/>
      <c r="M1835" s="7"/>
      <c r="N1835" s="7" t="s">
        <v>875</v>
      </c>
      <c r="O1835" s="126"/>
      <c r="P1835" s="126"/>
    </row>
    <row r="1836" spans="1:16" ht="15.75" customHeight="1">
      <c r="A1836" s="126">
        <v>46230.015752314801</v>
      </c>
      <c r="B1836" s="7">
        <v>12</v>
      </c>
      <c r="C1836" s="7">
        <v>623</v>
      </c>
      <c r="D1836" s="7"/>
      <c r="E1836" s="7" t="s">
        <v>1116</v>
      </c>
      <c r="F1836" s="7" t="s">
        <v>238</v>
      </c>
      <c r="G1836" s="7">
        <v>174</v>
      </c>
      <c r="H1836" s="7" t="s">
        <v>877</v>
      </c>
      <c r="I1836" s="7" t="s">
        <v>878</v>
      </c>
      <c r="J1836" s="7" t="s">
        <v>879</v>
      </c>
      <c r="M1836" s="7">
        <v>100</v>
      </c>
      <c r="N1836" s="7">
        <v>100</v>
      </c>
      <c r="O1836" s="126"/>
      <c r="P1836" s="126">
        <v>46209.706979166702</v>
      </c>
    </row>
    <row r="1837" spans="1:16" ht="15.75" customHeight="1">
      <c r="A1837" s="126">
        <v>46230.015752314801</v>
      </c>
      <c r="B1837" s="7">
        <v>12</v>
      </c>
      <c r="C1837" s="7">
        <v>623</v>
      </c>
      <c r="D1837" s="7"/>
      <c r="E1837" s="7" t="s">
        <v>1116</v>
      </c>
      <c r="F1837" s="7" t="s">
        <v>238</v>
      </c>
      <c r="G1837" s="7">
        <v>180</v>
      </c>
      <c r="H1837" s="7" t="s">
        <v>880</v>
      </c>
      <c r="I1837" s="7" t="s">
        <v>874</v>
      </c>
      <c r="J1837" s="7"/>
      <c r="M1837" s="7"/>
      <c r="N1837" s="7" t="s">
        <v>875</v>
      </c>
      <c r="O1837" s="126"/>
      <c r="P1837" s="126"/>
    </row>
    <row r="1838" spans="1:16" ht="15.75" customHeight="1">
      <c r="A1838" s="126">
        <v>46230.015752314801</v>
      </c>
      <c r="B1838" s="7">
        <v>12</v>
      </c>
      <c r="C1838" s="7">
        <v>623</v>
      </c>
      <c r="D1838" s="7"/>
      <c r="E1838" s="7" t="s">
        <v>1116</v>
      </c>
      <c r="F1838" s="7" t="s">
        <v>238</v>
      </c>
      <c r="G1838" s="7">
        <v>175</v>
      </c>
      <c r="H1838" s="7" t="s">
        <v>881</v>
      </c>
      <c r="I1838" s="7" t="s">
        <v>878</v>
      </c>
      <c r="J1838" s="7" t="s">
        <v>882</v>
      </c>
      <c r="M1838" s="7">
        <v>100</v>
      </c>
      <c r="N1838" s="7">
        <v>100</v>
      </c>
      <c r="O1838" s="126">
        <v>46216.4441435185</v>
      </c>
      <c r="P1838" s="126">
        <v>46216.4441435185</v>
      </c>
    </row>
    <row r="1839" spans="1:16" ht="15.75" customHeight="1">
      <c r="A1839" s="126">
        <v>46230.015752314801</v>
      </c>
      <c r="B1839" s="7">
        <v>12</v>
      </c>
      <c r="C1839" s="7">
        <v>623</v>
      </c>
      <c r="D1839" s="7"/>
      <c r="E1839" s="7" t="s">
        <v>1116</v>
      </c>
      <c r="F1839" s="7" t="s">
        <v>238</v>
      </c>
      <c r="G1839" s="7">
        <v>177</v>
      </c>
      <c r="H1839" s="7" t="s">
        <v>883</v>
      </c>
      <c r="I1839" s="7" t="s">
        <v>878</v>
      </c>
      <c r="J1839" s="7" t="s">
        <v>882</v>
      </c>
      <c r="M1839" s="7"/>
      <c r="N1839" s="7" t="s">
        <v>875</v>
      </c>
      <c r="O1839" s="126"/>
      <c r="P1839" s="126"/>
    </row>
    <row r="1840" spans="1:16" ht="15.75" customHeight="1">
      <c r="A1840" s="126">
        <v>46230.015752314801</v>
      </c>
      <c r="B1840" s="7">
        <v>12</v>
      </c>
      <c r="C1840" s="7">
        <v>623</v>
      </c>
      <c r="D1840" s="7"/>
      <c r="E1840" s="7" t="s">
        <v>1116</v>
      </c>
      <c r="F1840" s="7" t="s">
        <v>238</v>
      </c>
      <c r="G1840" s="7">
        <v>176</v>
      </c>
      <c r="H1840" s="7" t="s">
        <v>884</v>
      </c>
      <c r="I1840" s="7" t="s">
        <v>878</v>
      </c>
      <c r="J1840" s="7" t="s">
        <v>882</v>
      </c>
      <c r="M1840" s="7">
        <v>100</v>
      </c>
      <c r="N1840" s="7">
        <v>100</v>
      </c>
      <c r="O1840" s="126">
        <v>46228.303842592599</v>
      </c>
      <c r="P1840" s="126">
        <v>46228.303842592599</v>
      </c>
    </row>
    <row r="1841" spans="1:16" ht="15.75" customHeight="1">
      <c r="A1841" s="126">
        <v>46230.015752314801</v>
      </c>
      <c r="B1841" s="7">
        <v>12</v>
      </c>
      <c r="C1841" s="7">
        <v>623</v>
      </c>
      <c r="D1841" s="7"/>
      <c r="E1841" s="7" t="s">
        <v>1116</v>
      </c>
      <c r="F1841" s="7" t="s">
        <v>238</v>
      </c>
      <c r="G1841" s="7">
        <v>168</v>
      </c>
      <c r="H1841" s="7" t="s">
        <v>885</v>
      </c>
      <c r="I1841" s="7" t="s">
        <v>886</v>
      </c>
      <c r="J1841" s="7"/>
      <c r="M1841" s="7">
        <v>100</v>
      </c>
      <c r="N1841" s="7">
        <v>100</v>
      </c>
      <c r="P1841" s="126">
        <v>46209.706979166702</v>
      </c>
    </row>
    <row r="1842" spans="1:16" ht="15.75" customHeight="1">
      <c r="A1842" s="126">
        <v>46230.015752314801</v>
      </c>
      <c r="B1842" s="7">
        <v>12</v>
      </c>
      <c r="C1842" s="7">
        <v>701</v>
      </c>
      <c r="D1842" s="7"/>
      <c r="E1842" s="7" t="s">
        <v>1117</v>
      </c>
      <c r="F1842" s="7" t="s">
        <v>802</v>
      </c>
      <c r="G1842" s="7">
        <v>181</v>
      </c>
      <c r="H1842" s="7" t="s">
        <v>873</v>
      </c>
      <c r="I1842" s="7" t="s">
        <v>874</v>
      </c>
      <c r="J1842" s="7"/>
      <c r="M1842" s="7"/>
      <c r="N1842" s="7" t="s">
        <v>875</v>
      </c>
      <c r="O1842" s="126"/>
      <c r="P1842" s="126"/>
    </row>
    <row r="1843" spans="1:16" ht="15.75" customHeight="1">
      <c r="A1843" s="126">
        <v>46230.015752314801</v>
      </c>
      <c r="B1843" s="7">
        <v>12</v>
      </c>
      <c r="C1843" s="7">
        <v>701</v>
      </c>
      <c r="D1843" s="7"/>
      <c r="E1843" s="7" t="s">
        <v>1117</v>
      </c>
      <c r="F1843" s="7" t="s">
        <v>802</v>
      </c>
      <c r="G1843" s="7">
        <v>182</v>
      </c>
      <c r="H1843" s="7" t="s">
        <v>876</v>
      </c>
      <c r="I1843" s="7" t="s">
        <v>874</v>
      </c>
      <c r="J1843" s="7"/>
      <c r="M1843" s="7"/>
      <c r="N1843" s="7" t="s">
        <v>875</v>
      </c>
      <c r="P1843" s="126"/>
    </row>
    <row r="1844" spans="1:16" ht="15.75" customHeight="1">
      <c r="A1844" s="126">
        <v>46230.015752314801</v>
      </c>
      <c r="B1844" s="7">
        <v>12</v>
      </c>
      <c r="C1844" s="7">
        <v>701</v>
      </c>
      <c r="D1844" s="7"/>
      <c r="E1844" s="7" t="s">
        <v>1117</v>
      </c>
      <c r="F1844" s="7" t="s">
        <v>802</v>
      </c>
      <c r="G1844" s="7">
        <v>174</v>
      </c>
      <c r="H1844" s="7" t="s">
        <v>877</v>
      </c>
      <c r="I1844" s="7" t="s">
        <v>878</v>
      </c>
      <c r="J1844" s="7" t="s">
        <v>879</v>
      </c>
      <c r="M1844" s="7">
        <v>100</v>
      </c>
      <c r="N1844" s="7">
        <v>100</v>
      </c>
      <c r="O1844" s="126"/>
      <c r="P1844" s="126">
        <v>46209.706967592603</v>
      </c>
    </row>
    <row r="1845" spans="1:16" ht="15.75" customHeight="1">
      <c r="A1845" s="126">
        <v>46230.015752314801</v>
      </c>
      <c r="B1845" s="7">
        <v>12</v>
      </c>
      <c r="C1845" s="7">
        <v>701</v>
      </c>
      <c r="D1845" s="7"/>
      <c r="E1845" s="7" t="s">
        <v>1117</v>
      </c>
      <c r="F1845" s="7" t="s">
        <v>802</v>
      </c>
      <c r="G1845" s="7">
        <v>180</v>
      </c>
      <c r="H1845" s="7" t="s">
        <v>880</v>
      </c>
      <c r="I1845" s="7" t="s">
        <v>874</v>
      </c>
      <c r="J1845" s="7"/>
      <c r="M1845" s="7"/>
      <c r="N1845" s="7" t="s">
        <v>875</v>
      </c>
      <c r="O1845" s="126"/>
      <c r="P1845" s="126"/>
    </row>
    <row r="1846" spans="1:16" ht="15.75" customHeight="1">
      <c r="A1846" s="126">
        <v>46230.015752314801</v>
      </c>
      <c r="B1846" s="7">
        <v>12</v>
      </c>
      <c r="C1846" s="7">
        <v>701</v>
      </c>
      <c r="D1846" s="7"/>
      <c r="E1846" s="7" t="s">
        <v>1117</v>
      </c>
      <c r="F1846" s="7" t="s">
        <v>802</v>
      </c>
      <c r="G1846" s="7">
        <v>175</v>
      </c>
      <c r="H1846" s="7" t="s">
        <v>881</v>
      </c>
      <c r="I1846" s="7" t="s">
        <v>878</v>
      </c>
      <c r="J1846" s="7" t="s">
        <v>882</v>
      </c>
      <c r="M1846" s="7">
        <v>87.5</v>
      </c>
      <c r="N1846" s="7">
        <v>87.5</v>
      </c>
      <c r="O1846" s="126">
        <v>46215.956736111097</v>
      </c>
      <c r="P1846" s="126">
        <v>46215.956736111097</v>
      </c>
    </row>
    <row r="1847" spans="1:16" ht="15.75" customHeight="1">
      <c r="A1847" s="126">
        <v>46230.015752314801</v>
      </c>
      <c r="B1847" s="7">
        <v>12</v>
      </c>
      <c r="C1847" s="7">
        <v>701</v>
      </c>
      <c r="D1847" s="7"/>
      <c r="E1847" s="7" t="s">
        <v>1117</v>
      </c>
      <c r="F1847" s="7" t="s">
        <v>802</v>
      </c>
      <c r="G1847" s="7">
        <v>177</v>
      </c>
      <c r="H1847" s="7" t="s">
        <v>883</v>
      </c>
      <c r="I1847" s="7" t="s">
        <v>878</v>
      </c>
      <c r="J1847" s="7" t="s">
        <v>882</v>
      </c>
      <c r="M1847" s="7"/>
      <c r="N1847" s="7" t="s">
        <v>875</v>
      </c>
      <c r="P1847" s="126"/>
    </row>
    <row r="1848" spans="1:16" ht="15.75" customHeight="1">
      <c r="A1848" s="126">
        <v>46230.015752314801</v>
      </c>
      <c r="B1848" s="7">
        <v>12</v>
      </c>
      <c r="C1848" s="7">
        <v>701</v>
      </c>
      <c r="D1848" s="7"/>
      <c r="E1848" s="7" t="s">
        <v>1117</v>
      </c>
      <c r="F1848" s="7" t="s">
        <v>802</v>
      </c>
      <c r="G1848" s="7">
        <v>176</v>
      </c>
      <c r="H1848" s="7" t="s">
        <v>884</v>
      </c>
      <c r="I1848" s="7" t="s">
        <v>878</v>
      </c>
      <c r="J1848" s="7" t="s">
        <v>882</v>
      </c>
      <c r="M1848" s="7">
        <v>100</v>
      </c>
      <c r="N1848" s="7">
        <v>100</v>
      </c>
      <c r="O1848" s="126">
        <v>46227.437025462998</v>
      </c>
      <c r="P1848" s="126">
        <v>46227.437025462998</v>
      </c>
    </row>
    <row r="1849" spans="1:16" ht="15.75" customHeight="1">
      <c r="A1849" s="126">
        <v>46230.015752314801</v>
      </c>
      <c r="B1849" s="7">
        <v>12</v>
      </c>
      <c r="C1849" s="7">
        <v>701</v>
      </c>
      <c r="D1849" s="7"/>
      <c r="E1849" s="7" t="s">
        <v>1117</v>
      </c>
      <c r="F1849" s="7" t="s">
        <v>802</v>
      </c>
      <c r="G1849" s="7">
        <v>168</v>
      </c>
      <c r="H1849" s="7" t="s">
        <v>885</v>
      </c>
      <c r="I1849" s="7" t="s">
        <v>886</v>
      </c>
      <c r="J1849" s="7"/>
      <c r="M1849" s="7">
        <v>100</v>
      </c>
      <c r="N1849" s="7">
        <v>100</v>
      </c>
      <c r="P1849" s="126">
        <v>46209.706967592603</v>
      </c>
    </row>
    <row r="1850" spans="1:16" ht="15.75" customHeight="1">
      <c r="A1850" s="126">
        <v>46230.015752314801</v>
      </c>
      <c r="B1850" s="7">
        <v>12</v>
      </c>
      <c r="C1850" s="7">
        <v>707</v>
      </c>
      <c r="D1850" s="7"/>
      <c r="E1850" s="7" t="s">
        <v>1118</v>
      </c>
      <c r="F1850" s="7" t="s">
        <v>368</v>
      </c>
      <c r="G1850" s="7">
        <v>181</v>
      </c>
      <c r="H1850" s="7" t="s">
        <v>873</v>
      </c>
      <c r="I1850" s="7" t="s">
        <v>874</v>
      </c>
      <c r="J1850" s="7"/>
      <c r="M1850" s="7"/>
      <c r="N1850" s="7" t="s">
        <v>875</v>
      </c>
      <c r="P1850" s="126"/>
    </row>
    <row r="1851" spans="1:16" ht="15.75" customHeight="1">
      <c r="A1851" s="126">
        <v>46230.015752314801</v>
      </c>
      <c r="B1851" s="7">
        <v>12</v>
      </c>
      <c r="C1851" s="7">
        <v>707</v>
      </c>
      <c r="D1851" s="7"/>
      <c r="E1851" s="7" t="s">
        <v>1118</v>
      </c>
      <c r="F1851" s="7" t="s">
        <v>368</v>
      </c>
      <c r="G1851" s="7">
        <v>182</v>
      </c>
      <c r="H1851" s="7" t="s">
        <v>876</v>
      </c>
      <c r="I1851" s="7" t="s">
        <v>874</v>
      </c>
      <c r="J1851" s="7"/>
      <c r="M1851" s="7"/>
      <c r="N1851" s="7" t="s">
        <v>875</v>
      </c>
      <c r="O1851" s="126"/>
      <c r="P1851" s="126"/>
    </row>
    <row r="1852" spans="1:16" ht="15.75" customHeight="1">
      <c r="A1852" s="126">
        <v>46230.015752314801</v>
      </c>
      <c r="B1852" s="7">
        <v>12</v>
      </c>
      <c r="C1852" s="7">
        <v>707</v>
      </c>
      <c r="D1852" s="7"/>
      <c r="E1852" s="7" t="s">
        <v>1118</v>
      </c>
      <c r="F1852" s="7" t="s">
        <v>368</v>
      </c>
      <c r="G1852" s="7">
        <v>174</v>
      </c>
      <c r="H1852" s="7" t="s">
        <v>877</v>
      </c>
      <c r="I1852" s="7" t="s">
        <v>878</v>
      </c>
      <c r="J1852" s="7" t="s">
        <v>879</v>
      </c>
      <c r="M1852" s="7">
        <v>100</v>
      </c>
      <c r="N1852" s="7">
        <v>100</v>
      </c>
      <c r="P1852" s="126">
        <v>46209.706967592603</v>
      </c>
    </row>
    <row r="1853" spans="1:16" ht="15.75" customHeight="1">
      <c r="A1853" s="126">
        <v>46230.015752314801</v>
      </c>
      <c r="B1853" s="7">
        <v>12</v>
      </c>
      <c r="C1853" s="7">
        <v>707</v>
      </c>
      <c r="D1853" s="7"/>
      <c r="E1853" s="7" t="s">
        <v>1118</v>
      </c>
      <c r="F1853" s="7" t="s">
        <v>368</v>
      </c>
      <c r="G1853" s="7">
        <v>180</v>
      </c>
      <c r="H1853" s="7" t="s">
        <v>880</v>
      </c>
      <c r="I1853" s="7" t="s">
        <v>874</v>
      </c>
      <c r="J1853" s="7"/>
      <c r="M1853" s="7"/>
      <c r="N1853" s="7" t="s">
        <v>875</v>
      </c>
      <c r="O1853" s="126"/>
      <c r="P1853" s="126"/>
    </row>
    <row r="1854" spans="1:16" ht="15.75" customHeight="1">
      <c r="A1854" s="126">
        <v>46230.015752314801</v>
      </c>
      <c r="B1854" s="7">
        <v>12</v>
      </c>
      <c r="C1854" s="7">
        <v>707</v>
      </c>
      <c r="D1854" s="7"/>
      <c r="E1854" s="7" t="s">
        <v>1118</v>
      </c>
      <c r="F1854" s="7" t="s">
        <v>368</v>
      </c>
      <c r="G1854" s="7">
        <v>175</v>
      </c>
      <c r="H1854" s="7" t="s">
        <v>881</v>
      </c>
      <c r="I1854" s="7" t="s">
        <v>878</v>
      </c>
      <c r="J1854" s="7" t="s">
        <v>882</v>
      </c>
      <c r="M1854" s="7">
        <v>87.5</v>
      </c>
      <c r="N1854" s="7">
        <v>87.5</v>
      </c>
      <c r="O1854" s="126">
        <v>46215.791944444398</v>
      </c>
      <c r="P1854" s="126">
        <v>46215.791944444398</v>
      </c>
    </row>
    <row r="1855" spans="1:16" ht="15.75" customHeight="1">
      <c r="A1855" s="126">
        <v>46230.015752314801</v>
      </c>
      <c r="B1855" s="7">
        <v>12</v>
      </c>
      <c r="C1855" s="7">
        <v>707</v>
      </c>
      <c r="D1855" s="7"/>
      <c r="E1855" s="7" t="s">
        <v>1118</v>
      </c>
      <c r="F1855" s="7" t="s">
        <v>368</v>
      </c>
      <c r="G1855" s="7">
        <v>177</v>
      </c>
      <c r="H1855" s="7" t="s">
        <v>883</v>
      </c>
      <c r="I1855" s="7" t="s">
        <v>878</v>
      </c>
      <c r="J1855" s="7" t="s">
        <v>882</v>
      </c>
      <c r="M1855" s="7"/>
      <c r="N1855" s="7" t="s">
        <v>875</v>
      </c>
      <c r="P1855" s="126"/>
    </row>
    <row r="1856" spans="1:16" ht="15.75" customHeight="1">
      <c r="A1856" s="126">
        <v>46230.015752314801</v>
      </c>
      <c r="B1856" s="7">
        <v>12</v>
      </c>
      <c r="C1856" s="7">
        <v>707</v>
      </c>
      <c r="D1856" s="7"/>
      <c r="E1856" s="7" t="s">
        <v>1118</v>
      </c>
      <c r="F1856" s="7" t="s">
        <v>368</v>
      </c>
      <c r="G1856" s="7">
        <v>176</v>
      </c>
      <c r="H1856" s="7" t="s">
        <v>884</v>
      </c>
      <c r="I1856" s="7" t="s">
        <v>878</v>
      </c>
      <c r="J1856" s="7" t="s">
        <v>882</v>
      </c>
      <c r="M1856" s="7">
        <v>90</v>
      </c>
      <c r="N1856" s="7">
        <v>90</v>
      </c>
      <c r="O1856" s="126">
        <v>46227.770949074104</v>
      </c>
      <c r="P1856" s="126">
        <v>46227.770949074104</v>
      </c>
    </row>
    <row r="1857" spans="1:16" ht="15.75" customHeight="1">
      <c r="A1857" s="126">
        <v>46230.015752314801</v>
      </c>
      <c r="B1857" s="7">
        <v>12</v>
      </c>
      <c r="C1857" s="7">
        <v>707</v>
      </c>
      <c r="D1857" s="7"/>
      <c r="E1857" s="7" t="s">
        <v>1118</v>
      </c>
      <c r="F1857" s="7" t="s">
        <v>368</v>
      </c>
      <c r="G1857" s="7">
        <v>168</v>
      </c>
      <c r="H1857" s="7" t="s">
        <v>885</v>
      </c>
      <c r="I1857" s="7" t="s">
        <v>886</v>
      </c>
      <c r="J1857" s="7"/>
      <c r="M1857" s="7">
        <v>100</v>
      </c>
      <c r="N1857" s="7">
        <v>100</v>
      </c>
      <c r="O1857" s="126"/>
      <c r="P1857" s="126">
        <v>46209.706967592603</v>
      </c>
    </row>
    <row r="1858" spans="1:16" ht="15.75" customHeight="1">
      <c r="A1858" s="126">
        <v>46230.015752314801</v>
      </c>
      <c r="B1858" s="7">
        <v>12</v>
      </c>
      <c r="C1858" s="7">
        <v>675</v>
      </c>
      <c r="D1858" s="7"/>
      <c r="E1858" s="7" t="s">
        <v>1119</v>
      </c>
      <c r="F1858" s="7" t="s">
        <v>656</v>
      </c>
      <c r="G1858" s="7">
        <v>181</v>
      </c>
      <c r="H1858" s="7" t="s">
        <v>873</v>
      </c>
      <c r="I1858" s="7" t="s">
        <v>874</v>
      </c>
      <c r="J1858" s="7"/>
      <c r="M1858" s="7"/>
      <c r="N1858" s="7" t="s">
        <v>875</v>
      </c>
      <c r="P1858" s="126"/>
    </row>
    <row r="1859" spans="1:16" ht="15.75" customHeight="1">
      <c r="A1859" s="126">
        <v>46230.015752314801</v>
      </c>
      <c r="B1859" s="7">
        <v>12</v>
      </c>
      <c r="C1859" s="7">
        <v>675</v>
      </c>
      <c r="D1859" s="7"/>
      <c r="E1859" s="7" t="s">
        <v>1119</v>
      </c>
      <c r="F1859" s="7" t="s">
        <v>656</v>
      </c>
      <c r="G1859" s="7">
        <v>182</v>
      </c>
      <c r="H1859" s="7" t="s">
        <v>876</v>
      </c>
      <c r="I1859" s="7" t="s">
        <v>874</v>
      </c>
      <c r="J1859" s="7"/>
      <c r="M1859" s="7"/>
      <c r="N1859" s="7" t="s">
        <v>875</v>
      </c>
      <c r="P1859" s="126"/>
    </row>
    <row r="1860" spans="1:16" ht="15.75" customHeight="1">
      <c r="A1860" s="126">
        <v>46230.015752314801</v>
      </c>
      <c r="B1860" s="7">
        <v>12</v>
      </c>
      <c r="C1860" s="7">
        <v>675</v>
      </c>
      <c r="D1860" s="7"/>
      <c r="E1860" s="7" t="s">
        <v>1119</v>
      </c>
      <c r="F1860" s="7" t="s">
        <v>656</v>
      </c>
      <c r="G1860" s="7">
        <v>174</v>
      </c>
      <c r="H1860" s="7" t="s">
        <v>877</v>
      </c>
      <c r="I1860" s="7" t="s">
        <v>878</v>
      </c>
      <c r="J1860" s="7" t="s">
        <v>879</v>
      </c>
      <c r="M1860" s="7">
        <v>100</v>
      </c>
      <c r="N1860" s="7">
        <v>100</v>
      </c>
      <c r="O1860" s="126"/>
      <c r="P1860" s="126">
        <v>46209.706979166702</v>
      </c>
    </row>
    <row r="1861" spans="1:16" ht="15.75" customHeight="1">
      <c r="A1861" s="126">
        <v>46230.015752314801</v>
      </c>
      <c r="B1861" s="7">
        <v>12</v>
      </c>
      <c r="C1861" s="7">
        <v>675</v>
      </c>
      <c r="D1861" s="7"/>
      <c r="E1861" s="7" t="s">
        <v>1119</v>
      </c>
      <c r="F1861" s="7" t="s">
        <v>656</v>
      </c>
      <c r="G1861" s="7">
        <v>180</v>
      </c>
      <c r="H1861" s="7" t="s">
        <v>880</v>
      </c>
      <c r="I1861" s="7" t="s">
        <v>874</v>
      </c>
      <c r="J1861" s="7"/>
      <c r="M1861" s="7"/>
      <c r="N1861" s="7" t="s">
        <v>875</v>
      </c>
      <c r="O1861" s="126"/>
      <c r="P1861" s="126"/>
    </row>
    <row r="1862" spans="1:16" ht="15.75" customHeight="1">
      <c r="A1862" s="126">
        <v>46230.015752314801</v>
      </c>
      <c r="B1862" s="7">
        <v>12</v>
      </c>
      <c r="C1862" s="7">
        <v>675</v>
      </c>
      <c r="D1862" s="7"/>
      <c r="E1862" s="7" t="s">
        <v>1119</v>
      </c>
      <c r="F1862" s="7" t="s">
        <v>656</v>
      </c>
      <c r="G1862" s="7">
        <v>175</v>
      </c>
      <c r="H1862" s="7" t="s">
        <v>881</v>
      </c>
      <c r="I1862" s="7" t="s">
        <v>878</v>
      </c>
      <c r="J1862" s="7" t="s">
        <v>882</v>
      </c>
      <c r="M1862" s="7">
        <v>100</v>
      </c>
      <c r="N1862" s="7">
        <v>100</v>
      </c>
      <c r="O1862" s="126">
        <v>46216.416990740698</v>
      </c>
      <c r="P1862" s="126">
        <v>46216.416990740698</v>
      </c>
    </row>
    <row r="1863" spans="1:16" ht="15.75" customHeight="1">
      <c r="A1863" s="126">
        <v>46230.015752314801</v>
      </c>
      <c r="B1863" s="7">
        <v>12</v>
      </c>
      <c r="C1863" s="7">
        <v>675</v>
      </c>
      <c r="D1863" s="7"/>
      <c r="E1863" s="7" t="s">
        <v>1119</v>
      </c>
      <c r="F1863" s="7" t="s">
        <v>656</v>
      </c>
      <c r="G1863" s="7">
        <v>177</v>
      </c>
      <c r="H1863" s="7" t="s">
        <v>883</v>
      </c>
      <c r="I1863" s="7" t="s">
        <v>878</v>
      </c>
      <c r="J1863" s="7" t="s">
        <v>882</v>
      </c>
      <c r="M1863" s="7"/>
      <c r="N1863" s="7" t="s">
        <v>875</v>
      </c>
      <c r="O1863" s="126"/>
      <c r="P1863" s="126"/>
    </row>
    <row r="1864" spans="1:16" ht="15.75" customHeight="1">
      <c r="A1864" s="126">
        <v>46230.015752314801</v>
      </c>
      <c r="B1864" s="7">
        <v>12</v>
      </c>
      <c r="C1864" s="7">
        <v>675</v>
      </c>
      <c r="D1864" s="7"/>
      <c r="E1864" s="7" t="s">
        <v>1119</v>
      </c>
      <c r="F1864" s="7" t="s">
        <v>656</v>
      </c>
      <c r="G1864" s="7">
        <v>176</v>
      </c>
      <c r="H1864" s="7" t="s">
        <v>884</v>
      </c>
      <c r="I1864" s="7" t="s">
        <v>878</v>
      </c>
      <c r="J1864" s="7" t="s">
        <v>882</v>
      </c>
      <c r="M1864" s="7">
        <v>100</v>
      </c>
      <c r="N1864" s="7">
        <v>100</v>
      </c>
      <c r="O1864" s="126">
        <v>46224.425972222198</v>
      </c>
      <c r="P1864" s="126">
        <v>46224.425972222198</v>
      </c>
    </row>
    <row r="1865" spans="1:16" ht="15.75" customHeight="1">
      <c r="A1865" s="126">
        <v>46230.015752314801</v>
      </c>
      <c r="B1865" s="7">
        <v>12</v>
      </c>
      <c r="C1865" s="7">
        <v>675</v>
      </c>
      <c r="D1865" s="7"/>
      <c r="E1865" s="7" t="s">
        <v>1119</v>
      </c>
      <c r="F1865" s="7" t="s">
        <v>656</v>
      </c>
      <c r="G1865" s="7">
        <v>168</v>
      </c>
      <c r="H1865" s="7" t="s">
        <v>885</v>
      </c>
      <c r="I1865" s="7" t="s">
        <v>886</v>
      </c>
      <c r="J1865" s="7"/>
      <c r="M1865" s="7">
        <v>100</v>
      </c>
      <c r="N1865" s="7">
        <v>100</v>
      </c>
      <c r="P1865" s="126">
        <v>46209.706979166702</v>
      </c>
    </row>
    <row r="1866" spans="1:16" ht="15.75" customHeight="1">
      <c r="A1866" s="126">
        <v>46230.015752314801</v>
      </c>
      <c r="B1866" s="7">
        <v>12</v>
      </c>
      <c r="C1866" s="7">
        <v>774</v>
      </c>
      <c r="D1866" s="7"/>
      <c r="E1866" s="7" t="s">
        <v>1120</v>
      </c>
      <c r="F1866" s="7" t="s">
        <v>749</v>
      </c>
      <c r="G1866" s="7">
        <v>181</v>
      </c>
      <c r="H1866" s="7" t="s">
        <v>873</v>
      </c>
      <c r="I1866" s="7" t="s">
        <v>874</v>
      </c>
      <c r="J1866" s="7"/>
      <c r="M1866" s="7"/>
      <c r="N1866" s="7" t="s">
        <v>875</v>
      </c>
      <c r="P1866" s="126"/>
    </row>
    <row r="1867" spans="1:16" ht="15.75" customHeight="1">
      <c r="A1867" s="126">
        <v>46230.015752314801</v>
      </c>
      <c r="B1867" s="7">
        <v>12</v>
      </c>
      <c r="C1867" s="7">
        <v>774</v>
      </c>
      <c r="D1867" s="7"/>
      <c r="E1867" s="7" t="s">
        <v>1120</v>
      </c>
      <c r="F1867" s="7" t="s">
        <v>749</v>
      </c>
      <c r="G1867" s="7">
        <v>182</v>
      </c>
      <c r="H1867" s="7" t="s">
        <v>876</v>
      </c>
      <c r="I1867" s="7" t="s">
        <v>874</v>
      </c>
      <c r="J1867" s="7"/>
      <c r="M1867" s="7"/>
      <c r="N1867" s="7" t="s">
        <v>875</v>
      </c>
      <c r="P1867" s="126"/>
    </row>
    <row r="1868" spans="1:16" ht="15.75" customHeight="1">
      <c r="A1868" s="126">
        <v>46230.015752314801</v>
      </c>
      <c r="B1868" s="7">
        <v>12</v>
      </c>
      <c r="C1868" s="7">
        <v>774</v>
      </c>
      <c r="D1868" s="7"/>
      <c r="E1868" s="7" t="s">
        <v>1120</v>
      </c>
      <c r="F1868" s="7" t="s">
        <v>749</v>
      </c>
      <c r="G1868" s="7">
        <v>174</v>
      </c>
      <c r="H1868" s="7" t="s">
        <v>877</v>
      </c>
      <c r="I1868" s="7" t="s">
        <v>878</v>
      </c>
      <c r="J1868" s="7" t="s">
        <v>879</v>
      </c>
      <c r="M1868" s="7">
        <v>100</v>
      </c>
      <c r="N1868" s="7">
        <v>100</v>
      </c>
      <c r="P1868" s="126">
        <v>46209.7133680556</v>
      </c>
    </row>
    <row r="1869" spans="1:16" ht="15.75" customHeight="1">
      <c r="A1869" s="126">
        <v>46230.015752314801</v>
      </c>
      <c r="B1869" s="7">
        <v>12</v>
      </c>
      <c r="C1869" s="7">
        <v>774</v>
      </c>
      <c r="D1869" s="7"/>
      <c r="E1869" s="7" t="s">
        <v>1120</v>
      </c>
      <c r="F1869" s="7" t="s">
        <v>749</v>
      </c>
      <c r="G1869" s="7">
        <v>180</v>
      </c>
      <c r="H1869" s="7" t="s">
        <v>880</v>
      </c>
      <c r="I1869" s="7" t="s">
        <v>874</v>
      </c>
      <c r="J1869" s="7"/>
      <c r="M1869" s="7"/>
      <c r="N1869" s="7" t="s">
        <v>875</v>
      </c>
      <c r="O1869" s="126"/>
      <c r="P1869" s="126"/>
    </row>
    <row r="1870" spans="1:16" ht="15.75" customHeight="1">
      <c r="A1870" s="126">
        <v>46230.015752314801</v>
      </c>
      <c r="B1870" s="7">
        <v>12</v>
      </c>
      <c r="C1870" s="7">
        <v>774</v>
      </c>
      <c r="D1870" s="7"/>
      <c r="E1870" s="7" t="s">
        <v>1120</v>
      </c>
      <c r="F1870" s="7" t="s">
        <v>749</v>
      </c>
      <c r="G1870" s="7">
        <v>175</v>
      </c>
      <c r="H1870" s="7" t="s">
        <v>881</v>
      </c>
      <c r="I1870" s="7" t="s">
        <v>878</v>
      </c>
      <c r="J1870" s="7" t="s">
        <v>882</v>
      </c>
      <c r="M1870" s="7">
        <v>100</v>
      </c>
      <c r="N1870" s="7">
        <v>100</v>
      </c>
      <c r="O1870" s="126">
        <v>46216.577465277798</v>
      </c>
      <c r="P1870" s="126">
        <v>46216.577465277798</v>
      </c>
    </row>
    <row r="1871" spans="1:16" ht="15.75" customHeight="1">
      <c r="A1871" s="126">
        <v>46230.015752314801</v>
      </c>
      <c r="B1871" s="7">
        <v>12</v>
      </c>
      <c r="C1871" s="7">
        <v>774</v>
      </c>
      <c r="D1871" s="7"/>
      <c r="E1871" s="7" t="s">
        <v>1120</v>
      </c>
      <c r="F1871" s="7" t="s">
        <v>749</v>
      </c>
      <c r="G1871" s="7">
        <v>177</v>
      </c>
      <c r="H1871" s="7" t="s">
        <v>883</v>
      </c>
      <c r="I1871" s="7" t="s">
        <v>878</v>
      </c>
      <c r="J1871" s="7" t="s">
        <v>882</v>
      </c>
      <c r="M1871" s="7"/>
      <c r="N1871" s="7" t="s">
        <v>875</v>
      </c>
      <c r="O1871" s="126"/>
      <c r="P1871" s="126"/>
    </row>
    <row r="1872" spans="1:16" ht="15.75" customHeight="1">
      <c r="A1872" s="126">
        <v>46230.015752314801</v>
      </c>
      <c r="B1872" s="7">
        <v>12</v>
      </c>
      <c r="C1872" s="7">
        <v>774</v>
      </c>
      <c r="D1872" s="7"/>
      <c r="E1872" s="7" t="s">
        <v>1120</v>
      </c>
      <c r="F1872" s="7" t="s">
        <v>749</v>
      </c>
      <c r="G1872" s="7">
        <v>176</v>
      </c>
      <c r="H1872" s="7" t="s">
        <v>884</v>
      </c>
      <c r="I1872" s="7" t="s">
        <v>878</v>
      </c>
      <c r="J1872" s="7" t="s">
        <v>882</v>
      </c>
      <c r="M1872" s="7">
        <v>100</v>
      </c>
      <c r="N1872" s="7">
        <v>100</v>
      </c>
      <c r="O1872" s="126">
        <v>46226.431701388901</v>
      </c>
      <c r="P1872" s="126">
        <v>46226.431701388901</v>
      </c>
    </row>
    <row r="1873" spans="1:16" ht="15.75" customHeight="1">
      <c r="A1873" s="126">
        <v>46230.015752314801</v>
      </c>
      <c r="B1873" s="7">
        <v>12</v>
      </c>
      <c r="C1873" s="7">
        <v>774</v>
      </c>
      <c r="D1873" s="7"/>
      <c r="E1873" s="7" t="s">
        <v>1120</v>
      </c>
      <c r="F1873" s="7" t="s">
        <v>749</v>
      </c>
      <c r="G1873" s="7">
        <v>168</v>
      </c>
      <c r="H1873" s="7" t="s">
        <v>885</v>
      </c>
      <c r="I1873" s="7" t="s">
        <v>886</v>
      </c>
      <c r="M1873" s="7">
        <v>100</v>
      </c>
      <c r="N1873" s="7">
        <v>100</v>
      </c>
      <c r="P1873" s="126">
        <v>46209.7133680556</v>
      </c>
    </row>
    <row r="1874" spans="1:16" ht="15.75" customHeight="1">
      <c r="A1874" s="126">
        <v>46230.015752314801</v>
      </c>
      <c r="B1874" s="7">
        <v>12</v>
      </c>
      <c r="C1874" s="7">
        <v>690</v>
      </c>
      <c r="D1874" s="7"/>
      <c r="E1874" s="7" t="s">
        <v>1121</v>
      </c>
      <c r="F1874" s="7" t="s">
        <v>678</v>
      </c>
      <c r="G1874" s="7">
        <v>181</v>
      </c>
      <c r="H1874" s="7" t="s">
        <v>873</v>
      </c>
      <c r="I1874" s="7" t="s">
        <v>874</v>
      </c>
      <c r="J1874" s="7"/>
      <c r="M1874" s="7"/>
      <c r="N1874" s="7" t="s">
        <v>875</v>
      </c>
      <c r="P1874" s="126"/>
    </row>
    <row r="1875" spans="1:16" ht="15.75" customHeight="1">
      <c r="A1875" s="126">
        <v>46230.015752314801</v>
      </c>
      <c r="B1875" s="7">
        <v>12</v>
      </c>
      <c r="C1875" s="7">
        <v>690</v>
      </c>
      <c r="D1875" s="7"/>
      <c r="E1875" s="7" t="s">
        <v>1121</v>
      </c>
      <c r="F1875" s="7" t="s">
        <v>678</v>
      </c>
      <c r="G1875" s="7">
        <v>182</v>
      </c>
      <c r="H1875" s="7" t="s">
        <v>876</v>
      </c>
      <c r="I1875" s="7" t="s">
        <v>874</v>
      </c>
      <c r="J1875" s="7"/>
      <c r="M1875" s="7"/>
      <c r="N1875" s="7" t="s">
        <v>875</v>
      </c>
      <c r="O1875" s="126"/>
      <c r="P1875" s="126"/>
    </row>
    <row r="1876" spans="1:16" ht="15.75" customHeight="1">
      <c r="A1876" s="126">
        <v>46230.015752314801</v>
      </c>
      <c r="B1876" s="7">
        <v>12</v>
      </c>
      <c r="C1876" s="7">
        <v>690</v>
      </c>
      <c r="D1876" s="7"/>
      <c r="E1876" s="7" t="s">
        <v>1121</v>
      </c>
      <c r="F1876" s="7" t="s">
        <v>678</v>
      </c>
      <c r="G1876" s="7">
        <v>174</v>
      </c>
      <c r="H1876" s="7" t="s">
        <v>877</v>
      </c>
      <c r="I1876" s="7" t="s">
        <v>878</v>
      </c>
      <c r="J1876" s="7" t="s">
        <v>879</v>
      </c>
      <c r="M1876" s="7">
        <v>100</v>
      </c>
      <c r="N1876" s="7">
        <v>100</v>
      </c>
      <c r="P1876" s="126">
        <v>46211.939537036997</v>
      </c>
    </row>
    <row r="1877" spans="1:16" ht="15.75" customHeight="1">
      <c r="A1877" s="126">
        <v>46230.015752314801</v>
      </c>
      <c r="B1877" s="7">
        <v>12</v>
      </c>
      <c r="C1877" s="7">
        <v>690</v>
      </c>
      <c r="D1877" s="7"/>
      <c r="E1877" s="7" t="s">
        <v>1121</v>
      </c>
      <c r="F1877" s="7" t="s">
        <v>678</v>
      </c>
      <c r="G1877" s="7">
        <v>180</v>
      </c>
      <c r="H1877" s="7" t="s">
        <v>880</v>
      </c>
      <c r="I1877" s="7" t="s">
        <v>874</v>
      </c>
      <c r="J1877" s="7"/>
      <c r="M1877" s="7"/>
      <c r="N1877" s="7" t="s">
        <v>875</v>
      </c>
      <c r="O1877" s="126"/>
      <c r="P1877" s="126"/>
    </row>
    <row r="1878" spans="1:16" ht="15.75" customHeight="1">
      <c r="A1878" s="126">
        <v>46230.015752314801</v>
      </c>
      <c r="B1878" s="7">
        <v>12</v>
      </c>
      <c r="C1878" s="7">
        <v>690</v>
      </c>
      <c r="D1878" s="7"/>
      <c r="E1878" s="7" t="s">
        <v>1121</v>
      </c>
      <c r="F1878" s="7" t="s">
        <v>678</v>
      </c>
      <c r="G1878" s="7">
        <v>175</v>
      </c>
      <c r="H1878" s="7" t="s">
        <v>881</v>
      </c>
      <c r="I1878" s="7" t="s">
        <v>878</v>
      </c>
      <c r="J1878" s="7" t="s">
        <v>882</v>
      </c>
      <c r="M1878" s="7">
        <v>100</v>
      </c>
      <c r="N1878" s="7">
        <v>100</v>
      </c>
      <c r="O1878" s="126">
        <v>46216.572997685202</v>
      </c>
      <c r="P1878" s="126">
        <v>46216.572997685202</v>
      </c>
    </row>
    <row r="1879" spans="1:16" ht="15.75" customHeight="1">
      <c r="A1879" s="126">
        <v>46230.015752314801</v>
      </c>
      <c r="B1879" s="7">
        <v>12</v>
      </c>
      <c r="C1879" s="7">
        <v>690</v>
      </c>
      <c r="D1879" s="7"/>
      <c r="E1879" s="7" t="s">
        <v>1121</v>
      </c>
      <c r="F1879" s="7" t="s">
        <v>678</v>
      </c>
      <c r="G1879" s="7">
        <v>177</v>
      </c>
      <c r="H1879" s="7" t="s">
        <v>883</v>
      </c>
      <c r="I1879" s="7" t="s">
        <v>878</v>
      </c>
      <c r="J1879" s="7" t="s">
        <v>882</v>
      </c>
      <c r="M1879" s="7"/>
      <c r="N1879" s="7" t="s">
        <v>875</v>
      </c>
      <c r="P1879" s="126"/>
    </row>
    <row r="1880" spans="1:16" ht="15.75" customHeight="1">
      <c r="A1880" s="126">
        <v>46230.015752314801</v>
      </c>
      <c r="B1880" s="7">
        <v>12</v>
      </c>
      <c r="C1880" s="7">
        <v>690</v>
      </c>
      <c r="D1880" s="7"/>
      <c r="E1880" s="7" t="s">
        <v>1121</v>
      </c>
      <c r="F1880" s="7" t="s">
        <v>678</v>
      </c>
      <c r="G1880" s="7">
        <v>176</v>
      </c>
      <c r="H1880" s="7" t="s">
        <v>884</v>
      </c>
      <c r="I1880" s="7" t="s">
        <v>878</v>
      </c>
      <c r="J1880" s="7" t="s">
        <v>882</v>
      </c>
      <c r="M1880" s="7">
        <v>95</v>
      </c>
      <c r="N1880" s="7">
        <v>95</v>
      </c>
      <c r="O1880" s="126">
        <v>46224.520567129599</v>
      </c>
      <c r="P1880" s="126">
        <v>46224.520567129599</v>
      </c>
    </row>
    <row r="1881" spans="1:16" ht="15.75" customHeight="1">
      <c r="A1881" s="126">
        <v>46230.015752314801</v>
      </c>
      <c r="B1881" s="7">
        <v>12</v>
      </c>
      <c r="C1881" s="7">
        <v>690</v>
      </c>
      <c r="D1881" s="7"/>
      <c r="E1881" s="7" t="s">
        <v>1121</v>
      </c>
      <c r="F1881" s="7" t="s">
        <v>678</v>
      </c>
      <c r="G1881" s="7">
        <v>168</v>
      </c>
      <c r="H1881" s="7" t="s">
        <v>885</v>
      </c>
      <c r="I1881" s="7" t="s">
        <v>886</v>
      </c>
      <c r="J1881" s="7"/>
      <c r="M1881" s="7">
        <v>100</v>
      </c>
      <c r="N1881" s="7">
        <v>100</v>
      </c>
      <c r="O1881" s="126"/>
      <c r="P1881" s="126">
        <v>46211.939537036997</v>
      </c>
    </row>
    <row r="1882" spans="1:16" ht="15.75" customHeight="1">
      <c r="A1882" s="126">
        <v>46230.015752314801</v>
      </c>
      <c r="B1882" s="7">
        <v>12</v>
      </c>
      <c r="C1882" s="7">
        <v>663</v>
      </c>
      <c r="D1882" s="7"/>
      <c r="E1882" s="7" t="s">
        <v>1122</v>
      </c>
      <c r="F1882" s="7" t="s">
        <v>244</v>
      </c>
      <c r="G1882" s="7">
        <v>181</v>
      </c>
      <c r="H1882" s="7" t="s">
        <v>873</v>
      </c>
      <c r="I1882" s="7" t="s">
        <v>874</v>
      </c>
      <c r="J1882" s="7"/>
      <c r="M1882" s="7"/>
      <c r="N1882" s="7" t="s">
        <v>875</v>
      </c>
      <c r="P1882" s="126"/>
    </row>
    <row r="1883" spans="1:16" ht="15.75" customHeight="1">
      <c r="A1883" s="126">
        <v>46230.015752314801</v>
      </c>
      <c r="B1883" s="7">
        <v>12</v>
      </c>
      <c r="C1883" s="7">
        <v>663</v>
      </c>
      <c r="D1883" s="7"/>
      <c r="E1883" s="7" t="s">
        <v>1122</v>
      </c>
      <c r="F1883" s="7" t="s">
        <v>244</v>
      </c>
      <c r="G1883" s="7">
        <v>182</v>
      </c>
      <c r="H1883" s="7" t="s">
        <v>876</v>
      </c>
      <c r="I1883" s="7" t="s">
        <v>874</v>
      </c>
      <c r="J1883" s="7"/>
      <c r="M1883" s="7"/>
      <c r="N1883" s="7" t="s">
        <v>875</v>
      </c>
      <c r="P1883" s="126"/>
    </row>
    <row r="1884" spans="1:16" ht="15.75" customHeight="1">
      <c r="A1884" s="126">
        <v>46230.015752314801</v>
      </c>
      <c r="B1884" s="7">
        <v>12</v>
      </c>
      <c r="C1884" s="7">
        <v>663</v>
      </c>
      <c r="D1884" s="7"/>
      <c r="E1884" s="7" t="s">
        <v>1122</v>
      </c>
      <c r="F1884" s="7" t="s">
        <v>244</v>
      </c>
      <c r="G1884" s="7">
        <v>174</v>
      </c>
      <c r="H1884" s="7" t="s">
        <v>877</v>
      </c>
      <c r="I1884" s="7" t="s">
        <v>878</v>
      </c>
      <c r="J1884" s="7" t="s">
        <v>879</v>
      </c>
      <c r="M1884" s="7">
        <v>100</v>
      </c>
      <c r="N1884" s="7">
        <v>100</v>
      </c>
      <c r="P1884" s="126">
        <v>46209.706932870402</v>
      </c>
    </row>
    <row r="1885" spans="1:16" ht="15.75" customHeight="1">
      <c r="A1885" s="126">
        <v>46230.015752314801</v>
      </c>
      <c r="B1885" s="7">
        <v>12</v>
      </c>
      <c r="C1885" s="7">
        <v>663</v>
      </c>
      <c r="D1885" s="7"/>
      <c r="E1885" s="7" t="s">
        <v>1122</v>
      </c>
      <c r="F1885" s="7" t="s">
        <v>244</v>
      </c>
      <c r="G1885" s="7">
        <v>180</v>
      </c>
      <c r="H1885" s="7" t="s">
        <v>880</v>
      </c>
      <c r="I1885" s="7" t="s">
        <v>874</v>
      </c>
      <c r="J1885" s="7"/>
      <c r="M1885" s="7"/>
      <c r="N1885" s="7" t="s">
        <v>875</v>
      </c>
      <c r="O1885" s="126"/>
      <c r="P1885" s="126"/>
    </row>
    <row r="1886" spans="1:16" ht="15.75" customHeight="1">
      <c r="A1886" s="126">
        <v>46230.015752314801</v>
      </c>
      <c r="B1886" s="7">
        <v>12</v>
      </c>
      <c r="C1886" s="7">
        <v>663</v>
      </c>
      <c r="D1886" s="7"/>
      <c r="E1886" s="7" t="s">
        <v>1122</v>
      </c>
      <c r="F1886" s="7" t="s">
        <v>244</v>
      </c>
      <c r="G1886" s="7">
        <v>175</v>
      </c>
      <c r="H1886" s="7" t="s">
        <v>881</v>
      </c>
      <c r="I1886" s="7" t="s">
        <v>878</v>
      </c>
      <c r="J1886" s="7" t="s">
        <v>882</v>
      </c>
      <c r="M1886" s="7">
        <v>75</v>
      </c>
      <c r="N1886" s="7">
        <v>75</v>
      </c>
      <c r="O1886" s="126">
        <v>46215.688587962999</v>
      </c>
      <c r="P1886" s="126">
        <v>46215.688587962999</v>
      </c>
    </row>
    <row r="1887" spans="1:16" ht="15.75" customHeight="1">
      <c r="A1887" s="126">
        <v>46230.015752314801</v>
      </c>
      <c r="B1887" s="7">
        <v>12</v>
      </c>
      <c r="C1887" s="7">
        <v>663</v>
      </c>
      <c r="D1887" s="7"/>
      <c r="E1887" s="7" t="s">
        <v>1122</v>
      </c>
      <c r="F1887" s="7" t="s">
        <v>244</v>
      </c>
      <c r="G1887" s="7">
        <v>177</v>
      </c>
      <c r="H1887" s="7" t="s">
        <v>883</v>
      </c>
      <c r="I1887" s="7" t="s">
        <v>878</v>
      </c>
      <c r="J1887" s="7" t="s">
        <v>882</v>
      </c>
      <c r="M1887" s="7"/>
      <c r="N1887" s="7" t="s">
        <v>875</v>
      </c>
      <c r="O1887" s="126"/>
      <c r="P1887" s="126"/>
    </row>
    <row r="1888" spans="1:16" ht="15.75" customHeight="1">
      <c r="A1888" s="126">
        <v>46230.015752314801</v>
      </c>
      <c r="B1888" s="7">
        <v>12</v>
      </c>
      <c r="C1888" s="7">
        <v>663</v>
      </c>
      <c r="D1888" s="7"/>
      <c r="E1888" s="7" t="s">
        <v>1122</v>
      </c>
      <c r="F1888" s="7" t="s">
        <v>244</v>
      </c>
      <c r="G1888" s="7">
        <v>176</v>
      </c>
      <c r="H1888" s="7" t="s">
        <v>884</v>
      </c>
      <c r="I1888" s="7" t="s">
        <v>878</v>
      </c>
      <c r="J1888" s="7" t="s">
        <v>882</v>
      </c>
      <c r="M1888" s="7">
        <v>80</v>
      </c>
      <c r="N1888" s="7">
        <v>80</v>
      </c>
      <c r="O1888" s="126">
        <v>46224.545937499999</v>
      </c>
      <c r="P1888" s="126">
        <v>46224.545937499999</v>
      </c>
    </row>
    <row r="1889" spans="1:16" ht="15.75" customHeight="1">
      <c r="A1889" s="126">
        <v>46230.015752314801</v>
      </c>
      <c r="B1889" s="7">
        <v>12</v>
      </c>
      <c r="C1889" s="7">
        <v>663</v>
      </c>
      <c r="D1889" s="7"/>
      <c r="E1889" s="7" t="s">
        <v>1122</v>
      </c>
      <c r="F1889" s="7" t="s">
        <v>244</v>
      </c>
      <c r="G1889" s="7">
        <v>168</v>
      </c>
      <c r="H1889" s="7" t="s">
        <v>885</v>
      </c>
      <c r="I1889" s="7" t="s">
        <v>886</v>
      </c>
      <c r="J1889" s="7"/>
      <c r="M1889" s="7">
        <v>100</v>
      </c>
      <c r="N1889" s="7">
        <v>100</v>
      </c>
      <c r="O1889" s="126"/>
      <c r="P1889" s="126">
        <v>46209.706932870402</v>
      </c>
    </row>
    <row r="1890" spans="1:16" ht="15.75" customHeight="1">
      <c r="A1890" s="126">
        <v>46230.015752314801</v>
      </c>
      <c r="B1890" s="7">
        <v>12</v>
      </c>
      <c r="C1890" s="7">
        <v>277</v>
      </c>
      <c r="D1890" s="7"/>
      <c r="E1890" s="7" t="s">
        <v>1123</v>
      </c>
      <c r="F1890" s="7" t="s">
        <v>385</v>
      </c>
      <c r="G1890" s="7">
        <v>181</v>
      </c>
      <c r="H1890" s="7" t="s">
        <v>873</v>
      </c>
      <c r="I1890" s="7" t="s">
        <v>874</v>
      </c>
      <c r="J1890" s="7"/>
      <c r="M1890" s="7"/>
      <c r="N1890" s="7" t="s">
        <v>875</v>
      </c>
      <c r="O1890" s="126"/>
      <c r="P1890" s="126"/>
    </row>
    <row r="1891" spans="1:16" ht="15.75" customHeight="1">
      <c r="A1891" s="126">
        <v>46230.015752314801</v>
      </c>
      <c r="B1891" s="7">
        <v>12</v>
      </c>
      <c r="C1891" s="7">
        <v>277</v>
      </c>
      <c r="D1891" s="7"/>
      <c r="E1891" s="7" t="s">
        <v>1123</v>
      </c>
      <c r="F1891" s="7" t="s">
        <v>385</v>
      </c>
      <c r="G1891" s="7">
        <v>182</v>
      </c>
      <c r="H1891" s="7" t="s">
        <v>876</v>
      </c>
      <c r="I1891" s="7" t="s">
        <v>874</v>
      </c>
      <c r="J1891" s="7"/>
      <c r="M1891" s="7"/>
      <c r="N1891" s="7" t="s">
        <v>875</v>
      </c>
      <c r="P1891" s="126"/>
    </row>
    <row r="1892" spans="1:16" ht="15.75" customHeight="1">
      <c r="A1892" s="126">
        <v>46230.015752314801</v>
      </c>
      <c r="B1892" s="7">
        <v>12</v>
      </c>
      <c r="C1892" s="7">
        <v>277</v>
      </c>
      <c r="D1892" s="7"/>
      <c r="E1892" s="7" t="s">
        <v>1123</v>
      </c>
      <c r="F1892" s="7" t="s">
        <v>385</v>
      </c>
      <c r="G1892" s="7">
        <v>174</v>
      </c>
      <c r="H1892" s="7" t="s">
        <v>877</v>
      </c>
      <c r="I1892" s="7" t="s">
        <v>878</v>
      </c>
      <c r="J1892" s="7" t="s">
        <v>879</v>
      </c>
      <c r="M1892" s="7">
        <v>100</v>
      </c>
      <c r="N1892" s="7">
        <v>100</v>
      </c>
      <c r="P1892" s="126">
        <v>46210.436134259297</v>
      </c>
    </row>
    <row r="1893" spans="1:16" ht="15.75" customHeight="1">
      <c r="A1893" s="126">
        <v>46230.015752314801</v>
      </c>
      <c r="B1893" s="7">
        <v>12</v>
      </c>
      <c r="C1893" s="7">
        <v>277</v>
      </c>
      <c r="D1893" s="7"/>
      <c r="E1893" s="7" t="s">
        <v>1123</v>
      </c>
      <c r="F1893" s="7" t="s">
        <v>385</v>
      </c>
      <c r="G1893" s="7">
        <v>180</v>
      </c>
      <c r="H1893" s="7" t="s">
        <v>880</v>
      </c>
      <c r="I1893" s="7" t="s">
        <v>874</v>
      </c>
      <c r="J1893" s="7"/>
      <c r="M1893" s="7"/>
      <c r="N1893" s="7" t="s">
        <v>875</v>
      </c>
      <c r="O1893" s="126"/>
      <c r="P1893" s="126"/>
    </row>
    <row r="1894" spans="1:16" ht="15.75" customHeight="1">
      <c r="A1894" s="126">
        <v>46230.015752314801</v>
      </c>
      <c r="B1894" s="7">
        <v>12</v>
      </c>
      <c r="C1894" s="7">
        <v>277</v>
      </c>
      <c r="D1894" s="7"/>
      <c r="E1894" s="7" t="s">
        <v>1123</v>
      </c>
      <c r="F1894" s="7" t="s">
        <v>385</v>
      </c>
      <c r="G1894" s="7">
        <v>175</v>
      </c>
      <c r="H1894" s="7" t="s">
        <v>881</v>
      </c>
      <c r="I1894" s="7" t="s">
        <v>878</v>
      </c>
      <c r="J1894" s="7" t="s">
        <v>882</v>
      </c>
      <c r="M1894" s="7">
        <v>75</v>
      </c>
      <c r="N1894" s="7">
        <v>75</v>
      </c>
      <c r="O1894" s="126">
        <v>46213.939212963</v>
      </c>
      <c r="P1894" s="126">
        <v>46213.939212963</v>
      </c>
    </row>
    <row r="1895" spans="1:16" ht="15.75" customHeight="1">
      <c r="A1895" s="126">
        <v>46230.015752314801</v>
      </c>
      <c r="B1895" s="7">
        <v>12</v>
      </c>
      <c r="C1895" s="7">
        <v>277</v>
      </c>
      <c r="D1895" s="7"/>
      <c r="E1895" s="7" t="s">
        <v>1123</v>
      </c>
      <c r="F1895" s="7" t="s">
        <v>385</v>
      </c>
      <c r="G1895" s="7">
        <v>177</v>
      </c>
      <c r="H1895" s="7" t="s">
        <v>883</v>
      </c>
      <c r="I1895" s="7" t="s">
        <v>878</v>
      </c>
      <c r="J1895" s="7" t="s">
        <v>882</v>
      </c>
      <c r="M1895" s="7"/>
      <c r="N1895" s="7" t="s">
        <v>875</v>
      </c>
      <c r="P1895" s="126"/>
    </row>
    <row r="1896" spans="1:16" ht="15.75" customHeight="1">
      <c r="A1896" s="126">
        <v>46230.015752314801</v>
      </c>
      <c r="B1896" s="7">
        <v>12</v>
      </c>
      <c r="C1896" s="7">
        <v>277</v>
      </c>
      <c r="D1896" s="7"/>
      <c r="E1896" s="7" t="s">
        <v>1123</v>
      </c>
      <c r="F1896" s="7" t="s">
        <v>385</v>
      </c>
      <c r="G1896" s="7">
        <v>176</v>
      </c>
      <c r="H1896" s="7" t="s">
        <v>884</v>
      </c>
      <c r="I1896" s="7" t="s">
        <v>878</v>
      </c>
      <c r="J1896" s="7" t="s">
        <v>882</v>
      </c>
      <c r="M1896" s="7">
        <v>100</v>
      </c>
      <c r="N1896" s="7">
        <v>100</v>
      </c>
      <c r="O1896" s="126">
        <v>46225.472777777803</v>
      </c>
      <c r="P1896" s="126">
        <v>46225.472777777803</v>
      </c>
    </row>
    <row r="1897" spans="1:16" ht="15.75" customHeight="1">
      <c r="A1897" s="126">
        <v>46230.015752314801</v>
      </c>
      <c r="B1897" s="7">
        <v>12</v>
      </c>
      <c r="C1897" s="7">
        <v>277</v>
      </c>
      <c r="D1897" s="7"/>
      <c r="E1897" s="7" t="s">
        <v>1123</v>
      </c>
      <c r="F1897" s="7" t="s">
        <v>385</v>
      </c>
      <c r="G1897" s="7">
        <v>168</v>
      </c>
      <c r="H1897" s="7" t="s">
        <v>885</v>
      </c>
      <c r="I1897" s="7" t="s">
        <v>886</v>
      </c>
      <c r="J1897" s="7"/>
      <c r="M1897" s="7">
        <v>100</v>
      </c>
      <c r="N1897" s="7">
        <v>100</v>
      </c>
      <c r="P1897" s="126">
        <v>46210.436134259297</v>
      </c>
    </row>
    <row r="1898" spans="1:16" ht="15.75" customHeight="1">
      <c r="A1898" s="126">
        <v>46230.015752314801</v>
      </c>
      <c r="B1898" s="7">
        <v>12</v>
      </c>
      <c r="C1898" s="7">
        <v>627</v>
      </c>
      <c r="D1898" s="7"/>
      <c r="E1898" s="7" t="s">
        <v>1124</v>
      </c>
      <c r="F1898" s="7" t="s">
        <v>615</v>
      </c>
      <c r="G1898" s="7">
        <v>181</v>
      </c>
      <c r="H1898" s="7" t="s">
        <v>873</v>
      </c>
      <c r="I1898" s="7" t="s">
        <v>874</v>
      </c>
      <c r="J1898" s="7"/>
      <c r="M1898" s="7"/>
      <c r="N1898" s="7" t="s">
        <v>875</v>
      </c>
      <c r="O1898" s="126"/>
      <c r="P1898" s="126"/>
    </row>
    <row r="1899" spans="1:16" ht="15.75" customHeight="1">
      <c r="A1899" s="126">
        <v>46230.015752314801</v>
      </c>
      <c r="B1899" s="7">
        <v>12</v>
      </c>
      <c r="C1899" s="7">
        <v>627</v>
      </c>
      <c r="D1899" s="7"/>
      <c r="E1899" s="7" t="s">
        <v>1124</v>
      </c>
      <c r="F1899" s="7" t="s">
        <v>615</v>
      </c>
      <c r="G1899" s="7">
        <v>182</v>
      </c>
      <c r="H1899" s="7" t="s">
        <v>876</v>
      </c>
      <c r="I1899" s="7" t="s">
        <v>874</v>
      </c>
      <c r="J1899" s="7"/>
      <c r="M1899" s="7"/>
      <c r="N1899" s="7" t="s">
        <v>875</v>
      </c>
      <c r="O1899" s="126"/>
      <c r="P1899" s="126"/>
    </row>
    <row r="1900" spans="1:16" ht="15.75" customHeight="1">
      <c r="A1900" s="126">
        <v>46230.015752314801</v>
      </c>
      <c r="B1900" s="7">
        <v>12</v>
      </c>
      <c r="C1900" s="7">
        <v>627</v>
      </c>
      <c r="D1900" s="7"/>
      <c r="E1900" s="7" t="s">
        <v>1124</v>
      </c>
      <c r="F1900" s="7" t="s">
        <v>615</v>
      </c>
      <c r="G1900" s="7">
        <v>174</v>
      </c>
      <c r="H1900" s="7" t="s">
        <v>877</v>
      </c>
      <c r="I1900" s="7" t="s">
        <v>878</v>
      </c>
      <c r="J1900" s="7" t="s">
        <v>879</v>
      </c>
      <c r="M1900" s="7">
        <v>100</v>
      </c>
      <c r="N1900" s="7">
        <v>100</v>
      </c>
      <c r="P1900" s="126">
        <v>46209.706944444399</v>
      </c>
    </row>
    <row r="1901" spans="1:16" ht="15.75" customHeight="1">
      <c r="A1901" s="126">
        <v>46230.015752314801</v>
      </c>
      <c r="B1901" s="7">
        <v>12</v>
      </c>
      <c r="C1901" s="7">
        <v>627</v>
      </c>
      <c r="E1901" s="7" t="s">
        <v>1124</v>
      </c>
      <c r="F1901" s="7" t="s">
        <v>615</v>
      </c>
      <c r="G1901" s="7">
        <v>180</v>
      </c>
      <c r="H1901" s="7" t="s">
        <v>880</v>
      </c>
      <c r="I1901" s="7" t="s">
        <v>874</v>
      </c>
      <c r="J1901" s="7"/>
      <c r="M1901" s="7"/>
      <c r="N1901" s="7" t="s">
        <v>875</v>
      </c>
      <c r="O1901" s="126"/>
      <c r="P1901" s="126"/>
    </row>
    <row r="1902" spans="1:16" ht="15.75" customHeight="1">
      <c r="A1902" s="126">
        <v>46230.015752314801</v>
      </c>
      <c r="B1902" s="7">
        <v>12</v>
      </c>
      <c r="C1902" s="7">
        <v>627</v>
      </c>
      <c r="E1902" s="7" t="s">
        <v>1124</v>
      </c>
      <c r="F1902" s="7" t="s">
        <v>615</v>
      </c>
      <c r="G1902" s="7">
        <v>175</v>
      </c>
      <c r="H1902" s="7" t="s">
        <v>881</v>
      </c>
      <c r="I1902" s="7" t="s">
        <v>878</v>
      </c>
      <c r="J1902" s="7" t="s">
        <v>882</v>
      </c>
      <c r="M1902" s="7">
        <v>87.5</v>
      </c>
      <c r="N1902" s="7">
        <v>87.5</v>
      </c>
      <c r="O1902" s="126">
        <v>46213.831377314797</v>
      </c>
      <c r="P1902" s="126">
        <v>46213.831377314797</v>
      </c>
    </row>
    <row r="1903" spans="1:16" ht="15.75" customHeight="1">
      <c r="A1903" s="126">
        <v>46230.015752314801</v>
      </c>
      <c r="B1903" s="7">
        <v>12</v>
      </c>
      <c r="C1903" s="7">
        <v>627</v>
      </c>
      <c r="E1903" s="7" t="s">
        <v>1124</v>
      </c>
      <c r="F1903" s="7" t="s">
        <v>615</v>
      </c>
      <c r="G1903" s="7">
        <v>177</v>
      </c>
      <c r="H1903" s="7" t="s">
        <v>883</v>
      </c>
      <c r="I1903" s="7" t="s">
        <v>878</v>
      </c>
      <c r="J1903" s="7" t="s">
        <v>882</v>
      </c>
      <c r="M1903" s="7"/>
      <c r="N1903" s="7" t="s">
        <v>875</v>
      </c>
      <c r="P1903" s="126"/>
    </row>
    <row r="1904" spans="1:16" ht="15.75" customHeight="1">
      <c r="A1904" s="126">
        <v>46230.015752314801</v>
      </c>
      <c r="B1904" s="7">
        <v>12</v>
      </c>
      <c r="C1904" s="7">
        <v>627</v>
      </c>
      <c r="E1904" s="7" t="s">
        <v>1124</v>
      </c>
      <c r="F1904" s="7" t="s">
        <v>615</v>
      </c>
      <c r="G1904" s="7">
        <v>176</v>
      </c>
      <c r="H1904" s="7" t="s">
        <v>884</v>
      </c>
      <c r="I1904" s="7" t="s">
        <v>878</v>
      </c>
      <c r="J1904" s="7" t="s">
        <v>882</v>
      </c>
      <c r="M1904" s="7">
        <v>100</v>
      </c>
      <c r="N1904" s="7">
        <v>100</v>
      </c>
      <c r="O1904" s="126">
        <v>46223.959849537001</v>
      </c>
      <c r="P1904" s="126">
        <v>46223.959849537001</v>
      </c>
    </row>
    <row r="1905" spans="1:16" ht="15.75" customHeight="1">
      <c r="A1905" s="126">
        <v>46230.015752314801</v>
      </c>
      <c r="B1905" s="7">
        <v>12</v>
      </c>
      <c r="C1905" s="7">
        <v>627</v>
      </c>
      <c r="E1905" s="7" t="s">
        <v>1124</v>
      </c>
      <c r="F1905" s="7" t="s">
        <v>615</v>
      </c>
      <c r="G1905" s="7">
        <v>168</v>
      </c>
      <c r="H1905" s="7" t="s">
        <v>885</v>
      </c>
      <c r="I1905" s="7" t="s">
        <v>886</v>
      </c>
      <c r="J1905" s="7"/>
      <c r="M1905" s="7">
        <v>100</v>
      </c>
      <c r="N1905" s="7">
        <v>100</v>
      </c>
      <c r="O1905" s="126"/>
      <c r="P1905" s="126">
        <v>46209.706944444399</v>
      </c>
    </row>
    <row r="1906" spans="1:16" ht="15.75" customHeight="1">
      <c r="A1906" s="126">
        <v>46230.015752314801</v>
      </c>
      <c r="B1906" s="7">
        <v>12</v>
      </c>
      <c r="C1906" s="7">
        <v>635</v>
      </c>
      <c r="E1906" s="7" t="s">
        <v>1125</v>
      </c>
      <c r="F1906" s="7" t="s">
        <v>364</v>
      </c>
      <c r="G1906" s="7">
        <v>181</v>
      </c>
      <c r="H1906" s="7" t="s">
        <v>873</v>
      </c>
      <c r="I1906" s="7" t="s">
        <v>874</v>
      </c>
      <c r="J1906" s="7"/>
      <c r="M1906" s="7"/>
      <c r="N1906" s="7" t="s">
        <v>875</v>
      </c>
      <c r="P1906" s="126"/>
    </row>
    <row r="1907" spans="1:16" ht="15.75" customHeight="1">
      <c r="A1907" s="126">
        <v>46230.015752314801</v>
      </c>
      <c r="B1907" s="7">
        <v>12</v>
      </c>
      <c r="C1907" s="7">
        <v>635</v>
      </c>
      <c r="E1907" s="7" t="s">
        <v>1125</v>
      </c>
      <c r="F1907" s="7" t="s">
        <v>364</v>
      </c>
      <c r="G1907" s="7">
        <v>182</v>
      </c>
      <c r="H1907" s="7" t="s">
        <v>876</v>
      </c>
      <c r="I1907" s="7" t="s">
        <v>874</v>
      </c>
      <c r="J1907" s="7"/>
      <c r="M1907" s="7"/>
      <c r="N1907" s="7" t="s">
        <v>875</v>
      </c>
      <c r="O1907" s="126"/>
      <c r="P1907" s="126"/>
    </row>
    <row r="1908" spans="1:16" ht="15.75" customHeight="1">
      <c r="A1908" s="126">
        <v>46230.015752314801</v>
      </c>
      <c r="B1908" s="7">
        <v>12</v>
      </c>
      <c r="C1908" s="7">
        <v>635</v>
      </c>
      <c r="E1908" s="7" t="s">
        <v>1125</v>
      </c>
      <c r="F1908" s="7" t="s">
        <v>364</v>
      </c>
      <c r="G1908" s="7">
        <v>174</v>
      </c>
      <c r="H1908" s="7" t="s">
        <v>877</v>
      </c>
      <c r="I1908" s="7" t="s">
        <v>878</v>
      </c>
      <c r="J1908" s="7" t="s">
        <v>879</v>
      </c>
      <c r="M1908" s="7">
        <v>100</v>
      </c>
      <c r="N1908" s="7">
        <v>100</v>
      </c>
      <c r="O1908" s="126"/>
      <c r="P1908" s="126">
        <v>46209.706956018497</v>
      </c>
    </row>
    <row r="1909" spans="1:16" ht="15.75" customHeight="1">
      <c r="A1909" s="126">
        <v>46230.015752314801</v>
      </c>
      <c r="B1909" s="7">
        <v>12</v>
      </c>
      <c r="C1909" s="7">
        <v>635</v>
      </c>
      <c r="E1909" s="7" t="s">
        <v>1125</v>
      </c>
      <c r="F1909" s="7" t="s">
        <v>364</v>
      </c>
      <c r="G1909" s="7">
        <v>180</v>
      </c>
      <c r="H1909" s="7" t="s">
        <v>880</v>
      </c>
      <c r="I1909" s="7" t="s">
        <v>874</v>
      </c>
      <c r="J1909" s="7"/>
      <c r="M1909" s="7"/>
      <c r="N1909" s="7" t="s">
        <v>875</v>
      </c>
      <c r="O1909" s="126"/>
      <c r="P1909" s="126"/>
    </row>
    <row r="1910" spans="1:16" ht="15.75" customHeight="1">
      <c r="A1910" s="126">
        <v>46230.015752314801</v>
      </c>
      <c r="B1910" s="7">
        <v>12</v>
      </c>
      <c r="C1910" s="7">
        <v>635</v>
      </c>
      <c r="E1910" s="7" t="s">
        <v>1125</v>
      </c>
      <c r="F1910" s="7" t="s">
        <v>364</v>
      </c>
      <c r="G1910" s="7">
        <v>175</v>
      </c>
      <c r="H1910" s="7" t="s">
        <v>881</v>
      </c>
      <c r="I1910" s="7" t="s">
        <v>878</v>
      </c>
      <c r="J1910" s="7" t="s">
        <v>882</v>
      </c>
      <c r="M1910" s="7">
        <v>87.5</v>
      </c>
      <c r="N1910" s="7">
        <v>87.5</v>
      </c>
      <c r="O1910" s="126">
        <v>46216.433946759302</v>
      </c>
      <c r="P1910" s="126">
        <v>46216.433946759302</v>
      </c>
    </row>
    <row r="1911" spans="1:16" ht="15.75" customHeight="1">
      <c r="A1911" s="126">
        <v>46230.015752314801</v>
      </c>
      <c r="B1911" s="7">
        <v>12</v>
      </c>
      <c r="C1911" s="7">
        <v>635</v>
      </c>
      <c r="E1911" s="7" t="s">
        <v>1125</v>
      </c>
      <c r="F1911" s="7" t="s">
        <v>364</v>
      </c>
      <c r="G1911" s="7">
        <v>177</v>
      </c>
      <c r="H1911" s="7" t="s">
        <v>883</v>
      </c>
      <c r="I1911" s="7" t="s">
        <v>878</v>
      </c>
      <c r="J1911" s="7" t="s">
        <v>882</v>
      </c>
      <c r="M1911" s="7"/>
      <c r="N1911" s="7" t="s">
        <v>875</v>
      </c>
      <c r="O1911" s="126"/>
      <c r="P1911" s="126"/>
    </row>
    <row r="1912" spans="1:16" ht="15.75" customHeight="1">
      <c r="A1912" s="126">
        <v>46230.015752314801</v>
      </c>
      <c r="B1912" s="7">
        <v>12</v>
      </c>
      <c r="C1912" s="7">
        <v>635</v>
      </c>
      <c r="E1912" s="7" t="s">
        <v>1125</v>
      </c>
      <c r="F1912" s="7" t="s">
        <v>364</v>
      </c>
      <c r="G1912" s="7">
        <v>176</v>
      </c>
      <c r="H1912" s="7" t="s">
        <v>884</v>
      </c>
      <c r="I1912" s="7" t="s">
        <v>878</v>
      </c>
      <c r="J1912" s="7" t="s">
        <v>882</v>
      </c>
      <c r="M1912" s="7">
        <v>100</v>
      </c>
      <c r="N1912" s="7">
        <v>100</v>
      </c>
      <c r="O1912" s="126">
        <v>46225.367372685199</v>
      </c>
      <c r="P1912" s="126">
        <v>46225.367372685199</v>
      </c>
    </row>
    <row r="1913" spans="1:16" ht="15.75" customHeight="1">
      <c r="A1913" s="126">
        <v>46230.015752314801</v>
      </c>
      <c r="B1913" s="7">
        <v>12</v>
      </c>
      <c r="C1913" s="7">
        <v>635</v>
      </c>
      <c r="E1913" s="7" t="s">
        <v>1125</v>
      </c>
      <c r="F1913" s="7" t="s">
        <v>364</v>
      </c>
      <c r="G1913" s="7">
        <v>168</v>
      </c>
      <c r="H1913" s="7" t="s">
        <v>885</v>
      </c>
      <c r="I1913" s="7" t="s">
        <v>886</v>
      </c>
      <c r="J1913" s="7"/>
      <c r="M1913" s="7">
        <v>100</v>
      </c>
      <c r="N1913" s="7">
        <v>100</v>
      </c>
      <c r="P1913" s="126">
        <v>46209.706956018497</v>
      </c>
    </row>
    <row r="1914" spans="1:16" ht="15.75" customHeight="1">
      <c r="A1914" s="126">
        <v>46230.015752314801</v>
      </c>
      <c r="B1914" s="7">
        <v>12</v>
      </c>
      <c r="C1914" s="7">
        <v>222</v>
      </c>
      <c r="E1914" s="7" t="s">
        <v>1126</v>
      </c>
      <c r="F1914" s="7" t="s">
        <v>372</v>
      </c>
      <c r="G1914" s="7">
        <v>181</v>
      </c>
      <c r="H1914" s="7" t="s">
        <v>873</v>
      </c>
      <c r="I1914" s="7" t="s">
        <v>874</v>
      </c>
      <c r="J1914" s="7"/>
      <c r="M1914" s="7"/>
      <c r="N1914" s="7" t="s">
        <v>875</v>
      </c>
      <c r="O1914" s="126"/>
      <c r="P1914" s="126"/>
    </row>
    <row r="1915" spans="1:16" ht="15.75" customHeight="1">
      <c r="A1915" s="126">
        <v>46230.015752314801</v>
      </c>
      <c r="B1915" s="7">
        <v>12</v>
      </c>
      <c r="C1915" s="7">
        <v>222</v>
      </c>
      <c r="E1915" s="7" t="s">
        <v>1126</v>
      </c>
      <c r="F1915" s="7" t="s">
        <v>372</v>
      </c>
      <c r="G1915" s="7">
        <v>182</v>
      </c>
      <c r="H1915" s="7" t="s">
        <v>876</v>
      </c>
      <c r="I1915" s="7" t="s">
        <v>874</v>
      </c>
      <c r="J1915" s="7"/>
      <c r="M1915" s="7"/>
      <c r="N1915" s="7" t="s">
        <v>875</v>
      </c>
      <c r="P1915" s="126"/>
    </row>
    <row r="1916" spans="1:16" ht="15.75" customHeight="1">
      <c r="A1916" s="126">
        <v>46230.015752314801</v>
      </c>
      <c r="B1916" s="7">
        <v>12</v>
      </c>
      <c r="C1916" s="7">
        <v>222</v>
      </c>
      <c r="E1916" s="7" t="s">
        <v>1126</v>
      </c>
      <c r="F1916" s="7" t="s">
        <v>372</v>
      </c>
      <c r="G1916" s="7">
        <v>174</v>
      </c>
      <c r="H1916" s="7" t="s">
        <v>877</v>
      </c>
      <c r="I1916" s="7" t="s">
        <v>878</v>
      </c>
      <c r="J1916" s="7" t="s">
        <v>879</v>
      </c>
      <c r="M1916" s="7">
        <v>100</v>
      </c>
      <c r="N1916" s="7">
        <v>100</v>
      </c>
      <c r="O1916" s="126"/>
      <c r="P1916" s="126">
        <v>46209.706967592603</v>
      </c>
    </row>
    <row r="1917" spans="1:16" ht="15.75" customHeight="1">
      <c r="A1917" s="126">
        <v>46230.015752314801</v>
      </c>
      <c r="B1917" s="7">
        <v>12</v>
      </c>
      <c r="C1917" s="7">
        <v>222</v>
      </c>
      <c r="E1917" s="7" t="s">
        <v>1126</v>
      </c>
      <c r="F1917" s="7" t="s">
        <v>372</v>
      </c>
      <c r="G1917" s="7">
        <v>180</v>
      </c>
      <c r="H1917" s="7" t="s">
        <v>880</v>
      </c>
      <c r="I1917" s="7" t="s">
        <v>874</v>
      </c>
      <c r="J1917" s="7"/>
      <c r="M1917" s="7"/>
      <c r="N1917" s="7" t="s">
        <v>875</v>
      </c>
      <c r="O1917" s="126"/>
      <c r="P1917" s="126"/>
    </row>
    <row r="1918" spans="1:16" ht="15.75" customHeight="1">
      <c r="A1918" s="126">
        <v>46230.015752314801</v>
      </c>
      <c r="B1918" s="7">
        <v>12</v>
      </c>
      <c r="C1918" s="7">
        <v>222</v>
      </c>
      <c r="E1918" s="7" t="s">
        <v>1126</v>
      </c>
      <c r="F1918" s="7" t="s">
        <v>372</v>
      </c>
      <c r="G1918" s="7">
        <v>175</v>
      </c>
      <c r="H1918" s="7" t="s">
        <v>881</v>
      </c>
      <c r="I1918" s="7" t="s">
        <v>878</v>
      </c>
      <c r="J1918" s="7" t="s">
        <v>882</v>
      </c>
      <c r="M1918" s="7">
        <v>75</v>
      </c>
      <c r="N1918" s="7">
        <v>75</v>
      </c>
      <c r="O1918" s="126">
        <v>46214.919398148202</v>
      </c>
      <c r="P1918" s="126">
        <v>46214.919398148202</v>
      </c>
    </row>
    <row r="1919" spans="1:16" ht="15.75" customHeight="1">
      <c r="A1919" s="126">
        <v>46230.015752314801</v>
      </c>
      <c r="B1919" s="7">
        <v>12</v>
      </c>
      <c r="C1919" s="7">
        <v>222</v>
      </c>
      <c r="E1919" s="7" t="s">
        <v>1126</v>
      </c>
      <c r="F1919" s="7" t="s">
        <v>372</v>
      </c>
      <c r="G1919" s="7">
        <v>177</v>
      </c>
      <c r="H1919" s="7" t="s">
        <v>883</v>
      </c>
      <c r="I1919" s="7" t="s">
        <v>878</v>
      </c>
      <c r="J1919" s="7" t="s">
        <v>882</v>
      </c>
      <c r="M1919" s="7"/>
      <c r="N1919" s="7" t="s">
        <v>875</v>
      </c>
      <c r="P1919" s="126"/>
    </row>
    <row r="1920" spans="1:16" ht="15.75" customHeight="1">
      <c r="A1920" s="126">
        <v>46230.015752314801</v>
      </c>
      <c r="B1920" s="7">
        <v>12</v>
      </c>
      <c r="C1920" s="7">
        <v>222</v>
      </c>
      <c r="E1920" s="7" t="s">
        <v>1126</v>
      </c>
      <c r="F1920" s="7" t="s">
        <v>372</v>
      </c>
      <c r="G1920" s="7">
        <v>176</v>
      </c>
      <c r="H1920" s="7" t="s">
        <v>884</v>
      </c>
      <c r="I1920" s="7" t="s">
        <v>878</v>
      </c>
      <c r="J1920" s="7" t="s">
        <v>882</v>
      </c>
      <c r="M1920" s="7">
        <v>90</v>
      </c>
      <c r="N1920" s="7">
        <v>90</v>
      </c>
      <c r="O1920" s="126">
        <v>46226.414953703701</v>
      </c>
      <c r="P1920" s="126">
        <v>46226.414953703701</v>
      </c>
    </row>
    <row r="1921" spans="1:16" ht="15.75" customHeight="1">
      <c r="A1921" s="126">
        <v>46230.015752314801</v>
      </c>
      <c r="B1921" s="7">
        <v>12</v>
      </c>
      <c r="C1921" s="7">
        <v>222</v>
      </c>
      <c r="E1921" s="7" t="s">
        <v>1126</v>
      </c>
      <c r="F1921" s="7" t="s">
        <v>372</v>
      </c>
      <c r="G1921" s="7">
        <v>168</v>
      </c>
      <c r="H1921" s="7" t="s">
        <v>885</v>
      </c>
      <c r="I1921" s="7" t="s">
        <v>886</v>
      </c>
      <c r="J1921" s="7"/>
      <c r="M1921" s="7">
        <v>100</v>
      </c>
      <c r="N1921" s="7">
        <v>100</v>
      </c>
      <c r="P1921" s="126">
        <v>46209.706967592603</v>
      </c>
    </row>
    <row r="1922" spans="1:16" ht="15.75" customHeight="1">
      <c r="A1922" s="126">
        <v>46230.015752314801</v>
      </c>
      <c r="B1922" s="7">
        <v>12</v>
      </c>
      <c r="C1922" s="7">
        <v>661</v>
      </c>
      <c r="E1922" s="7" t="s">
        <v>1127</v>
      </c>
      <c r="F1922" s="7" t="s">
        <v>236</v>
      </c>
      <c r="G1922" s="7">
        <v>181</v>
      </c>
      <c r="H1922" s="7" t="s">
        <v>873</v>
      </c>
      <c r="I1922" s="7" t="s">
        <v>874</v>
      </c>
      <c r="J1922" s="7"/>
      <c r="M1922" s="7"/>
      <c r="N1922" s="7" t="s">
        <v>875</v>
      </c>
      <c r="P1922" s="126"/>
    </row>
    <row r="1923" spans="1:16" ht="15.75" customHeight="1">
      <c r="A1923" s="126">
        <v>46230.015752314801</v>
      </c>
      <c r="B1923" s="7">
        <v>12</v>
      </c>
      <c r="C1923" s="7">
        <v>661</v>
      </c>
      <c r="E1923" s="7" t="s">
        <v>1127</v>
      </c>
      <c r="F1923" s="7" t="s">
        <v>236</v>
      </c>
      <c r="G1923" s="7">
        <v>182</v>
      </c>
      <c r="H1923" s="7" t="s">
        <v>876</v>
      </c>
      <c r="I1923" s="7" t="s">
        <v>874</v>
      </c>
      <c r="J1923" s="7"/>
      <c r="M1923" s="7"/>
      <c r="N1923" s="7" t="s">
        <v>875</v>
      </c>
      <c r="O1923" s="126"/>
      <c r="P1923" s="126"/>
    </row>
    <row r="1924" spans="1:16" ht="15.75" customHeight="1">
      <c r="A1924" s="126">
        <v>46230.015752314801</v>
      </c>
      <c r="B1924" s="7">
        <v>12</v>
      </c>
      <c r="C1924" s="7">
        <v>661</v>
      </c>
      <c r="E1924" s="7" t="s">
        <v>1127</v>
      </c>
      <c r="F1924" s="7" t="s">
        <v>236</v>
      </c>
      <c r="G1924" s="7">
        <v>174</v>
      </c>
      <c r="H1924" s="7" t="s">
        <v>877</v>
      </c>
      <c r="I1924" s="7" t="s">
        <v>878</v>
      </c>
      <c r="J1924" s="7" t="s">
        <v>879</v>
      </c>
      <c r="M1924" s="7">
        <v>100</v>
      </c>
      <c r="N1924" s="7">
        <v>100</v>
      </c>
      <c r="P1924" s="126">
        <v>46209.706979166702</v>
      </c>
    </row>
    <row r="1925" spans="1:16" ht="15.75" customHeight="1">
      <c r="A1925" s="126">
        <v>46230.015752314801</v>
      </c>
      <c r="B1925" s="7">
        <v>12</v>
      </c>
      <c r="C1925" s="7">
        <v>661</v>
      </c>
      <c r="E1925" s="7" t="s">
        <v>1127</v>
      </c>
      <c r="F1925" s="7" t="s">
        <v>236</v>
      </c>
      <c r="G1925" s="7">
        <v>180</v>
      </c>
      <c r="H1925" s="7" t="s">
        <v>880</v>
      </c>
      <c r="I1925" s="7" t="s">
        <v>874</v>
      </c>
      <c r="J1925" s="7"/>
      <c r="M1925" s="7"/>
      <c r="N1925" s="7" t="s">
        <v>875</v>
      </c>
      <c r="O1925" s="126"/>
      <c r="P1925" s="126"/>
    </row>
    <row r="1926" spans="1:16" ht="15.75" customHeight="1">
      <c r="A1926" s="126">
        <v>46230.015752314801</v>
      </c>
      <c r="B1926" s="7">
        <v>12</v>
      </c>
      <c r="C1926" s="7">
        <v>661</v>
      </c>
      <c r="E1926" s="7" t="s">
        <v>1127</v>
      </c>
      <c r="F1926" s="7" t="s">
        <v>236</v>
      </c>
      <c r="G1926" s="7">
        <v>175</v>
      </c>
      <c r="H1926" s="7" t="s">
        <v>881</v>
      </c>
      <c r="I1926" s="7" t="s">
        <v>878</v>
      </c>
      <c r="J1926" s="7" t="s">
        <v>882</v>
      </c>
      <c r="M1926" s="7">
        <v>87.5</v>
      </c>
      <c r="N1926" s="7">
        <v>87.5</v>
      </c>
      <c r="O1926" s="126">
        <v>46215.222025463001</v>
      </c>
      <c r="P1926" s="126">
        <v>46215.222025463001</v>
      </c>
    </row>
    <row r="1927" spans="1:16" ht="15.75" customHeight="1">
      <c r="A1927" s="126">
        <v>46230.015752314801</v>
      </c>
      <c r="B1927" s="7">
        <v>12</v>
      </c>
      <c r="C1927" s="7">
        <v>661</v>
      </c>
      <c r="E1927" s="7" t="s">
        <v>1127</v>
      </c>
      <c r="F1927" s="7" t="s">
        <v>236</v>
      </c>
      <c r="G1927" s="7">
        <v>177</v>
      </c>
      <c r="H1927" s="7" t="s">
        <v>883</v>
      </c>
      <c r="I1927" s="7" t="s">
        <v>878</v>
      </c>
      <c r="J1927" s="7" t="s">
        <v>882</v>
      </c>
      <c r="M1927" s="7"/>
      <c r="N1927" s="7" t="s">
        <v>875</v>
      </c>
      <c r="P1927" s="126"/>
    </row>
    <row r="1928" spans="1:16" ht="15.75" customHeight="1">
      <c r="A1928" s="126">
        <v>46230.015752314801</v>
      </c>
      <c r="B1928" s="7">
        <v>12</v>
      </c>
      <c r="C1928" s="7">
        <v>661</v>
      </c>
      <c r="E1928" s="7" t="s">
        <v>1127</v>
      </c>
      <c r="F1928" s="7" t="s">
        <v>236</v>
      </c>
      <c r="G1928" s="7">
        <v>176</v>
      </c>
      <c r="H1928" s="7" t="s">
        <v>884</v>
      </c>
      <c r="I1928" s="7" t="s">
        <v>878</v>
      </c>
      <c r="J1928" s="7" t="s">
        <v>882</v>
      </c>
      <c r="M1928" s="7">
        <v>95</v>
      </c>
      <c r="N1928" s="7">
        <v>95</v>
      </c>
      <c r="O1928" s="126">
        <v>46226.510162036997</v>
      </c>
      <c r="P1928" s="126">
        <v>46226.510162036997</v>
      </c>
    </row>
    <row r="1929" spans="1:16" ht="15.75" customHeight="1">
      <c r="A1929" s="126">
        <v>46230.015752314801</v>
      </c>
      <c r="B1929" s="7">
        <v>12</v>
      </c>
      <c r="C1929" s="7">
        <v>661</v>
      </c>
      <c r="E1929" s="7" t="s">
        <v>1127</v>
      </c>
      <c r="F1929" s="7" t="s">
        <v>236</v>
      </c>
      <c r="G1929" s="7">
        <v>168</v>
      </c>
      <c r="H1929" s="7" t="s">
        <v>885</v>
      </c>
      <c r="I1929" s="7" t="s">
        <v>886</v>
      </c>
      <c r="J1929" s="7"/>
      <c r="M1929" s="7">
        <v>100</v>
      </c>
      <c r="N1929" s="7">
        <v>100</v>
      </c>
      <c r="O1929" s="126"/>
      <c r="P1929" s="126">
        <v>46209.706979166702</v>
      </c>
    </row>
    <row r="1930" spans="1:16" ht="15.75" customHeight="1">
      <c r="A1930" s="126">
        <v>46230.015752314801</v>
      </c>
      <c r="B1930" s="7">
        <v>12</v>
      </c>
      <c r="C1930" s="7">
        <v>658</v>
      </c>
      <c r="E1930" s="7" t="s">
        <v>1128</v>
      </c>
      <c r="F1930" s="7" t="s">
        <v>774</v>
      </c>
      <c r="G1930" s="7">
        <v>181</v>
      </c>
      <c r="H1930" s="7" t="s">
        <v>873</v>
      </c>
      <c r="I1930" s="7" t="s">
        <v>874</v>
      </c>
      <c r="J1930" s="7"/>
      <c r="M1930" s="7"/>
      <c r="N1930" s="7" t="s">
        <v>875</v>
      </c>
      <c r="P1930" s="126"/>
    </row>
    <row r="1931" spans="1:16" ht="15.75" customHeight="1">
      <c r="A1931" s="126">
        <v>46230.015752314801</v>
      </c>
      <c r="B1931" s="7">
        <v>12</v>
      </c>
      <c r="C1931" s="7">
        <v>658</v>
      </c>
      <c r="E1931" s="7" t="s">
        <v>1128</v>
      </c>
      <c r="F1931" s="7" t="s">
        <v>774</v>
      </c>
      <c r="G1931" s="7">
        <v>182</v>
      </c>
      <c r="H1931" s="7" t="s">
        <v>876</v>
      </c>
      <c r="I1931" s="7" t="s">
        <v>874</v>
      </c>
      <c r="J1931" s="7"/>
      <c r="M1931" s="7"/>
      <c r="N1931" s="7" t="s">
        <v>875</v>
      </c>
      <c r="P1931" s="126"/>
    </row>
    <row r="1932" spans="1:16" ht="15.75" customHeight="1">
      <c r="A1932" s="126">
        <v>46230.015752314801</v>
      </c>
      <c r="B1932" s="7">
        <v>12</v>
      </c>
      <c r="C1932" s="7">
        <v>658</v>
      </c>
      <c r="E1932" s="7" t="s">
        <v>1128</v>
      </c>
      <c r="F1932" s="7" t="s">
        <v>774</v>
      </c>
      <c r="G1932" s="7">
        <v>174</v>
      </c>
      <c r="H1932" s="7" t="s">
        <v>877</v>
      </c>
      <c r="I1932" s="7" t="s">
        <v>878</v>
      </c>
      <c r="J1932" s="7" t="s">
        <v>879</v>
      </c>
      <c r="M1932" s="7">
        <v>100</v>
      </c>
      <c r="N1932" s="7">
        <v>100</v>
      </c>
      <c r="O1932" s="126"/>
      <c r="P1932" s="126">
        <v>46209.706979166702</v>
      </c>
    </row>
    <row r="1933" spans="1:16" ht="15.75" customHeight="1">
      <c r="A1933" s="126">
        <v>46230.015752314801</v>
      </c>
      <c r="B1933" s="7">
        <v>12</v>
      </c>
      <c r="C1933" s="7">
        <v>658</v>
      </c>
      <c r="E1933" s="7" t="s">
        <v>1128</v>
      </c>
      <c r="F1933" s="7" t="s">
        <v>774</v>
      </c>
      <c r="G1933" s="7">
        <v>180</v>
      </c>
      <c r="H1933" s="7" t="s">
        <v>880</v>
      </c>
      <c r="I1933" s="7" t="s">
        <v>874</v>
      </c>
      <c r="J1933" s="7"/>
      <c r="M1933" s="7"/>
      <c r="N1933" s="7" t="s">
        <v>875</v>
      </c>
      <c r="O1933" s="126"/>
      <c r="P1933" s="126"/>
    </row>
    <row r="1934" spans="1:16" ht="15.75" customHeight="1">
      <c r="A1934" s="126">
        <v>46230.015752314801</v>
      </c>
      <c r="B1934" s="7">
        <v>12</v>
      </c>
      <c r="C1934" s="7">
        <v>658</v>
      </c>
      <c r="E1934" s="7" t="s">
        <v>1128</v>
      </c>
      <c r="F1934" s="7" t="s">
        <v>774</v>
      </c>
      <c r="G1934" s="7">
        <v>175</v>
      </c>
      <c r="H1934" s="7" t="s">
        <v>881</v>
      </c>
      <c r="I1934" s="7" t="s">
        <v>878</v>
      </c>
      <c r="J1934" s="7" t="s">
        <v>882</v>
      </c>
      <c r="M1934" s="7">
        <v>100</v>
      </c>
      <c r="N1934" s="7">
        <v>100</v>
      </c>
      <c r="O1934" s="126">
        <v>46215.553275462997</v>
      </c>
      <c r="P1934" s="126">
        <v>46215.553275462997</v>
      </c>
    </row>
    <row r="1935" spans="1:16" ht="15.75" customHeight="1">
      <c r="A1935" s="126">
        <v>46230.015752314801</v>
      </c>
      <c r="B1935" s="7">
        <v>12</v>
      </c>
      <c r="C1935" s="7">
        <v>658</v>
      </c>
      <c r="E1935" s="7" t="s">
        <v>1128</v>
      </c>
      <c r="F1935" s="7" t="s">
        <v>774</v>
      </c>
      <c r="G1935" s="7">
        <v>177</v>
      </c>
      <c r="H1935" s="7" t="s">
        <v>883</v>
      </c>
      <c r="I1935" s="7" t="s">
        <v>878</v>
      </c>
      <c r="J1935" s="7" t="s">
        <v>882</v>
      </c>
      <c r="M1935" s="7"/>
      <c r="N1935" s="7" t="s">
        <v>875</v>
      </c>
      <c r="O1935" s="126"/>
      <c r="P1935" s="126"/>
    </row>
    <row r="1936" spans="1:16" ht="15.75" customHeight="1">
      <c r="A1936" s="126">
        <v>46230.015752314801</v>
      </c>
      <c r="B1936" s="7">
        <v>12</v>
      </c>
      <c r="C1936" s="7">
        <v>658</v>
      </c>
      <c r="E1936" s="7" t="s">
        <v>1128</v>
      </c>
      <c r="F1936" s="7" t="s">
        <v>774</v>
      </c>
      <c r="G1936" s="7">
        <v>176</v>
      </c>
      <c r="H1936" s="7" t="s">
        <v>884</v>
      </c>
      <c r="I1936" s="7" t="s">
        <v>878</v>
      </c>
      <c r="J1936" s="7" t="s">
        <v>882</v>
      </c>
      <c r="M1936" s="7">
        <v>90</v>
      </c>
      <c r="N1936" s="7">
        <v>90</v>
      </c>
      <c r="O1936" s="126">
        <v>46229.406041666698</v>
      </c>
      <c r="P1936" s="126">
        <v>46229.406041666698</v>
      </c>
    </row>
    <row r="1937" spans="1:16" ht="15.75" customHeight="1">
      <c r="A1937" s="126">
        <v>46230.015752314801</v>
      </c>
      <c r="B1937" s="7">
        <v>12</v>
      </c>
      <c r="C1937" s="7">
        <v>658</v>
      </c>
      <c r="E1937" s="7" t="s">
        <v>1128</v>
      </c>
      <c r="F1937" s="7" t="s">
        <v>774</v>
      </c>
      <c r="G1937" s="7">
        <v>168</v>
      </c>
      <c r="H1937" s="7" t="s">
        <v>885</v>
      </c>
      <c r="I1937" s="7" t="s">
        <v>886</v>
      </c>
      <c r="J1937" s="7"/>
      <c r="M1937" s="7">
        <v>100</v>
      </c>
      <c r="N1937" s="7">
        <v>100</v>
      </c>
      <c r="P1937" s="126">
        <v>46209.706979166702</v>
      </c>
    </row>
    <row r="1938" spans="1:16" ht="15.75" customHeight="1">
      <c r="A1938" s="126">
        <v>46230.015752314801</v>
      </c>
      <c r="B1938" s="7">
        <v>12</v>
      </c>
      <c r="C1938" s="7">
        <v>289</v>
      </c>
      <c r="E1938" s="7" t="s">
        <v>1129</v>
      </c>
      <c r="F1938" s="7" t="s">
        <v>651</v>
      </c>
      <c r="G1938" s="7">
        <v>181</v>
      </c>
      <c r="H1938" s="7" t="s">
        <v>873</v>
      </c>
      <c r="I1938" s="7" t="s">
        <v>874</v>
      </c>
      <c r="J1938" s="7"/>
      <c r="M1938" s="7"/>
      <c r="N1938" s="7" t="s">
        <v>875</v>
      </c>
      <c r="P1938" s="126"/>
    </row>
    <row r="1939" spans="1:16" ht="15.75" customHeight="1">
      <c r="A1939" s="126">
        <v>46230.015752314801</v>
      </c>
      <c r="B1939" s="7">
        <v>12</v>
      </c>
      <c r="C1939" s="7">
        <v>289</v>
      </c>
      <c r="E1939" s="7" t="s">
        <v>1129</v>
      </c>
      <c r="F1939" s="7" t="s">
        <v>651</v>
      </c>
      <c r="G1939" s="7">
        <v>182</v>
      </c>
      <c r="H1939" s="7" t="s">
        <v>876</v>
      </c>
      <c r="I1939" s="7" t="s">
        <v>874</v>
      </c>
      <c r="J1939" s="7"/>
      <c r="M1939" s="7"/>
      <c r="N1939" s="7" t="s">
        <v>875</v>
      </c>
      <c r="P1939" s="126"/>
    </row>
    <row r="1940" spans="1:16" ht="15.75" customHeight="1">
      <c r="A1940" s="126">
        <v>46230.015752314801</v>
      </c>
      <c r="B1940" s="7">
        <v>12</v>
      </c>
      <c r="C1940" s="7">
        <v>289</v>
      </c>
      <c r="E1940" s="7" t="s">
        <v>1129</v>
      </c>
      <c r="F1940" s="7" t="s">
        <v>651</v>
      </c>
      <c r="G1940" s="7">
        <v>174</v>
      </c>
      <c r="H1940" s="7" t="s">
        <v>877</v>
      </c>
      <c r="I1940" s="7" t="s">
        <v>878</v>
      </c>
      <c r="J1940" s="7" t="s">
        <v>879</v>
      </c>
      <c r="M1940" s="7">
        <v>100</v>
      </c>
      <c r="N1940" s="7">
        <v>100</v>
      </c>
      <c r="P1940" s="126">
        <v>46209.706979166702</v>
      </c>
    </row>
    <row r="1941" spans="1:16" ht="15.75" customHeight="1">
      <c r="A1941" s="126">
        <v>46230.015752314801</v>
      </c>
      <c r="B1941" s="7">
        <v>12</v>
      </c>
      <c r="C1941" s="7">
        <v>289</v>
      </c>
      <c r="E1941" s="7" t="s">
        <v>1129</v>
      </c>
      <c r="F1941" s="7" t="s">
        <v>651</v>
      </c>
      <c r="G1941" s="7">
        <v>180</v>
      </c>
      <c r="H1941" s="7" t="s">
        <v>880</v>
      </c>
      <c r="I1941" s="7" t="s">
        <v>874</v>
      </c>
      <c r="J1941" s="7"/>
      <c r="M1941" s="7"/>
      <c r="N1941" s="7" t="s">
        <v>875</v>
      </c>
      <c r="O1941" s="126"/>
      <c r="P1941" s="126"/>
    </row>
    <row r="1942" spans="1:16" ht="15.75" customHeight="1">
      <c r="A1942" s="126">
        <v>46230.015752314801</v>
      </c>
      <c r="B1942" s="7">
        <v>12</v>
      </c>
      <c r="C1942" s="7">
        <v>289</v>
      </c>
      <c r="E1942" s="7" t="s">
        <v>1129</v>
      </c>
      <c r="F1942" s="7" t="s">
        <v>651</v>
      </c>
      <c r="G1942" s="7">
        <v>175</v>
      </c>
      <c r="H1942" s="7" t="s">
        <v>881</v>
      </c>
      <c r="I1942" s="7" t="s">
        <v>878</v>
      </c>
      <c r="J1942" s="7" t="s">
        <v>882</v>
      </c>
      <c r="M1942" s="7">
        <v>75</v>
      </c>
      <c r="N1942" s="7">
        <v>75</v>
      </c>
      <c r="O1942" s="126">
        <v>46215.732118055603</v>
      </c>
      <c r="P1942" s="126">
        <v>46215.732118055603</v>
      </c>
    </row>
    <row r="1943" spans="1:16" ht="15.75" customHeight="1">
      <c r="A1943" s="126">
        <v>46230.015752314801</v>
      </c>
      <c r="B1943" s="7">
        <v>12</v>
      </c>
      <c r="C1943" s="7">
        <v>289</v>
      </c>
      <c r="E1943" s="7" t="s">
        <v>1129</v>
      </c>
      <c r="F1943" s="7" t="s">
        <v>651</v>
      </c>
      <c r="G1943" s="7">
        <v>177</v>
      </c>
      <c r="H1943" s="7" t="s">
        <v>883</v>
      </c>
      <c r="I1943" s="7" t="s">
        <v>878</v>
      </c>
      <c r="J1943" s="7" t="s">
        <v>882</v>
      </c>
      <c r="M1943" s="7"/>
      <c r="N1943" s="7" t="s">
        <v>875</v>
      </c>
      <c r="O1943" s="126"/>
      <c r="P1943" s="126"/>
    </row>
    <row r="1944" spans="1:16" ht="15.75" customHeight="1">
      <c r="A1944" s="126">
        <v>46230.015752314801</v>
      </c>
      <c r="B1944" s="7">
        <v>12</v>
      </c>
      <c r="C1944" s="7">
        <v>289</v>
      </c>
      <c r="E1944" s="7" t="s">
        <v>1129</v>
      </c>
      <c r="F1944" s="7" t="s">
        <v>651</v>
      </c>
      <c r="G1944" s="7">
        <v>176</v>
      </c>
      <c r="H1944" s="7" t="s">
        <v>884</v>
      </c>
      <c r="I1944" s="7" t="s">
        <v>878</v>
      </c>
      <c r="J1944" s="7" t="s">
        <v>882</v>
      </c>
      <c r="M1944" s="7">
        <v>95</v>
      </c>
      <c r="N1944" s="7">
        <v>95</v>
      </c>
      <c r="O1944" s="126">
        <v>46223.902418981503</v>
      </c>
      <c r="P1944" s="126">
        <v>46223.902418981503</v>
      </c>
    </row>
    <row r="1945" spans="1:16" ht="15.75" customHeight="1">
      <c r="A1945" s="126">
        <v>46230.015752314801</v>
      </c>
      <c r="B1945" s="7">
        <v>12</v>
      </c>
      <c r="C1945" s="7">
        <v>289</v>
      </c>
      <c r="E1945" s="7" t="s">
        <v>1129</v>
      </c>
      <c r="F1945" s="7" t="s">
        <v>651</v>
      </c>
      <c r="G1945" s="7">
        <v>168</v>
      </c>
      <c r="H1945" s="7" t="s">
        <v>885</v>
      </c>
      <c r="I1945" s="7" t="s">
        <v>886</v>
      </c>
      <c r="M1945" s="7">
        <v>100</v>
      </c>
      <c r="N1945" s="7">
        <v>100</v>
      </c>
      <c r="P1945" s="126">
        <v>46209.706979166702</v>
      </c>
    </row>
    <row r="1946" spans="1:16" ht="15.75" customHeight="1">
      <c r="A1946" s="126">
        <v>46230.015752314801</v>
      </c>
      <c r="B1946" s="7">
        <v>12</v>
      </c>
      <c r="C1946" s="7">
        <v>320</v>
      </c>
      <c r="E1946" s="7" t="s">
        <v>1130</v>
      </c>
      <c r="F1946" s="7" t="s">
        <v>423</v>
      </c>
      <c r="G1946" s="7">
        <v>181</v>
      </c>
      <c r="H1946" s="7" t="s">
        <v>873</v>
      </c>
      <c r="I1946" s="7" t="s">
        <v>874</v>
      </c>
      <c r="J1946" s="7"/>
      <c r="M1946" s="7"/>
      <c r="N1946" s="7" t="s">
        <v>875</v>
      </c>
      <c r="P1946" s="126"/>
    </row>
    <row r="1947" spans="1:16" ht="15.75" customHeight="1">
      <c r="A1947" s="126">
        <v>46230.015752314801</v>
      </c>
      <c r="B1947" s="7">
        <v>12</v>
      </c>
      <c r="C1947" s="7">
        <v>320</v>
      </c>
      <c r="E1947" s="7" t="s">
        <v>1130</v>
      </c>
      <c r="F1947" s="7" t="s">
        <v>423</v>
      </c>
      <c r="G1947" s="7">
        <v>182</v>
      </c>
      <c r="H1947" s="7" t="s">
        <v>876</v>
      </c>
      <c r="I1947" s="7" t="s">
        <v>874</v>
      </c>
      <c r="J1947" s="7"/>
      <c r="M1947" s="7"/>
      <c r="N1947" s="7" t="s">
        <v>875</v>
      </c>
      <c r="O1947" s="126"/>
      <c r="P1947" s="126"/>
    </row>
    <row r="1948" spans="1:16" ht="15.75" customHeight="1">
      <c r="A1948" s="126">
        <v>46230.015752314801</v>
      </c>
      <c r="B1948" s="7">
        <v>12</v>
      </c>
      <c r="C1948" s="7">
        <v>320</v>
      </c>
      <c r="E1948" s="7" t="s">
        <v>1130</v>
      </c>
      <c r="F1948" s="7" t="s">
        <v>423</v>
      </c>
      <c r="G1948" s="7">
        <v>174</v>
      </c>
      <c r="H1948" s="7" t="s">
        <v>877</v>
      </c>
      <c r="I1948" s="7" t="s">
        <v>878</v>
      </c>
      <c r="J1948" s="7" t="s">
        <v>879</v>
      </c>
      <c r="M1948" s="7">
        <v>100</v>
      </c>
      <c r="N1948" s="7">
        <v>100</v>
      </c>
      <c r="P1948" s="126">
        <v>46209.706979166702</v>
      </c>
    </row>
    <row r="1949" spans="1:16" ht="15.75" customHeight="1">
      <c r="A1949" s="126">
        <v>46230.015752314801</v>
      </c>
      <c r="B1949" s="7">
        <v>12</v>
      </c>
      <c r="C1949" s="7">
        <v>320</v>
      </c>
      <c r="E1949" s="7" t="s">
        <v>1130</v>
      </c>
      <c r="F1949" s="7" t="s">
        <v>423</v>
      </c>
      <c r="G1949" s="7">
        <v>180</v>
      </c>
      <c r="H1949" s="7" t="s">
        <v>880</v>
      </c>
      <c r="I1949" s="7" t="s">
        <v>874</v>
      </c>
      <c r="J1949" s="7"/>
      <c r="M1949" s="7"/>
      <c r="N1949" s="7" t="s">
        <v>875</v>
      </c>
      <c r="O1949" s="126"/>
      <c r="P1949" s="126"/>
    </row>
    <row r="1950" spans="1:16" ht="15.75" customHeight="1">
      <c r="A1950" s="126">
        <v>46230.015752314801</v>
      </c>
      <c r="B1950" s="7">
        <v>12</v>
      </c>
      <c r="C1950" s="7">
        <v>320</v>
      </c>
      <c r="E1950" s="7" t="s">
        <v>1130</v>
      </c>
      <c r="F1950" s="7" t="s">
        <v>423</v>
      </c>
      <c r="G1950" s="7">
        <v>175</v>
      </c>
      <c r="H1950" s="7" t="s">
        <v>881</v>
      </c>
      <c r="I1950" s="7" t="s">
        <v>878</v>
      </c>
      <c r="J1950" s="7" t="s">
        <v>882</v>
      </c>
      <c r="M1950" s="7">
        <v>100</v>
      </c>
      <c r="N1950" s="7">
        <v>100</v>
      </c>
      <c r="O1950" s="126">
        <v>46215.331851851799</v>
      </c>
      <c r="P1950" s="126">
        <v>46215.331851851799</v>
      </c>
    </row>
    <row r="1951" spans="1:16" ht="15.75" customHeight="1">
      <c r="A1951" s="126">
        <v>46230.015752314801</v>
      </c>
      <c r="B1951" s="7">
        <v>12</v>
      </c>
      <c r="C1951" s="7">
        <v>320</v>
      </c>
      <c r="E1951" s="7" t="s">
        <v>1130</v>
      </c>
      <c r="F1951" s="7" t="s">
        <v>423</v>
      </c>
      <c r="G1951" s="7">
        <v>177</v>
      </c>
      <c r="H1951" s="7" t="s">
        <v>883</v>
      </c>
      <c r="I1951" s="7" t="s">
        <v>878</v>
      </c>
      <c r="J1951" s="7" t="s">
        <v>882</v>
      </c>
      <c r="M1951" s="7"/>
      <c r="N1951" s="7" t="s">
        <v>875</v>
      </c>
      <c r="P1951" s="126"/>
    </row>
    <row r="1952" spans="1:16" ht="15.75" customHeight="1">
      <c r="A1952" s="126">
        <v>46230.015752314801</v>
      </c>
      <c r="B1952" s="7">
        <v>12</v>
      </c>
      <c r="C1952" s="7">
        <v>320</v>
      </c>
      <c r="E1952" s="7" t="s">
        <v>1130</v>
      </c>
      <c r="F1952" s="7" t="s">
        <v>423</v>
      </c>
      <c r="G1952" s="7">
        <v>176</v>
      </c>
      <c r="H1952" s="7" t="s">
        <v>884</v>
      </c>
      <c r="I1952" s="7" t="s">
        <v>878</v>
      </c>
      <c r="J1952" s="7" t="s">
        <v>882</v>
      </c>
      <c r="M1952" s="7">
        <v>100</v>
      </c>
      <c r="N1952" s="7">
        <v>100</v>
      </c>
      <c r="O1952" s="126">
        <v>46224.986539351798</v>
      </c>
      <c r="P1952" s="126">
        <v>46224.986539351798</v>
      </c>
    </row>
    <row r="1953" spans="1:16" ht="15.75" customHeight="1">
      <c r="A1953" s="126">
        <v>46230.015752314801</v>
      </c>
      <c r="B1953" s="7">
        <v>12</v>
      </c>
      <c r="C1953" s="7">
        <v>320</v>
      </c>
      <c r="E1953" s="7" t="s">
        <v>1130</v>
      </c>
      <c r="F1953" s="7" t="s">
        <v>423</v>
      </c>
      <c r="G1953" s="7">
        <v>168</v>
      </c>
      <c r="H1953" s="7" t="s">
        <v>885</v>
      </c>
      <c r="I1953" s="7" t="s">
        <v>886</v>
      </c>
      <c r="J1953" s="7"/>
      <c r="M1953" s="7">
        <v>100</v>
      </c>
      <c r="N1953" s="7">
        <v>100</v>
      </c>
      <c r="O1953" s="126"/>
      <c r="P1953" s="126">
        <v>46209.706979166702</v>
      </c>
    </row>
    <row r="1954" spans="1:16" ht="15.75" customHeight="1">
      <c r="A1954" s="126">
        <v>46230.015752314801</v>
      </c>
      <c r="B1954" s="7">
        <v>12</v>
      </c>
      <c r="C1954" s="7">
        <v>608</v>
      </c>
      <c r="E1954" s="7" t="s">
        <v>1131</v>
      </c>
      <c r="F1954" s="7" t="s">
        <v>457</v>
      </c>
      <c r="G1954" s="7">
        <v>181</v>
      </c>
      <c r="H1954" s="7" t="s">
        <v>873</v>
      </c>
      <c r="I1954" s="7" t="s">
        <v>874</v>
      </c>
      <c r="J1954" s="7"/>
      <c r="M1954" s="7"/>
      <c r="N1954" s="7" t="s">
        <v>875</v>
      </c>
      <c r="P1954" s="126"/>
    </row>
    <row r="1955" spans="1:16" ht="15.75" customHeight="1">
      <c r="A1955" s="126">
        <v>46230.015752314801</v>
      </c>
      <c r="B1955" s="7">
        <v>12</v>
      </c>
      <c r="C1955" s="7">
        <v>608</v>
      </c>
      <c r="E1955" s="7" t="s">
        <v>1131</v>
      </c>
      <c r="F1955" s="7" t="s">
        <v>457</v>
      </c>
      <c r="G1955" s="7">
        <v>182</v>
      </c>
      <c r="H1955" s="7" t="s">
        <v>876</v>
      </c>
      <c r="I1955" s="7" t="s">
        <v>874</v>
      </c>
      <c r="J1955" s="7"/>
      <c r="M1955" s="7"/>
      <c r="N1955" s="7" t="s">
        <v>875</v>
      </c>
      <c r="P1955" s="126"/>
    </row>
    <row r="1956" spans="1:16" ht="15.75" customHeight="1">
      <c r="A1956" s="126">
        <v>46230.015752314801</v>
      </c>
      <c r="B1956" s="7">
        <v>12</v>
      </c>
      <c r="C1956" s="7">
        <v>608</v>
      </c>
      <c r="E1956" s="7" t="s">
        <v>1131</v>
      </c>
      <c r="F1956" s="7" t="s">
        <v>457</v>
      </c>
      <c r="G1956" s="7">
        <v>174</v>
      </c>
      <c r="H1956" s="7" t="s">
        <v>877</v>
      </c>
      <c r="I1956" s="7" t="s">
        <v>878</v>
      </c>
      <c r="J1956" s="7" t="s">
        <v>879</v>
      </c>
      <c r="M1956" s="7">
        <v>100</v>
      </c>
      <c r="N1956" s="7">
        <v>100</v>
      </c>
      <c r="P1956" s="126">
        <v>46209.706979166702</v>
      </c>
    </row>
    <row r="1957" spans="1:16" ht="15.75" customHeight="1">
      <c r="A1957" s="126">
        <v>46230.015752314801</v>
      </c>
      <c r="B1957" s="7">
        <v>12</v>
      </c>
      <c r="C1957" s="7">
        <v>608</v>
      </c>
      <c r="E1957" s="7" t="s">
        <v>1131</v>
      </c>
      <c r="F1957" s="7" t="s">
        <v>457</v>
      </c>
      <c r="G1957" s="7">
        <v>180</v>
      </c>
      <c r="H1957" s="7" t="s">
        <v>880</v>
      </c>
      <c r="I1957" s="7" t="s">
        <v>874</v>
      </c>
      <c r="J1957" s="7"/>
      <c r="M1957" s="7"/>
      <c r="N1957" s="7" t="s">
        <v>875</v>
      </c>
      <c r="O1957" s="126"/>
      <c r="P1957" s="126"/>
    </row>
    <row r="1958" spans="1:16" ht="15.75" customHeight="1">
      <c r="A1958" s="126">
        <v>46230.015752314801</v>
      </c>
      <c r="B1958" s="7">
        <v>12</v>
      </c>
      <c r="C1958" s="7">
        <v>608</v>
      </c>
      <c r="E1958" s="7" t="s">
        <v>1131</v>
      </c>
      <c r="F1958" s="7" t="s">
        <v>457</v>
      </c>
      <c r="G1958" s="7">
        <v>175</v>
      </c>
      <c r="H1958" s="7" t="s">
        <v>881</v>
      </c>
      <c r="I1958" s="7" t="s">
        <v>878</v>
      </c>
      <c r="J1958" s="7" t="s">
        <v>882</v>
      </c>
      <c r="M1958" s="7">
        <v>100</v>
      </c>
      <c r="N1958" s="7">
        <v>100</v>
      </c>
      <c r="O1958" s="126">
        <v>46214.870057870401</v>
      </c>
      <c r="P1958" s="126">
        <v>46214.870057870401</v>
      </c>
    </row>
    <row r="1959" spans="1:16" ht="15.75" customHeight="1">
      <c r="A1959" s="126">
        <v>46230.015752314801</v>
      </c>
      <c r="B1959" s="7">
        <v>12</v>
      </c>
      <c r="C1959" s="7">
        <v>608</v>
      </c>
      <c r="E1959" s="7" t="s">
        <v>1131</v>
      </c>
      <c r="F1959" s="7" t="s">
        <v>457</v>
      </c>
      <c r="G1959" s="7">
        <v>177</v>
      </c>
      <c r="H1959" s="7" t="s">
        <v>883</v>
      </c>
      <c r="I1959" s="7" t="s">
        <v>878</v>
      </c>
      <c r="J1959" s="7" t="s">
        <v>882</v>
      </c>
      <c r="M1959" s="7"/>
      <c r="N1959" s="7" t="s">
        <v>875</v>
      </c>
      <c r="O1959" s="126"/>
      <c r="P1959" s="126"/>
    </row>
    <row r="1960" spans="1:16" ht="15.75" customHeight="1">
      <c r="A1960" s="126">
        <v>46230.015752314801</v>
      </c>
      <c r="B1960" s="7">
        <v>12</v>
      </c>
      <c r="C1960" s="7">
        <v>608</v>
      </c>
      <c r="E1960" s="7" t="s">
        <v>1131</v>
      </c>
      <c r="F1960" s="7" t="s">
        <v>457</v>
      </c>
      <c r="G1960" s="7">
        <v>176</v>
      </c>
      <c r="H1960" s="7" t="s">
        <v>884</v>
      </c>
      <c r="I1960" s="7" t="s">
        <v>878</v>
      </c>
      <c r="J1960" s="7" t="s">
        <v>882</v>
      </c>
      <c r="M1960" s="7">
        <v>90</v>
      </c>
      <c r="N1960" s="7">
        <v>90</v>
      </c>
      <c r="O1960" s="126">
        <v>46224.614016203697</v>
      </c>
      <c r="P1960" s="126">
        <v>46224.614016203697</v>
      </c>
    </row>
    <row r="1961" spans="1:16" ht="15.75" customHeight="1">
      <c r="A1961" s="126">
        <v>46230.015752314801</v>
      </c>
      <c r="B1961" s="7">
        <v>12</v>
      </c>
      <c r="C1961" s="7">
        <v>608</v>
      </c>
      <c r="E1961" s="7" t="s">
        <v>1131</v>
      </c>
      <c r="F1961" s="7" t="s">
        <v>457</v>
      </c>
      <c r="G1961" s="7">
        <v>168</v>
      </c>
      <c r="H1961" s="7" t="s">
        <v>885</v>
      </c>
      <c r="I1961" s="7" t="s">
        <v>886</v>
      </c>
      <c r="J1961" s="7"/>
      <c r="M1961" s="7">
        <v>100</v>
      </c>
      <c r="N1961" s="7">
        <v>100</v>
      </c>
      <c r="O1961" s="126"/>
      <c r="P1961" s="126">
        <v>46209.706979166702</v>
      </c>
    </row>
    <row r="1962" spans="1:16" ht="15.75" customHeight="1">
      <c r="A1962" s="126">
        <v>46230.015752314801</v>
      </c>
      <c r="B1962" s="7">
        <v>12</v>
      </c>
      <c r="C1962" s="7">
        <v>681</v>
      </c>
      <c r="E1962" s="7" t="s">
        <v>1132</v>
      </c>
      <c r="F1962" s="7" t="s">
        <v>663</v>
      </c>
      <c r="G1962" s="7">
        <v>181</v>
      </c>
      <c r="H1962" s="7" t="s">
        <v>873</v>
      </c>
      <c r="I1962" s="7" t="s">
        <v>874</v>
      </c>
      <c r="J1962" s="7"/>
      <c r="M1962" s="7"/>
      <c r="N1962" s="7" t="s">
        <v>875</v>
      </c>
      <c r="O1962" s="126"/>
      <c r="P1962" s="126"/>
    </row>
    <row r="1963" spans="1:16" ht="15.75" customHeight="1">
      <c r="A1963" s="126">
        <v>46230.015752314801</v>
      </c>
      <c r="B1963" s="7">
        <v>12</v>
      </c>
      <c r="C1963" s="7">
        <v>681</v>
      </c>
      <c r="E1963" s="7" t="s">
        <v>1132</v>
      </c>
      <c r="F1963" s="7" t="s">
        <v>663</v>
      </c>
      <c r="G1963" s="7">
        <v>182</v>
      </c>
      <c r="H1963" s="7" t="s">
        <v>876</v>
      </c>
      <c r="I1963" s="7" t="s">
        <v>874</v>
      </c>
      <c r="J1963" s="7"/>
      <c r="M1963" s="7"/>
      <c r="N1963" s="7" t="s">
        <v>875</v>
      </c>
      <c r="P1963" s="126"/>
    </row>
    <row r="1964" spans="1:16" ht="15.75" customHeight="1">
      <c r="A1964" s="126">
        <v>46230.015752314801</v>
      </c>
      <c r="B1964" s="7">
        <v>12</v>
      </c>
      <c r="C1964" s="7">
        <v>681</v>
      </c>
      <c r="E1964" s="7" t="s">
        <v>1132</v>
      </c>
      <c r="F1964" s="7" t="s">
        <v>663</v>
      </c>
      <c r="G1964" s="7">
        <v>174</v>
      </c>
      <c r="H1964" s="7" t="s">
        <v>877</v>
      </c>
      <c r="I1964" s="7" t="s">
        <v>878</v>
      </c>
      <c r="J1964" s="7" t="s">
        <v>879</v>
      </c>
      <c r="M1964" s="7">
        <v>100</v>
      </c>
      <c r="N1964" s="7">
        <v>100</v>
      </c>
      <c r="P1964" s="126">
        <v>46216.355520833298</v>
      </c>
    </row>
    <row r="1965" spans="1:16" ht="15.75" customHeight="1">
      <c r="A1965" s="126">
        <v>46230.015752314801</v>
      </c>
      <c r="B1965" s="7">
        <v>12</v>
      </c>
      <c r="C1965" s="7">
        <v>681</v>
      </c>
      <c r="E1965" s="7" t="s">
        <v>1132</v>
      </c>
      <c r="F1965" s="7" t="s">
        <v>663</v>
      </c>
      <c r="G1965" s="7">
        <v>180</v>
      </c>
      <c r="H1965" s="7" t="s">
        <v>880</v>
      </c>
      <c r="I1965" s="7" t="s">
        <v>874</v>
      </c>
      <c r="J1965" s="7"/>
      <c r="M1965" s="7"/>
      <c r="N1965" s="7" t="s">
        <v>875</v>
      </c>
      <c r="O1965" s="126"/>
      <c r="P1965" s="126"/>
    </row>
    <row r="1966" spans="1:16" ht="15.75" customHeight="1">
      <c r="A1966" s="126">
        <v>46230.015752314801</v>
      </c>
      <c r="B1966" s="7">
        <v>12</v>
      </c>
      <c r="C1966" s="7">
        <v>681</v>
      </c>
      <c r="E1966" s="7" t="s">
        <v>1132</v>
      </c>
      <c r="F1966" s="7" t="s">
        <v>663</v>
      </c>
      <c r="G1966" s="7">
        <v>175</v>
      </c>
      <c r="H1966" s="7" t="s">
        <v>881</v>
      </c>
      <c r="I1966" s="7" t="s">
        <v>878</v>
      </c>
      <c r="J1966" s="7" t="s">
        <v>882</v>
      </c>
      <c r="M1966" s="7">
        <v>87.5</v>
      </c>
      <c r="N1966" s="7">
        <v>87.5</v>
      </c>
      <c r="O1966" s="126">
        <v>46216.353148148097</v>
      </c>
      <c r="P1966" s="126">
        <v>46216.353148148097</v>
      </c>
    </row>
    <row r="1967" spans="1:16" ht="15.75" customHeight="1">
      <c r="A1967" s="126">
        <v>46230.015752314801</v>
      </c>
      <c r="B1967" s="7">
        <v>12</v>
      </c>
      <c r="C1967" s="7">
        <v>681</v>
      </c>
      <c r="E1967" s="7" t="s">
        <v>1132</v>
      </c>
      <c r="F1967" s="7" t="s">
        <v>663</v>
      </c>
      <c r="G1967" s="7">
        <v>177</v>
      </c>
      <c r="H1967" s="7" t="s">
        <v>883</v>
      </c>
      <c r="I1967" s="7" t="s">
        <v>878</v>
      </c>
      <c r="J1967" s="7" t="s">
        <v>882</v>
      </c>
      <c r="M1967" s="7"/>
      <c r="N1967" s="7" t="s">
        <v>875</v>
      </c>
      <c r="P1967" s="126"/>
    </row>
    <row r="1968" spans="1:16" ht="15.75" customHeight="1">
      <c r="A1968" s="126">
        <v>46230.015752314801</v>
      </c>
      <c r="B1968" s="7">
        <v>12</v>
      </c>
      <c r="C1968" s="7">
        <v>681</v>
      </c>
      <c r="E1968" s="7" t="s">
        <v>1132</v>
      </c>
      <c r="F1968" s="7" t="s">
        <v>663</v>
      </c>
      <c r="G1968" s="7">
        <v>176</v>
      </c>
      <c r="H1968" s="7" t="s">
        <v>884</v>
      </c>
      <c r="I1968" s="7" t="s">
        <v>878</v>
      </c>
      <c r="J1968" s="7" t="s">
        <v>882</v>
      </c>
      <c r="M1968" s="7">
        <v>100</v>
      </c>
      <c r="N1968" s="7">
        <v>100</v>
      </c>
      <c r="O1968" s="126">
        <v>46226.334305555603</v>
      </c>
      <c r="P1968" s="126">
        <v>46226.334305555603</v>
      </c>
    </row>
    <row r="1969" spans="1:16" ht="15.75" customHeight="1">
      <c r="A1969" s="126">
        <v>46230.015752314801</v>
      </c>
      <c r="B1969" s="7">
        <v>12</v>
      </c>
      <c r="C1969" s="7">
        <v>681</v>
      </c>
      <c r="E1969" s="7" t="s">
        <v>1132</v>
      </c>
      <c r="F1969" s="7" t="s">
        <v>663</v>
      </c>
      <c r="G1969" s="7">
        <v>168</v>
      </c>
      <c r="H1969" s="7" t="s">
        <v>885</v>
      </c>
      <c r="I1969" s="7" t="s">
        <v>886</v>
      </c>
      <c r="J1969" s="7"/>
      <c r="M1969" s="7">
        <v>100</v>
      </c>
      <c r="N1969" s="7">
        <v>100</v>
      </c>
      <c r="P1969" s="126">
        <v>46216.355520833298</v>
      </c>
    </row>
    <row r="1970" spans="1:16" ht="15.75" customHeight="1">
      <c r="A1970" s="126">
        <v>46230.015752314801</v>
      </c>
      <c r="B1970" s="7">
        <v>12</v>
      </c>
      <c r="C1970" s="7">
        <v>640</v>
      </c>
      <c r="E1970" s="7" t="s">
        <v>1133</v>
      </c>
      <c r="F1970" s="7" t="s">
        <v>246</v>
      </c>
      <c r="G1970" s="7">
        <v>181</v>
      </c>
      <c r="H1970" s="7" t="s">
        <v>873</v>
      </c>
      <c r="I1970" s="7" t="s">
        <v>874</v>
      </c>
      <c r="J1970" s="7"/>
      <c r="M1970" s="7"/>
      <c r="N1970" s="7" t="s">
        <v>875</v>
      </c>
      <c r="O1970" s="126"/>
      <c r="P1970" s="126"/>
    </row>
    <row r="1971" spans="1:16" ht="15.75" customHeight="1">
      <c r="A1971" s="126">
        <v>46230.015752314801</v>
      </c>
      <c r="B1971" s="7">
        <v>12</v>
      </c>
      <c r="C1971" s="7">
        <v>640</v>
      </c>
      <c r="E1971" s="7" t="s">
        <v>1133</v>
      </c>
      <c r="F1971" s="7" t="s">
        <v>246</v>
      </c>
      <c r="G1971" s="7">
        <v>182</v>
      </c>
      <c r="H1971" s="7" t="s">
        <v>876</v>
      </c>
      <c r="I1971" s="7" t="s">
        <v>874</v>
      </c>
      <c r="J1971" s="7"/>
      <c r="M1971" s="7"/>
      <c r="N1971" s="7" t="s">
        <v>875</v>
      </c>
      <c r="O1971" s="126"/>
      <c r="P1971" s="126"/>
    </row>
    <row r="1972" spans="1:16" ht="15.75" customHeight="1">
      <c r="A1972" s="126">
        <v>46230.015752314801</v>
      </c>
      <c r="B1972" s="7">
        <v>12</v>
      </c>
      <c r="C1972" s="7">
        <v>640</v>
      </c>
      <c r="E1972" s="7" t="s">
        <v>1133</v>
      </c>
      <c r="F1972" s="7" t="s">
        <v>246</v>
      </c>
      <c r="G1972" s="7">
        <v>174</v>
      </c>
      <c r="H1972" s="7" t="s">
        <v>877</v>
      </c>
      <c r="I1972" s="7" t="s">
        <v>878</v>
      </c>
      <c r="J1972" s="7" t="s">
        <v>879</v>
      </c>
      <c r="M1972" s="7">
        <v>100</v>
      </c>
      <c r="N1972" s="7">
        <v>100</v>
      </c>
      <c r="P1972" s="126">
        <v>46209.706932870402</v>
      </c>
    </row>
    <row r="1973" spans="1:16" ht="15.75" customHeight="1">
      <c r="A1973" s="126">
        <v>46230.015752314801</v>
      </c>
      <c r="B1973" s="7">
        <v>12</v>
      </c>
      <c r="C1973" s="7">
        <v>640</v>
      </c>
      <c r="E1973" s="7" t="s">
        <v>1133</v>
      </c>
      <c r="F1973" s="7" t="s">
        <v>246</v>
      </c>
      <c r="G1973" s="7">
        <v>180</v>
      </c>
      <c r="H1973" s="7" t="s">
        <v>880</v>
      </c>
      <c r="I1973" s="7" t="s">
        <v>874</v>
      </c>
      <c r="J1973" s="7"/>
      <c r="M1973" s="7"/>
      <c r="N1973" s="7" t="s">
        <v>875</v>
      </c>
      <c r="P1973" s="126"/>
    </row>
    <row r="1974" spans="1:16" ht="15.75" customHeight="1">
      <c r="A1974" s="126">
        <v>46230.015752314801</v>
      </c>
      <c r="B1974" s="7">
        <v>12</v>
      </c>
      <c r="C1974" s="7">
        <v>640</v>
      </c>
      <c r="E1974" s="7" t="s">
        <v>1133</v>
      </c>
      <c r="F1974" s="7" t="s">
        <v>246</v>
      </c>
      <c r="G1974" s="7">
        <v>175</v>
      </c>
      <c r="H1974" s="7" t="s">
        <v>881</v>
      </c>
      <c r="I1974" s="7" t="s">
        <v>878</v>
      </c>
      <c r="J1974" s="7" t="s">
        <v>882</v>
      </c>
      <c r="M1974" s="7">
        <v>87.5</v>
      </c>
      <c r="N1974" s="7">
        <v>87.5</v>
      </c>
      <c r="O1974" s="126">
        <v>46216.744733796302</v>
      </c>
      <c r="P1974" s="126">
        <v>46216.744733796302</v>
      </c>
    </row>
    <row r="1975" spans="1:16" ht="15.75" customHeight="1">
      <c r="A1975" s="126">
        <v>46230.015752314801</v>
      </c>
      <c r="B1975" s="7">
        <v>12</v>
      </c>
      <c r="C1975" s="7">
        <v>640</v>
      </c>
      <c r="E1975" s="7" t="s">
        <v>1133</v>
      </c>
      <c r="F1975" s="7" t="s">
        <v>246</v>
      </c>
      <c r="G1975" s="7">
        <v>177</v>
      </c>
      <c r="H1975" s="7" t="s">
        <v>883</v>
      </c>
      <c r="I1975" s="7" t="s">
        <v>878</v>
      </c>
      <c r="J1975" s="7" t="s">
        <v>882</v>
      </c>
      <c r="M1975" s="7"/>
      <c r="N1975" s="7" t="s">
        <v>875</v>
      </c>
      <c r="P1975" s="126"/>
    </row>
    <row r="1976" spans="1:16" ht="15.75" customHeight="1">
      <c r="A1976" s="126">
        <v>46230.015752314801</v>
      </c>
      <c r="B1976" s="7">
        <v>12</v>
      </c>
      <c r="C1976" s="7">
        <v>640</v>
      </c>
      <c r="E1976" s="7" t="s">
        <v>1133</v>
      </c>
      <c r="F1976" s="7" t="s">
        <v>246</v>
      </c>
      <c r="G1976" s="7">
        <v>176</v>
      </c>
      <c r="H1976" s="7" t="s">
        <v>884</v>
      </c>
      <c r="I1976" s="7" t="s">
        <v>878</v>
      </c>
      <c r="J1976" s="7" t="s">
        <v>882</v>
      </c>
      <c r="M1976" s="7">
        <v>90</v>
      </c>
      <c r="N1976" s="7">
        <v>90</v>
      </c>
      <c r="O1976" s="126">
        <v>46223.746990740699</v>
      </c>
      <c r="P1976" s="126">
        <v>46223.793657407397</v>
      </c>
    </row>
    <row r="1977" spans="1:16" ht="15.75" customHeight="1">
      <c r="A1977" s="126">
        <v>46230.015752314801</v>
      </c>
      <c r="B1977" s="7">
        <v>12</v>
      </c>
      <c r="C1977" s="7">
        <v>640</v>
      </c>
      <c r="E1977" s="7" t="s">
        <v>1133</v>
      </c>
      <c r="F1977" s="7" t="s">
        <v>246</v>
      </c>
      <c r="G1977" s="7">
        <v>168</v>
      </c>
      <c r="H1977" s="7" t="s">
        <v>885</v>
      </c>
      <c r="I1977" s="7" t="s">
        <v>886</v>
      </c>
      <c r="J1977" s="7"/>
      <c r="M1977" s="7">
        <v>100</v>
      </c>
      <c r="N1977" s="7">
        <v>100</v>
      </c>
      <c r="O1977" s="126"/>
      <c r="P1977" s="126">
        <v>46209.706932870402</v>
      </c>
    </row>
    <row r="1978" spans="1:16" ht="15.75" customHeight="1">
      <c r="A1978" s="126">
        <v>46230.015752314801</v>
      </c>
      <c r="B1978" s="7">
        <v>12</v>
      </c>
      <c r="C1978" s="7">
        <v>641</v>
      </c>
      <c r="E1978" s="7" t="s">
        <v>1134</v>
      </c>
      <c r="F1978" s="7" t="s">
        <v>350</v>
      </c>
      <c r="G1978" s="7">
        <v>181</v>
      </c>
      <c r="H1978" s="7" t="s">
        <v>873</v>
      </c>
      <c r="I1978" s="7" t="s">
        <v>874</v>
      </c>
      <c r="J1978" s="7"/>
      <c r="M1978" s="7"/>
      <c r="N1978" s="7" t="s">
        <v>875</v>
      </c>
      <c r="P1978" s="126"/>
    </row>
    <row r="1979" spans="1:16" ht="15.75" customHeight="1">
      <c r="A1979" s="126">
        <v>46230.015752314801</v>
      </c>
      <c r="B1979" s="7">
        <v>12</v>
      </c>
      <c r="C1979" s="7">
        <v>641</v>
      </c>
      <c r="E1979" s="7" t="s">
        <v>1134</v>
      </c>
      <c r="F1979" s="7" t="s">
        <v>350</v>
      </c>
      <c r="G1979" s="7">
        <v>182</v>
      </c>
      <c r="H1979" s="7" t="s">
        <v>876</v>
      </c>
      <c r="I1979" s="7" t="s">
        <v>874</v>
      </c>
      <c r="J1979" s="7"/>
      <c r="M1979" s="7"/>
      <c r="N1979" s="7" t="s">
        <v>875</v>
      </c>
      <c r="O1979" s="126"/>
      <c r="P1979" s="126"/>
    </row>
    <row r="1980" spans="1:16" ht="15.75" customHeight="1">
      <c r="A1980" s="126">
        <v>46230.015752314801</v>
      </c>
      <c r="B1980" s="7">
        <v>12</v>
      </c>
      <c r="C1980" s="7">
        <v>641</v>
      </c>
      <c r="E1980" s="7" t="s">
        <v>1134</v>
      </c>
      <c r="F1980" s="7" t="s">
        <v>350</v>
      </c>
      <c r="G1980" s="7">
        <v>174</v>
      </c>
      <c r="H1980" s="7" t="s">
        <v>877</v>
      </c>
      <c r="I1980" s="7" t="s">
        <v>878</v>
      </c>
      <c r="J1980" s="7" t="s">
        <v>879</v>
      </c>
      <c r="M1980" s="7">
        <v>100</v>
      </c>
      <c r="N1980" s="7">
        <v>100</v>
      </c>
      <c r="O1980" s="126"/>
      <c r="P1980" s="126">
        <v>46209.706932870402</v>
      </c>
    </row>
    <row r="1981" spans="1:16" ht="15.75" customHeight="1">
      <c r="A1981" s="126">
        <v>46230.015752314801</v>
      </c>
      <c r="B1981" s="7">
        <v>12</v>
      </c>
      <c r="C1981" s="7">
        <v>641</v>
      </c>
      <c r="E1981" s="7" t="s">
        <v>1134</v>
      </c>
      <c r="F1981" s="7" t="s">
        <v>350</v>
      </c>
      <c r="G1981" s="7">
        <v>180</v>
      </c>
      <c r="H1981" s="7" t="s">
        <v>880</v>
      </c>
      <c r="I1981" s="7" t="s">
        <v>874</v>
      </c>
      <c r="J1981" s="7"/>
      <c r="M1981" s="7"/>
      <c r="N1981" s="7" t="s">
        <v>875</v>
      </c>
      <c r="O1981" s="126"/>
      <c r="P1981" s="126"/>
    </row>
    <row r="1982" spans="1:16" ht="15.75" customHeight="1">
      <c r="A1982" s="126">
        <v>46230.015752314801</v>
      </c>
      <c r="B1982" s="7">
        <v>12</v>
      </c>
      <c r="C1982" s="7">
        <v>641</v>
      </c>
      <c r="D1982" s="7"/>
      <c r="E1982" s="7" t="s">
        <v>1134</v>
      </c>
      <c r="F1982" s="7" t="s">
        <v>350</v>
      </c>
      <c r="G1982" s="7">
        <v>175</v>
      </c>
      <c r="H1982" s="7" t="s">
        <v>881</v>
      </c>
      <c r="I1982" s="7" t="s">
        <v>878</v>
      </c>
      <c r="J1982" s="7" t="s">
        <v>882</v>
      </c>
      <c r="M1982" s="7">
        <v>75</v>
      </c>
      <c r="N1982" s="7">
        <v>75</v>
      </c>
      <c r="O1982" s="126">
        <v>46226.792129629597</v>
      </c>
      <c r="P1982" s="126">
        <v>46226.792129629597</v>
      </c>
    </row>
    <row r="1983" spans="1:16" ht="15.75" customHeight="1">
      <c r="A1983" s="126">
        <v>46230.015752314801</v>
      </c>
      <c r="B1983" s="7">
        <v>12</v>
      </c>
      <c r="C1983" s="7">
        <v>641</v>
      </c>
      <c r="D1983" s="7"/>
      <c r="E1983" s="7" t="s">
        <v>1134</v>
      </c>
      <c r="F1983" s="7" t="s">
        <v>350</v>
      </c>
      <c r="G1983" s="7">
        <v>177</v>
      </c>
      <c r="H1983" s="7" t="s">
        <v>883</v>
      </c>
      <c r="I1983" s="7" t="s">
        <v>878</v>
      </c>
      <c r="J1983" s="7" t="s">
        <v>882</v>
      </c>
      <c r="M1983" s="7"/>
      <c r="N1983" s="7" t="s">
        <v>875</v>
      </c>
      <c r="P1983" s="126"/>
    </row>
    <row r="1984" spans="1:16" ht="15.75" customHeight="1">
      <c r="A1984" s="126">
        <v>46230.015752314801</v>
      </c>
      <c r="B1984" s="7">
        <v>12</v>
      </c>
      <c r="C1984" s="7">
        <v>641</v>
      </c>
      <c r="D1984" s="7"/>
      <c r="E1984" s="7" t="s">
        <v>1134</v>
      </c>
      <c r="F1984" s="7" t="s">
        <v>350</v>
      </c>
      <c r="G1984" s="7">
        <v>176</v>
      </c>
      <c r="H1984" s="7" t="s">
        <v>884</v>
      </c>
      <c r="I1984" s="7" t="s">
        <v>878</v>
      </c>
      <c r="J1984" s="7" t="s">
        <v>882</v>
      </c>
      <c r="M1984" s="7">
        <v>100</v>
      </c>
      <c r="N1984" s="7">
        <v>100</v>
      </c>
      <c r="O1984" s="126">
        <v>46224.3753587963</v>
      </c>
      <c r="P1984" s="126">
        <v>46224.3753587963</v>
      </c>
    </row>
    <row r="1985" spans="1:16" ht="15.75" customHeight="1">
      <c r="A1985" s="126">
        <v>46230.015752314801</v>
      </c>
      <c r="B1985" s="7">
        <v>12</v>
      </c>
      <c r="C1985" s="7">
        <v>641</v>
      </c>
      <c r="D1985" s="7"/>
      <c r="E1985" s="7" t="s">
        <v>1134</v>
      </c>
      <c r="F1985" s="7" t="s">
        <v>350</v>
      </c>
      <c r="G1985" s="7">
        <v>168</v>
      </c>
      <c r="H1985" s="7" t="s">
        <v>885</v>
      </c>
      <c r="I1985" s="7" t="s">
        <v>886</v>
      </c>
      <c r="J1985" s="7"/>
      <c r="M1985" s="7">
        <v>100</v>
      </c>
      <c r="N1985" s="7">
        <v>100</v>
      </c>
      <c r="P1985" s="126">
        <v>46209.706932870402</v>
      </c>
    </row>
    <row r="1986" spans="1:16" ht="15.75" customHeight="1">
      <c r="A1986" s="126">
        <v>46230.015752314801</v>
      </c>
      <c r="B1986" s="7">
        <v>12</v>
      </c>
      <c r="C1986" s="7">
        <v>736</v>
      </c>
      <c r="D1986" s="7"/>
      <c r="E1986" s="7" t="s">
        <v>1135</v>
      </c>
      <c r="F1986" s="7" t="s">
        <v>248</v>
      </c>
      <c r="G1986" s="7">
        <v>181</v>
      </c>
      <c r="H1986" s="7" t="s">
        <v>873</v>
      </c>
      <c r="I1986" s="7" t="s">
        <v>874</v>
      </c>
      <c r="J1986" s="7"/>
      <c r="M1986" s="7"/>
      <c r="N1986" s="7" t="s">
        <v>875</v>
      </c>
      <c r="O1986" s="126"/>
      <c r="P1986" s="126"/>
    </row>
    <row r="1987" spans="1:16" ht="15.75" customHeight="1">
      <c r="A1987" s="126">
        <v>46230.015752314801</v>
      </c>
      <c r="B1987" s="7">
        <v>12</v>
      </c>
      <c r="C1987" s="7">
        <v>736</v>
      </c>
      <c r="D1987" s="7"/>
      <c r="E1987" s="7" t="s">
        <v>1135</v>
      </c>
      <c r="F1987" s="7" t="s">
        <v>248</v>
      </c>
      <c r="G1987" s="7">
        <v>182</v>
      </c>
      <c r="H1987" s="7" t="s">
        <v>876</v>
      </c>
      <c r="I1987" s="7" t="s">
        <v>874</v>
      </c>
      <c r="J1987" s="7"/>
      <c r="M1987" s="7"/>
      <c r="N1987" s="7" t="s">
        <v>875</v>
      </c>
      <c r="P1987" s="126"/>
    </row>
    <row r="1988" spans="1:16" ht="15.75" customHeight="1">
      <c r="A1988" s="126">
        <v>46230.015752314801</v>
      </c>
      <c r="B1988" s="7">
        <v>12</v>
      </c>
      <c r="C1988" s="7">
        <v>736</v>
      </c>
      <c r="D1988" s="7"/>
      <c r="E1988" s="7" t="s">
        <v>1135</v>
      </c>
      <c r="F1988" s="7" t="s">
        <v>248</v>
      </c>
      <c r="G1988" s="7">
        <v>174</v>
      </c>
      <c r="H1988" s="7" t="s">
        <v>877</v>
      </c>
      <c r="I1988" s="7" t="s">
        <v>878</v>
      </c>
      <c r="J1988" s="7" t="s">
        <v>879</v>
      </c>
      <c r="M1988" s="7">
        <v>100</v>
      </c>
      <c r="N1988" s="7">
        <v>100</v>
      </c>
      <c r="O1988" s="126"/>
      <c r="P1988" s="126">
        <v>46214.923923611103</v>
      </c>
    </row>
    <row r="1989" spans="1:16" ht="15.75" customHeight="1">
      <c r="A1989" s="126">
        <v>46230.015752314801</v>
      </c>
      <c r="B1989" s="7">
        <v>12</v>
      </c>
      <c r="C1989" s="7">
        <v>736</v>
      </c>
      <c r="D1989" s="7"/>
      <c r="E1989" s="7" t="s">
        <v>1135</v>
      </c>
      <c r="F1989" s="7" t="s">
        <v>248</v>
      </c>
      <c r="G1989" s="7">
        <v>180</v>
      </c>
      <c r="H1989" s="7" t="s">
        <v>880</v>
      </c>
      <c r="I1989" s="7" t="s">
        <v>874</v>
      </c>
      <c r="J1989" s="7"/>
      <c r="M1989" s="7"/>
      <c r="N1989" s="7" t="s">
        <v>875</v>
      </c>
      <c r="O1989" s="126"/>
      <c r="P1989" s="126"/>
    </row>
    <row r="1990" spans="1:16" ht="15.75" customHeight="1">
      <c r="A1990" s="126">
        <v>46230.015752314801</v>
      </c>
      <c r="B1990" s="7">
        <v>12</v>
      </c>
      <c r="C1990" s="7">
        <v>736</v>
      </c>
      <c r="D1990" s="7"/>
      <c r="E1990" s="7" t="s">
        <v>1135</v>
      </c>
      <c r="F1990" s="7" t="s">
        <v>248</v>
      </c>
      <c r="G1990" s="7">
        <v>175</v>
      </c>
      <c r="H1990" s="7" t="s">
        <v>881</v>
      </c>
      <c r="I1990" s="7" t="s">
        <v>878</v>
      </c>
      <c r="J1990" s="7" t="s">
        <v>882</v>
      </c>
      <c r="M1990" s="7">
        <v>87.5</v>
      </c>
      <c r="N1990" s="7">
        <v>87.5</v>
      </c>
      <c r="O1990" s="126">
        <v>46215.756087962996</v>
      </c>
      <c r="P1990" s="126">
        <v>46215.756087962996</v>
      </c>
    </row>
    <row r="1991" spans="1:16" ht="15.75" customHeight="1">
      <c r="A1991" s="126">
        <v>46230.015752314801</v>
      </c>
      <c r="B1991" s="7">
        <v>12</v>
      </c>
      <c r="C1991" s="7">
        <v>736</v>
      </c>
      <c r="D1991" s="7"/>
      <c r="E1991" s="7" t="s">
        <v>1135</v>
      </c>
      <c r="F1991" s="7" t="s">
        <v>248</v>
      </c>
      <c r="G1991" s="7">
        <v>177</v>
      </c>
      <c r="H1991" s="7" t="s">
        <v>883</v>
      </c>
      <c r="I1991" s="7" t="s">
        <v>878</v>
      </c>
      <c r="J1991" s="7" t="s">
        <v>882</v>
      </c>
      <c r="M1991" s="7"/>
      <c r="N1991" s="7" t="s">
        <v>875</v>
      </c>
      <c r="P1991" s="126"/>
    </row>
    <row r="1992" spans="1:16" ht="15.75" customHeight="1">
      <c r="A1992" s="126">
        <v>46230.015752314801</v>
      </c>
      <c r="B1992" s="7">
        <v>12</v>
      </c>
      <c r="C1992" s="7">
        <v>736</v>
      </c>
      <c r="D1992" s="7"/>
      <c r="E1992" s="7" t="s">
        <v>1135</v>
      </c>
      <c r="F1992" s="7" t="s">
        <v>248</v>
      </c>
      <c r="G1992" s="7">
        <v>176</v>
      </c>
      <c r="H1992" s="7" t="s">
        <v>884</v>
      </c>
      <c r="I1992" s="7" t="s">
        <v>878</v>
      </c>
      <c r="J1992" s="7" t="s">
        <v>882</v>
      </c>
      <c r="M1992" s="7"/>
      <c r="N1992" s="7" t="s">
        <v>875</v>
      </c>
      <c r="P1992" s="126"/>
    </row>
    <row r="1993" spans="1:16" ht="15.75" customHeight="1">
      <c r="A1993" s="126">
        <v>46230.015752314801</v>
      </c>
      <c r="B1993" s="7">
        <v>12</v>
      </c>
      <c r="C1993" s="7">
        <v>736</v>
      </c>
      <c r="D1993" s="7"/>
      <c r="E1993" s="7" t="s">
        <v>1135</v>
      </c>
      <c r="F1993" s="7" t="s">
        <v>248</v>
      </c>
      <c r="G1993" s="7">
        <v>168</v>
      </c>
      <c r="H1993" s="7" t="s">
        <v>885</v>
      </c>
      <c r="I1993" s="7" t="s">
        <v>886</v>
      </c>
      <c r="J1993" s="7"/>
      <c r="M1993" s="7">
        <v>100</v>
      </c>
      <c r="N1993" s="7">
        <v>100</v>
      </c>
      <c r="P1993" s="126">
        <v>46214.923923611103</v>
      </c>
    </row>
    <row r="1994" spans="1:16" ht="15.75" customHeight="1">
      <c r="A1994" s="126">
        <v>46230.015752314801</v>
      </c>
      <c r="B1994" s="7">
        <v>12</v>
      </c>
      <c r="C1994" s="7">
        <v>737</v>
      </c>
      <c r="D1994" s="7"/>
      <c r="E1994" s="7" t="s">
        <v>1136</v>
      </c>
      <c r="F1994" s="7" t="s">
        <v>179</v>
      </c>
      <c r="G1994" s="7">
        <v>181</v>
      </c>
      <c r="H1994" s="7" t="s">
        <v>873</v>
      </c>
      <c r="I1994" s="7" t="s">
        <v>874</v>
      </c>
      <c r="M1994" s="7"/>
      <c r="N1994" s="7" t="s">
        <v>875</v>
      </c>
      <c r="P1994" s="126"/>
    </row>
    <row r="1995" spans="1:16" ht="15.75" customHeight="1">
      <c r="A1995" s="126">
        <v>46230.015752314801</v>
      </c>
      <c r="B1995" s="7">
        <v>12</v>
      </c>
      <c r="C1995" s="7">
        <v>737</v>
      </c>
      <c r="D1995" s="7"/>
      <c r="E1995" s="7" t="s">
        <v>1136</v>
      </c>
      <c r="F1995" s="7" t="s">
        <v>179</v>
      </c>
      <c r="G1995" s="7">
        <v>182</v>
      </c>
      <c r="H1995" s="7" t="s">
        <v>876</v>
      </c>
      <c r="I1995" s="7" t="s">
        <v>874</v>
      </c>
      <c r="J1995" s="7"/>
      <c r="M1995" s="7"/>
      <c r="N1995" s="7" t="s">
        <v>875</v>
      </c>
      <c r="P1995" s="126"/>
    </row>
    <row r="1996" spans="1:16" ht="15.75" customHeight="1">
      <c r="A1996" s="126">
        <v>46230.015752314801</v>
      </c>
      <c r="B1996" s="7">
        <v>12</v>
      </c>
      <c r="C1996" s="7">
        <v>737</v>
      </c>
      <c r="D1996" s="7"/>
      <c r="E1996" s="7" t="s">
        <v>1136</v>
      </c>
      <c r="F1996" s="7" t="s">
        <v>179</v>
      </c>
      <c r="G1996" s="7">
        <v>174</v>
      </c>
      <c r="H1996" s="7" t="s">
        <v>877</v>
      </c>
      <c r="I1996" s="7" t="s">
        <v>878</v>
      </c>
      <c r="J1996" s="7" t="s">
        <v>879</v>
      </c>
      <c r="M1996" s="7">
        <v>100</v>
      </c>
      <c r="N1996" s="7">
        <v>100</v>
      </c>
      <c r="P1996" s="126">
        <v>46209.706979166702</v>
      </c>
    </row>
    <row r="1997" spans="1:16" ht="15.75" customHeight="1">
      <c r="A1997" s="126">
        <v>46230.015752314801</v>
      </c>
      <c r="B1997" s="7">
        <v>12</v>
      </c>
      <c r="C1997" s="7">
        <v>737</v>
      </c>
      <c r="D1997" s="7"/>
      <c r="E1997" s="7" t="s">
        <v>1136</v>
      </c>
      <c r="F1997" s="7" t="s">
        <v>179</v>
      </c>
      <c r="G1997" s="7">
        <v>180</v>
      </c>
      <c r="H1997" s="7" t="s">
        <v>880</v>
      </c>
      <c r="I1997" s="7" t="s">
        <v>874</v>
      </c>
      <c r="J1997" s="7"/>
      <c r="M1997" s="7"/>
      <c r="N1997" s="7" t="s">
        <v>875</v>
      </c>
      <c r="O1997" s="126"/>
      <c r="P1997" s="126"/>
    </row>
    <row r="1998" spans="1:16" ht="15.75" customHeight="1">
      <c r="A1998" s="126">
        <v>46230.015752314801</v>
      </c>
      <c r="B1998" s="7">
        <v>12</v>
      </c>
      <c r="C1998" s="7">
        <v>737</v>
      </c>
      <c r="D1998" s="7"/>
      <c r="E1998" s="7" t="s">
        <v>1136</v>
      </c>
      <c r="F1998" s="7" t="s">
        <v>179</v>
      </c>
      <c r="G1998" s="7">
        <v>175</v>
      </c>
      <c r="H1998" s="7" t="s">
        <v>881</v>
      </c>
      <c r="I1998" s="7" t="s">
        <v>878</v>
      </c>
      <c r="J1998" s="7" t="s">
        <v>882</v>
      </c>
      <c r="M1998" s="7">
        <v>87.5</v>
      </c>
      <c r="N1998" s="7">
        <v>87.5</v>
      </c>
      <c r="O1998" s="126">
        <v>46215.855069444398</v>
      </c>
      <c r="P1998" s="126">
        <v>46215.855069444398</v>
      </c>
    </row>
    <row r="1999" spans="1:16" ht="15.75" customHeight="1">
      <c r="A1999" s="126">
        <v>46230.015752314801</v>
      </c>
      <c r="B1999" s="7">
        <v>12</v>
      </c>
      <c r="C1999" s="7">
        <v>737</v>
      </c>
      <c r="D1999" s="7"/>
      <c r="E1999" s="7" t="s">
        <v>1136</v>
      </c>
      <c r="F1999" s="7" t="s">
        <v>179</v>
      </c>
      <c r="G1999" s="7">
        <v>177</v>
      </c>
      <c r="H1999" s="7" t="s">
        <v>883</v>
      </c>
      <c r="I1999" s="7" t="s">
        <v>878</v>
      </c>
      <c r="J1999" s="7" t="s">
        <v>882</v>
      </c>
      <c r="M1999" s="7"/>
      <c r="N1999" s="7" t="s">
        <v>875</v>
      </c>
      <c r="P1999" s="126"/>
    </row>
    <row r="2000" spans="1:16" ht="15.75" customHeight="1">
      <c r="A2000" s="126">
        <v>46230.015752314801</v>
      </c>
      <c r="B2000" s="7">
        <v>12</v>
      </c>
      <c r="C2000" s="7">
        <v>737</v>
      </c>
      <c r="D2000" s="7"/>
      <c r="E2000" s="7" t="s">
        <v>1136</v>
      </c>
      <c r="F2000" s="7" t="s">
        <v>179</v>
      </c>
      <c r="G2000" s="7">
        <v>176</v>
      </c>
      <c r="H2000" s="7" t="s">
        <v>884</v>
      </c>
      <c r="I2000" s="7" t="s">
        <v>878</v>
      </c>
      <c r="J2000" s="7" t="s">
        <v>882</v>
      </c>
      <c r="M2000" s="7">
        <v>100</v>
      </c>
      <c r="N2000" s="7">
        <v>100</v>
      </c>
      <c r="O2000" s="126">
        <v>46224.433657407397</v>
      </c>
      <c r="P2000" s="126">
        <v>46224.433657407397</v>
      </c>
    </row>
    <row r="2001" spans="1:16" ht="15.75" customHeight="1">
      <c r="A2001" s="126">
        <v>46230.015752314801</v>
      </c>
      <c r="B2001" s="7">
        <v>12</v>
      </c>
      <c r="C2001" s="7">
        <v>737</v>
      </c>
      <c r="D2001" s="7"/>
      <c r="E2001" s="7" t="s">
        <v>1136</v>
      </c>
      <c r="F2001" s="7" t="s">
        <v>179</v>
      </c>
      <c r="G2001" s="7">
        <v>168</v>
      </c>
      <c r="H2001" s="7" t="s">
        <v>885</v>
      </c>
      <c r="I2001" s="7" t="s">
        <v>886</v>
      </c>
      <c r="M2001" s="7">
        <v>100</v>
      </c>
      <c r="N2001" s="7">
        <v>100</v>
      </c>
      <c r="P2001" s="126">
        <v>46209.706979166702</v>
      </c>
    </row>
    <row r="2002" spans="1:16" ht="15.75" customHeight="1">
      <c r="A2002" s="126">
        <v>46230.015752314801</v>
      </c>
      <c r="B2002" s="7">
        <v>12</v>
      </c>
      <c r="C2002" s="7">
        <v>607</v>
      </c>
      <c r="D2002" s="7"/>
      <c r="E2002" s="7" t="s">
        <v>1137</v>
      </c>
      <c r="F2002" s="7" t="s">
        <v>789</v>
      </c>
      <c r="G2002" s="7">
        <v>181</v>
      </c>
      <c r="H2002" s="7" t="s">
        <v>873</v>
      </c>
      <c r="I2002" s="7" t="s">
        <v>874</v>
      </c>
      <c r="J2002" s="7"/>
      <c r="M2002" s="7"/>
      <c r="N2002" s="7" t="s">
        <v>875</v>
      </c>
      <c r="P2002" s="126"/>
    </row>
    <row r="2003" spans="1:16" ht="15.75" customHeight="1">
      <c r="A2003" s="126">
        <v>46230.015752314801</v>
      </c>
      <c r="B2003" s="7">
        <v>12</v>
      </c>
      <c r="C2003" s="7">
        <v>607</v>
      </c>
      <c r="D2003" s="7"/>
      <c r="E2003" s="7" t="s">
        <v>1137</v>
      </c>
      <c r="F2003" s="7" t="s">
        <v>789</v>
      </c>
      <c r="G2003" s="7">
        <v>182</v>
      </c>
      <c r="H2003" s="7" t="s">
        <v>876</v>
      </c>
      <c r="I2003" s="7" t="s">
        <v>874</v>
      </c>
      <c r="J2003" s="7"/>
      <c r="M2003" s="7"/>
      <c r="N2003" s="7" t="s">
        <v>875</v>
      </c>
      <c r="P2003" s="126"/>
    </row>
    <row r="2004" spans="1:16" ht="15.75" customHeight="1">
      <c r="A2004" s="126">
        <v>46230.015752314801</v>
      </c>
      <c r="B2004" s="7">
        <v>12</v>
      </c>
      <c r="C2004" s="7">
        <v>607</v>
      </c>
      <c r="D2004" s="7"/>
      <c r="E2004" s="7" t="s">
        <v>1137</v>
      </c>
      <c r="F2004" s="7" t="s">
        <v>789</v>
      </c>
      <c r="G2004" s="7">
        <v>174</v>
      </c>
      <c r="H2004" s="7" t="s">
        <v>877</v>
      </c>
      <c r="I2004" s="7" t="s">
        <v>878</v>
      </c>
      <c r="J2004" s="7" t="s">
        <v>879</v>
      </c>
      <c r="M2004" s="7">
        <v>100</v>
      </c>
      <c r="N2004" s="7">
        <v>100</v>
      </c>
      <c r="P2004" s="126">
        <v>46209.706944444399</v>
      </c>
    </row>
    <row r="2005" spans="1:16" ht="15.75" customHeight="1">
      <c r="A2005" s="126">
        <v>46230.015752314801</v>
      </c>
      <c r="B2005" s="7">
        <v>12</v>
      </c>
      <c r="C2005" s="7">
        <v>607</v>
      </c>
      <c r="D2005" s="7"/>
      <c r="E2005" s="7" t="s">
        <v>1137</v>
      </c>
      <c r="F2005" s="7" t="s">
        <v>789</v>
      </c>
      <c r="G2005" s="7">
        <v>180</v>
      </c>
      <c r="H2005" s="7" t="s">
        <v>880</v>
      </c>
      <c r="I2005" s="7" t="s">
        <v>874</v>
      </c>
      <c r="J2005" s="7"/>
      <c r="M2005" s="7"/>
      <c r="N2005" s="7" t="s">
        <v>875</v>
      </c>
      <c r="O2005" s="126"/>
      <c r="P2005" s="126"/>
    </row>
    <row r="2006" spans="1:16" ht="15.75" customHeight="1">
      <c r="A2006" s="126">
        <v>46230.015752314801</v>
      </c>
      <c r="B2006" s="7">
        <v>12</v>
      </c>
      <c r="C2006" s="7">
        <v>607</v>
      </c>
      <c r="D2006" s="7"/>
      <c r="E2006" s="7" t="s">
        <v>1137</v>
      </c>
      <c r="F2006" s="7" t="s">
        <v>789</v>
      </c>
      <c r="G2006" s="7">
        <v>175</v>
      </c>
      <c r="H2006" s="7" t="s">
        <v>881</v>
      </c>
      <c r="I2006" s="7" t="s">
        <v>878</v>
      </c>
      <c r="J2006" s="7" t="s">
        <v>882</v>
      </c>
      <c r="M2006" s="7">
        <v>100</v>
      </c>
      <c r="N2006" s="7">
        <v>100</v>
      </c>
      <c r="O2006" s="126">
        <v>46215.738981481503</v>
      </c>
      <c r="P2006" s="126">
        <v>46215.738981481503</v>
      </c>
    </row>
    <row r="2007" spans="1:16" ht="15.75" customHeight="1">
      <c r="A2007" s="126">
        <v>46230.015752314801</v>
      </c>
      <c r="B2007" s="7">
        <v>12</v>
      </c>
      <c r="C2007" s="7">
        <v>607</v>
      </c>
      <c r="D2007" s="7"/>
      <c r="E2007" s="7" t="s">
        <v>1137</v>
      </c>
      <c r="F2007" s="7" t="s">
        <v>789</v>
      </c>
      <c r="G2007" s="7">
        <v>177</v>
      </c>
      <c r="H2007" s="7" t="s">
        <v>883</v>
      </c>
      <c r="I2007" s="7" t="s">
        <v>878</v>
      </c>
      <c r="J2007" s="7" t="s">
        <v>882</v>
      </c>
      <c r="M2007" s="7"/>
      <c r="N2007" s="7" t="s">
        <v>875</v>
      </c>
      <c r="O2007" s="126"/>
      <c r="P2007" s="126"/>
    </row>
    <row r="2008" spans="1:16" ht="15.75" customHeight="1">
      <c r="A2008" s="126">
        <v>46230.015752314801</v>
      </c>
      <c r="B2008" s="7">
        <v>12</v>
      </c>
      <c r="C2008" s="7">
        <v>607</v>
      </c>
      <c r="D2008" s="7"/>
      <c r="E2008" s="7" t="s">
        <v>1137</v>
      </c>
      <c r="F2008" s="7" t="s">
        <v>789</v>
      </c>
      <c r="G2008" s="7">
        <v>176</v>
      </c>
      <c r="H2008" s="7" t="s">
        <v>884</v>
      </c>
      <c r="I2008" s="7" t="s">
        <v>878</v>
      </c>
      <c r="J2008" s="7" t="s">
        <v>882</v>
      </c>
      <c r="M2008" s="7">
        <v>100</v>
      </c>
      <c r="N2008" s="7">
        <v>100</v>
      </c>
      <c r="O2008" s="126">
        <v>46228.347673611097</v>
      </c>
      <c r="P2008" s="126">
        <v>46228.347673611097</v>
      </c>
    </row>
    <row r="2009" spans="1:16" ht="15.75" customHeight="1">
      <c r="A2009" s="126">
        <v>46230.015752314801</v>
      </c>
      <c r="B2009" s="7">
        <v>12</v>
      </c>
      <c r="C2009" s="7">
        <v>607</v>
      </c>
      <c r="E2009" s="7" t="s">
        <v>1137</v>
      </c>
      <c r="F2009" s="7" t="s">
        <v>789</v>
      </c>
      <c r="G2009" s="7">
        <v>168</v>
      </c>
      <c r="H2009" s="7" t="s">
        <v>885</v>
      </c>
      <c r="I2009" s="7" t="s">
        <v>886</v>
      </c>
      <c r="M2009" s="7">
        <v>100</v>
      </c>
      <c r="N2009" s="7">
        <v>100</v>
      </c>
      <c r="P2009" s="126">
        <v>46209.706944444399</v>
      </c>
    </row>
    <row r="2010" spans="1:16" ht="15.75" customHeight="1">
      <c r="A2010" s="126">
        <v>46230.015752314801</v>
      </c>
      <c r="B2010" s="7">
        <v>12</v>
      </c>
      <c r="C2010" s="7">
        <v>769</v>
      </c>
      <c r="E2010" s="7" t="s">
        <v>1138</v>
      </c>
      <c r="F2010" s="7" t="s">
        <v>478</v>
      </c>
      <c r="G2010" s="7">
        <v>181</v>
      </c>
      <c r="H2010" s="7" t="s">
        <v>873</v>
      </c>
      <c r="I2010" s="7" t="s">
        <v>874</v>
      </c>
      <c r="M2010" s="7"/>
      <c r="N2010" s="7" t="s">
        <v>875</v>
      </c>
      <c r="P2010" s="126"/>
    </row>
    <row r="2011" spans="1:16" ht="15.75" customHeight="1">
      <c r="A2011" s="126">
        <v>46230.015752314801</v>
      </c>
      <c r="B2011" s="7">
        <v>12</v>
      </c>
      <c r="C2011" s="7">
        <v>769</v>
      </c>
      <c r="E2011" s="7" t="s">
        <v>1138</v>
      </c>
      <c r="F2011" s="7" t="s">
        <v>478</v>
      </c>
      <c r="G2011" s="7">
        <v>182</v>
      </c>
      <c r="H2011" s="7" t="s">
        <v>876</v>
      </c>
      <c r="I2011" s="7" t="s">
        <v>874</v>
      </c>
      <c r="J2011" s="7"/>
      <c r="M2011" s="7"/>
      <c r="N2011" s="7" t="s">
        <v>875</v>
      </c>
      <c r="P2011" s="126"/>
    </row>
    <row r="2012" spans="1:16" ht="15.75" customHeight="1">
      <c r="A2012" s="126">
        <v>46230.015752314801</v>
      </c>
      <c r="B2012" s="7">
        <v>12</v>
      </c>
      <c r="C2012" s="7">
        <v>769</v>
      </c>
      <c r="E2012" s="7" t="s">
        <v>1138</v>
      </c>
      <c r="F2012" s="7" t="s">
        <v>478</v>
      </c>
      <c r="G2012" s="7">
        <v>174</v>
      </c>
      <c r="H2012" s="7" t="s">
        <v>877</v>
      </c>
      <c r="I2012" s="7" t="s">
        <v>878</v>
      </c>
      <c r="J2012" s="7" t="s">
        <v>879</v>
      </c>
      <c r="M2012" s="7">
        <v>100</v>
      </c>
      <c r="N2012" s="7">
        <v>100</v>
      </c>
      <c r="P2012" s="126">
        <v>46209.706956018497</v>
      </c>
    </row>
    <row r="2013" spans="1:16" ht="15.75" customHeight="1">
      <c r="A2013" s="126">
        <v>46230.015752314801</v>
      </c>
      <c r="B2013" s="7">
        <v>12</v>
      </c>
      <c r="C2013" s="7">
        <v>769</v>
      </c>
      <c r="E2013" s="7" t="s">
        <v>1138</v>
      </c>
      <c r="F2013" s="7" t="s">
        <v>478</v>
      </c>
      <c r="G2013" s="7">
        <v>180</v>
      </c>
      <c r="H2013" s="7" t="s">
        <v>880</v>
      </c>
      <c r="I2013" s="7" t="s">
        <v>874</v>
      </c>
      <c r="J2013" s="7"/>
      <c r="M2013" s="7"/>
      <c r="N2013" s="7" t="s">
        <v>875</v>
      </c>
      <c r="O2013" s="126"/>
      <c r="P2013" s="126"/>
    </row>
    <row r="2014" spans="1:16" ht="15.75" customHeight="1">
      <c r="A2014" s="126">
        <v>46230.015752314801</v>
      </c>
      <c r="B2014" s="7">
        <v>12</v>
      </c>
      <c r="C2014" s="7">
        <v>769</v>
      </c>
      <c r="E2014" s="7" t="s">
        <v>1138</v>
      </c>
      <c r="F2014" s="7" t="s">
        <v>478</v>
      </c>
      <c r="G2014" s="7">
        <v>175</v>
      </c>
      <c r="H2014" s="7" t="s">
        <v>881</v>
      </c>
      <c r="I2014" s="7" t="s">
        <v>878</v>
      </c>
      <c r="J2014" s="7" t="s">
        <v>882</v>
      </c>
      <c r="M2014" s="7">
        <v>100</v>
      </c>
      <c r="N2014" s="7">
        <v>100</v>
      </c>
      <c r="O2014" s="126">
        <v>46216.597002314797</v>
      </c>
      <c r="P2014" s="126">
        <v>46216.597002314797</v>
      </c>
    </row>
    <row r="2015" spans="1:16" ht="15.75" customHeight="1">
      <c r="A2015" s="126">
        <v>46230.015752314801</v>
      </c>
      <c r="B2015" s="7">
        <v>12</v>
      </c>
      <c r="C2015" s="7">
        <v>769</v>
      </c>
      <c r="E2015" s="7" t="s">
        <v>1138</v>
      </c>
      <c r="F2015" s="7" t="s">
        <v>478</v>
      </c>
      <c r="G2015" s="7">
        <v>177</v>
      </c>
      <c r="H2015" s="7" t="s">
        <v>883</v>
      </c>
      <c r="I2015" s="7" t="s">
        <v>878</v>
      </c>
      <c r="J2015" s="7" t="s">
        <v>882</v>
      </c>
      <c r="M2015" s="7"/>
      <c r="N2015" s="7" t="s">
        <v>875</v>
      </c>
      <c r="O2015" s="126"/>
      <c r="P2015" s="126"/>
    </row>
    <row r="2016" spans="1:16" ht="15.75" customHeight="1">
      <c r="A2016" s="126">
        <v>46230.015752314801</v>
      </c>
      <c r="B2016" s="7">
        <v>12</v>
      </c>
      <c r="C2016" s="7">
        <v>769</v>
      </c>
      <c r="E2016" s="7" t="s">
        <v>1138</v>
      </c>
      <c r="F2016" s="7" t="s">
        <v>478</v>
      </c>
      <c r="G2016" s="7">
        <v>176</v>
      </c>
      <c r="H2016" s="7" t="s">
        <v>884</v>
      </c>
      <c r="I2016" s="7" t="s">
        <v>878</v>
      </c>
      <c r="J2016" s="7" t="s">
        <v>882</v>
      </c>
      <c r="M2016" s="7"/>
      <c r="N2016" s="7" t="s">
        <v>875</v>
      </c>
      <c r="P2016" s="126"/>
    </row>
    <row r="2017" spans="1:16" ht="15.75" customHeight="1">
      <c r="A2017" s="126">
        <v>46230.015752314801</v>
      </c>
      <c r="B2017" s="7">
        <v>12</v>
      </c>
      <c r="C2017" s="7">
        <v>769</v>
      </c>
      <c r="E2017" s="7" t="s">
        <v>1138</v>
      </c>
      <c r="F2017" s="7" t="s">
        <v>478</v>
      </c>
      <c r="G2017" s="7">
        <v>168</v>
      </c>
      <c r="H2017" s="7" t="s">
        <v>885</v>
      </c>
      <c r="I2017" s="7" t="s">
        <v>886</v>
      </c>
      <c r="M2017" s="7">
        <v>100</v>
      </c>
      <c r="N2017" s="7">
        <v>100</v>
      </c>
      <c r="P2017" s="126">
        <v>46209.706956018497</v>
      </c>
    </row>
    <row r="2018" spans="1:16" ht="15.75" customHeight="1">
      <c r="A2018" s="126">
        <v>46230.015752314801</v>
      </c>
      <c r="B2018" s="7">
        <v>12</v>
      </c>
      <c r="C2018" s="7">
        <v>631</v>
      </c>
      <c r="E2018" s="7" t="s">
        <v>1139</v>
      </c>
      <c r="F2018" s="7" t="s">
        <v>442</v>
      </c>
      <c r="G2018" s="7">
        <v>181</v>
      </c>
      <c r="H2018" s="7" t="s">
        <v>873</v>
      </c>
      <c r="I2018" s="7" t="s">
        <v>874</v>
      </c>
      <c r="M2018" s="7"/>
      <c r="N2018" s="7" t="s">
        <v>875</v>
      </c>
      <c r="P2018" s="126"/>
    </row>
    <row r="2019" spans="1:16" ht="15.75" customHeight="1">
      <c r="A2019" s="126">
        <v>46230.015752314801</v>
      </c>
      <c r="B2019" s="7">
        <v>12</v>
      </c>
      <c r="C2019" s="7">
        <v>631</v>
      </c>
      <c r="E2019" s="7" t="s">
        <v>1139</v>
      </c>
      <c r="F2019" s="7" t="s">
        <v>442</v>
      </c>
      <c r="G2019" s="7">
        <v>182</v>
      </c>
      <c r="H2019" s="7" t="s">
        <v>876</v>
      </c>
      <c r="I2019" s="7" t="s">
        <v>874</v>
      </c>
      <c r="J2019" s="7"/>
      <c r="M2019" s="7"/>
      <c r="N2019" s="7" t="s">
        <v>875</v>
      </c>
      <c r="P2019" s="126"/>
    </row>
    <row r="2020" spans="1:16" ht="15.75" customHeight="1">
      <c r="A2020" s="126">
        <v>46230.015752314801</v>
      </c>
      <c r="B2020" s="7">
        <v>12</v>
      </c>
      <c r="C2020" s="7">
        <v>631</v>
      </c>
      <c r="E2020" s="7" t="s">
        <v>1139</v>
      </c>
      <c r="F2020" s="7" t="s">
        <v>442</v>
      </c>
      <c r="G2020" s="7">
        <v>174</v>
      </c>
      <c r="H2020" s="7" t="s">
        <v>877</v>
      </c>
      <c r="I2020" s="7" t="s">
        <v>878</v>
      </c>
      <c r="J2020" s="7" t="s">
        <v>879</v>
      </c>
      <c r="M2020" s="7">
        <v>100</v>
      </c>
      <c r="N2020" s="7">
        <v>100</v>
      </c>
      <c r="P2020" s="126">
        <v>46209.706967592603</v>
      </c>
    </row>
    <row r="2021" spans="1:16" ht="15.75" customHeight="1">
      <c r="A2021" s="126">
        <v>46230.015752314801</v>
      </c>
      <c r="B2021" s="7">
        <v>12</v>
      </c>
      <c r="C2021" s="7">
        <v>631</v>
      </c>
      <c r="E2021" s="7" t="s">
        <v>1139</v>
      </c>
      <c r="F2021" s="7" t="s">
        <v>442</v>
      </c>
      <c r="G2021" s="7">
        <v>180</v>
      </c>
      <c r="H2021" s="7" t="s">
        <v>880</v>
      </c>
      <c r="I2021" s="7" t="s">
        <v>874</v>
      </c>
      <c r="J2021" s="7"/>
      <c r="M2021" s="7"/>
      <c r="N2021" s="7" t="s">
        <v>875</v>
      </c>
      <c r="P2021" s="126"/>
    </row>
    <row r="2022" spans="1:16" ht="15.75" customHeight="1">
      <c r="A2022" s="126">
        <v>46230.015752314801</v>
      </c>
      <c r="B2022" s="7">
        <v>12</v>
      </c>
      <c r="C2022" s="7">
        <v>631</v>
      </c>
      <c r="E2022" s="7" t="s">
        <v>1139</v>
      </c>
      <c r="F2022" s="7" t="s">
        <v>442</v>
      </c>
      <c r="G2022" s="7">
        <v>175</v>
      </c>
      <c r="H2022" s="7" t="s">
        <v>881</v>
      </c>
      <c r="I2022" s="7" t="s">
        <v>878</v>
      </c>
      <c r="J2022" s="7" t="s">
        <v>882</v>
      </c>
      <c r="M2022" s="7">
        <v>87.5</v>
      </c>
      <c r="N2022" s="7">
        <v>87.5</v>
      </c>
      <c r="O2022" s="126">
        <v>46229.999305555597</v>
      </c>
      <c r="P2022" s="126">
        <v>46230.000023148103</v>
      </c>
    </row>
    <row r="2023" spans="1:16" ht="15.75" customHeight="1">
      <c r="A2023" s="126">
        <v>46230.015752314801</v>
      </c>
      <c r="B2023" s="7">
        <v>12</v>
      </c>
      <c r="C2023" s="7">
        <v>631</v>
      </c>
      <c r="E2023" s="7" t="s">
        <v>1139</v>
      </c>
      <c r="F2023" s="7" t="s">
        <v>442</v>
      </c>
      <c r="G2023" s="7">
        <v>177</v>
      </c>
      <c r="H2023" s="7" t="s">
        <v>883</v>
      </c>
      <c r="I2023" s="7" t="s">
        <v>878</v>
      </c>
      <c r="J2023" s="7" t="s">
        <v>882</v>
      </c>
      <c r="M2023" s="7"/>
      <c r="N2023" s="7" t="s">
        <v>875</v>
      </c>
      <c r="P2023" s="126"/>
    </row>
    <row r="2024" spans="1:16" ht="15.75" customHeight="1">
      <c r="A2024" s="126">
        <v>46230.015752314801</v>
      </c>
      <c r="B2024" s="7">
        <v>12</v>
      </c>
      <c r="C2024" s="7">
        <v>631</v>
      </c>
      <c r="E2024" s="7" t="s">
        <v>1139</v>
      </c>
      <c r="F2024" s="7" t="s">
        <v>442</v>
      </c>
      <c r="G2024" s="7">
        <v>176</v>
      </c>
      <c r="H2024" s="7" t="s">
        <v>884</v>
      </c>
      <c r="I2024" s="7" t="s">
        <v>878</v>
      </c>
      <c r="J2024" s="7" t="s">
        <v>882</v>
      </c>
      <c r="M2024" s="7">
        <v>100</v>
      </c>
      <c r="N2024" s="7">
        <v>100</v>
      </c>
      <c r="O2024" s="126">
        <v>46226.708969907399</v>
      </c>
      <c r="P2024" s="126">
        <v>46226.708969907399</v>
      </c>
    </row>
    <row r="2025" spans="1:16" ht="15.75" customHeight="1">
      <c r="A2025" s="126">
        <v>46230.015752314801</v>
      </c>
      <c r="B2025" s="7">
        <v>12</v>
      </c>
      <c r="C2025" s="7">
        <v>631</v>
      </c>
      <c r="E2025" s="7" t="s">
        <v>1139</v>
      </c>
      <c r="F2025" s="7" t="s">
        <v>442</v>
      </c>
      <c r="G2025" s="7">
        <v>168</v>
      </c>
      <c r="H2025" s="7" t="s">
        <v>885</v>
      </c>
      <c r="I2025" s="7" t="s">
        <v>886</v>
      </c>
      <c r="J2025" s="7"/>
      <c r="M2025" s="7">
        <v>100</v>
      </c>
      <c r="N2025" s="7">
        <v>100</v>
      </c>
      <c r="P2025" s="126">
        <v>46209.706967592603</v>
      </c>
    </row>
    <row r="2026" spans="1:16" ht="15.75" customHeight="1">
      <c r="A2026" s="126">
        <v>46230.015752314801</v>
      </c>
      <c r="B2026" s="7">
        <v>12</v>
      </c>
      <c r="C2026" s="7">
        <v>589</v>
      </c>
      <c r="E2026" s="7" t="s">
        <v>1140</v>
      </c>
      <c r="F2026" s="7" t="s">
        <v>454</v>
      </c>
      <c r="G2026" s="7">
        <v>181</v>
      </c>
      <c r="H2026" s="7" t="s">
        <v>873</v>
      </c>
      <c r="I2026" s="7" t="s">
        <v>874</v>
      </c>
      <c r="M2026" s="7"/>
      <c r="N2026" s="7" t="s">
        <v>875</v>
      </c>
      <c r="P2026" s="126"/>
    </row>
    <row r="2027" spans="1:16" ht="15.75" customHeight="1">
      <c r="A2027" s="126">
        <v>46230.015752314801</v>
      </c>
      <c r="B2027" s="7">
        <v>12</v>
      </c>
      <c r="C2027" s="7">
        <v>589</v>
      </c>
      <c r="D2027" s="7"/>
      <c r="E2027" s="7" t="s">
        <v>1140</v>
      </c>
      <c r="F2027" s="7" t="s">
        <v>454</v>
      </c>
      <c r="G2027" s="7">
        <v>182</v>
      </c>
      <c r="H2027" s="7" t="s">
        <v>876</v>
      </c>
      <c r="I2027" s="7" t="s">
        <v>874</v>
      </c>
      <c r="J2027" s="7"/>
      <c r="M2027" s="7"/>
      <c r="N2027" s="7" t="s">
        <v>875</v>
      </c>
      <c r="P2027" s="126"/>
    </row>
    <row r="2028" spans="1:16" ht="15.75" customHeight="1">
      <c r="A2028" s="126">
        <v>46230.015752314801</v>
      </c>
      <c r="B2028" s="7">
        <v>12</v>
      </c>
      <c r="C2028" s="7">
        <v>589</v>
      </c>
      <c r="D2028" s="7"/>
      <c r="E2028" s="7" t="s">
        <v>1140</v>
      </c>
      <c r="F2028" s="7" t="s">
        <v>454</v>
      </c>
      <c r="G2028" s="7">
        <v>174</v>
      </c>
      <c r="H2028" s="7" t="s">
        <v>877</v>
      </c>
      <c r="I2028" s="7" t="s">
        <v>878</v>
      </c>
      <c r="J2028" s="7" t="s">
        <v>879</v>
      </c>
      <c r="M2028" s="7">
        <v>100</v>
      </c>
      <c r="N2028" s="7">
        <v>100</v>
      </c>
      <c r="P2028" s="126">
        <v>46211.025601851798</v>
      </c>
    </row>
    <row r="2029" spans="1:16" ht="15.75" customHeight="1">
      <c r="A2029" s="126">
        <v>46230.015752314801</v>
      </c>
      <c r="B2029" s="7">
        <v>12</v>
      </c>
      <c r="C2029" s="7">
        <v>589</v>
      </c>
      <c r="D2029" s="7"/>
      <c r="E2029" s="7" t="s">
        <v>1140</v>
      </c>
      <c r="F2029" s="7" t="s">
        <v>454</v>
      </c>
      <c r="G2029" s="7">
        <v>180</v>
      </c>
      <c r="H2029" s="7" t="s">
        <v>880</v>
      </c>
      <c r="I2029" s="7" t="s">
        <v>874</v>
      </c>
      <c r="J2029" s="7"/>
      <c r="M2029" s="7"/>
      <c r="N2029" s="7" t="s">
        <v>875</v>
      </c>
      <c r="O2029" s="126"/>
      <c r="P2029" s="126"/>
    </row>
    <row r="2030" spans="1:16" ht="15.75" customHeight="1">
      <c r="A2030" s="126">
        <v>46230.015752314801</v>
      </c>
      <c r="B2030" s="7">
        <v>12</v>
      </c>
      <c r="C2030" s="7">
        <v>589</v>
      </c>
      <c r="D2030" s="7"/>
      <c r="E2030" s="7" t="s">
        <v>1140</v>
      </c>
      <c r="F2030" s="7" t="s">
        <v>454</v>
      </c>
      <c r="G2030" s="7">
        <v>175</v>
      </c>
      <c r="H2030" s="7" t="s">
        <v>881</v>
      </c>
      <c r="I2030" s="7" t="s">
        <v>878</v>
      </c>
      <c r="J2030" s="7" t="s">
        <v>882</v>
      </c>
      <c r="M2030" s="7">
        <v>100</v>
      </c>
      <c r="N2030" s="7">
        <v>100</v>
      </c>
      <c r="O2030" s="126">
        <v>46217.847615740699</v>
      </c>
      <c r="P2030" s="126">
        <v>46217.847615740699</v>
      </c>
    </row>
    <row r="2031" spans="1:16" ht="15.75" customHeight="1">
      <c r="A2031" s="126">
        <v>46230.015752314801</v>
      </c>
      <c r="B2031" s="7">
        <v>12</v>
      </c>
      <c r="C2031" s="7">
        <v>589</v>
      </c>
      <c r="D2031" s="7"/>
      <c r="E2031" s="7" t="s">
        <v>1140</v>
      </c>
      <c r="F2031" s="7" t="s">
        <v>454</v>
      </c>
      <c r="G2031" s="7">
        <v>177</v>
      </c>
      <c r="H2031" s="7" t="s">
        <v>883</v>
      </c>
      <c r="I2031" s="7" t="s">
        <v>878</v>
      </c>
      <c r="J2031" s="7" t="s">
        <v>882</v>
      </c>
      <c r="M2031" s="7"/>
      <c r="N2031" s="7" t="s">
        <v>875</v>
      </c>
      <c r="O2031" s="126"/>
      <c r="P2031" s="126"/>
    </row>
    <row r="2032" spans="1:16" ht="15.75" customHeight="1">
      <c r="A2032" s="126">
        <v>46230.015752314801</v>
      </c>
      <c r="B2032" s="7">
        <v>12</v>
      </c>
      <c r="C2032" s="7">
        <v>589</v>
      </c>
      <c r="D2032" s="7"/>
      <c r="E2032" s="7" t="s">
        <v>1140</v>
      </c>
      <c r="F2032" s="7" t="s">
        <v>454</v>
      </c>
      <c r="G2032" s="7">
        <v>176</v>
      </c>
      <c r="H2032" s="7" t="s">
        <v>884</v>
      </c>
      <c r="I2032" s="7" t="s">
        <v>878</v>
      </c>
      <c r="J2032" s="7" t="s">
        <v>882</v>
      </c>
      <c r="M2032" s="7">
        <v>100</v>
      </c>
      <c r="N2032" s="7">
        <v>100</v>
      </c>
      <c r="O2032" s="126">
        <v>46223.956678240698</v>
      </c>
      <c r="P2032" s="126">
        <v>46223.956678240698</v>
      </c>
    </row>
    <row r="2033" spans="1:16" ht="15.75" customHeight="1">
      <c r="A2033" s="126">
        <v>46230.015752314801</v>
      </c>
      <c r="B2033" s="7">
        <v>12</v>
      </c>
      <c r="C2033" s="7">
        <v>589</v>
      </c>
      <c r="D2033" s="7"/>
      <c r="E2033" s="7" t="s">
        <v>1140</v>
      </c>
      <c r="F2033" s="7" t="s">
        <v>454</v>
      </c>
      <c r="G2033" s="7">
        <v>168</v>
      </c>
      <c r="H2033" s="7" t="s">
        <v>885</v>
      </c>
      <c r="I2033" s="7" t="s">
        <v>886</v>
      </c>
      <c r="J2033" s="7"/>
      <c r="M2033" s="7">
        <v>100</v>
      </c>
      <c r="N2033" s="7">
        <v>100</v>
      </c>
      <c r="O2033" s="126"/>
      <c r="P2033" s="126">
        <v>46211.025601851798</v>
      </c>
    </row>
    <row r="2034" spans="1:16" ht="15.75" customHeight="1">
      <c r="A2034" s="126">
        <v>46230.015752314801</v>
      </c>
      <c r="B2034" s="7">
        <v>12</v>
      </c>
      <c r="C2034" s="7">
        <v>692</v>
      </c>
      <c r="D2034" s="7"/>
      <c r="E2034" s="7" t="s">
        <v>1141</v>
      </c>
      <c r="F2034" s="7" t="s">
        <v>281</v>
      </c>
      <c r="G2034" s="7">
        <v>181</v>
      </c>
      <c r="H2034" s="7" t="s">
        <v>873</v>
      </c>
      <c r="I2034" s="7" t="s">
        <v>874</v>
      </c>
      <c r="J2034" s="7"/>
      <c r="M2034" s="7"/>
      <c r="N2034" s="7" t="s">
        <v>875</v>
      </c>
      <c r="P2034" s="126"/>
    </row>
    <row r="2035" spans="1:16" ht="15.75" customHeight="1">
      <c r="A2035" s="126">
        <v>46230.015752314801</v>
      </c>
      <c r="B2035" s="7">
        <v>12</v>
      </c>
      <c r="C2035" s="7">
        <v>692</v>
      </c>
      <c r="D2035" s="7"/>
      <c r="E2035" s="7" t="s">
        <v>1141</v>
      </c>
      <c r="F2035" s="7" t="s">
        <v>281</v>
      </c>
      <c r="G2035" s="7">
        <v>182</v>
      </c>
      <c r="H2035" s="7" t="s">
        <v>876</v>
      </c>
      <c r="I2035" s="7" t="s">
        <v>874</v>
      </c>
      <c r="J2035" s="7"/>
      <c r="M2035" s="7"/>
      <c r="N2035" s="7" t="s">
        <v>875</v>
      </c>
      <c r="P2035" s="126"/>
    </row>
    <row r="2036" spans="1:16" ht="15.75" customHeight="1">
      <c r="A2036" s="126">
        <v>46230.015752314801</v>
      </c>
      <c r="B2036" s="7">
        <v>12</v>
      </c>
      <c r="C2036" s="7">
        <v>692</v>
      </c>
      <c r="D2036" s="7"/>
      <c r="E2036" s="7" t="s">
        <v>1141</v>
      </c>
      <c r="F2036" s="7" t="s">
        <v>281</v>
      </c>
      <c r="G2036" s="7">
        <v>174</v>
      </c>
      <c r="H2036" s="7" t="s">
        <v>877</v>
      </c>
      <c r="I2036" s="7" t="s">
        <v>878</v>
      </c>
      <c r="J2036" s="7" t="s">
        <v>879</v>
      </c>
      <c r="M2036" s="7">
        <v>100</v>
      </c>
      <c r="N2036" s="7">
        <v>100</v>
      </c>
      <c r="P2036" s="126">
        <v>46209.706979166702</v>
      </c>
    </row>
    <row r="2037" spans="1:16" ht="15.75" customHeight="1">
      <c r="A2037" s="126">
        <v>46230.015752314801</v>
      </c>
      <c r="B2037" s="7">
        <v>12</v>
      </c>
      <c r="C2037" s="7">
        <v>692</v>
      </c>
      <c r="D2037" s="7"/>
      <c r="E2037" s="7" t="s">
        <v>1141</v>
      </c>
      <c r="F2037" s="7" t="s">
        <v>281</v>
      </c>
      <c r="G2037" s="7">
        <v>180</v>
      </c>
      <c r="H2037" s="7" t="s">
        <v>880</v>
      </c>
      <c r="I2037" s="7" t="s">
        <v>874</v>
      </c>
      <c r="J2037" s="7"/>
      <c r="M2037" s="7"/>
      <c r="N2037" s="7" t="s">
        <v>875</v>
      </c>
      <c r="O2037" s="126"/>
      <c r="P2037" s="126"/>
    </row>
    <row r="2038" spans="1:16" ht="15.75" customHeight="1">
      <c r="A2038" s="126">
        <v>46230.015752314801</v>
      </c>
      <c r="B2038" s="7">
        <v>12</v>
      </c>
      <c r="C2038" s="7">
        <v>692</v>
      </c>
      <c r="D2038" s="7"/>
      <c r="E2038" s="7" t="s">
        <v>1141</v>
      </c>
      <c r="F2038" s="7" t="s">
        <v>281</v>
      </c>
      <c r="G2038" s="7">
        <v>175</v>
      </c>
      <c r="H2038" s="7" t="s">
        <v>881</v>
      </c>
      <c r="I2038" s="7" t="s">
        <v>878</v>
      </c>
      <c r="J2038" s="7" t="s">
        <v>882</v>
      </c>
      <c r="M2038" s="7">
        <v>75</v>
      </c>
      <c r="N2038" s="7">
        <v>75</v>
      </c>
      <c r="O2038" s="126">
        <v>46216.798935185201</v>
      </c>
      <c r="P2038" s="126">
        <v>46216.798935185201</v>
      </c>
    </row>
    <row r="2039" spans="1:16" ht="15.75" customHeight="1">
      <c r="A2039" s="126">
        <v>46230.015752314801</v>
      </c>
      <c r="B2039" s="7">
        <v>12</v>
      </c>
      <c r="C2039" s="7">
        <v>692</v>
      </c>
      <c r="D2039" s="7"/>
      <c r="E2039" s="7" t="s">
        <v>1141</v>
      </c>
      <c r="F2039" s="7" t="s">
        <v>281</v>
      </c>
      <c r="G2039" s="7">
        <v>177</v>
      </c>
      <c r="H2039" s="7" t="s">
        <v>883</v>
      </c>
      <c r="I2039" s="7" t="s">
        <v>878</v>
      </c>
      <c r="J2039" s="7" t="s">
        <v>882</v>
      </c>
      <c r="M2039" s="7"/>
      <c r="N2039" s="7" t="s">
        <v>875</v>
      </c>
      <c r="P2039" s="126"/>
    </row>
    <row r="2040" spans="1:16" ht="15.75" customHeight="1">
      <c r="A2040" s="126">
        <v>46230.015752314801</v>
      </c>
      <c r="B2040" s="7">
        <v>12</v>
      </c>
      <c r="C2040" s="7">
        <v>692</v>
      </c>
      <c r="D2040" s="7"/>
      <c r="E2040" s="7" t="s">
        <v>1141</v>
      </c>
      <c r="F2040" s="7" t="s">
        <v>281</v>
      </c>
      <c r="G2040" s="7">
        <v>176</v>
      </c>
      <c r="H2040" s="7" t="s">
        <v>884</v>
      </c>
      <c r="I2040" s="7" t="s">
        <v>878</v>
      </c>
      <c r="J2040" s="7" t="s">
        <v>882</v>
      </c>
      <c r="M2040" s="7">
        <v>100</v>
      </c>
      <c r="N2040" s="7">
        <v>100</v>
      </c>
      <c r="O2040" s="126">
        <v>46226.772187499999</v>
      </c>
      <c r="P2040" s="126">
        <v>46226.772187499999</v>
      </c>
    </row>
    <row r="2041" spans="1:16" ht="15.75" customHeight="1">
      <c r="A2041" s="126">
        <v>46230.015752314801</v>
      </c>
      <c r="B2041" s="7">
        <v>12</v>
      </c>
      <c r="C2041" s="7">
        <v>692</v>
      </c>
      <c r="D2041" s="7"/>
      <c r="E2041" s="7" t="s">
        <v>1141</v>
      </c>
      <c r="F2041" s="7" t="s">
        <v>281</v>
      </c>
      <c r="G2041" s="7">
        <v>168</v>
      </c>
      <c r="H2041" s="7" t="s">
        <v>885</v>
      </c>
      <c r="I2041" s="7" t="s">
        <v>886</v>
      </c>
      <c r="J2041" s="7"/>
      <c r="M2041" s="7">
        <v>100</v>
      </c>
      <c r="N2041" s="7">
        <v>100</v>
      </c>
      <c r="P2041" s="126">
        <v>46209.706979166702</v>
      </c>
    </row>
    <row r="2042" spans="1:16" ht="15.75" customHeight="1">
      <c r="A2042" s="126">
        <v>46230.015752314801</v>
      </c>
      <c r="B2042" s="7">
        <v>12</v>
      </c>
      <c r="C2042" s="7">
        <v>790</v>
      </c>
      <c r="D2042" s="7"/>
      <c r="E2042" s="7" t="s">
        <v>1142</v>
      </c>
      <c r="F2042" s="7" t="s">
        <v>764</v>
      </c>
      <c r="G2042" s="7">
        <v>181</v>
      </c>
      <c r="H2042" s="7" t="s">
        <v>873</v>
      </c>
      <c r="I2042" s="7" t="s">
        <v>874</v>
      </c>
      <c r="J2042" s="7"/>
      <c r="M2042" s="7"/>
      <c r="N2042" s="7" t="s">
        <v>875</v>
      </c>
      <c r="O2042" s="126"/>
      <c r="P2042" s="126"/>
    </row>
    <row r="2043" spans="1:16" ht="15.75" customHeight="1">
      <c r="A2043" s="126">
        <v>46230.015752314801</v>
      </c>
      <c r="B2043" s="7">
        <v>12</v>
      </c>
      <c r="C2043" s="7">
        <v>790</v>
      </c>
      <c r="D2043" s="7"/>
      <c r="E2043" s="7" t="s">
        <v>1142</v>
      </c>
      <c r="F2043" s="7" t="s">
        <v>764</v>
      </c>
      <c r="G2043" s="7">
        <v>182</v>
      </c>
      <c r="H2043" s="7" t="s">
        <v>876</v>
      </c>
      <c r="I2043" s="7" t="s">
        <v>874</v>
      </c>
      <c r="J2043" s="7"/>
      <c r="M2043" s="7"/>
      <c r="N2043" s="7" t="s">
        <v>875</v>
      </c>
      <c r="O2043" s="126"/>
      <c r="P2043" s="126"/>
    </row>
    <row r="2044" spans="1:16" ht="15.75" customHeight="1">
      <c r="A2044" s="126">
        <v>46230.015752314801</v>
      </c>
      <c r="B2044" s="7">
        <v>12</v>
      </c>
      <c r="C2044" s="7">
        <v>790</v>
      </c>
      <c r="D2044" s="7"/>
      <c r="E2044" s="7" t="s">
        <v>1142</v>
      </c>
      <c r="F2044" s="7" t="s">
        <v>764</v>
      </c>
      <c r="G2044" s="7">
        <v>174</v>
      </c>
      <c r="H2044" s="7" t="s">
        <v>877</v>
      </c>
      <c r="I2044" s="7" t="s">
        <v>878</v>
      </c>
      <c r="J2044" s="7" t="s">
        <v>879</v>
      </c>
      <c r="M2044" s="7">
        <v>100</v>
      </c>
      <c r="N2044" s="7">
        <v>100</v>
      </c>
      <c r="P2044" s="126">
        <v>46209.706967592603</v>
      </c>
    </row>
    <row r="2045" spans="1:16" ht="15.75" customHeight="1">
      <c r="A2045" s="126">
        <v>46230.015752314801</v>
      </c>
      <c r="B2045" s="7">
        <v>12</v>
      </c>
      <c r="C2045" s="7">
        <v>790</v>
      </c>
      <c r="D2045" s="7"/>
      <c r="E2045" s="7" t="s">
        <v>1142</v>
      </c>
      <c r="F2045" s="7" t="s">
        <v>764</v>
      </c>
      <c r="G2045" s="7">
        <v>180</v>
      </c>
      <c r="H2045" s="7" t="s">
        <v>880</v>
      </c>
      <c r="I2045" s="7" t="s">
        <v>874</v>
      </c>
      <c r="J2045" s="7"/>
      <c r="M2045" s="7"/>
      <c r="N2045" s="7" t="s">
        <v>875</v>
      </c>
      <c r="O2045" s="126"/>
      <c r="P2045" s="126"/>
    </row>
    <row r="2046" spans="1:16" ht="15.75" customHeight="1">
      <c r="A2046" s="126">
        <v>46230.015752314801</v>
      </c>
      <c r="B2046" s="7">
        <v>12</v>
      </c>
      <c r="C2046" s="7">
        <v>790</v>
      </c>
      <c r="D2046" s="7"/>
      <c r="E2046" s="7" t="s">
        <v>1142</v>
      </c>
      <c r="F2046" s="7" t="s">
        <v>764</v>
      </c>
      <c r="G2046" s="7">
        <v>175</v>
      </c>
      <c r="H2046" s="7" t="s">
        <v>881</v>
      </c>
      <c r="I2046" s="7" t="s">
        <v>878</v>
      </c>
      <c r="J2046" s="7" t="s">
        <v>882</v>
      </c>
      <c r="M2046" s="7">
        <v>87.5</v>
      </c>
      <c r="N2046" s="7">
        <v>87.5</v>
      </c>
      <c r="O2046" s="126">
        <v>46216.5786689815</v>
      </c>
      <c r="P2046" s="126">
        <v>46216.5786689815</v>
      </c>
    </row>
    <row r="2047" spans="1:16" ht="15.75" customHeight="1">
      <c r="A2047" s="126">
        <v>46230.015752314801</v>
      </c>
      <c r="B2047" s="7">
        <v>12</v>
      </c>
      <c r="C2047" s="7">
        <v>790</v>
      </c>
      <c r="D2047" s="7"/>
      <c r="E2047" s="7" t="s">
        <v>1142</v>
      </c>
      <c r="F2047" s="7" t="s">
        <v>764</v>
      </c>
      <c r="G2047" s="7">
        <v>177</v>
      </c>
      <c r="H2047" s="7" t="s">
        <v>883</v>
      </c>
      <c r="I2047" s="7" t="s">
        <v>878</v>
      </c>
      <c r="J2047" s="7" t="s">
        <v>882</v>
      </c>
      <c r="M2047" s="7"/>
      <c r="N2047" s="7" t="s">
        <v>875</v>
      </c>
      <c r="P2047" s="126"/>
    </row>
    <row r="2048" spans="1:16" ht="15.75" customHeight="1">
      <c r="A2048" s="126">
        <v>46230.015752314801</v>
      </c>
      <c r="B2048" s="7">
        <v>12</v>
      </c>
      <c r="C2048" s="7">
        <v>790</v>
      </c>
      <c r="D2048" s="7"/>
      <c r="E2048" s="7" t="s">
        <v>1142</v>
      </c>
      <c r="F2048" s="7" t="s">
        <v>764</v>
      </c>
      <c r="G2048" s="7">
        <v>176</v>
      </c>
      <c r="H2048" s="7" t="s">
        <v>884</v>
      </c>
      <c r="I2048" s="7" t="s">
        <v>878</v>
      </c>
      <c r="J2048" s="7" t="s">
        <v>882</v>
      </c>
      <c r="M2048" s="7">
        <v>100</v>
      </c>
      <c r="N2048" s="7">
        <v>100</v>
      </c>
      <c r="O2048" s="126">
        <v>46229.719884259299</v>
      </c>
      <c r="P2048" s="126">
        <v>46229.719884259299</v>
      </c>
    </row>
    <row r="2049" spans="1:16" ht="15.75" customHeight="1">
      <c r="A2049" s="126">
        <v>46230.015752314801</v>
      </c>
      <c r="B2049" s="7">
        <v>12</v>
      </c>
      <c r="C2049" s="7">
        <v>790</v>
      </c>
      <c r="D2049" s="7"/>
      <c r="E2049" s="7" t="s">
        <v>1142</v>
      </c>
      <c r="F2049" s="7" t="s">
        <v>764</v>
      </c>
      <c r="G2049" s="7">
        <v>168</v>
      </c>
      <c r="H2049" s="7" t="s">
        <v>885</v>
      </c>
      <c r="I2049" s="7" t="s">
        <v>886</v>
      </c>
      <c r="J2049" s="7"/>
      <c r="M2049" s="7">
        <v>100</v>
      </c>
      <c r="N2049" s="7">
        <v>100</v>
      </c>
      <c r="O2049" s="126"/>
      <c r="P2049" s="126">
        <v>46209.706967592603</v>
      </c>
    </row>
    <row r="2050" spans="1:16" ht="15.75" customHeight="1">
      <c r="A2050" s="126">
        <v>46230.015752314801</v>
      </c>
      <c r="B2050" s="7">
        <v>12</v>
      </c>
      <c r="C2050" s="7">
        <v>688</v>
      </c>
      <c r="D2050" s="7"/>
      <c r="E2050" s="7" t="s">
        <v>1143</v>
      </c>
      <c r="F2050" s="7" t="s">
        <v>317</v>
      </c>
      <c r="G2050" s="7">
        <v>181</v>
      </c>
      <c r="H2050" s="7" t="s">
        <v>873</v>
      </c>
      <c r="I2050" s="7" t="s">
        <v>874</v>
      </c>
      <c r="J2050" s="7"/>
      <c r="M2050" s="7"/>
      <c r="N2050" s="7" t="s">
        <v>875</v>
      </c>
      <c r="P2050" s="126"/>
    </row>
    <row r="2051" spans="1:16" ht="15.75" customHeight="1">
      <c r="A2051" s="126">
        <v>46230.015752314801</v>
      </c>
      <c r="B2051" s="7">
        <v>12</v>
      </c>
      <c r="C2051" s="7">
        <v>688</v>
      </c>
      <c r="D2051" s="7"/>
      <c r="E2051" s="7" t="s">
        <v>1143</v>
      </c>
      <c r="F2051" s="7" t="s">
        <v>317</v>
      </c>
      <c r="G2051" s="7">
        <v>182</v>
      </c>
      <c r="H2051" s="7" t="s">
        <v>876</v>
      </c>
      <c r="I2051" s="7" t="s">
        <v>874</v>
      </c>
      <c r="J2051" s="7"/>
      <c r="M2051" s="7"/>
      <c r="N2051" s="7" t="s">
        <v>875</v>
      </c>
      <c r="O2051" s="126"/>
      <c r="P2051" s="126"/>
    </row>
    <row r="2052" spans="1:16" ht="15.75" customHeight="1">
      <c r="A2052" s="126">
        <v>46230.015752314801</v>
      </c>
      <c r="B2052" s="7">
        <v>12</v>
      </c>
      <c r="C2052" s="7">
        <v>688</v>
      </c>
      <c r="D2052" s="7"/>
      <c r="E2052" s="7" t="s">
        <v>1143</v>
      </c>
      <c r="F2052" s="7" t="s">
        <v>317</v>
      </c>
      <c r="G2052" s="7">
        <v>174</v>
      </c>
      <c r="H2052" s="7" t="s">
        <v>877</v>
      </c>
      <c r="I2052" s="7" t="s">
        <v>878</v>
      </c>
      <c r="J2052" s="7" t="s">
        <v>879</v>
      </c>
      <c r="M2052" s="7">
        <v>100</v>
      </c>
      <c r="N2052" s="7">
        <v>100</v>
      </c>
      <c r="O2052" s="126"/>
      <c r="P2052" s="126">
        <v>46209.706967592603</v>
      </c>
    </row>
    <row r="2053" spans="1:16" ht="15.75" customHeight="1">
      <c r="A2053" s="126">
        <v>46230.015752314801</v>
      </c>
      <c r="B2053" s="7">
        <v>12</v>
      </c>
      <c r="C2053" s="7">
        <v>688</v>
      </c>
      <c r="D2053" s="7"/>
      <c r="E2053" s="7" t="s">
        <v>1143</v>
      </c>
      <c r="F2053" s="7" t="s">
        <v>317</v>
      </c>
      <c r="G2053" s="7">
        <v>180</v>
      </c>
      <c r="H2053" s="7" t="s">
        <v>880</v>
      </c>
      <c r="I2053" s="7" t="s">
        <v>874</v>
      </c>
      <c r="J2053" s="7"/>
      <c r="M2053" s="7"/>
      <c r="N2053" s="7" t="s">
        <v>875</v>
      </c>
      <c r="O2053" s="126"/>
      <c r="P2053" s="126"/>
    </row>
    <row r="2054" spans="1:16" ht="15.75" customHeight="1">
      <c r="A2054" s="126">
        <v>46230.015752314801</v>
      </c>
      <c r="B2054" s="7">
        <v>12</v>
      </c>
      <c r="C2054" s="7">
        <v>688</v>
      </c>
      <c r="E2054" s="7" t="s">
        <v>1143</v>
      </c>
      <c r="F2054" s="7" t="s">
        <v>317</v>
      </c>
      <c r="G2054" s="7">
        <v>175</v>
      </c>
      <c r="H2054" s="7" t="s">
        <v>881</v>
      </c>
      <c r="I2054" s="7" t="s">
        <v>878</v>
      </c>
      <c r="J2054" s="7" t="s">
        <v>882</v>
      </c>
      <c r="M2054" s="7">
        <v>100</v>
      </c>
      <c r="N2054" s="7">
        <v>100</v>
      </c>
      <c r="O2054" s="126">
        <v>46213.741979166698</v>
      </c>
      <c r="P2054" s="126">
        <v>46213.741979166698</v>
      </c>
    </row>
    <row r="2055" spans="1:16" ht="15.75" customHeight="1">
      <c r="A2055" s="126">
        <v>46230.015752314801</v>
      </c>
      <c r="B2055" s="7">
        <v>12</v>
      </c>
      <c r="C2055" s="7">
        <v>688</v>
      </c>
      <c r="E2055" s="7" t="s">
        <v>1143</v>
      </c>
      <c r="F2055" s="7" t="s">
        <v>317</v>
      </c>
      <c r="G2055" s="7">
        <v>177</v>
      </c>
      <c r="H2055" s="7" t="s">
        <v>883</v>
      </c>
      <c r="I2055" s="7" t="s">
        <v>878</v>
      </c>
      <c r="J2055" s="7" t="s">
        <v>882</v>
      </c>
      <c r="M2055" s="7"/>
      <c r="N2055" s="7" t="s">
        <v>875</v>
      </c>
      <c r="P2055" s="126"/>
    </row>
    <row r="2056" spans="1:16" ht="15.75" customHeight="1">
      <c r="A2056" s="126">
        <v>46230.015752314801</v>
      </c>
      <c r="B2056" s="7">
        <v>12</v>
      </c>
      <c r="C2056" s="7">
        <v>688</v>
      </c>
      <c r="E2056" s="7" t="s">
        <v>1143</v>
      </c>
      <c r="F2056" s="7" t="s">
        <v>317</v>
      </c>
      <c r="G2056" s="7">
        <v>176</v>
      </c>
      <c r="H2056" s="7" t="s">
        <v>884</v>
      </c>
      <c r="I2056" s="7" t="s">
        <v>878</v>
      </c>
      <c r="J2056" s="7" t="s">
        <v>882</v>
      </c>
      <c r="M2056" s="7">
        <v>90</v>
      </c>
      <c r="N2056" s="7">
        <v>90</v>
      </c>
      <c r="O2056" s="126">
        <v>46224.681446759299</v>
      </c>
      <c r="P2056" s="126">
        <v>46224.681446759299</v>
      </c>
    </row>
    <row r="2057" spans="1:16" ht="15.75" customHeight="1">
      <c r="A2057" s="126">
        <v>46230.015752314801</v>
      </c>
      <c r="B2057" s="7">
        <v>12</v>
      </c>
      <c r="C2057" s="7">
        <v>688</v>
      </c>
      <c r="E2057" s="7" t="s">
        <v>1143</v>
      </c>
      <c r="F2057" s="7" t="s">
        <v>317</v>
      </c>
      <c r="G2057" s="7">
        <v>168</v>
      </c>
      <c r="H2057" s="7" t="s">
        <v>885</v>
      </c>
      <c r="I2057" s="7" t="s">
        <v>886</v>
      </c>
      <c r="M2057" s="7">
        <v>100</v>
      </c>
      <c r="N2057" s="7">
        <v>100</v>
      </c>
      <c r="P2057" s="126">
        <v>46209.706967592603</v>
      </c>
    </row>
    <row r="2058" spans="1:16" ht="15.75" customHeight="1">
      <c r="A2058" s="126">
        <v>46230.015752314801</v>
      </c>
      <c r="B2058" s="7">
        <v>12</v>
      </c>
      <c r="C2058" s="7">
        <v>288</v>
      </c>
      <c r="E2058" s="7" t="s">
        <v>1144</v>
      </c>
      <c r="F2058" s="7" t="s">
        <v>493</v>
      </c>
      <c r="G2058" s="7">
        <v>181</v>
      </c>
      <c r="H2058" s="7" t="s">
        <v>873</v>
      </c>
      <c r="I2058" s="7" t="s">
        <v>874</v>
      </c>
      <c r="J2058" s="7"/>
      <c r="M2058" s="7"/>
      <c r="N2058" s="7" t="s">
        <v>875</v>
      </c>
      <c r="O2058" s="126"/>
      <c r="P2058" s="126"/>
    </row>
    <row r="2059" spans="1:16" ht="15.75" customHeight="1">
      <c r="A2059" s="126">
        <v>46230.015752314801</v>
      </c>
      <c r="B2059" s="7">
        <v>12</v>
      </c>
      <c r="C2059" s="7">
        <v>288</v>
      </c>
      <c r="E2059" s="7" t="s">
        <v>1144</v>
      </c>
      <c r="F2059" s="7" t="s">
        <v>493</v>
      </c>
      <c r="G2059" s="7">
        <v>182</v>
      </c>
      <c r="H2059" s="7" t="s">
        <v>876</v>
      </c>
      <c r="I2059" s="7" t="s">
        <v>874</v>
      </c>
      <c r="J2059" s="7"/>
      <c r="M2059" s="7"/>
      <c r="N2059" s="7" t="s">
        <v>875</v>
      </c>
      <c r="P2059" s="126"/>
    </row>
    <row r="2060" spans="1:16" ht="15.75" customHeight="1">
      <c r="A2060" s="126">
        <v>46230.015752314801</v>
      </c>
      <c r="B2060" s="7">
        <v>12</v>
      </c>
      <c r="C2060" s="7">
        <v>288</v>
      </c>
      <c r="E2060" s="7" t="s">
        <v>1144</v>
      </c>
      <c r="F2060" s="7" t="s">
        <v>493</v>
      </c>
      <c r="G2060" s="7">
        <v>174</v>
      </c>
      <c r="H2060" s="7" t="s">
        <v>877</v>
      </c>
      <c r="I2060" s="7" t="s">
        <v>878</v>
      </c>
      <c r="J2060" s="7" t="s">
        <v>879</v>
      </c>
      <c r="M2060" s="7">
        <v>100</v>
      </c>
      <c r="N2060" s="7">
        <v>100</v>
      </c>
      <c r="O2060" s="126"/>
      <c r="P2060" s="126">
        <v>46210.421388888899</v>
      </c>
    </row>
    <row r="2061" spans="1:16" ht="15.75" customHeight="1">
      <c r="A2061" s="126">
        <v>46230.015752314801</v>
      </c>
      <c r="B2061" s="7">
        <v>12</v>
      </c>
      <c r="C2061" s="7">
        <v>288</v>
      </c>
      <c r="E2061" s="7" t="s">
        <v>1144</v>
      </c>
      <c r="F2061" s="7" t="s">
        <v>493</v>
      </c>
      <c r="G2061" s="7">
        <v>180</v>
      </c>
      <c r="H2061" s="7" t="s">
        <v>880</v>
      </c>
      <c r="I2061" s="7" t="s">
        <v>874</v>
      </c>
      <c r="J2061" s="7"/>
      <c r="M2061" s="7"/>
      <c r="N2061" s="7" t="s">
        <v>875</v>
      </c>
      <c r="O2061" s="126"/>
      <c r="P2061" s="126"/>
    </row>
    <row r="2062" spans="1:16" ht="15.75" customHeight="1">
      <c r="A2062" s="126">
        <v>46230.015752314801</v>
      </c>
      <c r="B2062" s="7">
        <v>12</v>
      </c>
      <c r="C2062" s="7">
        <v>288</v>
      </c>
      <c r="E2062" s="7" t="s">
        <v>1144</v>
      </c>
      <c r="F2062" s="7" t="s">
        <v>493</v>
      </c>
      <c r="G2062" s="7">
        <v>175</v>
      </c>
      <c r="H2062" s="7" t="s">
        <v>881</v>
      </c>
      <c r="I2062" s="7" t="s">
        <v>878</v>
      </c>
      <c r="J2062" s="7" t="s">
        <v>882</v>
      </c>
      <c r="M2062" s="7">
        <v>87.5</v>
      </c>
      <c r="N2062" s="7">
        <v>87.5</v>
      </c>
      <c r="O2062" s="126">
        <v>46216.549108796302</v>
      </c>
      <c r="P2062" s="126">
        <v>46216.549108796302</v>
      </c>
    </row>
    <row r="2063" spans="1:16" ht="15.75" customHeight="1">
      <c r="A2063" s="126">
        <v>46230.015752314801</v>
      </c>
      <c r="B2063" s="7">
        <v>12</v>
      </c>
      <c r="C2063" s="7">
        <v>288</v>
      </c>
      <c r="E2063" s="7" t="s">
        <v>1144</v>
      </c>
      <c r="F2063" s="7" t="s">
        <v>493</v>
      </c>
      <c r="G2063" s="7">
        <v>177</v>
      </c>
      <c r="H2063" s="7" t="s">
        <v>883</v>
      </c>
      <c r="I2063" s="7" t="s">
        <v>878</v>
      </c>
      <c r="J2063" s="7" t="s">
        <v>882</v>
      </c>
      <c r="M2063" s="7"/>
      <c r="N2063" s="7" t="s">
        <v>875</v>
      </c>
      <c r="P2063" s="126"/>
    </row>
    <row r="2064" spans="1:16" ht="15.75" customHeight="1">
      <c r="A2064" s="126">
        <v>46230.015752314801</v>
      </c>
      <c r="B2064" s="7">
        <v>12</v>
      </c>
      <c r="C2064" s="7">
        <v>288</v>
      </c>
      <c r="E2064" s="7" t="s">
        <v>1144</v>
      </c>
      <c r="F2064" s="7" t="s">
        <v>493</v>
      </c>
      <c r="G2064" s="7">
        <v>176</v>
      </c>
      <c r="H2064" s="7" t="s">
        <v>884</v>
      </c>
      <c r="I2064" s="7" t="s">
        <v>878</v>
      </c>
      <c r="J2064" s="7" t="s">
        <v>882</v>
      </c>
      <c r="M2064" s="7">
        <v>90</v>
      </c>
      <c r="N2064" s="7">
        <v>90</v>
      </c>
      <c r="O2064" s="126">
        <v>46227.667881944399</v>
      </c>
      <c r="P2064" s="126">
        <v>46227.667881944399</v>
      </c>
    </row>
    <row r="2065" spans="1:16" ht="15.75" customHeight="1">
      <c r="A2065" s="126">
        <v>46230.015752314801</v>
      </c>
      <c r="B2065" s="7">
        <v>12</v>
      </c>
      <c r="C2065" s="7">
        <v>288</v>
      </c>
      <c r="E2065" s="7" t="s">
        <v>1144</v>
      </c>
      <c r="F2065" s="7" t="s">
        <v>493</v>
      </c>
      <c r="G2065" s="7">
        <v>168</v>
      </c>
      <c r="H2065" s="7" t="s">
        <v>885</v>
      </c>
      <c r="I2065" s="7" t="s">
        <v>886</v>
      </c>
      <c r="J2065" s="7"/>
      <c r="M2065" s="7">
        <v>100</v>
      </c>
      <c r="N2065" s="7">
        <v>100</v>
      </c>
      <c r="P2065" s="126">
        <v>46210.421388888899</v>
      </c>
    </row>
    <row r="2066" spans="1:16" ht="15.75" customHeight="1">
      <c r="A2066" s="126">
        <v>46230.015752314801</v>
      </c>
      <c r="B2066" s="7">
        <v>12</v>
      </c>
      <c r="C2066" s="7">
        <v>680</v>
      </c>
      <c r="E2066" s="7" t="s">
        <v>1145</v>
      </c>
      <c r="F2066" s="7" t="s">
        <v>102</v>
      </c>
      <c r="G2066" s="7">
        <v>181</v>
      </c>
      <c r="H2066" s="7" t="s">
        <v>873</v>
      </c>
      <c r="I2066" s="7" t="s">
        <v>874</v>
      </c>
      <c r="M2066" s="7"/>
      <c r="N2066" s="7" t="s">
        <v>875</v>
      </c>
      <c r="P2066" s="126"/>
    </row>
    <row r="2067" spans="1:16" ht="15.75" customHeight="1">
      <c r="A2067" s="126">
        <v>46230.015752314801</v>
      </c>
      <c r="B2067" s="7">
        <v>12</v>
      </c>
      <c r="C2067" s="7">
        <v>680</v>
      </c>
      <c r="E2067" s="7" t="s">
        <v>1145</v>
      </c>
      <c r="F2067" s="7" t="s">
        <v>102</v>
      </c>
      <c r="G2067" s="7">
        <v>182</v>
      </c>
      <c r="H2067" s="7" t="s">
        <v>876</v>
      </c>
      <c r="I2067" s="7" t="s">
        <v>874</v>
      </c>
      <c r="J2067" s="7"/>
      <c r="M2067" s="7"/>
      <c r="N2067" s="7" t="s">
        <v>875</v>
      </c>
      <c r="O2067" s="126"/>
      <c r="P2067" s="126"/>
    </row>
    <row r="2068" spans="1:16" ht="15.75" customHeight="1">
      <c r="A2068" s="126">
        <v>46230.015752314801</v>
      </c>
      <c r="B2068" s="7">
        <v>12</v>
      </c>
      <c r="C2068" s="7">
        <v>680</v>
      </c>
      <c r="E2068" s="7" t="s">
        <v>1145</v>
      </c>
      <c r="F2068" s="7" t="s">
        <v>102</v>
      </c>
      <c r="G2068" s="7">
        <v>174</v>
      </c>
      <c r="H2068" s="7" t="s">
        <v>877</v>
      </c>
      <c r="I2068" s="7" t="s">
        <v>878</v>
      </c>
      <c r="J2068" s="7" t="s">
        <v>879</v>
      </c>
      <c r="M2068" s="7">
        <v>100</v>
      </c>
      <c r="N2068" s="7">
        <v>100</v>
      </c>
      <c r="P2068" s="126">
        <v>46209.714930555601</v>
      </c>
    </row>
    <row r="2069" spans="1:16" ht="15.75" customHeight="1">
      <c r="A2069" s="126">
        <v>46230.015752314801</v>
      </c>
      <c r="B2069" s="7">
        <v>12</v>
      </c>
      <c r="C2069" s="7">
        <v>680</v>
      </c>
      <c r="E2069" s="7" t="s">
        <v>1145</v>
      </c>
      <c r="F2069" s="7" t="s">
        <v>102</v>
      </c>
      <c r="G2069" s="7">
        <v>180</v>
      </c>
      <c r="H2069" s="7" t="s">
        <v>880</v>
      </c>
      <c r="I2069" s="7" t="s">
        <v>874</v>
      </c>
      <c r="J2069" s="7"/>
      <c r="M2069" s="7"/>
      <c r="N2069" s="7" t="s">
        <v>875</v>
      </c>
      <c r="O2069" s="126"/>
      <c r="P2069" s="126"/>
    </row>
    <row r="2070" spans="1:16" ht="15.75" customHeight="1">
      <c r="A2070" s="126">
        <v>46230.015752314801</v>
      </c>
      <c r="B2070" s="7">
        <v>12</v>
      </c>
      <c r="C2070" s="7">
        <v>680</v>
      </c>
      <c r="E2070" s="7" t="s">
        <v>1145</v>
      </c>
      <c r="F2070" s="7" t="s">
        <v>102</v>
      </c>
      <c r="G2070" s="7">
        <v>175</v>
      </c>
      <c r="H2070" s="7" t="s">
        <v>881</v>
      </c>
      <c r="I2070" s="7" t="s">
        <v>878</v>
      </c>
      <c r="J2070" s="7" t="s">
        <v>882</v>
      </c>
      <c r="M2070" s="7">
        <v>62.5</v>
      </c>
      <c r="N2070" s="7">
        <v>62.5</v>
      </c>
      <c r="O2070" s="126">
        <v>46215.429270833301</v>
      </c>
      <c r="P2070" s="126">
        <v>46215.429270833301</v>
      </c>
    </row>
    <row r="2071" spans="1:16" ht="15.75" customHeight="1">
      <c r="A2071" s="126">
        <v>46230.015752314801</v>
      </c>
      <c r="B2071" s="7">
        <v>12</v>
      </c>
      <c r="C2071" s="7">
        <v>680</v>
      </c>
      <c r="E2071" s="7" t="s">
        <v>1145</v>
      </c>
      <c r="F2071" s="7" t="s">
        <v>102</v>
      </c>
      <c r="G2071" s="7">
        <v>177</v>
      </c>
      <c r="H2071" s="7" t="s">
        <v>883</v>
      </c>
      <c r="I2071" s="7" t="s">
        <v>878</v>
      </c>
      <c r="J2071" s="7" t="s">
        <v>882</v>
      </c>
      <c r="M2071" s="7"/>
      <c r="N2071" s="7" t="s">
        <v>875</v>
      </c>
      <c r="P2071" s="126"/>
    </row>
    <row r="2072" spans="1:16" ht="15.75" customHeight="1">
      <c r="A2072" s="126">
        <v>46230.015752314801</v>
      </c>
      <c r="B2072" s="7">
        <v>12</v>
      </c>
      <c r="C2072" s="7">
        <v>680</v>
      </c>
      <c r="E2072" s="7" t="s">
        <v>1145</v>
      </c>
      <c r="F2072" s="7" t="s">
        <v>102</v>
      </c>
      <c r="G2072" s="7">
        <v>176</v>
      </c>
      <c r="H2072" s="7" t="s">
        <v>884</v>
      </c>
      <c r="I2072" s="7" t="s">
        <v>878</v>
      </c>
      <c r="J2072" s="7" t="s">
        <v>882</v>
      </c>
      <c r="M2072" s="7">
        <v>85</v>
      </c>
      <c r="N2072" s="7">
        <v>85</v>
      </c>
      <c r="O2072" s="126">
        <v>46225.520069444399</v>
      </c>
      <c r="P2072" s="126">
        <v>46225.520069444399</v>
      </c>
    </row>
    <row r="2073" spans="1:16" ht="15.75" customHeight="1">
      <c r="A2073" s="126">
        <v>46230.015752314801</v>
      </c>
      <c r="B2073" s="7">
        <v>12</v>
      </c>
      <c r="C2073" s="7">
        <v>680</v>
      </c>
      <c r="E2073" s="7" t="s">
        <v>1145</v>
      </c>
      <c r="F2073" s="7" t="s">
        <v>102</v>
      </c>
      <c r="G2073" s="7">
        <v>168</v>
      </c>
      <c r="H2073" s="7" t="s">
        <v>885</v>
      </c>
      <c r="I2073" s="7" t="s">
        <v>886</v>
      </c>
      <c r="M2073" s="7">
        <v>100</v>
      </c>
      <c r="N2073" s="7">
        <v>100</v>
      </c>
      <c r="P2073" s="126">
        <v>46209.714930555601</v>
      </c>
    </row>
    <row r="2074" spans="1:16" ht="15.75" customHeight="1">
      <c r="A2074" s="126">
        <v>46230.015752314801</v>
      </c>
      <c r="B2074" s="7">
        <v>12</v>
      </c>
      <c r="C2074" s="7">
        <v>725</v>
      </c>
      <c r="E2074" s="7" t="s">
        <v>1146</v>
      </c>
      <c r="F2074" s="7" t="s">
        <v>512</v>
      </c>
      <c r="G2074" s="7">
        <v>181</v>
      </c>
      <c r="H2074" s="7" t="s">
        <v>873</v>
      </c>
      <c r="I2074" s="7" t="s">
        <v>874</v>
      </c>
      <c r="J2074" s="7"/>
      <c r="M2074" s="7"/>
      <c r="N2074" s="7" t="s">
        <v>875</v>
      </c>
      <c r="P2074" s="126"/>
    </row>
    <row r="2075" spans="1:16" ht="15.75" customHeight="1">
      <c r="A2075" s="126">
        <v>46230.015752314801</v>
      </c>
      <c r="B2075" s="7">
        <v>12</v>
      </c>
      <c r="C2075" s="7">
        <v>725</v>
      </c>
      <c r="E2075" s="7" t="s">
        <v>1146</v>
      </c>
      <c r="F2075" s="7" t="s">
        <v>512</v>
      </c>
      <c r="G2075" s="7">
        <v>182</v>
      </c>
      <c r="H2075" s="7" t="s">
        <v>876</v>
      </c>
      <c r="I2075" s="7" t="s">
        <v>874</v>
      </c>
      <c r="J2075" s="7"/>
      <c r="M2075" s="7"/>
      <c r="N2075" s="7" t="s">
        <v>875</v>
      </c>
      <c r="P2075" s="126"/>
    </row>
    <row r="2076" spans="1:16" ht="15.75" customHeight="1">
      <c r="A2076" s="126">
        <v>46230.015752314801</v>
      </c>
      <c r="B2076" s="7">
        <v>12</v>
      </c>
      <c r="C2076" s="7">
        <v>725</v>
      </c>
      <c r="E2076" s="7" t="s">
        <v>1146</v>
      </c>
      <c r="F2076" s="7" t="s">
        <v>512</v>
      </c>
      <c r="G2076" s="7">
        <v>174</v>
      </c>
      <c r="H2076" s="7" t="s">
        <v>877</v>
      </c>
      <c r="I2076" s="7" t="s">
        <v>878</v>
      </c>
      <c r="J2076" s="7" t="s">
        <v>879</v>
      </c>
      <c r="M2076" s="7">
        <v>100</v>
      </c>
      <c r="N2076" s="7">
        <v>100</v>
      </c>
      <c r="O2076" s="126"/>
      <c r="P2076" s="126">
        <v>46209.706944444399</v>
      </c>
    </row>
    <row r="2077" spans="1:16" ht="15.75" customHeight="1">
      <c r="A2077" s="126">
        <v>46230.015752314801</v>
      </c>
      <c r="B2077" s="7">
        <v>12</v>
      </c>
      <c r="C2077" s="7">
        <v>725</v>
      </c>
      <c r="E2077" s="7" t="s">
        <v>1146</v>
      </c>
      <c r="F2077" s="7" t="s">
        <v>512</v>
      </c>
      <c r="G2077" s="7">
        <v>180</v>
      </c>
      <c r="H2077" s="7" t="s">
        <v>880</v>
      </c>
      <c r="I2077" s="7" t="s">
        <v>874</v>
      </c>
      <c r="J2077" s="7"/>
      <c r="M2077" s="7"/>
      <c r="N2077" s="7" t="s">
        <v>875</v>
      </c>
      <c r="O2077" s="126"/>
      <c r="P2077" s="126"/>
    </row>
    <row r="2078" spans="1:16" ht="15.75" customHeight="1">
      <c r="A2078" s="126">
        <v>46230.015752314801</v>
      </c>
      <c r="B2078" s="7">
        <v>12</v>
      </c>
      <c r="C2078" s="7">
        <v>725</v>
      </c>
      <c r="E2078" s="7" t="s">
        <v>1146</v>
      </c>
      <c r="F2078" s="7" t="s">
        <v>512</v>
      </c>
      <c r="G2078" s="7">
        <v>175</v>
      </c>
      <c r="H2078" s="7" t="s">
        <v>881</v>
      </c>
      <c r="I2078" s="7" t="s">
        <v>878</v>
      </c>
      <c r="J2078" s="7" t="s">
        <v>882</v>
      </c>
      <c r="M2078" s="7">
        <v>87.5</v>
      </c>
      <c r="N2078" s="7">
        <v>87.5</v>
      </c>
      <c r="O2078" s="126">
        <v>46214.5481365741</v>
      </c>
      <c r="P2078" s="126">
        <v>46214.5481365741</v>
      </c>
    </row>
    <row r="2079" spans="1:16" ht="15.75" customHeight="1">
      <c r="A2079" s="126">
        <v>46230.015752314801</v>
      </c>
      <c r="B2079" s="7">
        <v>12</v>
      </c>
      <c r="C2079" s="7">
        <v>725</v>
      </c>
      <c r="E2079" s="7" t="s">
        <v>1146</v>
      </c>
      <c r="F2079" s="7" t="s">
        <v>512</v>
      </c>
      <c r="G2079" s="7">
        <v>177</v>
      </c>
      <c r="H2079" s="7" t="s">
        <v>883</v>
      </c>
      <c r="I2079" s="7" t="s">
        <v>878</v>
      </c>
      <c r="J2079" s="7" t="s">
        <v>882</v>
      </c>
      <c r="M2079" s="7"/>
      <c r="N2079" s="7" t="s">
        <v>875</v>
      </c>
      <c r="O2079" s="126"/>
      <c r="P2079" s="126"/>
    </row>
    <row r="2080" spans="1:16" ht="15.75" customHeight="1">
      <c r="A2080" s="126">
        <v>46230.015752314801</v>
      </c>
      <c r="B2080" s="7">
        <v>12</v>
      </c>
      <c r="C2080" s="7">
        <v>725</v>
      </c>
      <c r="E2080" s="7" t="s">
        <v>1146</v>
      </c>
      <c r="F2080" s="7" t="s">
        <v>512</v>
      </c>
      <c r="G2080" s="7">
        <v>176</v>
      </c>
      <c r="H2080" s="7" t="s">
        <v>884</v>
      </c>
      <c r="I2080" s="7" t="s">
        <v>878</v>
      </c>
      <c r="J2080" s="7" t="s">
        <v>882</v>
      </c>
      <c r="M2080" s="7">
        <v>90</v>
      </c>
      <c r="N2080" s="7">
        <v>90</v>
      </c>
      <c r="O2080" s="126">
        <v>46226.207638888904</v>
      </c>
      <c r="P2080" s="126">
        <v>46226.207638888904</v>
      </c>
    </row>
    <row r="2081" spans="1:16" ht="15.75" customHeight="1">
      <c r="A2081" s="126">
        <v>46230.015752314801</v>
      </c>
      <c r="B2081" s="7">
        <v>12</v>
      </c>
      <c r="C2081" s="7">
        <v>725</v>
      </c>
      <c r="E2081" s="7" t="s">
        <v>1146</v>
      </c>
      <c r="F2081" s="7" t="s">
        <v>512</v>
      </c>
      <c r="G2081" s="7">
        <v>168</v>
      </c>
      <c r="H2081" s="7" t="s">
        <v>885</v>
      </c>
      <c r="I2081" s="7" t="s">
        <v>886</v>
      </c>
      <c r="M2081" s="7">
        <v>100</v>
      </c>
      <c r="N2081" s="7">
        <v>100</v>
      </c>
      <c r="P2081" s="126">
        <v>46209.706944444399</v>
      </c>
    </row>
    <row r="2082" spans="1:16" ht="15.75" customHeight="1">
      <c r="A2082" s="126">
        <v>46230.015752314801</v>
      </c>
      <c r="B2082" s="7">
        <v>12</v>
      </c>
      <c r="C2082" s="7">
        <v>735</v>
      </c>
      <c r="E2082" s="7" t="s">
        <v>1147</v>
      </c>
      <c r="F2082" s="7" t="s">
        <v>552</v>
      </c>
      <c r="G2082" s="7">
        <v>181</v>
      </c>
      <c r="H2082" s="7" t="s">
        <v>873</v>
      </c>
      <c r="I2082" s="7" t="s">
        <v>874</v>
      </c>
      <c r="M2082" s="7"/>
      <c r="N2082" s="7" t="s">
        <v>875</v>
      </c>
      <c r="P2082" s="126"/>
    </row>
    <row r="2083" spans="1:16" ht="15.75" customHeight="1">
      <c r="A2083" s="126">
        <v>46230.015752314801</v>
      </c>
      <c r="B2083" s="7">
        <v>12</v>
      </c>
      <c r="C2083" s="7">
        <v>735</v>
      </c>
      <c r="E2083" s="7" t="s">
        <v>1147</v>
      </c>
      <c r="F2083" s="7" t="s">
        <v>552</v>
      </c>
      <c r="G2083" s="7">
        <v>182</v>
      </c>
      <c r="H2083" s="7" t="s">
        <v>876</v>
      </c>
      <c r="I2083" s="7" t="s">
        <v>874</v>
      </c>
      <c r="J2083" s="7"/>
      <c r="M2083" s="7"/>
      <c r="N2083" s="7" t="s">
        <v>875</v>
      </c>
      <c r="P2083" s="126"/>
    </row>
    <row r="2084" spans="1:16" ht="15.75" customHeight="1">
      <c r="A2084" s="126">
        <v>46230.015752314801</v>
      </c>
      <c r="B2084" s="7">
        <v>12</v>
      </c>
      <c r="C2084" s="7">
        <v>735</v>
      </c>
      <c r="E2084" s="7" t="s">
        <v>1147</v>
      </c>
      <c r="F2084" s="7" t="s">
        <v>552</v>
      </c>
      <c r="G2084" s="7">
        <v>174</v>
      </c>
      <c r="H2084" s="7" t="s">
        <v>877</v>
      </c>
      <c r="I2084" s="7" t="s">
        <v>878</v>
      </c>
      <c r="J2084" s="7" t="s">
        <v>879</v>
      </c>
      <c r="M2084" s="7">
        <v>100</v>
      </c>
      <c r="N2084" s="7">
        <v>100</v>
      </c>
      <c r="P2084" s="126">
        <v>46209.709745370397</v>
      </c>
    </row>
    <row r="2085" spans="1:16" ht="15.75" customHeight="1">
      <c r="A2085" s="126">
        <v>46230.015752314801</v>
      </c>
      <c r="B2085" s="7">
        <v>12</v>
      </c>
      <c r="C2085" s="7">
        <v>735</v>
      </c>
      <c r="E2085" s="7" t="s">
        <v>1147</v>
      </c>
      <c r="F2085" s="7" t="s">
        <v>552</v>
      </c>
      <c r="G2085" s="7">
        <v>180</v>
      </c>
      <c r="H2085" s="7" t="s">
        <v>880</v>
      </c>
      <c r="I2085" s="7" t="s">
        <v>874</v>
      </c>
      <c r="J2085" s="7"/>
      <c r="M2085" s="7"/>
      <c r="N2085" s="7" t="s">
        <v>875</v>
      </c>
      <c r="O2085" s="126"/>
      <c r="P2085" s="126"/>
    </row>
    <row r="2086" spans="1:16" ht="15.75" customHeight="1">
      <c r="A2086" s="126">
        <v>46230.015752314801</v>
      </c>
      <c r="B2086" s="7">
        <v>12</v>
      </c>
      <c r="C2086" s="7">
        <v>735</v>
      </c>
      <c r="E2086" s="7" t="s">
        <v>1147</v>
      </c>
      <c r="F2086" s="7" t="s">
        <v>552</v>
      </c>
      <c r="G2086" s="7">
        <v>175</v>
      </c>
      <c r="H2086" s="7" t="s">
        <v>881</v>
      </c>
      <c r="I2086" s="7" t="s">
        <v>878</v>
      </c>
      <c r="J2086" s="7" t="s">
        <v>882</v>
      </c>
      <c r="M2086" s="7">
        <v>75</v>
      </c>
      <c r="N2086" s="7">
        <v>75</v>
      </c>
      <c r="O2086" s="126">
        <v>46215.939189814802</v>
      </c>
      <c r="P2086" s="126">
        <v>46215.939189814802</v>
      </c>
    </row>
    <row r="2087" spans="1:16" ht="15.75" customHeight="1">
      <c r="A2087" s="126">
        <v>46230.015752314801</v>
      </c>
      <c r="B2087" s="7">
        <v>12</v>
      </c>
      <c r="C2087" s="7">
        <v>735</v>
      </c>
      <c r="E2087" s="7" t="s">
        <v>1147</v>
      </c>
      <c r="F2087" s="7" t="s">
        <v>552</v>
      </c>
      <c r="G2087" s="7">
        <v>177</v>
      </c>
      <c r="H2087" s="7" t="s">
        <v>883</v>
      </c>
      <c r="I2087" s="7" t="s">
        <v>878</v>
      </c>
      <c r="J2087" s="7" t="s">
        <v>882</v>
      </c>
      <c r="M2087" s="7"/>
      <c r="N2087" s="7" t="s">
        <v>875</v>
      </c>
      <c r="O2087" s="126"/>
      <c r="P2087" s="126"/>
    </row>
    <row r="2088" spans="1:16" ht="15.75" customHeight="1">
      <c r="A2088" s="126">
        <v>46230.015752314801</v>
      </c>
      <c r="B2088" s="7">
        <v>12</v>
      </c>
      <c r="C2088" s="7">
        <v>735</v>
      </c>
      <c r="E2088" s="7" t="s">
        <v>1147</v>
      </c>
      <c r="F2088" s="7" t="s">
        <v>552</v>
      </c>
      <c r="G2088" s="7">
        <v>176</v>
      </c>
      <c r="H2088" s="7" t="s">
        <v>884</v>
      </c>
      <c r="I2088" s="7" t="s">
        <v>878</v>
      </c>
      <c r="J2088" s="7" t="s">
        <v>882</v>
      </c>
      <c r="M2088" s="7">
        <v>80</v>
      </c>
      <c r="N2088" s="7">
        <v>80</v>
      </c>
      <c r="O2088" s="126">
        <v>46227.895069444399</v>
      </c>
      <c r="P2088" s="126">
        <v>46227.895069444399</v>
      </c>
    </row>
    <row r="2089" spans="1:16" ht="15.75" customHeight="1">
      <c r="A2089" s="126">
        <v>46230.015752314801</v>
      </c>
      <c r="B2089" s="7">
        <v>12</v>
      </c>
      <c r="C2089" s="7">
        <v>735</v>
      </c>
      <c r="E2089" s="7" t="s">
        <v>1147</v>
      </c>
      <c r="F2089" s="7" t="s">
        <v>552</v>
      </c>
      <c r="G2089" s="7">
        <v>168</v>
      </c>
      <c r="H2089" s="7" t="s">
        <v>885</v>
      </c>
      <c r="I2089" s="7" t="s">
        <v>886</v>
      </c>
      <c r="M2089" s="7">
        <v>100</v>
      </c>
      <c r="N2089" s="7">
        <v>100</v>
      </c>
      <c r="P2089" s="126">
        <v>46209.709745370397</v>
      </c>
    </row>
    <row r="2090" spans="1:16" ht="15.75" customHeight="1">
      <c r="A2090" s="126">
        <v>46230.015752314801</v>
      </c>
      <c r="B2090" s="7">
        <v>12</v>
      </c>
      <c r="C2090" s="7">
        <v>596</v>
      </c>
      <c r="E2090" s="7" t="s">
        <v>1148</v>
      </c>
      <c r="F2090" s="7" t="s">
        <v>355</v>
      </c>
      <c r="G2090" s="7">
        <v>181</v>
      </c>
      <c r="H2090" s="7" t="s">
        <v>873</v>
      </c>
      <c r="I2090" s="7" t="s">
        <v>874</v>
      </c>
      <c r="M2090" s="7"/>
      <c r="N2090" s="7" t="s">
        <v>875</v>
      </c>
      <c r="P2090" s="126"/>
    </row>
    <row r="2091" spans="1:16" ht="15.75" customHeight="1">
      <c r="A2091" s="126">
        <v>46230.015752314801</v>
      </c>
      <c r="B2091" s="7">
        <v>12</v>
      </c>
      <c r="C2091" s="7">
        <v>596</v>
      </c>
      <c r="E2091" s="7" t="s">
        <v>1148</v>
      </c>
      <c r="F2091" s="7" t="s">
        <v>355</v>
      </c>
      <c r="G2091" s="7">
        <v>182</v>
      </c>
      <c r="H2091" s="7" t="s">
        <v>876</v>
      </c>
      <c r="I2091" s="7" t="s">
        <v>874</v>
      </c>
      <c r="J2091" s="7"/>
      <c r="M2091" s="7"/>
      <c r="N2091" s="7" t="s">
        <v>875</v>
      </c>
      <c r="P2091" s="126"/>
    </row>
    <row r="2092" spans="1:16" ht="15.75" customHeight="1">
      <c r="A2092" s="126">
        <v>46230.015752314801</v>
      </c>
      <c r="B2092" s="7">
        <v>12</v>
      </c>
      <c r="C2092" s="7">
        <v>596</v>
      </c>
      <c r="E2092" s="7" t="s">
        <v>1148</v>
      </c>
      <c r="F2092" s="7" t="s">
        <v>355</v>
      </c>
      <c r="G2092" s="7">
        <v>174</v>
      </c>
      <c r="H2092" s="7" t="s">
        <v>877</v>
      </c>
      <c r="I2092" s="7" t="s">
        <v>878</v>
      </c>
      <c r="J2092" s="7" t="s">
        <v>879</v>
      </c>
      <c r="M2092" s="7">
        <v>100</v>
      </c>
      <c r="N2092" s="7">
        <v>100</v>
      </c>
      <c r="P2092" s="126">
        <v>46209.705972222197</v>
      </c>
    </row>
    <row r="2093" spans="1:16" ht="15.75" customHeight="1">
      <c r="A2093" s="126">
        <v>46230.015752314801</v>
      </c>
      <c r="B2093" s="7">
        <v>12</v>
      </c>
      <c r="C2093" s="7">
        <v>596</v>
      </c>
      <c r="E2093" s="7" t="s">
        <v>1148</v>
      </c>
      <c r="F2093" s="7" t="s">
        <v>355</v>
      </c>
      <c r="G2093" s="7">
        <v>180</v>
      </c>
      <c r="H2093" s="7" t="s">
        <v>880</v>
      </c>
      <c r="I2093" s="7" t="s">
        <v>874</v>
      </c>
      <c r="J2093" s="7"/>
      <c r="M2093" s="7"/>
      <c r="N2093" s="7" t="s">
        <v>875</v>
      </c>
      <c r="O2093" s="126"/>
      <c r="P2093" s="126"/>
    </row>
    <row r="2094" spans="1:16" ht="15.75" customHeight="1">
      <c r="A2094" s="126">
        <v>46230.015752314801</v>
      </c>
      <c r="B2094" s="7">
        <v>12</v>
      </c>
      <c r="C2094" s="7">
        <v>596</v>
      </c>
      <c r="E2094" s="7" t="s">
        <v>1148</v>
      </c>
      <c r="F2094" s="7" t="s">
        <v>355</v>
      </c>
      <c r="G2094" s="7">
        <v>175</v>
      </c>
      <c r="H2094" s="7" t="s">
        <v>881</v>
      </c>
      <c r="I2094" s="7" t="s">
        <v>878</v>
      </c>
      <c r="J2094" s="7" t="s">
        <v>882</v>
      </c>
      <c r="M2094" s="7">
        <v>100</v>
      </c>
      <c r="N2094" s="7">
        <v>100</v>
      </c>
      <c r="O2094" s="126">
        <v>46216.484525462998</v>
      </c>
      <c r="P2094" s="126">
        <v>46216.484525462998</v>
      </c>
    </row>
    <row r="2095" spans="1:16" ht="15.75" customHeight="1">
      <c r="A2095" s="126">
        <v>46230.015752314801</v>
      </c>
      <c r="B2095" s="7">
        <v>12</v>
      </c>
      <c r="C2095" s="7">
        <v>596</v>
      </c>
      <c r="E2095" s="7" t="s">
        <v>1148</v>
      </c>
      <c r="F2095" s="7" t="s">
        <v>355</v>
      </c>
      <c r="G2095" s="7">
        <v>177</v>
      </c>
      <c r="H2095" s="7" t="s">
        <v>883</v>
      </c>
      <c r="I2095" s="7" t="s">
        <v>878</v>
      </c>
      <c r="J2095" s="7" t="s">
        <v>882</v>
      </c>
      <c r="M2095" s="7"/>
      <c r="N2095" s="7" t="s">
        <v>875</v>
      </c>
      <c r="P2095" s="126"/>
    </row>
    <row r="2096" spans="1:16" ht="15.75" customHeight="1">
      <c r="A2096" s="126">
        <v>46230.015752314801</v>
      </c>
      <c r="B2096" s="7">
        <v>12</v>
      </c>
      <c r="C2096" s="7">
        <v>596</v>
      </c>
      <c r="E2096" s="7" t="s">
        <v>1148</v>
      </c>
      <c r="F2096" s="7" t="s">
        <v>355</v>
      </c>
      <c r="G2096" s="7">
        <v>176</v>
      </c>
      <c r="H2096" s="7" t="s">
        <v>884</v>
      </c>
      <c r="I2096" s="7" t="s">
        <v>878</v>
      </c>
      <c r="J2096" s="7" t="s">
        <v>882</v>
      </c>
      <c r="M2096" s="7">
        <v>100</v>
      </c>
      <c r="N2096" s="7">
        <v>100</v>
      </c>
      <c r="O2096" s="126">
        <v>46226.425370370402</v>
      </c>
      <c r="P2096" s="126">
        <v>46226.425370370402</v>
      </c>
    </row>
    <row r="2097" spans="1:16" ht="15.75" customHeight="1">
      <c r="A2097" s="126">
        <v>46230.015752314801</v>
      </c>
      <c r="B2097" s="7">
        <v>12</v>
      </c>
      <c r="C2097" s="7">
        <v>596</v>
      </c>
      <c r="E2097" s="7" t="s">
        <v>1148</v>
      </c>
      <c r="F2097" s="7" t="s">
        <v>355</v>
      </c>
      <c r="G2097" s="7">
        <v>168</v>
      </c>
      <c r="H2097" s="7" t="s">
        <v>885</v>
      </c>
      <c r="I2097" s="7" t="s">
        <v>886</v>
      </c>
      <c r="J2097" s="7"/>
      <c r="M2097" s="7">
        <v>100</v>
      </c>
      <c r="N2097" s="7">
        <v>100</v>
      </c>
      <c r="O2097" s="126"/>
      <c r="P2097" s="126">
        <v>46209.705972222197</v>
      </c>
    </row>
    <row r="2098" spans="1:16" ht="15.75" customHeight="1">
      <c r="A2098" s="126">
        <v>46230.015752314801</v>
      </c>
      <c r="B2098" s="7">
        <v>12</v>
      </c>
      <c r="C2098" s="7">
        <v>645</v>
      </c>
      <c r="E2098" s="7" t="s">
        <v>1149</v>
      </c>
      <c r="F2098" s="7" t="s">
        <v>620</v>
      </c>
      <c r="G2098" s="7">
        <v>181</v>
      </c>
      <c r="H2098" s="7" t="s">
        <v>873</v>
      </c>
      <c r="I2098" s="7" t="s">
        <v>874</v>
      </c>
      <c r="M2098" s="7"/>
      <c r="N2098" s="7" t="s">
        <v>875</v>
      </c>
      <c r="P2098" s="126"/>
    </row>
    <row r="2099" spans="1:16" ht="15.75" customHeight="1">
      <c r="A2099" s="126">
        <v>46230.015752314801</v>
      </c>
      <c r="B2099" s="7">
        <v>12</v>
      </c>
      <c r="C2099" s="7">
        <v>645</v>
      </c>
      <c r="E2099" s="7" t="s">
        <v>1149</v>
      </c>
      <c r="F2099" s="7" t="s">
        <v>620</v>
      </c>
      <c r="G2099" s="7">
        <v>182</v>
      </c>
      <c r="H2099" s="7" t="s">
        <v>876</v>
      </c>
      <c r="I2099" s="7" t="s">
        <v>874</v>
      </c>
      <c r="J2099" s="7"/>
      <c r="M2099" s="7"/>
      <c r="N2099" s="7" t="s">
        <v>875</v>
      </c>
      <c r="P2099" s="126"/>
    </row>
    <row r="2100" spans="1:16" ht="15.75" customHeight="1">
      <c r="A2100" s="126">
        <v>46230.015752314801</v>
      </c>
      <c r="B2100" s="7">
        <v>12</v>
      </c>
      <c r="C2100" s="7">
        <v>645</v>
      </c>
      <c r="E2100" s="7" t="s">
        <v>1149</v>
      </c>
      <c r="F2100" s="7" t="s">
        <v>620</v>
      </c>
      <c r="G2100" s="7">
        <v>174</v>
      </c>
      <c r="H2100" s="7" t="s">
        <v>877</v>
      </c>
      <c r="I2100" s="7" t="s">
        <v>878</v>
      </c>
      <c r="J2100" s="7" t="s">
        <v>879</v>
      </c>
      <c r="M2100" s="7">
        <v>100</v>
      </c>
      <c r="N2100" s="7">
        <v>100</v>
      </c>
      <c r="P2100" s="126">
        <v>46209.696134259299</v>
      </c>
    </row>
    <row r="2101" spans="1:16" ht="15.75" customHeight="1">
      <c r="A2101" s="126">
        <v>46230.015752314801</v>
      </c>
      <c r="B2101" s="7">
        <v>12</v>
      </c>
      <c r="C2101" s="7">
        <v>645</v>
      </c>
      <c r="E2101" s="7" t="s">
        <v>1149</v>
      </c>
      <c r="F2101" s="7" t="s">
        <v>620</v>
      </c>
      <c r="G2101" s="7">
        <v>180</v>
      </c>
      <c r="H2101" s="7" t="s">
        <v>880</v>
      </c>
      <c r="I2101" s="7" t="s">
        <v>874</v>
      </c>
      <c r="J2101" s="7"/>
      <c r="M2101" s="7"/>
      <c r="N2101" s="7" t="s">
        <v>875</v>
      </c>
      <c r="O2101" s="126"/>
      <c r="P2101" s="126"/>
    </row>
    <row r="2102" spans="1:16" ht="15.75" customHeight="1">
      <c r="A2102" s="126">
        <v>46230.015752314801</v>
      </c>
      <c r="B2102" s="7">
        <v>12</v>
      </c>
      <c r="C2102" s="7">
        <v>645</v>
      </c>
      <c r="E2102" s="7" t="s">
        <v>1149</v>
      </c>
      <c r="F2102" s="7" t="s">
        <v>620</v>
      </c>
      <c r="G2102" s="7">
        <v>175</v>
      </c>
      <c r="H2102" s="7" t="s">
        <v>881</v>
      </c>
      <c r="I2102" s="7" t="s">
        <v>878</v>
      </c>
      <c r="J2102" s="7" t="s">
        <v>882</v>
      </c>
      <c r="M2102" s="7">
        <v>100</v>
      </c>
      <c r="N2102" s="7">
        <v>100</v>
      </c>
      <c r="O2102" s="126">
        <v>46216.507372685199</v>
      </c>
      <c r="P2102" s="126">
        <v>46216.507372685199</v>
      </c>
    </row>
    <row r="2103" spans="1:16" ht="15.75" customHeight="1">
      <c r="A2103" s="126">
        <v>46230.015752314801</v>
      </c>
      <c r="B2103" s="7">
        <v>12</v>
      </c>
      <c r="C2103" s="7">
        <v>645</v>
      </c>
      <c r="E2103" s="7" t="s">
        <v>1149</v>
      </c>
      <c r="F2103" s="7" t="s">
        <v>620</v>
      </c>
      <c r="G2103" s="7">
        <v>177</v>
      </c>
      <c r="H2103" s="7" t="s">
        <v>883</v>
      </c>
      <c r="I2103" s="7" t="s">
        <v>878</v>
      </c>
      <c r="J2103" s="7" t="s">
        <v>882</v>
      </c>
      <c r="M2103" s="7"/>
      <c r="N2103" s="7" t="s">
        <v>875</v>
      </c>
      <c r="O2103" s="126"/>
      <c r="P2103" s="126"/>
    </row>
    <row r="2104" spans="1:16" ht="15.75" customHeight="1">
      <c r="A2104" s="126">
        <v>46230.015752314801</v>
      </c>
      <c r="B2104" s="7">
        <v>12</v>
      </c>
      <c r="C2104" s="7">
        <v>645</v>
      </c>
      <c r="E2104" s="7" t="s">
        <v>1149</v>
      </c>
      <c r="F2104" s="7" t="s">
        <v>620</v>
      </c>
      <c r="G2104" s="7">
        <v>176</v>
      </c>
      <c r="H2104" s="7" t="s">
        <v>884</v>
      </c>
      <c r="I2104" s="7" t="s">
        <v>878</v>
      </c>
      <c r="J2104" s="7" t="s">
        <v>882</v>
      </c>
      <c r="M2104" s="7">
        <v>100</v>
      </c>
      <c r="N2104" s="7">
        <v>100</v>
      </c>
      <c r="O2104" s="126">
        <v>46224.5082638889</v>
      </c>
      <c r="P2104" s="126">
        <v>46224.5082638889</v>
      </c>
    </row>
    <row r="2105" spans="1:16" ht="15.75" customHeight="1">
      <c r="A2105" s="126">
        <v>46230.015752314801</v>
      </c>
      <c r="B2105" s="7">
        <v>12</v>
      </c>
      <c r="C2105" s="7">
        <v>645</v>
      </c>
      <c r="E2105" s="7" t="s">
        <v>1149</v>
      </c>
      <c r="F2105" s="7" t="s">
        <v>620</v>
      </c>
      <c r="G2105" s="7">
        <v>168</v>
      </c>
      <c r="H2105" s="7" t="s">
        <v>885</v>
      </c>
      <c r="I2105" s="7" t="s">
        <v>886</v>
      </c>
      <c r="J2105" s="7"/>
      <c r="M2105" s="7">
        <v>100</v>
      </c>
      <c r="N2105" s="7">
        <v>100</v>
      </c>
      <c r="O2105" s="126"/>
      <c r="P2105" s="126">
        <v>46209.696134259299</v>
      </c>
    </row>
    <row r="2106" spans="1:16" ht="15.75" customHeight="1">
      <c r="A2106" s="126">
        <v>46230.015752314801</v>
      </c>
      <c r="B2106" s="7">
        <v>12</v>
      </c>
      <c r="C2106" s="7">
        <v>354</v>
      </c>
      <c r="E2106" s="7" t="s">
        <v>1150</v>
      </c>
      <c r="F2106" s="7" t="s">
        <v>804</v>
      </c>
      <c r="G2106" s="7">
        <v>181</v>
      </c>
      <c r="H2106" s="7" t="s">
        <v>873</v>
      </c>
      <c r="I2106" s="7" t="s">
        <v>874</v>
      </c>
      <c r="J2106" s="7"/>
      <c r="M2106" s="7"/>
      <c r="N2106" s="7" t="s">
        <v>875</v>
      </c>
      <c r="O2106" s="126"/>
      <c r="P2106" s="126"/>
    </row>
    <row r="2107" spans="1:16" ht="15.75" customHeight="1">
      <c r="A2107" s="126">
        <v>46230.015752314801</v>
      </c>
      <c r="B2107" s="7">
        <v>12</v>
      </c>
      <c r="C2107" s="7">
        <v>354</v>
      </c>
      <c r="E2107" s="7" t="s">
        <v>1150</v>
      </c>
      <c r="F2107" s="7" t="s">
        <v>804</v>
      </c>
      <c r="G2107" s="7">
        <v>182</v>
      </c>
      <c r="H2107" s="7" t="s">
        <v>876</v>
      </c>
      <c r="I2107" s="7" t="s">
        <v>874</v>
      </c>
      <c r="J2107" s="7"/>
      <c r="M2107" s="7"/>
      <c r="N2107" s="7" t="s">
        <v>875</v>
      </c>
      <c r="P2107" s="126"/>
    </row>
    <row r="2108" spans="1:16" ht="15.75" customHeight="1">
      <c r="A2108" s="126">
        <v>46230.015752314801</v>
      </c>
      <c r="B2108" s="7">
        <v>12</v>
      </c>
      <c r="C2108" s="7">
        <v>354</v>
      </c>
      <c r="E2108" s="7" t="s">
        <v>1150</v>
      </c>
      <c r="F2108" s="7" t="s">
        <v>804</v>
      </c>
      <c r="G2108" s="7">
        <v>174</v>
      </c>
      <c r="H2108" s="7" t="s">
        <v>877</v>
      </c>
      <c r="I2108" s="7" t="s">
        <v>878</v>
      </c>
      <c r="J2108" s="7" t="s">
        <v>879</v>
      </c>
      <c r="M2108" s="7">
        <v>100</v>
      </c>
      <c r="N2108" s="7">
        <v>100</v>
      </c>
      <c r="P2108" s="126">
        <v>46209.706967592603</v>
      </c>
    </row>
    <row r="2109" spans="1:16" ht="15.75" customHeight="1">
      <c r="A2109" s="126">
        <v>46230.015752314801</v>
      </c>
      <c r="B2109" s="7">
        <v>12</v>
      </c>
      <c r="C2109" s="7">
        <v>354</v>
      </c>
      <c r="E2109" s="7" t="s">
        <v>1150</v>
      </c>
      <c r="F2109" s="7" t="s">
        <v>804</v>
      </c>
      <c r="G2109" s="7">
        <v>180</v>
      </c>
      <c r="H2109" s="7" t="s">
        <v>880</v>
      </c>
      <c r="I2109" s="7" t="s">
        <v>874</v>
      </c>
      <c r="J2109" s="7"/>
      <c r="M2109" s="7"/>
      <c r="N2109" s="7" t="s">
        <v>875</v>
      </c>
      <c r="O2109" s="126"/>
      <c r="P2109" s="126"/>
    </row>
    <row r="2110" spans="1:16" ht="15.75" customHeight="1">
      <c r="A2110" s="126">
        <v>46230.015752314801</v>
      </c>
      <c r="B2110" s="7">
        <v>12</v>
      </c>
      <c r="C2110" s="7">
        <v>354</v>
      </c>
      <c r="E2110" s="7" t="s">
        <v>1150</v>
      </c>
      <c r="F2110" s="7" t="s">
        <v>804</v>
      </c>
      <c r="G2110" s="7">
        <v>175</v>
      </c>
      <c r="H2110" s="7" t="s">
        <v>881</v>
      </c>
      <c r="I2110" s="7" t="s">
        <v>878</v>
      </c>
      <c r="J2110" s="7" t="s">
        <v>882</v>
      </c>
      <c r="M2110" s="7">
        <v>87.5</v>
      </c>
      <c r="N2110" s="7">
        <v>87.5</v>
      </c>
      <c r="O2110" s="126">
        <v>46215.957499999997</v>
      </c>
      <c r="P2110" s="126">
        <v>46215.957499999997</v>
      </c>
    </row>
    <row r="2111" spans="1:16" ht="15.75" customHeight="1">
      <c r="A2111" s="126">
        <v>46230.015752314801</v>
      </c>
      <c r="B2111" s="7">
        <v>12</v>
      </c>
      <c r="C2111" s="7">
        <v>354</v>
      </c>
      <c r="E2111" s="7" t="s">
        <v>1150</v>
      </c>
      <c r="F2111" s="7" t="s">
        <v>804</v>
      </c>
      <c r="G2111" s="7">
        <v>177</v>
      </c>
      <c r="H2111" s="7" t="s">
        <v>883</v>
      </c>
      <c r="I2111" s="7" t="s">
        <v>878</v>
      </c>
      <c r="J2111" s="7" t="s">
        <v>882</v>
      </c>
      <c r="M2111" s="7"/>
      <c r="N2111" s="7" t="s">
        <v>875</v>
      </c>
      <c r="P2111" s="126"/>
    </row>
    <row r="2112" spans="1:16" ht="15.75" customHeight="1">
      <c r="A2112" s="126">
        <v>46230.015752314801</v>
      </c>
      <c r="B2112" s="7">
        <v>12</v>
      </c>
      <c r="C2112" s="7">
        <v>354</v>
      </c>
      <c r="E2112" s="7" t="s">
        <v>1150</v>
      </c>
      <c r="F2112" s="7" t="s">
        <v>804</v>
      </c>
      <c r="G2112" s="7">
        <v>176</v>
      </c>
      <c r="H2112" s="7" t="s">
        <v>884</v>
      </c>
      <c r="I2112" s="7" t="s">
        <v>878</v>
      </c>
      <c r="J2112" s="7" t="s">
        <v>882</v>
      </c>
      <c r="M2112" s="7">
        <v>90</v>
      </c>
      <c r="N2112" s="7">
        <v>90</v>
      </c>
      <c r="O2112" s="126">
        <v>46225.0133333333</v>
      </c>
      <c r="P2112" s="126">
        <v>46225.0133333333</v>
      </c>
    </row>
    <row r="2113" spans="1:16" ht="15.75" customHeight="1">
      <c r="A2113" s="126">
        <v>46230.015752314801</v>
      </c>
      <c r="B2113" s="7">
        <v>12</v>
      </c>
      <c r="C2113" s="7">
        <v>354</v>
      </c>
      <c r="E2113" s="7" t="s">
        <v>1150</v>
      </c>
      <c r="F2113" s="7" t="s">
        <v>804</v>
      </c>
      <c r="G2113" s="7">
        <v>168</v>
      </c>
      <c r="H2113" s="7" t="s">
        <v>885</v>
      </c>
      <c r="I2113" s="7" t="s">
        <v>886</v>
      </c>
      <c r="J2113" s="7"/>
      <c r="M2113" s="7">
        <v>100</v>
      </c>
      <c r="N2113" s="7">
        <v>100</v>
      </c>
      <c r="P2113" s="126">
        <v>46209.706967592603</v>
      </c>
    </row>
    <row r="2114" spans="1:16" ht="15.75" customHeight="1">
      <c r="A2114" s="126">
        <v>46230.015752314801</v>
      </c>
      <c r="B2114" s="7">
        <v>12</v>
      </c>
      <c r="C2114" s="7">
        <v>262</v>
      </c>
      <c r="E2114" s="7" t="s">
        <v>1151</v>
      </c>
      <c r="F2114" s="7" t="s">
        <v>181</v>
      </c>
      <c r="G2114" s="7">
        <v>181</v>
      </c>
      <c r="H2114" s="7" t="s">
        <v>873</v>
      </c>
      <c r="I2114" s="7" t="s">
        <v>874</v>
      </c>
      <c r="J2114" s="7"/>
      <c r="M2114" s="7"/>
      <c r="N2114" s="7" t="s">
        <v>875</v>
      </c>
      <c r="O2114" s="126"/>
      <c r="P2114" s="126"/>
    </row>
    <row r="2115" spans="1:16" ht="15.75" customHeight="1">
      <c r="A2115" s="126">
        <v>46230.015752314801</v>
      </c>
      <c r="B2115" s="7">
        <v>12</v>
      </c>
      <c r="C2115" s="7">
        <v>262</v>
      </c>
      <c r="E2115" s="7" t="s">
        <v>1151</v>
      </c>
      <c r="F2115" s="7" t="s">
        <v>181</v>
      </c>
      <c r="G2115" s="7">
        <v>182</v>
      </c>
      <c r="H2115" s="7" t="s">
        <v>876</v>
      </c>
      <c r="I2115" s="7" t="s">
        <v>874</v>
      </c>
      <c r="J2115" s="7"/>
      <c r="M2115" s="7"/>
      <c r="N2115" s="7" t="s">
        <v>875</v>
      </c>
      <c r="O2115" s="126"/>
      <c r="P2115" s="126"/>
    </row>
    <row r="2116" spans="1:16" ht="15.75" customHeight="1">
      <c r="A2116" s="126">
        <v>46230.015752314801</v>
      </c>
      <c r="B2116" s="7">
        <v>12</v>
      </c>
      <c r="C2116" s="7">
        <v>262</v>
      </c>
      <c r="E2116" s="7" t="s">
        <v>1151</v>
      </c>
      <c r="F2116" s="7" t="s">
        <v>181</v>
      </c>
      <c r="G2116" s="7">
        <v>174</v>
      </c>
      <c r="H2116" s="7" t="s">
        <v>877</v>
      </c>
      <c r="I2116" s="7" t="s">
        <v>878</v>
      </c>
      <c r="J2116" s="7" t="s">
        <v>879</v>
      </c>
      <c r="M2116" s="7">
        <v>100</v>
      </c>
      <c r="N2116" s="7">
        <v>100</v>
      </c>
      <c r="P2116" s="126">
        <v>46209.706979166702</v>
      </c>
    </row>
    <row r="2117" spans="1:16" ht="15.75" customHeight="1">
      <c r="A2117" s="126">
        <v>46230.015752314801</v>
      </c>
      <c r="B2117" s="7">
        <v>12</v>
      </c>
      <c r="C2117" s="7">
        <v>262</v>
      </c>
      <c r="E2117" s="7" t="s">
        <v>1151</v>
      </c>
      <c r="F2117" s="7" t="s">
        <v>181</v>
      </c>
      <c r="G2117" s="7">
        <v>180</v>
      </c>
      <c r="H2117" s="7" t="s">
        <v>880</v>
      </c>
      <c r="I2117" s="7" t="s">
        <v>874</v>
      </c>
      <c r="J2117" s="7"/>
      <c r="M2117" s="7"/>
      <c r="N2117" s="7" t="s">
        <v>875</v>
      </c>
      <c r="O2117" s="126"/>
      <c r="P2117" s="126"/>
    </row>
    <row r="2118" spans="1:16" ht="15.75" customHeight="1">
      <c r="A2118" s="126">
        <v>46230.015752314801</v>
      </c>
      <c r="B2118" s="7">
        <v>12</v>
      </c>
      <c r="C2118" s="7">
        <v>262</v>
      </c>
      <c r="E2118" s="7" t="s">
        <v>1151</v>
      </c>
      <c r="F2118" s="7" t="s">
        <v>181</v>
      </c>
      <c r="G2118" s="7">
        <v>175</v>
      </c>
      <c r="H2118" s="7" t="s">
        <v>881</v>
      </c>
      <c r="I2118" s="7" t="s">
        <v>878</v>
      </c>
      <c r="J2118" s="7" t="s">
        <v>882</v>
      </c>
      <c r="M2118" s="7">
        <v>75</v>
      </c>
      <c r="N2118" s="7">
        <v>75</v>
      </c>
      <c r="O2118" s="126">
        <v>46216.433229166701</v>
      </c>
      <c r="P2118" s="126">
        <v>46216.433229166701</v>
      </c>
    </row>
    <row r="2119" spans="1:16" ht="15.75" customHeight="1">
      <c r="A2119" s="126">
        <v>46230.015752314801</v>
      </c>
      <c r="B2119" s="7">
        <v>12</v>
      </c>
      <c r="C2119" s="7">
        <v>262</v>
      </c>
      <c r="E2119" s="7" t="s">
        <v>1151</v>
      </c>
      <c r="F2119" s="7" t="s">
        <v>181</v>
      </c>
      <c r="G2119" s="7">
        <v>177</v>
      </c>
      <c r="H2119" s="7" t="s">
        <v>883</v>
      </c>
      <c r="I2119" s="7" t="s">
        <v>878</v>
      </c>
      <c r="J2119" s="7" t="s">
        <v>882</v>
      </c>
      <c r="M2119" s="7"/>
      <c r="N2119" s="7" t="s">
        <v>875</v>
      </c>
      <c r="P2119" s="126"/>
    </row>
    <row r="2120" spans="1:16" ht="15.75" customHeight="1">
      <c r="A2120" s="126">
        <v>46230.015752314801</v>
      </c>
      <c r="B2120" s="7">
        <v>12</v>
      </c>
      <c r="C2120" s="7">
        <v>262</v>
      </c>
      <c r="E2120" s="7" t="s">
        <v>1151</v>
      </c>
      <c r="F2120" s="7" t="s">
        <v>181</v>
      </c>
      <c r="G2120" s="7">
        <v>176</v>
      </c>
      <c r="H2120" s="7" t="s">
        <v>884</v>
      </c>
      <c r="I2120" s="7" t="s">
        <v>878</v>
      </c>
      <c r="J2120" s="7" t="s">
        <v>882</v>
      </c>
      <c r="M2120" s="7">
        <v>100</v>
      </c>
      <c r="N2120" s="7">
        <v>100</v>
      </c>
      <c r="O2120" s="126">
        <v>46223.870312500003</v>
      </c>
      <c r="P2120" s="126">
        <v>46223.870312500003</v>
      </c>
    </row>
    <row r="2121" spans="1:16" ht="15.75" customHeight="1">
      <c r="A2121" s="126">
        <v>46230.015752314801</v>
      </c>
      <c r="B2121" s="7">
        <v>12</v>
      </c>
      <c r="C2121" s="7">
        <v>262</v>
      </c>
      <c r="E2121" s="7" t="s">
        <v>1151</v>
      </c>
      <c r="F2121" s="7" t="s">
        <v>181</v>
      </c>
      <c r="G2121" s="7">
        <v>168</v>
      </c>
      <c r="H2121" s="7" t="s">
        <v>885</v>
      </c>
      <c r="I2121" s="7" t="s">
        <v>886</v>
      </c>
      <c r="J2121" s="7"/>
      <c r="M2121" s="7">
        <v>100</v>
      </c>
      <c r="N2121" s="7">
        <v>100</v>
      </c>
      <c r="O2121" s="126"/>
      <c r="P2121" s="126">
        <v>46209.706979166702</v>
      </c>
    </row>
    <row r="2122" spans="1:16" ht="15.75" customHeight="1">
      <c r="A2122" s="126">
        <v>46230.015752314801</v>
      </c>
      <c r="B2122" s="7">
        <v>12</v>
      </c>
      <c r="C2122" s="7">
        <v>602</v>
      </c>
      <c r="E2122" s="7" t="s">
        <v>1152</v>
      </c>
      <c r="F2122" s="7" t="s">
        <v>497</v>
      </c>
      <c r="G2122" s="7">
        <v>181</v>
      </c>
      <c r="H2122" s="7" t="s">
        <v>873</v>
      </c>
      <c r="I2122" s="7" t="s">
        <v>874</v>
      </c>
      <c r="J2122" s="7"/>
      <c r="M2122" s="7"/>
      <c r="N2122" s="7" t="s">
        <v>875</v>
      </c>
      <c r="P2122" s="126"/>
    </row>
    <row r="2123" spans="1:16" ht="15.75" customHeight="1">
      <c r="A2123" s="126">
        <v>46230.015752314801</v>
      </c>
      <c r="B2123" s="7">
        <v>12</v>
      </c>
      <c r="C2123" s="7">
        <v>602</v>
      </c>
      <c r="E2123" s="7" t="s">
        <v>1152</v>
      </c>
      <c r="F2123" s="7" t="s">
        <v>497</v>
      </c>
      <c r="G2123" s="7">
        <v>182</v>
      </c>
      <c r="H2123" s="7" t="s">
        <v>876</v>
      </c>
      <c r="I2123" s="7" t="s">
        <v>874</v>
      </c>
      <c r="J2123" s="7"/>
      <c r="M2123" s="7"/>
      <c r="N2123" s="7" t="s">
        <v>875</v>
      </c>
      <c r="O2123" s="126"/>
      <c r="P2123" s="126"/>
    </row>
    <row r="2124" spans="1:16" ht="15.75" customHeight="1">
      <c r="A2124" s="126">
        <v>46230.015752314801</v>
      </c>
      <c r="B2124" s="7">
        <v>12</v>
      </c>
      <c r="C2124" s="7">
        <v>602</v>
      </c>
      <c r="E2124" s="7" t="s">
        <v>1152</v>
      </c>
      <c r="F2124" s="7" t="s">
        <v>497</v>
      </c>
      <c r="G2124" s="7">
        <v>174</v>
      </c>
      <c r="H2124" s="7" t="s">
        <v>877</v>
      </c>
      <c r="I2124" s="7" t="s">
        <v>878</v>
      </c>
      <c r="J2124" s="7" t="s">
        <v>879</v>
      </c>
      <c r="M2124" s="7">
        <v>100</v>
      </c>
      <c r="N2124" s="7">
        <v>100</v>
      </c>
      <c r="O2124" s="126"/>
      <c r="P2124" s="126">
        <v>46209.706979166702</v>
      </c>
    </row>
    <row r="2125" spans="1:16" ht="15.75" customHeight="1">
      <c r="A2125" s="126">
        <v>46230.015752314801</v>
      </c>
      <c r="B2125" s="7">
        <v>12</v>
      </c>
      <c r="C2125" s="7">
        <v>602</v>
      </c>
      <c r="E2125" s="7" t="s">
        <v>1152</v>
      </c>
      <c r="F2125" s="7" t="s">
        <v>497</v>
      </c>
      <c r="G2125" s="7">
        <v>180</v>
      </c>
      <c r="H2125" s="7" t="s">
        <v>880</v>
      </c>
      <c r="I2125" s="7" t="s">
        <v>874</v>
      </c>
      <c r="J2125" s="7"/>
      <c r="M2125" s="7"/>
      <c r="N2125" s="7" t="s">
        <v>875</v>
      </c>
      <c r="O2125" s="126"/>
      <c r="P2125" s="126"/>
    </row>
    <row r="2126" spans="1:16" ht="15.75" customHeight="1">
      <c r="A2126" s="126">
        <v>46230.015752314801</v>
      </c>
      <c r="B2126" s="7">
        <v>12</v>
      </c>
      <c r="C2126" s="7">
        <v>602</v>
      </c>
      <c r="E2126" s="7" t="s">
        <v>1152</v>
      </c>
      <c r="F2126" s="7" t="s">
        <v>497</v>
      </c>
      <c r="G2126" s="7">
        <v>175</v>
      </c>
      <c r="H2126" s="7" t="s">
        <v>881</v>
      </c>
      <c r="I2126" s="7" t="s">
        <v>878</v>
      </c>
      <c r="J2126" s="7" t="s">
        <v>882</v>
      </c>
      <c r="M2126" s="7">
        <v>75</v>
      </c>
      <c r="N2126" s="7">
        <v>75</v>
      </c>
      <c r="O2126" s="126">
        <v>46214.426076388903</v>
      </c>
      <c r="P2126" s="126">
        <v>46214.426076388903</v>
      </c>
    </row>
    <row r="2127" spans="1:16" ht="15.75" customHeight="1">
      <c r="A2127" s="126">
        <v>46230.015752314801</v>
      </c>
      <c r="B2127" s="7">
        <v>12</v>
      </c>
      <c r="C2127" s="7">
        <v>602</v>
      </c>
      <c r="E2127" s="7" t="s">
        <v>1152</v>
      </c>
      <c r="F2127" s="7" t="s">
        <v>497</v>
      </c>
      <c r="G2127" s="7">
        <v>177</v>
      </c>
      <c r="H2127" s="7" t="s">
        <v>883</v>
      </c>
      <c r="I2127" s="7" t="s">
        <v>878</v>
      </c>
      <c r="J2127" s="7" t="s">
        <v>882</v>
      </c>
      <c r="M2127" s="7"/>
      <c r="N2127" s="7" t="s">
        <v>875</v>
      </c>
      <c r="P2127" s="126"/>
    </row>
    <row r="2128" spans="1:16" ht="15.75" customHeight="1">
      <c r="A2128" s="126">
        <v>46230.015752314801</v>
      </c>
      <c r="B2128" s="7">
        <v>12</v>
      </c>
      <c r="C2128" s="7">
        <v>602</v>
      </c>
      <c r="E2128" s="7" t="s">
        <v>1152</v>
      </c>
      <c r="F2128" s="7" t="s">
        <v>497</v>
      </c>
      <c r="G2128" s="7">
        <v>176</v>
      </c>
      <c r="H2128" s="7" t="s">
        <v>884</v>
      </c>
      <c r="I2128" s="7" t="s">
        <v>878</v>
      </c>
      <c r="J2128" s="7" t="s">
        <v>882</v>
      </c>
      <c r="M2128" s="7">
        <v>100</v>
      </c>
      <c r="N2128" s="7">
        <v>100</v>
      </c>
      <c r="O2128" s="126">
        <v>46224.684629629599</v>
      </c>
      <c r="P2128" s="126">
        <v>46224.684629629599</v>
      </c>
    </row>
    <row r="2129" spans="1:16" ht="15.75" customHeight="1">
      <c r="A2129" s="126">
        <v>46230.015752314801</v>
      </c>
      <c r="B2129" s="7">
        <v>12</v>
      </c>
      <c r="C2129" s="7">
        <v>602</v>
      </c>
      <c r="E2129" s="7" t="s">
        <v>1152</v>
      </c>
      <c r="F2129" s="7" t="s">
        <v>497</v>
      </c>
      <c r="G2129" s="7">
        <v>168</v>
      </c>
      <c r="H2129" s="7" t="s">
        <v>885</v>
      </c>
      <c r="I2129" s="7" t="s">
        <v>886</v>
      </c>
      <c r="M2129" s="7">
        <v>100</v>
      </c>
      <c r="N2129" s="7">
        <v>100</v>
      </c>
      <c r="P2129" s="126">
        <v>46209.706979166702</v>
      </c>
    </row>
    <row r="2130" spans="1:16" ht="15.75" customHeight="1">
      <c r="A2130" s="126">
        <v>46230.015752314801</v>
      </c>
      <c r="B2130" s="7">
        <v>12</v>
      </c>
      <c r="C2130" s="7">
        <v>341</v>
      </c>
      <c r="E2130" s="7" t="s">
        <v>1153</v>
      </c>
      <c r="F2130" s="7" t="s">
        <v>476</v>
      </c>
      <c r="G2130" s="7">
        <v>181</v>
      </c>
      <c r="H2130" s="7" t="s">
        <v>873</v>
      </c>
      <c r="I2130" s="7" t="s">
        <v>874</v>
      </c>
      <c r="J2130" s="7"/>
      <c r="M2130" s="7"/>
      <c r="N2130" s="7" t="s">
        <v>875</v>
      </c>
      <c r="O2130" s="126"/>
      <c r="P2130" s="126"/>
    </row>
    <row r="2131" spans="1:16" ht="15.75" customHeight="1">
      <c r="A2131" s="126">
        <v>46230.015752314801</v>
      </c>
      <c r="B2131" s="7">
        <v>12</v>
      </c>
      <c r="C2131" s="7">
        <v>341</v>
      </c>
      <c r="E2131" s="7" t="s">
        <v>1153</v>
      </c>
      <c r="F2131" s="7" t="s">
        <v>476</v>
      </c>
      <c r="G2131" s="7">
        <v>182</v>
      </c>
      <c r="H2131" s="7" t="s">
        <v>876</v>
      </c>
      <c r="I2131" s="7" t="s">
        <v>874</v>
      </c>
      <c r="J2131" s="7"/>
      <c r="M2131" s="7"/>
      <c r="N2131" s="7" t="s">
        <v>875</v>
      </c>
      <c r="P2131" s="126"/>
    </row>
    <row r="2132" spans="1:16" ht="15.75" customHeight="1">
      <c r="A2132" s="126">
        <v>46230.015752314801</v>
      </c>
      <c r="B2132" s="7">
        <v>12</v>
      </c>
      <c r="C2132" s="7">
        <v>341</v>
      </c>
      <c r="E2132" s="7" t="s">
        <v>1153</v>
      </c>
      <c r="F2132" s="7" t="s">
        <v>476</v>
      </c>
      <c r="G2132" s="7">
        <v>174</v>
      </c>
      <c r="H2132" s="7" t="s">
        <v>877</v>
      </c>
      <c r="I2132" s="7" t="s">
        <v>878</v>
      </c>
      <c r="J2132" s="7" t="s">
        <v>879</v>
      </c>
      <c r="M2132" s="7">
        <v>100</v>
      </c>
      <c r="N2132" s="7">
        <v>100</v>
      </c>
      <c r="O2132" s="126"/>
      <c r="P2132" s="126">
        <v>46209.644849536999</v>
      </c>
    </row>
    <row r="2133" spans="1:16" ht="15.75" customHeight="1">
      <c r="A2133" s="126">
        <v>46230.015752314801</v>
      </c>
      <c r="B2133" s="7">
        <v>12</v>
      </c>
      <c r="C2133" s="7">
        <v>341</v>
      </c>
      <c r="E2133" s="7" t="s">
        <v>1153</v>
      </c>
      <c r="F2133" s="7" t="s">
        <v>476</v>
      </c>
      <c r="G2133" s="7">
        <v>180</v>
      </c>
      <c r="H2133" s="7" t="s">
        <v>880</v>
      </c>
      <c r="I2133" s="7" t="s">
        <v>874</v>
      </c>
      <c r="J2133" s="7"/>
      <c r="M2133" s="7"/>
      <c r="N2133" s="7" t="s">
        <v>875</v>
      </c>
      <c r="O2133" s="126"/>
      <c r="P2133" s="126"/>
    </row>
    <row r="2134" spans="1:16" ht="15.75" customHeight="1">
      <c r="A2134" s="126">
        <v>46230.015752314801</v>
      </c>
      <c r="B2134" s="7">
        <v>12</v>
      </c>
      <c r="C2134" s="7">
        <v>341</v>
      </c>
      <c r="E2134" s="7" t="s">
        <v>1153</v>
      </c>
      <c r="F2134" s="7" t="s">
        <v>476</v>
      </c>
      <c r="G2134" s="7">
        <v>175</v>
      </c>
      <c r="H2134" s="7" t="s">
        <v>881</v>
      </c>
      <c r="I2134" s="7" t="s">
        <v>878</v>
      </c>
      <c r="J2134" s="7" t="s">
        <v>882</v>
      </c>
      <c r="M2134" s="7">
        <v>100</v>
      </c>
      <c r="N2134" s="7">
        <v>100</v>
      </c>
      <c r="O2134" s="126">
        <v>46214.554814814801</v>
      </c>
      <c r="P2134" s="126">
        <v>46214.554814814801</v>
      </c>
    </row>
    <row r="2135" spans="1:16" ht="15.75" customHeight="1">
      <c r="A2135" s="126">
        <v>46230.015752314801</v>
      </c>
      <c r="B2135" s="7">
        <v>12</v>
      </c>
      <c r="C2135" s="7">
        <v>341</v>
      </c>
      <c r="E2135" s="7" t="s">
        <v>1153</v>
      </c>
      <c r="F2135" s="7" t="s">
        <v>476</v>
      </c>
      <c r="G2135" s="7">
        <v>177</v>
      </c>
      <c r="H2135" s="7" t="s">
        <v>883</v>
      </c>
      <c r="I2135" s="7" t="s">
        <v>878</v>
      </c>
      <c r="J2135" s="7" t="s">
        <v>882</v>
      </c>
      <c r="M2135" s="7"/>
      <c r="N2135" s="7" t="s">
        <v>875</v>
      </c>
      <c r="P2135" s="126"/>
    </row>
    <row r="2136" spans="1:16" ht="15.75" customHeight="1">
      <c r="A2136" s="126">
        <v>46230.015752314801</v>
      </c>
      <c r="B2136" s="7">
        <v>12</v>
      </c>
      <c r="C2136" s="7">
        <v>341</v>
      </c>
      <c r="E2136" s="7" t="s">
        <v>1153</v>
      </c>
      <c r="F2136" s="7" t="s">
        <v>476</v>
      </c>
      <c r="G2136" s="7">
        <v>176</v>
      </c>
      <c r="H2136" s="7" t="s">
        <v>884</v>
      </c>
      <c r="I2136" s="7" t="s">
        <v>878</v>
      </c>
      <c r="J2136" s="7" t="s">
        <v>882</v>
      </c>
      <c r="M2136" s="7">
        <v>90</v>
      </c>
      <c r="N2136" s="7">
        <v>90</v>
      </c>
      <c r="O2136" s="126">
        <v>46223.898738425902</v>
      </c>
      <c r="P2136" s="126">
        <v>46223.898738425902</v>
      </c>
    </row>
    <row r="2137" spans="1:16" ht="15.75" customHeight="1">
      <c r="A2137" s="126">
        <v>46230.015752314801</v>
      </c>
      <c r="B2137" s="7">
        <v>12</v>
      </c>
      <c r="C2137" s="7">
        <v>341</v>
      </c>
      <c r="E2137" s="7" t="s">
        <v>1153</v>
      </c>
      <c r="F2137" s="7" t="s">
        <v>476</v>
      </c>
      <c r="G2137" s="7">
        <v>168</v>
      </c>
      <c r="H2137" s="7" t="s">
        <v>885</v>
      </c>
      <c r="I2137" s="7" t="s">
        <v>886</v>
      </c>
      <c r="J2137" s="7"/>
      <c r="M2137" s="7">
        <v>100</v>
      </c>
      <c r="N2137" s="7">
        <v>100</v>
      </c>
      <c r="P2137" s="126">
        <v>46209.644849536999</v>
      </c>
    </row>
    <row r="2138" spans="1:16" ht="15.75" customHeight="1">
      <c r="A2138" s="126">
        <v>46230.015752314801</v>
      </c>
      <c r="B2138" s="7">
        <v>12</v>
      </c>
      <c r="C2138" s="7">
        <v>757</v>
      </c>
      <c r="E2138" s="7" t="s">
        <v>1154</v>
      </c>
      <c r="F2138" s="7" t="s">
        <v>525</v>
      </c>
      <c r="G2138" s="7">
        <v>181</v>
      </c>
      <c r="H2138" s="7" t="s">
        <v>873</v>
      </c>
      <c r="I2138" s="7" t="s">
        <v>874</v>
      </c>
      <c r="M2138" s="7"/>
      <c r="N2138" s="7" t="s">
        <v>875</v>
      </c>
      <c r="P2138" s="126"/>
    </row>
    <row r="2139" spans="1:16" ht="15.75" customHeight="1">
      <c r="A2139" s="126">
        <v>46230.015752314801</v>
      </c>
      <c r="B2139" s="7">
        <v>12</v>
      </c>
      <c r="C2139" s="7">
        <v>757</v>
      </c>
      <c r="E2139" s="7" t="s">
        <v>1154</v>
      </c>
      <c r="F2139" s="7" t="s">
        <v>525</v>
      </c>
      <c r="G2139" s="7">
        <v>182</v>
      </c>
      <c r="H2139" s="7" t="s">
        <v>876</v>
      </c>
      <c r="I2139" s="7" t="s">
        <v>874</v>
      </c>
      <c r="J2139" s="7"/>
      <c r="M2139" s="7"/>
      <c r="N2139" s="7" t="s">
        <v>875</v>
      </c>
      <c r="O2139" s="126"/>
      <c r="P2139" s="126"/>
    </row>
    <row r="2140" spans="1:16" ht="15.75" customHeight="1">
      <c r="A2140" s="126">
        <v>46230.015752314801</v>
      </c>
      <c r="B2140" s="7">
        <v>12</v>
      </c>
      <c r="C2140" s="7">
        <v>757</v>
      </c>
      <c r="E2140" s="7" t="s">
        <v>1154</v>
      </c>
      <c r="F2140" s="7" t="s">
        <v>525</v>
      </c>
      <c r="G2140" s="7">
        <v>174</v>
      </c>
      <c r="H2140" s="7" t="s">
        <v>877</v>
      </c>
      <c r="I2140" s="7" t="s">
        <v>878</v>
      </c>
      <c r="J2140" s="7" t="s">
        <v>879</v>
      </c>
      <c r="M2140" s="7">
        <v>100</v>
      </c>
      <c r="N2140" s="7">
        <v>100</v>
      </c>
      <c r="P2140" s="126">
        <v>46209.706956018497</v>
      </c>
    </row>
    <row r="2141" spans="1:16" ht="15.75" customHeight="1">
      <c r="A2141" s="126">
        <v>46230.015752314801</v>
      </c>
      <c r="B2141" s="7">
        <v>12</v>
      </c>
      <c r="C2141" s="7">
        <v>757</v>
      </c>
      <c r="E2141" s="7" t="s">
        <v>1154</v>
      </c>
      <c r="F2141" s="7" t="s">
        <v>525</v>
      </c>
      <c r="G2141" s="7">
        <v>180</v>
      </c>
      <c r="H2141" s="7" t="s">
        <v>880</v>
      </c>
      <c r="I2141" s="7" t="s">
        <v>874</v>
      </c>
      <c r="J2141" s="7"/>
      <c r="M2141" s="7"/>
      <c r="N2141" s="7" t="s">
        <v>875</v>
      </c>
      <c r="O2141" s="126"/>
      <c r="P2141" s="126"/>
    </row>
    <row r="2142" spans="1:16" ht="15.75" customHeight="1">
      <c r="A2142" s="126">
        <v>46230.015752314801</v>
      </c>
      <c r="B2142" s="7">
        <v>12</v>
      </c>
      <c r="C2142" s="7">
        <v>757</v>
      </c>
      <c r="E2142" s="7" t="s">
        <v>1154</v>
      </c>
      <c r="F2142" s="7" t="s">
        <v>525</v>
      </c>
      <c r="G2142" s="7">
        <v>175</v>
      </c>
      <c r="H2142" s="7" t="s">
        <v>881</v>
      </c>
      <c r="I2142" s="7" t="s">
        <v>878</v>
      </c>
      <c r="J2142" s="7" t="s">
        <v>882</v>
      </c>
      <c r="M2142" s="7">
        <v>87.5</v>
      </c>
      <c r="N2142" s="7">
        <v>87.5</v>
      </c>
      <c r="O2142" s="126">
        <v>46216.377592592602</v>
      </c>
      <c r="P2142" s="126">
        <v>46216.377592592602</v>
      </c>
    </row>
    <row r="2143" spans="1:16" ht="15.75" customHeight="1">
      <c r="A2143" s="126">
        <v>46230.015752314801</v>
      </c>
      <c r="B2143" s="7">
        <v>12</v>
      </c>
      <c r="C2143" s="7">
        <v>757</v>
      </c>
      <c r="E2143" s="7" t="s">
        <v>1154</v>
      </c>
      <c r="F2143" s="7" t="s">
        <v>525</v>
      </c>
      <c r="G2143" s="7">
        <v>177</v>
      </c>
      <c r="H2143" s="7" t="s">
        <v>883</v>
      </c>
      <c r="I2143" s="7" t="s">
        <v>878</v>
      </c>
      <c r="J2143" s="7" t="s">
        <v>882</v>
      </c>
      <c r="M2143" s="7"/>
      <c r="N2143" s="7" t="s">
        <v>875</v>
      </c>
      <c r="P2143" s="126"/>
    </row>
    <row r="2144" spans="1:16" ht="15.75" customHeight="1">
      <c r="A2144" s="126">
        <v>46230.015752314801</v>
      </c>
      <c r="B2144" s="7">
        <v>12</v>
      </c>
      <c r="C2144" s="7">
        <v>757</v>
      </c>
      <c r="E2144" s="7" t="s">
        <v>1154</v>
      </c>
      <c r="F2144" s="7" t="s">
        <v>525</v>
      </c>
      <c r="G2144" s="7">
        <v>176</v>
      </c>
      <c r="H2144" s="7" t="s">
        <v>884</v>
      </c>
      <c r="I2144" s="7" t="s">
        <v>878</v>
      </c>
      <c r="J2144" s="7" t="s">
        <v>882</v>
      </c>
      <c r="M2144" s="7">
        <v>90</v>
      </c>
      <c r="N2144" s="7">
        <v>90</v>
      </c>
      <c r="O2144" s="126">
        <v>46225.713831018496</v>
      </c>
      <c r="P2144" s="126">
        <v>46225.713831018496</v>
      </c>
    </row>
    <row r="2145" spans="1:16" ht="15.75" customHeight="1">
      <c r="A2145" s="126">
        <v>46230.015752314801</v>
      </c>
      <c r="B2145" s="7">
        <v>12</v>
      </c>
      <c r="C2145" s="7">
        <v>757</v>
      </c>
      <c r="E2145" s="7" t="s">
        <v>1154</v>
      </c>
      <c r="F2145" s="7" t="s">
        <v>525</v>
      </c>
      <c r="G2145" s="7">
        <v>168</v>
      </c>
      <c r="H2145" s="7" t="s">
        <v>885</v>
      </c>
      <c r="I2145" s="7" t="s">
        <v>886</v>
      </c>
      <c r="M2145" s="7">
        <v>100</v>
      </c>
      <c r="N2145" s="7">
        <v>100</v>
      </c>
      <c r="P2145" s="126">
        <v>46209.706956018497</v>
      </c>
    </row>
    <row r="2146" spans="1:16" ht="15.75" customHeight="1">
      <c r="A2146" s="126">
        <v>46230.015752314801</v>
      </c>
      <c r="B2146" s="7">
        <v>12</v>
      </c>
      <c r="C2146" s="7">
        <v>610</v>
      </c>
      <c r="E2146" s="7" t="s">
        <v>1155</v>
      </c>
      <c r="F2146" s="7" t="s">
        <v>698</v>
      </c>
      <c r="G2146" s="7">
        <v>181</v>
      </c>
      <c r="H2146" s="7" t="s">
        <v>873</v>
      </c>
      <c r="I2146" s="7" t="s">
        <v>874</v>
      </c>
      <c r="J2146" s="7"/>
      <c r="M2146" s="7"/>
      <c r="N2146" s="7" t="s">
        <v>875</v>
      </c>
      <c r="P2146" s="126"/>
    </row>
    <row r="2147" spans="1:16" ht="15.75" customHeight="1">
      <c r="A2147" s="126">
        <v>46230.015752314801</v>
      </c>
      <c r="B2147" s="7">
        <v>12</v>
      </c>
      <c r="C2147" s="7">
        <v>610</v>
      </c>
      <c r="E2147" s="7" t="s">
        <v>1155</v>
      </c>
      <c r="F2147" s="7" t="s">
        <v>698</v>
      </c>
      <c r="G2147" s="7">
        <v>182</v>
      </c>
      <c r="H2147" s="7" t="s">
        <v>876</v>
      </c>
      <c r="I2147" s="7" t="s">
        <v>874</v>
      </c>
      <c r="J2147" s="7"/>
      <c r="M2147" s="7"/>
      <c r="N2147" s="7" t="s">
        <v>875</v>
      </c>
      <c r="P2147" s="126"/>
    </row>
    <row r="2148" spans="1:16" ht="15.75" customHeight="1">
      <c r="A2148" s="126">
        <v>46230.015752314801</v>
      </c>
      <c r="B2148" s="7">
        <v>12</v>
      </c>
      <c r="C2148" s="7">
        <v>610</v>
      </c>
      <c r="E2148" s="7" t="s">
        <v>1155</v>
      </c>
      <c r="F2148" s="7" t="s">
        <v>698</v>
      </c>
      <c r="G2148" s="7">
        <v>174</v>
      </c>
      <c r="H2148" s="7" t="s">
        <v>877</v>
      </c>
      <c r="I2148" s="7" t="s">
        <v>878</v>
      </c>
      <c r="J2148" s="7" t="s">
        <v>879</v>
      </c>
      <c r="M2148" s="7">
        <v>100</v>
      </c>
      <c r="N2148" s="7">
        <v>100</v>
      </c>
      <c r="O2148" s="126"/>
      <c r="P2148" s="126">
        <v>46209.706967592603</v>
      </c>
    </row>
    <row r="2149" spans="1:16" ht="15.75" customHeight="1">
      <c r="A2149" s="126">
        <v>46230.015752314801</v>
      </c>
      <c r="B2149" s="7">
        <v>12</v>
      </c>
      <c r="C2149" s="7">
        <v>610</v>
      </c>
      <c r="E2149" s="7" t="s">
        <v>1155</v>
      </c>
      <c r="F2149" s="7" t="s">
        <v>698</v>
      </c>
      <c r="G2149" s="7">
        <v>180</v>
      </c>
      <c r="H2149" s="7" t="s">
        <v>880</v>
      </c>
      <c r="I2149" s="7" t="s">
        <v>874</v>
      </c>
      <c r="J2149" s="7"/>
      <c r="M2149" s="7"/>
      <c r="N2149" s="7" t="s">
        <v>875</v>
      </c>
      <c r="O2149" s="126"/>
      <c r="P2149" s="126"/>
    </row>
    <row r="2150" spans="1:16" ht="15.75" customHeight="1">
      <c r="A2150" s="126">
        <v>46230.015752314801</v>
      </c>
      <c r="B2150" s="7">
        <v>12</v>
      </c>
      <c r="C2150" s="7">
        <v>610</v>
      </c>
      <c r="E2150" s="7" t="s">
        <v>1155</v>
      </c>
      <c r="F2150" s="7" t="s">
        <v>698</v>
      </c>
      <c r="G2150" s="7">
        <v>175</v>
      </c>
      <c r="H2150" s="7" t="s">
        <v>881</v>
      </c>
      <c r="I2150" s="7" t="s">
        <v>878</v>
      </c>
      <c r="J2150" s="7" t="s">
        <v>882</v>
      </c>
      <c r="M2150" s="7">
        <v>87.5</v>
      </c>
      <c r="N2150" s="7">
        <v>87.5</v>
      </c>
      <c r="O2150" s="126">
        <v>46215.812071759297</v>
      </c>
      <c r="P2150" s="126">
        <v>46215.812071759297</v>
      </c>
    </row>
    <row r="2151" spans="1:16" ht="15.75" customHeight="1">
      <c r="A2151" s="126">
        <v>46230.015752314801</v>
      </c>
      <c r="B2151" s="7">
        <v>12</v>
      </c>
      <c r="C2151" s="7">
        <v>610</v>
      </c>
      <c r="E2151" s="7" t="s">
        <v>1155</v>
      </c>
      <c r="F2151" s="7" t="s">
        <v>698</v>
      </c>
      <c r="G2151" s="7">
        <v>177</v>
      </c>
      <c r="H2151" s="7" t="s">
        <v>883</v>
      </c>
      <c r="I2151" s="7" t="s">
        <v>878</v>
      </c>
      <c r="J2151" s="7" t="s">
        <v>882</v>
      </c>
      <c r="M2151" s="7"/>
      <c r="N2151" s="7" t="s">
        <v>875</v>
      </c>
      <c r="O2151" s="126"/>
      <c r="P2151" s="126"/>
    </row>
    <row r="2152" spans="1:16" ht="15.75" customHeight="1">
      <c r="A2152" s="126">
        <v>46230.015752314801</v>
      </c>
      <c r="B2152" s="7">
        <v>12</v>
      </c>
      <c r="C2152" s="7">
        <v>610</v>
      </c>
      <c r="E2152" s="7" t="s">
        <v>1155</v>
      </c>
      <c r="F2152" s="7" t="s">
        <v>698</v>
      </c>
      <c r="G2152" s="7">
        <v>176</v>
      </c>
      <c r="H2152" s="7" t="s">
        <v>884</v>
      </c>
      <c r="I2152" s="7" t="s">
        <v>878</v>
      </c>
      <c r="J2152" s="7" t="s">
        <v>882</v>
      </c>
      <c r="M2152" s="7">
        <v>100</v>
      </c>
      <c r="N2152" s="7">
        <v>100</v>
      </c>
      <c r="O2152" s="126">
        <v>46223.717962962997</v>
      </c>
      <c r="P2152" s="126">
        <v>46223.793657407397</v>
      </c>
    </row>
    <row r="2153" spans="1:16" ht="15.75" customHeight="1">
      <c r="A2153" s="126">
        <v>46230.015752314801</v>
      </c>
      <c r="B2153" s="7">
        <v>12</v>
      </c>
      <c r="C2153" s="7">
        <v>610</v>
      </c>
      <c r="E2153" s="7" t="s">
        <v>1155</v>
      </c>
      <c r="F2153" s="7" t="s">
        <v>698</v>
      </c>
      <c r="G2153" s="7">
        <v>168</v>
      </c>
      <c r="H2153" s="7" t="s">
        <v>885</v>
      </c>
      <c r="I2153" s="7" t="s">
        <v>886</v>
      </c>
      <c r="M2153" s="7">
        <v>100</v>
      </c>
      <c r="N2153" s="7">
        <v>100</v>
      </c>
      <c r="P2153" s="126">
        <v>46209.706967592603</v>
      </c>
    </row>
    <row r="2154" spans="1:16" ht="15.75" customHeight="1">
      <c r="A2154" s="126">
        <v>46230.015752314801</v>
      </c>
      <c r="B2154" s="7">
        <v>12</v>
      </c>
      <c r="C2154" s="7">
        <v>786</v>
      </c>
      <c r="E2154" s="7" t="s">
        <v>1156</v>
      </c>
      <c r="F2154" s="7" t="s">
        <v>270</v>
      </c>
      <c r="G2154" s="7">
        <v>181</v>
      </c>
      <c r="H2154" s="7" t="s">
        <v>873</v>
      </c>
      <c r="I2154" s="7" t="s">
        <v>874</v>
      </c>
      <c r="M2154" s="7"/>
      <c r="N2154" s="7" t="s">
        <v>875</v>
      </c>
      <c r="P2154" s="126"/>
    </row>
    <row r="2155" spans="1:16" ht="15.75" customHeight="1">
      <c r="A2155" s="126">
        <v>46230.015752314801</v>
      </c>
      <c r="B2155" s="7">
        <v>12</v>
      </c>
      <c r="C2155" s="7">
        <v>786</v>
      </c>
      <c r="E2155" s="7" t="s">
        <v>1156</v>
      </c>
      <c r="F2155" s="7" t="s">
        <v>270</v>
      </c>
      <c r="G2155" s="7">
        <v>182</v>
      </c>
      <c r="H2155" s="7" t="s">
        <v>876</v>
      </c>
      <c r="I2155" s="7" t="s">
        <v>874</v>
      </c>
      <c r="J2155" s="7"/>
      <c r="M2155" s="7"/>
      <c r="N2155" s="7" t="s">
        <v>875</v>
      </c>
      <c r="P2155" s="126"/>
    </row>
    <row r="2156" spans="1:16" ht="15.75" customHeight="1">
      <c r="A2156" s="126">
        <v>46230.015752314801</v>
      </c>
      <c r="B2156" s="7">
        <v>12</v>
      </c>
      <c r="C2156" s="7">
        <v>786</v>
      </c>
      <c r="E2156" s="7" t="s">
        <v>1156</v>
      </c>
      <c r="F2156" s="7" t="s">
        <v>270</v>
      </c>
      <c r="G2156" s="7">
        <v>174</v>
      </c>
      <c r="H2156" s="7" t="s">
        <v>877</v>
      </c>
      <c r="I2156" s="7" t="s">
        <v>878</v>
      </c>
      <c r="J2156" s="7" t="s">
        <v>879</v>
      </c>
      <c r="M2156" s="7">
        <v>100</v>
      </c>
      <c r="N2156" s="7">
        <v>100</v>
      </c>
      <c r="P2156" s="126">
        <v>46213.567476851902</v>
      </c>
    </row>
    <row r="2157" spans="1:16" ht="15.75" customHeight="1">
      <c r="A2157" s="126">
        <v>46230.015752314801</v>
      </c>
      <c r="B2157" s="7">
        <v>12</v>
      </c>
      <c r="C2157" s="7">
        <v>786</v>
      </c>
      <c r="E2157" s="7" t="s">
        <v>1156</v>
      </c>
      <c r="F2157" s="7" t="s">
        <v>270</v>
      </c>
      <c r="G2157" s="7">
        <v>180</v>
      </c>
      <c r="H2157" s="7" t="s">
        <v>880</v>
      </c>
      <c r="I2157" s="7" t="s">
        <v>874</v>
      </c>
      <c r="J2157" s="7"/>
      <c r="M2157" s="7"/>
      <c r="N2157" s="7" t="s">
        <v>875</v>
      </c>
      <c r="O2157" s="126"/>
      <c r="P2157" s="126"/>
    </row>
    <row r="2158" spans="1:16" ht="15.75" customHeight="1">
      <c r="A2158" s="126">
        <v>46230.015752314801</v>
      </c>
      <c r="B2158" s="7">
        <v>12</v>
      </c>
      <c r="C2158" s="7">
        <v>786</v>
      </c>
      <c r="E2158" s="7" t="s">
        <v>1156</v>
      </c>
      <c r="F2158" s="7" t="s">
        <v>270</v>
      </c>
      <c r="G2158" s="7">
        <v>175</v>
      </c>
      <c r="H2158" s="7" t="s">
        <v>881</v>
      </c>
      <c r="I2158" s="7" t="s">
        <v>878</v>
      </c>
      <c r="J2158" s="7" t="s">
        <v>882</v>
      </c>
      <c r="M2158" s="7">
        <v>62.5</v>
      </c>
      <c r="N2158" s="7">
        <v>62.5</v>
      </c>
      <c r="O2158" s="126">
        <v>46216.576851851903</v>
      </c>
      <c r="P2158" s="126">
        <v>46216.576851851903</v>
      </c>
    </row>
    <row r="2159" spans="1:16" ht="15.75" customHeight="1">
      <c r="A2159" s="126">
        <v>46230.015752314801</v>
      </c>
      <c r="B2159" s="7">
        <v>12</v>
      </c>
      <c r="C2159" s="7">
        <v>786</v>
      </c>
      <c r="E2159" s="7" t="s">
        <v>1156</v>
      </c>
      <c r="F2159" s="7" t="s">
        <v>270</v>
      </c>
      <c r="G2159" s="7">
        <v>177</v>
      </c>
      <c r="H2159" s="7" t="s">
        <v>883</v>
      </c>
      <c r="I2159" s="7" t="s">
        <v>878</v>
      </c>
      <c r="J2159" s="7" t="s">
        <v>882</v>
      </c>
      <c r="M2159" s="7"/>
      <c r="N2159" s="7" t="s">
        <v>875</v>
      </c>
      <c r="O2159" s="126"/>
      <c r="P2159" s="126"/>
    </row>
    <row r="2160" spans="1:16" ht="15.75" customHeight="1">
      <c r="A2160" s="126">
        <v>46230.015752314801</v>
      </c>
      <c r="B2160" s="7">
        <v>12</v>
      </c>
      <c r="C2160" s="7">
        <v>786</v>
      </c>
      <c r="E2160" s="7" t="s">
        <v>1156</v>
      </c>
      <c r="F2160" s="7" t="s">
        <v>270</v>
      </c>
      <c r="G2160" s="7">
        <v>176</v>
      </c>
      <c r="H2160" s="7" t="s">
        <v>884</v>
      </c>
      <c r="I2160" s="7" t="s">
        <v>878</v>
      </c>
      <c r="J2160" s="7" t="s">
        <v>882</v>
      </c>
      <c r="M2160" s="7">
        <v>85</v>
      </c>
      <c r="N2160" s="7">
        <v>85</v>
      </c>
      <c r="O2160" s="126">
        <v>46229.465266203697</v>
      </c>
      <c r="P2160" s="126">
        <v>46229.465266203697</v>
      </c>
    </row>
    <row r="2161" spans="1:16" ht="15.75" customHeight="1">
      <c r="A2161" s="126">
        <v>46230.015752314801</v>
      </c>
      <c r="B2161" s="7">
        <v>12</v>
      </c>
      <c r="C2161" s="7">
        <v>786</v>
      </c>
      <c r="E2161" s="7" t="s">
        <v>1156</v>
      </c>
      <c r="F2161" s="7" t="s">
        <v>270</v>
      </c>
      <c r="G2161" s="7">
        <v>168</v>
      </c>
      <c r="H2161" s="7" t="s">
        <v>885</v>
      </c>
      <c r="I2161" s="7" t="s">
        <v>886</v>
      </c>
      <c r="M2161" s="7">
        <v>100</v>
      </c>
      <c r="N2161" s="7">
        <v>100</v>
      </c>
      <c r="P2161" s="126">
        <v>46213.567476851902</v>
      </c>
    </row>
    <row r="2162" spans="1:16" ht="15.75" customHeight="1">
      <c r="A2162" s="126">
        <v>46230.015752314801</v>
      </c>
      <c r="B2162" s="7">
        <v>12</v>
      </c>
      <c r="C2162" s="7">
        <v>679</v>
      </c>
      <c r="E2162" s="7" t="s">
        <v>1157</v>
      </c>
      <c r="F2162" s="7" t="s">
        <v>411</v>
      </c>
      <c r="G2162" s="7">
        <v>181</v>
      </c>
      <c r="H2162" s="7" t="s">
        <v>873</v>
      </c>
      <c r="I2162" s="7" t="s">
        <v>874</v>
      </c>
      <c r="M2162" s="7"/>
      <c r="N2162" s="7" t="s">
        <v>875</v>
      </c>
      <c r="P2162" s="126"/>
    </row>
    <row r="2163" spans="1:16" ht="15.75" customHeight="1">
      <c r="A2163" s="126">
        <v>46230.015752314801</v>
      </c>
      <c r="B2163" s="7">
        <v>12</v>
      </c>
      <c r="C2163" s="7">
        <v>679</v>
      </c>
      <c r="E2163" s="7" t="s">
        <v>1157</v>
      </c>
      <c r="F2163" s="7" t="s">
        <v>411</v>
      </c>
      <c r="G2163" s="7">
        <v>182</v>
      </c>
      <c r="H2163" s="7" t="s">
        <v>876</v>
      </c>
      <c r="I2163" s="7" t="s">
        <v>874</v>
      </c>
      <c r="J2163" s="7"/>
      <c r="M2163" s="7"/>
      <c r="N2163" s="7" t="s">
        <v>875</v>
      </c>
      <c r="P2163" s="126"/>
    </row>
    <row r="2164" spans="1:16" ht="15.75" customHeight="1">
      <c r="A2164" s="126">
        <v>46230.015752314801</v>
      </c>
      <c r="B2164" s="7">
        <v>12</v>
      </c>
      <c r="C2164" s="7">
        <v>679</v>
      </c>
      <c r="E2164" s="7" t="s">
        <v>1157</v>
      </c>
      <c r="F2164" s="7" t="s">
        <v>411</v>
      </c>
      <c r="G2164" s="7">
        <v>174</v>
      </c>
      <c r="H2164" s="7" t="s">
        <v>877</v>
      </c>
      <c r="I2164" s="7" t="s">
        <v>878</v>
      </c>
      <c r="J2164" s="7" t="s">
        <v>879</v>
      </c>
      <c r="M2164" s="7">
        <v>100</v>
      </c>
      <c r="N2164" s="7">
        <v>100</v>
      </c>
      <c r="P2164" s="126">
        <v>46209.706979166702</v>
      </c>
    </row>
    <row r="2165" spans="1:16" ht="15.75" customHeight="1">
      <c r="A2165" s="126">
        <v>46230.015752314801</v>
      </c>
      <c r="B2165" s="7">
        <v>12</v>
      </c>
      <c r="C2165" s="7">
        <v>679</v>
      </c>
      <c r="E2165" s="7" t="s">
        <v>1157</v>
      </c>
      <c r="F2165" s="7" t="s">
        <v>411</v>
      </c>
      <c r="G2165" s="7">
        <v>180</v>
      </c>
      <c r="H2165" s="7" t="s">
        <v>880</v>
      </c>
      <c r="I2165" s="7" t="s">
        <v>874</v>
      </c>
      <c r="J2165" s="7"/>
      <c r="M2165" s="7"/>
      <c r="N2165" s="7" t="s">
        <v>875</v>
      </c>
      <c r="O2165" s="126"/>
      <c r="P2165" s="126"/>
    </row>
    <row r="2166" spans="1:16" ht="15.75" customHeight="1">
      <c r="A2166" s="126">
        <v>46230.015752314801</v>
      </c>
      <c r="B2166" s="7">
        <v>12</v>
      </c>
      <c r="C2166" s="7">
        <v>679</v>
      </c>
      <c r="E2166" s="7" t="s">
        <v>1157</v>
      </c>
      <c r="F2166" s="7" t="s">
        <v>411</v>
      </c>
      <c r="G2166" s="7">
        <v>175</v>
      </c>
      <c r="H2166" s="7" t="s">
        <v>881</v>
      </c>
      <c r="I2166" s="7" t="s">
        <v>878</v>
      </c>
      <c r="J2166" s="7" t="s">
        <v>882</v>
      </c>
      <c r="M2166" s="7">
        <v>87.5</v>
      </c>
      <c r="N2166" s="7">
        <v>87.5</v>
      </c>
      <c r="O2166" s="126">
        <v>46213.7359027778</v>
      </c>
      <c r="P2166" s="126">
        <v>46213.7359027778</v>
      </c>
    </row>
    <row r="2167" spans="1:16" ht="15.75" customHeight="1">
      <c r="A2167" s="126">
        <v>46230.015752314801</v>
      </c>
      <c r="B2167" s="7">
        <v>12</v>
      </c>
      <c r="C2167" s="7">
        <v>679</v>
      </c>
      <c r="E2167" s="7" t="s">
        <v>1157</v>
      </c>
      <c r="F2167" s="7" t="s">
        <v>411</v>
      </c>
      <c r="G2167" s="7">
        <v>177</v>
      </c>
      <c r="H2167" s="7" t="s">
        <v>883</v>
      </c>
      <c r="I2167" s="7" t="s">
        <v>878</v>
      </c>
      <c r="J2167" s="7" t="s">
        <v>882</v>
      </c>
      <c r="M2167" s="7"/>
      <c r="N2167" s="7" t="s">
        <v>875</v>
      </c>
      <c r="P2167" s="126"/>
    </row>
    <row r="2168" spans="1:16" ht="15.75" customHeight="1">
      <c r="A2168" s="126">
        <v>46230.015752314801</v>
      </c>
      <c r="B2168" s="7">
        <v>12</v>
      </c>
      <c r="C2168" s="7">
        <v>679</v>
      </c>
      <c r="E2168" s="7" t="s">
        <v>1157</v>
      </c>
      <c r="F2168" s="7" t="s">
        <v>411</v>
      </c>
      <c r="G2168" s="7">
        <v>176</v>
      </c>
      <c r="H2168" s="7" t="s">
        <v>884</v>
      </c>
      <c r="I2168" s="7" t="s">
        <v>878</v>
      </c>
      <c r="J2168" s="7" t="s">
        <v>882</v>
      </c>
      <c r="M2168" s="7">
        <v>80</v>
      </c>
      <c r="N2168" s="7">
        <v>80</v>
      </c>
      <c r="O2168" s="126">
        <v>46223.815567129597</v>
      </c>
      <c r="P2168" s="126">
        <v>46223.815567129597</v>
      </c>
    </row>
    <row r="2169" spans="1:16" ht="15.75" customHeight="1">
      <c r="A2169" s="126">
        <v>46230.015752314801</v>
      </c>
      <c r="B2169" s="7">
        <v>12</v>
      </c>
      <c r="C2169" s="7">
        <v>679</v>
      </c>
      <c r="E2169" s="7" t="s">
        <v>1157</v>
      </c>
      <c r="F2169" s="7" t="s">
        <v>411</v>
      </c>
      <c r="G2169" s="7">
        <v>168</v>
      </c>
      <c r="H2169" s="7" t="s">
        <v>885</v>
      </c>
      <c r="I2169" s="7" t="s">
        <v>886</v>
      </c>
      <c r="J2169" s="7"/>
      <c r="M2169" s="7">
        <v>100</v>
      </c>
      <c r="N2169" s="7">
        <v>100</v>
      </c>
      <c r="O2169" s="126"/>
      <c r="P2169" s="126">
        <v>46209.706979166702</v>
      </c>
    </row>
    <row r="2170" spans="1:16" ht="15.75" customHeight="1">
      <c r="A2170" s="126">
        <v>46230.015752314801</v>
      </c>
      <c r="B2170" s="7">
        <v>12</v>
      </c>
      <c r="C2170" s="7">
        <v>389</v>
      </c>
      <c r="E2170" s="7" t="s">
        <v>1158</v>
      </c>
      <c r="F2170" s="7" t="s">
        <v>672</v>
      </c>
      <c r="G2170" s="7">
        <v>181</v>
      </c>
      <c r="H2170" s="7" t="s">
        <v>873</v>
      </c>
      <c r="I2170" s="7" t="s">
        <v>874</v>
      </c>
      <c r="M2170" s="7"/>
      <c r="N2170" s="7" t="s">
        <v>875</v>
      </c>
      <c r="P2170" s="126"/>
    </row>
    <row r="2171" spans="1:16" ht="15.75" customHeight="1">
      <c r="A2171" s="126">
        <v>46230.015752314801</v>
      </c>
      <c r="B2171" s="7">
        <v>12</v>
      </c>
      <c r="C2171" s="7">
        <v>389</v>
      </c>
      <c r="E2171" s="7" t="s">
        <v>1158</v>
      </c>
      <c r="F2171" s="7" t="s">
        <v>672</v>
      </c>
      <c r="G2171" s="7">
        <v>182</v>
      </c>
      <c r="H2171" s="7" t="s">
        <v>876</v>
      </c>
      <c r="I2171" s="7" t="s">
        <v>874</v>
      </c>
      <c r="J2171" s="7"/>
      <c r="M2171" s="7"/>
      <c r="N2171" s="7" t="s">
        <v>875</v>
      </c>
      <c r="P2171" s="126"/>
    </row>
    <row r="2172" spans="1:16" ht="15.75" customHeight="1">
      <c r="A2172" s="126">
        <v>46230.015752314801</v>
      </c>
      <c r="B2172" s="7">
        <v>12</v>
      </c>
      <c r="C2172" s="7">
        <v>389</v>
      </c>
      <c r="E2172" s="7" t="s">
        <v>1158</v>
      </c>
      <c r="F2172" s="7" t="s">
        <v>672</v>
      </c>
      <c r="G2172" s="7">
        <v>174</v>
      </c>
      <c r="H2172" s="7" t="s">
        <v>877</v>
      </c>
      <c r="I2172" s="7" t="s">
        <v>878</v>
      </c>
      <c r="J2172" s="7" t="s">
        <v>879</v>
      </c>
      <c r="M2172" s="7">
        <v>100</v>
      </c>
      <c r="N2172" s="7">
        <v>100</v>
      </c>
      <c r="P2172" s="126">
        <v>46209.706932870402</v>
      </c>
    </row>
    <row r="2173" spans="1:16" ht="15.75" customHeight="1">
      <c r="A2173" s="126">
        <v>46230.015752314801</v>
      </c>
      <c r="B2173" s="7">
        <v>12</v>
      </c>
      <c r="C2173" s="7">
        <v>389</v>
      </c>
      <c r="E2173" s="7" t="s">
        <v>1158</v>
      </c>
      <c r="F2173" s="7" t="s">
        <v>672</v>
      </c>
      <c r="G2173" s="7">
        <v>180</v>
      </c>
      <c r="H2173" s="7" t="s">
        <v>880</v>
      </c>
      <c r="I2173" s="7" t="s">
        <v>874</v>
      </c>
      <c r="J2173" s="7"/>
      <c r="M2173" s="7"/>
      <c r="N2173" s="7" t="s">
        <v>875</v>
      </c>
      <c r="O2173" s="126"/>
      <c r="P2173" s="126"/>
    </row>
    <row r="2174" spans="1:16" ht="15.75" customHeight="1">
      <c r="A2174" s="126">
        <v>46230.015752314801</v>
      </c>
      <c r="B2174" s="7">
        <v>12</v>
      </c>
      <c r="C2174" s="7">
        <v>389</v>
      </c>
      <c r="E2174" s="7" t="s">
        <v>1158</v>
      </c>
      <c r="F2174" s="7" t="s">
        <v>672</v>
      </c>
      <c r="G2174" s="7">
        <v>175</v>
      </c>
      <c r="H2174" s="7" t="s">
        <v>881</v>
      </c>
      <c r="I2174" s="7" t="s">
        <v>878</v>
      </c>
      <c r="J2174" s="7" t="s">
        <v>882</v>
      </c>
      <c r="M2174" s="7">
        <v>75</v>
      </c>
      <c r="N2174" s="7">
        <v>75</v>
      </c>
      <c r="O2174" s="126">
        <v>46216.4616087963</v>
      </c>
      <c r="P2174" s="126">
        <v>46216.4616087963</v>
      </c>
    </row>
    <row r="2175" spans="1:16" ht="15.75" customHeight="1">
      <c r="A2175" s="126">
        <v>46230.015752314801</v>
      </c>
      <c r="B2175" s="7">
        <v>12</v>
      </c>
      <c r="C2175" s="7">
        <v>389</v>
      </c>
      <c r="E2175" s="7" t="s">
        <v>1158</v>
      </c>
      <c r="F2175" s="7" t="s">
        <v>672</v>
      </c>
      <c r="G2175" s="7">
        <v>177</v>
      </c>
      <c r="H2175" s="7" t="s">
        <v>883</v>
      </c>
      <c r="I2175" s="7" t="s">
        <v>878</v>
      </c>
      <c r="J2175" s="7" t="s">
        <v>882</v>
      </c>
      <c r="M2175" s="7"/>
      <c r="N2175" s="7" t="s">
        <v>875</v>
      </c>
      <c r="O2175" s="126"/>
      <c r="P2175" s="126"/>
    </row>
    <row r="2176" spans="1:16" ht="15.75" customHeight="1">
      <c r="A2176" s="126">
        <v>46230.015752314801</v>
      </c>
      <c r="B2176" s="7">
        <v>12</v>
      </c>
      <c r="C2176" s="7">
        <v>389</v>
      </c>
      <c r="E2176" s="7" t="s">
        <v>1158</v>
      </c>
      <c r="F2176" s="7" t="s">
        <v>672</v>
      </c>
      <c r="G2176" s="7">
        <v>176</v>
      </c>
      <c r="H2176" s="7" t="s">
        <v>884</v>
      </c>
      <c r="I2176" s="7" t="s">
        <v>878</v>
      </c>
      <c r="J2176" s="7" t="s">
        <v>882</v>
      </c>
      <c r="M2176" s="7">
        <v>100</v>
      </c>
      <c r="N2176" s="7">
        <v>100</v>
      </c>
      <c r="O2176" s="126">
        <v>46223.8676851852</v>
      </c>
      <c r="P2176" s="126">
        <v>46223.8676851852</v>
      </c>
    </row>
    <row r="2177" spans="1:16" ht="15.75" customHeight="1">
      <c r="A2177" s="126">
        <v>46230.015752314801</v>
      </c>
      <c r="B2177" s="7">
        <v>12</v>
      </c>
      <c r="C2177" s="7">
        <v>389</v>
      </c>
      <c r="E2177" s="7" t="s">
        <v>1158</v>
      </c>
      <c r="F2177" s="7" t="s">
        <v>672</v>
      </c>
      <c r="G2177" s="7">
        <v>168</v>
      </c>
      <c r="H2177" s="7" t="s">
        <v>885</v>
      </c>
      <c r="I2177" s="7" t="s">
        <v>886</v>
      </c>
      <c r="J2177" s="7"/>
      <c r="M2177" s="7">
        <v>100</v>
      </c>
      <c r="N2177" s="7">
        <v>100</v>
      </c>
      <c r="O2177" s="126"/>
      <c r="P2177" s="126">
        <v>46209.706932870402</v>
      </c>
    </row>
    <row r="2178" spans="1:16" ht="15.75" customHeight="1">
      <c r="A2178" s="126">
        <v>46230.015752314801</v>
      </c>
      <c r="B2178" s="7">
        <v>12</v>
      </c>
      <c r="C2178" s="7">
        <v>719</v>
      </c>
      <c r="E2178" s="7" t="s">
        <v>1159</v>
      </c>
      <c r="F2178" s="7" t="s">
        <v>459</v>
      </c>
      <c r="G2178" s="7">
        <v>181</v>
      </c>
      <c r="H2178" s="7" t="s">
        <v>873</v>
      </c>
      <c r="I2178" s="7" t="s">
        <v>874</v>
      </c>
      <c r="J2178" s="7"/>
      <c r="M2178" s="7"/>
      <c r="N2178" s="7" t="s">
        <v>875</v>
      </c>
      <c r="O2178" s="126"/>
      <c r="P2178" s="126"/>
    </row>
    <row r="2179" spans="1:16" ht="15.75" customHeight="1">
      <c r="A2179" s="126">
        <v>46230.015752314801</v>
      </c>
      <c r="B2179" s="7">
        <v>12</v>
      </c>
      <c r="C2179" s="7">
        <v>719</v>
      </c>
      <c r="E2179" s="7" t="s">
        <v>1159</v>
      </c>
      <c r="F2179" s="7" t="s">
        <v>459</v>
      </c>
      <c r="G2179" s="7">
        <v>182</v>
      </c>
      <c r="H2179" s="7" t="s">
        <v>876</v>
      </c>
      <c r="I2179" s="7" t="s">
        <v>874</v>
      </c>
      <c r="J2179" s="7"/>
      <c r="M2179" s="7"/>
      <c r="N2179" s="7" t="s">
        <v>875</v>
      </c>
      <c r="P2179" s="126"/>
    </row>
    <row r="2180" spans="1:16" ht="15.75" customHeight="1">
      <c r="A2180" s="126">
        <v>46230.015752314801</v>
      </c>
      <c r="B2180" s="7">
        <v>12</v>
      </c>
      <c r="C2180" s="7">
        <v>719</v>
      </c>
      <c r="E2180" s="7" t="s">
        <v>1159</v>
      </c>
      <c r="F2180" s="7" t="s">
        <v>459</v>
      </c>
      <c r="G2180" s="7">
        <v>174</v>
      </c>
      <c r="H2180" s="7" t="s">
        <v>877</v>
      </c>
      <c r="I2180" s="7" t="s">
        <v>878</v>
      </c>
      <c r="J2180" s="7" t="s">
        <v>879</v>
      </c>
      <c r="M2180" s="7">
        <v>100</v>
      </c>
      <c r="N2180" s="7">
        <v>100</v>
      </c>
      <c r="P2180" s="126">
        <v>46209.706932870402</v>
      </c>
    </row>
    <row r="2181" spans="1:16" ht="15.75" customHeight="1">
      <c r="A2181" s="126">
        <v>46230.015752314801</v>
      </c>
      <c r="B2181" s="7">
        <v>12</v>
      </c>
      <c r="C2181" s="7">
        <v>719</v>
      </c>
      <c r="E2181" s="7" t="s">
        <v>1159</v>
      </c>
      <c r="F2181" s="7" t="s">
        <v>459</v>
      </c>
      <c r="G2181" s="7">
        <v>180</v>
      </c>
      <c r="H2181" s="7" t="s">
        <v>880</v>
      </c>
      <c r="I2181" s="7" t="s">
        <v>874</v>
      </c>
      <c r="J2181" s="7"/>
      <c r="M2181" s="7"/>
      <c r="N2181" s="7" t="s">
        <v>875</v>
      </c>
      <c r="O2181" s="126"/>
      <c r="P2181" s="126"/>
    </row>
    <row r="2182" spans="1:16" ht="15.75" customHeight="1">
      <c r="A2182" s="126">
        <v>46230.015752314801</v>
      </c>
      <c r="B2182" s="7">
        <v>12</v>
      </c>
      <c r="C2182" s="7">
        <v>719</v>
      </c>
      <c r="E2182" s="7" t="s">
        <v>1159</v>
      </c>
      <c r="F2182" s="7" t="s">
        <v>459</v>
      </c>
      <c r="G2182" s="7">
        <v>175</v>
      </c>
      <c r="H2182" s="7" t="s">
        <v>881</v>
      </c>
      <c r="I2182" s="7" t="s">
        <v>878</v>
      </c>
      <c r="J2182" s="7" t="s">
        <v>882</v>
      </c>
      <c r="M2182" s="7">
        <v>62.5</v>
      </c>
      <c r="N2182" s="7">
        <v>62.5</v>
      </c>
      <c r="O2182" s="126">
        <v>46213.6586805556</v>
      </c>
      <c r="P2182" s="126">
        <v>46213.6586805556</v>
      </c>
    </row>
    <row r="2183" spans="1:16" ht="15.75" customHeight="1">
      <c r="A2183" s="126">
        <v>46230.015752314801</v>
      </c>
      <c r="B2183" s="7">
        <v>12</v>
      </c>
      <c r="C2183" s="7">
        <v>719</v>
      </c>
      <c r="E2183" s="7" t="s">
        <v>1159</v>
      </c>
      <c r="F2183" s="7" t="s">
        <v>459</v>
      </c>
      <c r="G2183" s="7">
        <v>177</v>
      </c>
      <c r="H2183" s="7" t="s">
        <v>883</v>
      </c>
      <c r="I2183" s="7" t="s">
        <v>878</v>
      </c>
      <c r="J2183" s="7" t="s">
        <v>882</v>
      </c>
      <c r="M2183" s="7"/>
      <c r="N2183" s="7" t="s">
        <v>875</v>
      </c>
      <c r="P2183" s="126"/>
    </row>
    <row r="2184" spans="1:16" ht="15.75" customHeight="1">
      <c r="A2184" s="126">
        <v>46230.015752314801</v>
      </c>
      <c r="B2184" s="7">
        <v>12</v>
      </c>
      <c r="C2184" s="7">
        <v>719</v>
      </c>
      <c r="E2184" s="7" t="s">
        <v>1159</v>
      </c>
      <c r="F2184" s="7" t="s">
        <v>459</v>
      </c>
      <c r="G2184" s="7">
        <v>176</v>
      </c>
      <c r="H2184" s="7" t="s">
        <v>884</v>
      </c>
      <c r="I2184" s="7" t="s">
        <v>878</v>
      </c>
      <c r="J2184" s="7" t="s">
        <v>882</v>
      </c>
      <c r="M2184" s="7">
        <v>100</v>
      </c>
      <c r="N2184" s="7">
        <v>100</v>
      </c>
      <c r="O2184" s="126">
        <v>46224.900949074101</v>
      </c>
      <c r="P2184" s="126">
        <v>46224.900949074101</v>
      </c>
    </row>
    <row r="2185" spans="1:16" ht="15.75" customHeight="1">
      <c r="A2185" s="126">
        <v>46230.015752314801</v>
      </c>
      <c r="B2185" s="7">
        <v>12</v>
      </c>
      <c r="C2185" s="7">
        <v>719</v>
      </c>
      <c r="E2185" s="7" t="s">
        <v>1159</v>
      </c>
      <c r="F2185" s="7" t="s">
        <v>459</v>
      </c>
      <c r="G2185" s="7">
        <v>168</v>
      </c>
      <c r="H2185" s="7" t="s">
        <v>885</v>
      </c>
      <c r="I2185" s="7" t="s">
        <v>886</v>
      </c>
      <c r="J2185" s="7"/>
      <c r="M2185" s="7">
        <v>100</v>
      </c>
      <c r="N2185" s="7">
        <v>100</v>
      </c>
      <c r="P2185" s="126">
        <v>46209.706932870402</v>
      </c>
    </row>
    <row r="2186" spans="1:16" ht="15.75" customHeight="1">
      <c r="A2186" s="126">
        <v>46230.015752314801</v>
      </c>
      <c r="B2186" s="7">
        <v>12</v>
      </c>
      <c r="C2186" s="7">
        <v>684</v>
      </c>
      <c r="D2186" s="7"/>
      <c r="E2186" s="7" t="s">
        <v>1160</v>
      </c>
      <c r="F2186" s="7" t="s">
        <v>710</v>
      </c>
      <c r="G2186" s="7">
        <v>181</v>
      </c>
      <c r="H2186" s="7" t="s">
        <v>873</v>
      </c>
      <c r="I2186" s="7" t="s">
        <v>874</v>
      </c>
      <c r="J2186" s="7"/>
      <c r="M2186" s="7"/>
      <c r="N2186" s="7" t="s">
        <v>875</v>
      </c>
      <c r="O2186" s="126"/>
      <c r="P2186" s="126"/>
    </row>
    <row r="2187" spans="1:16" ht="15.75" customHeight="1">
      <c r="A2187" s="126">
        <v>46230.015752314801</v>
      </c>
      <c r="B2187" s="7">
        <v>12</v>
      </c>
      <c r="C2187" s="7">
        <v>684</v>
      </c>
      <c r="D2187" s="7"/>
      <c r="E2187" s="7" t="s">
        <v>1160</v>
      </c>
      <c r="F2187" s="7" t="s">
        <v>710</v>
      </c>
      <c r="G2187" s="7">
        <v>182</v>
      </c>
      <c r="H2187" s="7" t="s">
        <v>876</v>
      </c>
      <c r="I2187" s="7" t="s">
        <v>874</v>
      </c>
      <c r="J2187" s="7"/>
      <c r="M2187" s="7"/>
      <c r="N2187" s="7" t="s">
        <v>875</v>
      </c>
      <c r="O2187" s="126"/>
      <c r="P2187" s="126"/>
    </row>
    <row r="2188" spans="1:16" ht="15.75" customHeight="1">
      <c r="A2188" s="126">
        <v>46230.015752314801</v>
      </c>
      <c r="B2188" s="7">
        <v>12</v>
      </c>
      <c r="C2188" s="7">
        <v>684</v>
      </c>
      <c r="D2188" s="7"/>
      <c r="E2188" s="7" t="s">
        <v>1160</v>
      </c>
      <c r="F2188" s="7" t="s">
        <v>710</v>
      </c>
      <c r="G2188" s="7">
        <v>174</v>
      </c>
      <c r="H2188" s="7" t="s">
        <v>877</v>
      </c>
      <c r="I2188" s="7" t="s">
        <v>878</v>
      </c>
      <c r="J2188" s="7" t="s">
        <v>879</v>
      </c>
      <c r="M2188" s="7">
        <v>100</v>
      </c>
      <c r="N2188" s="7">
        <v>100</v>
      </c>
      <c r="P2188" s="126">
        <v>46209.706932870402</v>
      </c>
    </row>
    <row r="2189" spans="1:16" ht="15.75" customHeight="1">
      <c r="A2189" s="126">
        <v>46230.015752314801</v>
      </c>
      <c r="B2189" s="7">
        <v>12</v>
      </c>
      <c r="C2189" s="7">
        <v>684</v>
      </c>
      <c r="D2189" s="7"/>
      <c r="E2189" s="7" t="s">
        <v>1160</v>
      </c>
      <c r="F2189" s="7" t="s">
        <v>710</v>
      </c>
      <c r="G2189" s="7">
        <v>180</v>
      </c>
      <c r="H2189" s="7" t="s">
        <v>880</v>
      </c>
      <c r="I2189" s="7" t="s">
        <v>874</v>
      </c>
      <c r="J2189" s="7"/>
      <c r="M2189" s="7"/>
      <c r="N2189" s="7" t="s">
        <v>875</v>
      </c>
      <c r="O2189" s="126"/>
      <c r="P2189" s="126"/>
    </row>
    <row r="2190" spans="1:16" ht="15.75" customHeight="1">
      <c r="A2190" s="126">
        <v>46230.015752314801</v>
      </c>
      <c r="B2190" s="7">
        <v>12</v>
      </c>
      <c r="C2190" s="7">
        <v>684</v>
      </c>
      <c r="D2190" s="7"/>
      <c r="E2190" s="7" t="s">
        <v>1160</v>
      </c>
      <c r="F2190" s="7" t="s">
        <v>710</v>
      </c>
      <c r="G2190" s="7">
        <v>175</v>
      </c>
      <c r="H2190" s="7" t="s">
        <v>881</v>
      </c>
      <c r="I2190" s="7" t="s">
        <v>878</v>
      </c>
      <c r="J2190" s="7" t="s">
        <v>882</v>
      </c>
      <c r="M2190" s="7">
        <v>100</v>
      </c>
      <c r="N2190" s="7">
        <v>100</v>
      </c>
      <c r="O2190" s="126">
        <v>46216.548379629603</v>
      </c>
      <c r="P2190" s="126">
        <v>46216.548379629603</v>
      </c>
    </row>
    <row r="2191" spans="1:16" ht="15.75" customHeight="1">
      <c r="A2191" s="126">
        <v>46230.015752314801</v>
      </c>
      <c r="B2191" s="7">
        <v>12</v>
      </c>
      <c r="C2191" s="7">
        <v>684</v>
      </c>
      <c r="D2191" s="7"/>
      <c r="E2191" s="7" t="s">
        <v>1160</v>
      </c>
      <c r="F2191" s="7" t="s">
        <v>710</v>
      </c>
      <c r="G2191" s="7">
        <v>177</v>
      </c>
      <c r="H2191" s="7" t="s">
        <v>883</v>
      </c>
      <c r="I2191" s="7" t="s">
        <v>878</v>
      </c>
      <c r="J2191" s="7" t="s">
        <v>882</v>
      </c>
      <c r="M2191" s="7"/>
      <c r="N2191" s="7" t="s">
        <v>875</v>
      </c>
      <c r="P2191" s="126"/>
    </row>
    <row r="2192" spans="1:16" ht="15.75" customHeight="1">
      <c r="A2192" s="126">
        <v>46230.015752314801</v>
      </c>
      <c r="B2192" s="7">
        <v>12</v>
      </c>
      <c r="C2192" s="7">
        <v>684</v>
      </c>
      <c r="D2192" s="7"/>
      <c r="E2192" s="7" t="s">
        <v>1160</v>
      </c>
      <c r="F2192" s="7" t="s">
        <v>710</v>
      </c>
      <c r="G2192" s="7">
        <v>176</v>
      </c>
      <c r="H2192" s="7" t="s">
        <v>884</v>
      </c>
      <c r="I2192" s="7" t="s">
        <v>878</v>
      </c>
      <c r="J2192" s="7" t="s">
        <v>882</v>
      </c>
      <c r="M2192" s="7">
        <v>90</v>
      </c>
      <c r="N2192" s="7">
        <v>90</v>
      </c>
      <c r="O2192" s="126">
        <v>46227.5491666667</v>
      </c>
      <c r="P2192" s="126">
        <v>46227.5491666667</v>
      </c>
    </row>
    <row r="2193" spans="1:16" ht="15.75" customHeight="1">
      <c r="A2193" s="126">
        <v>46230.015752314801</v>
      </c>
      <c r="B2193" s="7">
        <v>12</v>
      </c>
      <c r="C2193" s="7">
        <v>684</v>
      </c>
      <c r="D2193" s="7"/>
      <c r="E2193" s="7" t="s">
        <v>1160</v>
      </c>
      <c r="F2193" s="7" t="s">
        <v>710</v>
      </c>
      <c r="G2193" s="7">
        <v>168</v>
      </c>
      <c r="H2193" s="7" t="s">
        <v>885</v>
      </c>
      <c r="I2193" s="7" t="s">
        <v>886</v>
      </c>
      <c r="J2193" s="7"/>
      <c r="M2193" s="7">
        <v>100</v>
      </c>
      <c r="N2193" s="7">
        <v>100</v>
      </c>
      <c r="O2193" s="126"/>
      <c r="P2193" s="126">
        <v>46209.706932870402</v>
      </c>
    </row>
    <row r="2194" spans="1:16" ht="15.75" customHeight="1">
      <c r="A2194" s="126">
        <v>46230.015752314801</v>
      </c>
      <c r="B2194" s="7">
        <v>12</v>
      </c>
      <c r="C2194" s="7">
        <v>279</v>
      </c>
      <c r="D2194" s="7">
        <v>362709</v>
      </c>
      <c r="E2194" s="7" t="s">
        <v>1161</v>
      </c>
      <c r="F2194" s="7" t="s">
        <v>85</v>
      </c>
      <c r="G2194" s="7">
        <v>181</v>
      </c>
      <c r="H2194" s="7" t="s">
        <v>873</v>
      </c>
      <c r="I2194" s="7" t="s">
        <v>874</v>
      </c>
      <c r="J2194" s="7"/>
      <c r="M2194" s="7"/>
      <c r="N2194" s="7" t="s">
        <v>875</v>
      </c>
      <c r="P2194" s="126"/>
    </row>
    <row r="2195" spans="1:16" ht="15.75" customHeight="1">
      <c r="A2195" s="126">
        <v>46230.015752314801</v>
      </c>
      <c r="B2195" s="7">
        <v>12</v>
      </c>
      <c r="C2195" s="7">
        <v>279</v>
      </c>
      <c r="D2195" s="7">
        <v>362709</v>
      </c>
      <c r="E2195" s="7" t="s">
        <v>1161</v>
      </c>
      <c r="F2195" s="7" t="s">
        <v>85</v>
      </c>
      <c r="G2195" s="7">
        <v>182</v>
      </c>
      <c r="H2195" s="7" t="s">
        <v>876</v>
      </c>
      <c r="I2195" s="7" t="s">
        <v>874</v>
      </c>
      <c r="J2195" s="7"/>
      <c r="M2195" s="7"/>
      <c r="N2195" s="7" t="s">
        <v>875</v>
      </c>
      <c r="O2195" s="126"/>
      <c r="P2195" s="126"/>
    </row>
    <row r="2196" spans="1:16" ht="15.75" customHeight="1">
      <c r="A2196" s="126">
        <v>46230.015752314801</v>
      </c>
      <c r="B2196" s="7">
        <v>12</v>
      </c>
      <c r="C2196" s="7">
        <v>279</v>
      </c>
      <c r="D2196" s="7">
        <v>362709</v>
      </c>
      <c r="E2196" s="7" t="s">
        <v>1161</v>
      </c>
      <c r="F2196" s="7" t="s">
        <v>85</v>
      </c>
      <c r="G2196" s="7">
        <v>174</v>
      </c>
      <c r="H2196" s="7" t="s">
        <v>877</v>
      </c>
      <c r="I2196" s="7" t="s">
        <v>878</v>
      </c>
      <c r="J2196" s="7" t="s">
        <v>879</v>
      </c>
      <c r="M2196" s="7">
        <v>100</v>
      </c>
      <c r="N2196" s="7">
        <v>100</v>
      </c>
      <c r="O2196" s="126"/>
      <c r="P2196" s="126">
        <v>46209.648020833301</v>
      </c>
    </row>
    <row r="2197" spans="1:16" ht="15.75" customHeight="1">
      <c r="A2197" s="126">
        <v>46230.015752314801</v>
      </c>
      <c r="B2197" s="7">
        <v>12</v>
      </c>
      <c r="C2197" s="7">
        <v>279</v>
      </c>
      <c r="D2197" s="7">
        <v>362709</v>
      </c>
      <c r="E2197" s="7" t="s">
        <v>1161</v>
      </c>
      <c r="F2197" s="7" t="s">
        <v>85</v>
      </c>
      <c r="G2197" s="7">
        <v>180</v>
      </c>
      <c r="H2197" s="7" t="s">
        <v>880</v>
      </c>
      <c r="I2197" s="7" t="s">
        <v>874</v>
      </c>
      <c r="J2197" s="7"/>
      <c r="M2197" s="7"/>
      <c r="N2197" s="7" t="s">
        <v>875</v>
      </c>
      <c r="O2197" s="126"/>
      <c r="P2197" s="126"/>
    </row>
    <row r="2198" spans="1:16" ht="15.75" customHeight="1">
      <c r="A2198" s="126">
        <v>46230.015752314801</v>
      </c>
      <c r="B2198" s="7">
        <v>12</v>
      </c>
      <c r="C2198" s="7">
        <v>279</v>
      </c>
      <c r="D2198" s="7">
        <v>362709</v>
      </c>
      <c r="E2198" s="7" t="s">
        <v>1161</v>
      </c>
      <c r="F2198" s="7" t="s">
        <v>85</v>
      </c>
      <c r="G2198" s="7">
        <v>175</v>
      </c>
      <c r="H2198" s="7" t="s">
        <v>881</v>
      </c>
      <c r="I2198" s="7" t="s">
        <v>878</v>
      </c>
      <c r="J2198" s="7" t="s">
        <v>882</v>
      </c>
      <c r="M2198" s="7">
        <v>87.5</v>
      </c>
      <c r="N2198" s="7">
        <v>87.5</v>
      </c>
      <c r="O2198" s="126">
        <v>46215.555486111101</v>
      </c>
      <c r="P2198" s="126">
        <v>46215.555486111101</v>
      </c>
    </row>
    <row r="2199" spans="1:16" ht="15.75" customHeight="1">
      <c r="A2199" s="126">
        <v>46230.015752314801</v>
      </c>
      <c r="B2199" s="7">
        <v>12</v>
      </c>
      <c r="C2199" s="7">
        <v>279</v>
      </c>
      <c r="D2199" s="7">
        <v>362709</v>
      </c>
      <c r="E2199" s="7" t="s">
        <v>1161</v>
      </c>
      <c r="F2199" s="7" t="s">
        <v>85</v>
      </c>
      <c r="G2199" s="7">
        <v>177</v>
      </c>
      <c r="H2199" s="7" t="s">
        <v>883</v>
      </c>
      <c r="I2199" s="7" t="s">
        <v>878</v>
      </c>
      <c r="J2199" s="7" t="s">
        <v>882</v>
      </c>
      <c r="M2199" s="7"/>
      <c r="N2199" s="7" t="s">
        <v>875</v>
      </c>
      <c r="P2199" s="126"/>
    </row>
    <row r="2200" spans="1:16" ht="15.75" customHeight="1">
      <c r="A2200" s="126">
        <v>46230.015752314801</v>
      </c>
      <c r="B2200" s="7">
        <v>12</v>
      </c>
      <c r="C2200" s="7">
        <v>279</v>
      </c>
      <c r="D2200" s="7">
        <v>362709</v>
      </c>
      <c r="E2200" s="7" t="s">
        <v>1161</v>
      </c>
      <c r="F2200" s="7" t="s">
        <v>85</v>
      </c>
      <c r="G2200" s="7">
        <v>176</v>
      </c>
      <c r="H2200" s="7" t="s">
        <v>884</v>
      </c>
      <c r="I2200" s="7" t="s">
        <v>878</v>
      </c>
      <c r="J2200" s="7" t="s">
        <v>882</v>
      </c>
      <c r="M2200" s="7">
        <v>95</v>
      </c>
      <c r="N2200" s="7">
        <v>95</v>
      </c>
      <c r="O2200" s="126">
        <v>46223.527870370403</v>
      </c>
      <c r="P2200" s="126">
        <v>46223.793657407397</v>
      </c>
    </row>
    <row r="2201" spans="1:16" ht="15.75" customHeight="1">
      <c r="A2201" s="126">
        <v>46230.015752314801</v>
      </c>
      <c r="B2201" s="7">
        <v>12</v>
      </c>
      <c r="C2201" s="7">
        <v>279</v>
      </c>
      <c r="D2201" s="7">
        <v>362709</v>
      </c>
      <c r="E2201" s="7" t="s">
        <v>1161</v>
      </c>
      <c r="F2201" s="7" t="s">
        <v>85</v>
      </c>
      <c r="G2201" s="7">
        <v>168</v>
      </c>
      <c r="H2201" s="7" t="s">
        <v>885</v>
      </c>
      <c r="I2201" s="7" t="s">
        <v>886</v>
      </c>
      <c r="M2201" s="7">
        <v>100</v>
      </c>
      <c r="N2201" s="7">
        <v>100</v>
      </c>
      <c r="P2201" s="126">
        <v>46209.648020833301</v>
      </c>
    </row>
    <row r="2202" spans="1:16" ht="15.75" customHeight="1">
      <c r="A2202" s="126">
        <v>46230.015752314801</v>
      </c>
      <c r="B2202" s="7">
        <v>12</v>
      </c>
      <c r="C2202" s="7">
        <v>792</v>
      </c>
      <c r="E2202" s="7" t="s">
        <v>1162</v>
      </c>
      <c r="F2202" s="7" t="s">
        <v>9</v>
      </c>
      <c r="G2202" s="7">
        <v>181</v>
      </c>
      <c r="H2202" s="7" t="s">
        <v>873</v>
      </c>
      <c r="I2202" s="7" t="s">
        <v>874</v>
      </c>
      <c r="J2202" s="7"/>
      <c r="M2202" s="7"/>
      <c r="N2202" s="7" t="s">
        <v>875</v>
      </c>
      <c r="O2202" s="126"/>
      <c r="P2202" s="126"/>
    </row>
    <row r="2203" spans="1:16" ht="15.75" customHeight="1">
      <c r="A2203" s="126">
        <v>46230.015752314801</v>
      </c>
      <c r="B2203" s="7">
        <v>12</v>
      </c>
      <c r="C2203" s="7">
        <v>792</v>
      </c>
      <c r="E2203" s="7" t="s">
        <v>1162</v>
      </c>
      <c r="F2203" s="7" t="s">
        <v>9</v>
      </c>
      <c r="G2203" s="7">
        <v>182</v>
      </c>
      <c r="H2203" s="7" t="s">
        <v>876</v>
      </c>
      <c r="I2203" s="7" t="s">
        <v>874</v>
      </c>
      <c r="J2203" s="7"/>
      <c r="M2203" s="7"/>
      <c r="N2203" s="7" t="s">
        <v>875</v>
      </c>
      <c r="P2203" s="126"/>
    </row>
    <row r="2204" spans="1:16" ht="15.75" customHeight="1">
      <c r="A2204" s="126">
        <v>46230.015752314801</v>
      </c>
      <c r="B2204" s="7">
        <v>12</v>
      </c>
      <c r="C2204" s="7">
        <v>792</v>
      </c>
      <c r="E2204" s="7" t="s">
        <v>1162</v>
      </c>
      <c r="F2204" s="7" t="s">
        <v>9</v>
      </c>
      <c r="G2204" s="7">
        <v>174</v>
      </c>
      <c r="H2204" s="7" t="s">
        <v>877</v>
      </c>
      <c r="I2204" s="7" t="s">
        <v>878</v>
      </c>
      <c r="J2204" s="7" t="s">
        <v>879</v>
      </c>
      <c r="M2204" s="7">
        <v>100</v>
      </c>
      <c r="N2204" s="7">
        <v>100</v>
      </c>
      <c r="O2204" s="126"/>
      <c r="P2204" s="126">
        <v>46226.7244444444</v>
      </c>
    </row>
    <row r="2205" spans="1:16" ht="15.75" customHeight="1">
      <c r="A2205" s="126">
        <v>46230.015752314801</v>
      </c>
      <c r="B2205" s="7">
        <v>12</v>
      </c>
      <c r="C2205" s="7">
        <v>792</v>
      </c>
      <c r="E2205" s="7" t="s">
        <v>1162</v>
      </c>
      <c r="F2205" s="7" t="s">
        <v>9</v>
      </c>
      <c r="G2205" s="7">
        <v>180</v>
      </c>
      <c r="H2205" s="7" t="s">
        <v>880</v>
      </c>
      <c r="I2205" s="7" t="s">
        <v>874</v>
      </c>
      <c r="J2205" s="7"/>
      <c r="M2205" s="7"/>
      <c r="N2205" s="7" t="s">
        <v>875</v>
      </c>
      <c r="O2205" s="126"/>
      <c r="P2205" s="126"/>
    </row>
    <row r="2206" spans="1:16" ht="15.75" customHeight="1">
      <c r="A2206" s="126">
        <v>46230.015752314801</v>
      </c>
      <c r="B2206" s="7">
        <v>12</v>
      </c>
      <c r="C2206" s="7">
        <v>792</v>
      </c>
      <c r="E2206" s="7" t="s">
        <v>1162</v>
      </c>
      <c r="F2206" s="7" t="s">
        <v>9</v>
      </c>
      <c r="G2206" s="7">
        <v>175</v>
      </c>
      <c r="H2206" s="7" t="s">
        <v>881</v>
      </c>
      <c r="I2206" s="7" t="s">
        <v>878</v>
      </c>
      <c r="J2206" s="7" t="s">
        <v>882</v>
      </c>
      <c r="M2206" s="7">
        <v>100</v>
      </c>
      <c r="N2206" s="7">
        <v>100</v>
      </c>
      <c r="O2206" s="126">
        <v>46216.854386574101</v>
      </c>
      <c r="P2206" s="126">
        <v>46216.854386574101</v>
      </c>
    </row>
    <row r="2207" spans="1:16" ht="15.75" customHeight="1">
      <c r="A2207" s="126">
        <v>46230.015752314801</v>
      </c>
      <c r="B2207" s="7">
        <v>12</v>
      </c>
      <c r="C2207" s="7">
        <v>792</v>
      </c>
      <c r="E2207" s="7" t="s">
        <v>1162</v>
      </c>
      <c r="F2207" s="7" t="s">
        <v>9</v>
      </c>
      <c r="G2207" s="7">
        <v>177</v>
      </c>
      <c r="H2207" s="7" t="s">
        <v>883</v>
      </c>
      <c r="I2207" s="7" t="s">
        <v>878</v>
      </c>
      <c r="J2207" s="7" t="s">
        <v>882</v>
      </c>
      <c r="M2207" s="7"/>
      <c r="N2207" s="7" t="s">
        <v>875</v>
      </c>
      <c r="P2207" s="126"/>
    </row>
    <row r="2208" spans="1:16" ht="15.75" customHeight="1">
      <c r="A2208" s="126">
        <v>46230.015752314801</v>
      </c>
      <c r="B2208" s="7">
        <v>12</v>
      </c>
      <c r="C2208" s="7">
        <v>792</v>
      </c>
      <c r="E2208" s="7" t="s">
        <v>1162</v>
      </c>
      <c r="F2208" s="7" t="s">
        <v>9</v>
      </c>
      <c r="G2208" s="7">
        <v>176</v>
      </c>
      <c r="H2208" s="7" t="s">
        <v>884</v>
      </c>
      <c r="I2208" s="7" t="s">
        <v>878</v>
      </c>
      <c r="J2208" s="7" t="s">
        <v>882</v>
      </c>
      <c r="M2208" s="7">
        <v>100</v>
      </c>
      <c r="N2208" s="7">
        <v>100</v>
      </c>
      <c r="O2208" s="126">
        <v>46226.733229166697</v>
      </c>
      <c r="P2208" s="126">
        <v>46226.733229166697</v>
      </c>
    </row>
    <row r="2209" spans="1:16" ht="15.75" customHeight="1">
      <c r="A2209" s="126">
        <v>46230.015752314801</v>
      </c>
      <c r="B2209" s="7">
        <v>12</v>
      </c>
      <c r="C2209" s="7">
        <v>792</v>
      </c>
      <c r="E2209" s="7" t="s">
        <v>1162</v>
      </c>
      <c r="F2209" s="7" t="s">
        <v>9</v>
      </c>
      <c r="G2209" s="7">
        <v>168</v>
      </c>
      <c r="H2209" s="7" t="s">
        <v>885</v>
      </c>
      <c r="I2209" s="7" t="s">
        <v>886</v>
      </c>
      <c r="J2209" s="7"/>
      <c r="M2209" s="7">
        <v>100</v>
      </c>
      <c r="N2209" s="7">
        <v>100</v>
      </c>
      <c r="P2209" s="126">
        <v>46216.854386574101</v>
      </c>
    </row>
    <row r="2210" spans="1:16" ht="15.75" customHeight="1">
      <c r="A2210" s="126">
        <v>46230.015752314801</v>
      </c>
      <c r="B2210" s="7">
        <v>12</v>
      </c>
      <c r="C2210" s="7">
        <v>395</v>
      </c>
      <c r="E2210" s="7" t="s">
        <v>1163</v>
      </c>
      <c r="F2210" s="7" t="s">
        <v>446</v>
      </c>
      <c r="G2210" s="7">
        <v>181</v>
      </c>
      <c r="H2210" s="7" t="s">
        <v>873</v>
      </c>
      <c r="I2210" s="7" t="s">
        <v>874</v>
      </c>
      <c r="M2210" s="7"/>
      <c r="N2210" s="7" t="s">
        <v>875</v>
      </c>
      <c r="P2210" s="126"/>
    </row>
    <row r="2211" spans="1:16" ht="15.75" customHeight="1">
      <c r="A2211" s="126">
        <v>46230.015752314801</v>
      </c>
      <c r="B2211" s="7">
        <v>12</v>
      </c>
      <c r="C2211" s="7">
        <v>395</v>
      </c>
      <c r="E2211" s="7" t="s">
        <v>1163</v>
      </c>
      <c r="F2211" s="7" t="s">
        <v>446</v>
      </c>
      <c r="G2211" s="7">
        <v>182</v>
      </c>
      <c r="H2211" s="7" t="s">
        <v>876</v>
      </c>
      <c r="I2211" s="7" t="s">
        <v>874</v>
      </c>
      <c r="J2211" s="7"/>
      <c r="M2211" s="7"/>
      <c r="N2211" s="7" t="s">
        <v>875</v>
      </c>
      <c r="O2211" s="126"/>
      <c r="P2211" s="126"/>
    </row>
    <row r="2212" spans="1:16" ht="15.75" customHeight="1">
      <c r="A2212" s="126">
        <v>46230.015752314801</v>
      </c>
      <c r="B2212" s="7">
        <v>12</v>
      </c>
      <c r="C2212" s="7">
        <v>395</v>
      </c>
      <c r="E2212" s="7" t="s">
        <v>1163</v>
      </c>
      <c r="F2212" s="7" t="s">
        <v>446</v>
      </c>
      <c r="G2212" s="7">
        <v>174</v>
      </c>
      <c r="H2212" s="7" t="s">
        <v>877</v>
      </c>
      <c r="I2212" s="7" t="s">
        <v>878</v>
      </c>
      <c r="J2212" s="7" t="s">
        <v>879</v>
      </c>
      <c r="M2212" s="7">
        <v>100</v>
      </c>
      <c r="N2212" s="7">
        <v>100</v>
      </c>
      <c r="P2212" s="126">
        <v>46212.477141203701</v>
      </c>
    </row>
    <row r="2213" spans="1:16" ht="15.75" customHeight="1">
      <c r="A2213" s="126">
        <v>46230.015752314801</v>
      </c>
      <c r="B2213" s="7">
        <v>12</v>
      </c>
      <c r="C2213" s="7">
        <v>395</v>
      </c>
      <c r="E2213" s="7" t="s">
        <v>1163</v>
      </c>
      <c r="F2213" s="7" t="s">
        <v>446</v>
      </c>
      <c r="G2213" s="7">
        <v>180</v>
      </c>
      <c r="H2213" s="7" t="s">
        <v>880</v>
      </c>
      <c r="I2213" s="7" t="s">
        <v>874</v>
      </c>
      <c r="J2213" s="7"/>
      <c r="M2213" s="7"/>
      <c r="N2213" s="7" t="s">
        <v>875</v>
      </c>
      <c r="O2213" s="126"/>
      <c r="P2213" s="126"/>
    </row>
    <row r="2214" spans="1:16" ht="15.75" customHeight="1">
      <c r="A2214" s="126">
        <v>46230.015752314801</v>
      </c>
      <c r="B2214" s="7">
        <v>12</v>
      </c>
      <c r="C2214" s="7">
        <v>395</v>
      </c>
      <c r="E2214" s="7" t="s">
        <v>1163</v>
      </c>
      <c r="F2214" s="7" t="s">
        <v>446</v>
      </c>
      <c r="G2214" s="7">
        <v>175</v>
      </c>
      <c r="H2214" s="7" t="s">
        <v>881</v>
      </c>
      <c r="I2214" s="7" t="s">
        <v>878</v>
      </c>
      <c r="J2214" s="7" t="s">
        <v>882</v>
      </c>
      <c r="M2214" s="7">
        <v>87.5</v>
      </c>
      <c r="N2214" s="7">
        <v>87.5</v>
      </c>
      <c r="O2214" s="126">
        <v>46216.613773148201</v>
      </c>
      <c r="P2214" s="126">
        <v>46216.613773148201</v>
      </c>
    </row>
    <row r="2215" spans="1:16" ht="15.75" customHeight="1">
      <c r="A2215" s="126">
        <v>46230.015752314801</v>
      </c>
      <c r="B2215" s="7">
        <v>12</v>
      </c>
      <c r="C2215" s="7">
        <v>395</v>
      </c>
      <c r="E2215" s="7" t="s">
        <v>1163</v>
      </c>
      <c r="F2215" s="7" t="s">
        <v>446</v>
      </c>
      <c r="G2215" s="7">
        <v>177</v>
      </c>
      <c r="H2215" s="7" t="s">
        <v>883</v>
      </c>
      <c r="I2215" s="7" t="s">
        <v>878</v>
      </c>
      <c r="J2215" s="7" t="s">
        <v>882</v>
      </c>
      <c r="M2215" s="7"/>
      <c r="N2215" s="7" t="s">
        <v>875</v>
      </c>
      <c r="P2215" s="126"/>
    </row>
    <row r="2216" spans="1:16" ht="15.75" customHeight="1">
      <c r="A2216" s="126">
        <v>46230.015752314801</v>
      </c>
      <c r="B2216" s="7">
        <v>12</v>
      </c>
      <c r="C2216" s="7">
        <v>395</v>
      </c>
      <c r="E2216" s="7" t="s">
        <v>1163</v>
      </c>
      <c r="F2216" s="7" t="s">
        <v>446</v>
      </c>
      <c r="G2216" s="7">
        <v>176</v>
      </c>
      <c r="H2216" s="7" t="s">
        <v>884</v>
      </c>
      <c r="I2216" s="7" t="s">
        <v>878</v>
      </c>
      <c r="J2216" s="7" t="s">
        <v>882</v>
      </c>
      <c r="M2216" s="7">
        <v>90</v>
      </c>
      <c r="N2216" s="7">
        <v>90</v>
      </c>
      <c r="O2216" s="126">
        <v>46229.566342592603</v>
      </c>
      <c r="P2216" s="126">
        <v>46229.566354166702</v>
      </c>
    </row>
    <row r="2217" spans="1:16" ht="15.75" customHeight="1">
      <c r="A2217" s="126">
        <v>46230.015752314801</v>
      </c>
      <c r="B2217" s="7">
        <v>12</v>
      </c>
      <c r="C2217" s="7">
        <v>395</v>
      </c>
      <c r="E2217" s="7" t="s">
        <v>1163</v>
      </c>
      <c r="F2217" s="7" t="s">
        <v>446</v>
      </c>
      <c r="G2217" s="7">
        <v>168</v>
      </c>
      <c r="H2217" s="7" t="s">
        <v>885</v>
      </c>
      <c r="I2217" s="7" t="s">
        <v>886</v>
      </c>
      <c r="M2217" s="7">
        <v>100</v>
      </c>
      <c r="N2217" s="7">
        <v>100</v>
      </c>
      <c r="P2217" s="126">
        <v>46212.477141203701</v>
      </c>
    </row>
    <row r="2218" spans="1:16" ht="15.75" customHeight="1">
      <c r="A2218" s="126">
        <v>46230.015752314801</v>
      </c>
      <c r="B2218" s="7">
        <v>12</v>
      </c>
      <c r="C2218" s="7">
        <v>648</v>
      </c>
      <c r="E2218" s="7" t="s">
        <v>1164</v>
      </c>
      <c r="F2218" s="7" t="s">
        <v>148</v>
      </c>
      <c r="G2218" s="7">
        <v>181</v>
      </c>
      <c r="H2218" s="7" t="s">
        <v>873</v>
      </c>
      <c r="I2218" s="7" t="s">
        <v>874</v>
      </c>
      <c r="J2218" s="7"/>
      <c r="M2218" s="7"/>
      <c r="N2218" s="7" t="s">
        <v>875</v>
      </c>
      <c r="P2218" s="126"/>
    </row>
    <row r="2219" spans="1:16" ht="15.75" customHeight="1">
      <c r="A2219" s="126">
        <v>46230.015752314801</v>
      </c>
      <c r="B2219" s="7">
        <v>12</v>
      </c>
      <c r="C2219" s="7">
        <v>648</v>
      </c>
      <c r="E2219" s="7" t="s">
        <v>1164</v>
      </c>
      <c r="F2219" s="7" t="s">
        <v>148</v>
      </c>
      <c r="G2219" s="7">
        <v>182</v>
      </c>
      <c r="H2219" s="7" t="s">
        <v>876</v>
      </c>
      <c r="I2219" s="7" t="s">
        <v>874</v>
      </c>
      <c r="J2219" s="7"/>
      <c r="M2219" s="7"/>
      <c r="N2219" s="7" t="s">
        <v>875</v>
      </c>
      <c r="P2219" s="126"/>
    </row>
    <row r="2220" spans="1:16" ht="15.75" customHeight="1">
      <c r="A2220" s="126">
        <v>46230.015752314801</v>
      </c>
      <c r="B2220" s="7">
        <v>12</v>
      </c>
      <c r="C2220" s="7">
        <v>648</v>
      </c>
      <c r="E2220" s="7" t="s">
        <v>1164</v>
      </c>
      <c r="F2220" s="7" t="s">
        <v>148</v>
      </c>
      <c r="G2220" s="7">
        <v>174</v>
      </c>
      <c r="H2220" s="7" t="s">
        <v>877</v>
      </c>
      <c r="I2220" s="7" t="s">
        <v>878</v>
      </c>
      <c r="J2220" s="7" t="s">
        <v>879</v>
      </c>
      <c r="M2220" s="7">
        <v>100</v>
      </c>
      <c r="N2220" s="7">
        <v>100</v>
      </c>
      <c r="P2220" s="126">
        <v>46209.705671296302</v>
      </c>
    </row>
    <row r="2221" spans="1:16" ht="15.75" customHeight="1">
      <c r="A2221" s="126">
        <v>46230.015752314801</v>
      </c>
      <c r="B2221" s="7">
        <v>12</v>
      </c>
      <c r="C2221" s="7">
        <v>648</v>
      </c>
      <c r="E2221" s="7" t="s">
        <v>1164</v>
      </c>
      <c r="F2221" s="7" t="s">
        <v>148</v>
      </c>
      <c r="G2221" s="7">
        <v>180</v>
      </c>
      <c r="H2221" s="7" t="s">
        <v>880</v>
      </c>
      <c r="I2221" s="7" t="s">
        <v>874</v>
      </c>
      <c r="J2221" s="7"/>
      <c r="M2221" s="7"/>
      <c r="N2221" s="7" t="s">
        <v>875</v>
      </c>
      <c r="O2221" s="126"/>
      <c r="P2221" s="126"/>
    </row>
    <row r="2222" spans="1:16" ht="15.75" customHeight="1">
      <c r="A2222" s="126">
        <v>46230.015752314801</v>
      </c>
      <c r="B2222" s="7">
        <v>12</v>
      </c>
      <c r="C2222" s="7">
        <v>648</v>
      </c>
      <c r="E2222" s="7" t="s">
        <v>1164</v>
      </c>
      <c r="F2222" s="7" t="s">
        <v>148</v>
      </c>
      <c r="G2222" s="7">
        <v>175</v>
      </c>
      <c r="H2222" s="7" t="s">
        <v>881</v>
      </c>
      <c r="I2222" s="7" t="s">
        <v>878</v>
      </c>
      <c r="J2222" s="7" t="s">
        <v>882</v>
      </c>
      <c r="M2222" s="7">
        <v>100</v>
      </c>
      <c r="N2222" s="7">
        <v>100</v>
      </c>
      <c r="O2222" s="126">
        <v>46215.886111111096</v>
      </c>
      <c r="P2222" s="126">
        <v>46215.886111111096</v>
      </c>
    </row>
    <row r="2223" spans="1:16" ht="15.75" customHeight="1">
      <c r="A2223" s="126">
        <v>46230.015752314801</v>
      </c>
      <c r="B2223" s="7">
        <v>12</v>
      </c>
      <c r="C2223" s="7">
        <v>648</v>
      </c>
      <c r="E2223" s="7" t="s">
        <v>1164</v>
      </c>
      <c r="F2223" s="7" t="s">
        <v>148</v>
      </c>
      <c r="G2223" s="7">
        <v>177</v>
      </c>
      <c r="H2223" s="7" t="s">
        <v>883</v>
      </c>
      <c r="I2223" s="7" t="s">
        <v>878</v>
      </c>
      <c r="J2223" s="7" t="s">
        <v>882</v>
      </c>
      <c r="M2223" s="7"/>
      <c r="N2223" s="7" t="s">
        <v>875</v>
      </c>
      <c r="O2223" s="126"/>
      <c r="P2223" s="126"/>
    </row>
    <row r="2224" spans="1:16" ht="15.75" customHeight="1">
      <c r="A2224" s="126">
        <v>46230.015752314801</v>
      </c>
      <c r="B2224" s="7">
        <v>12</v>
      </c>
      <c r="C2224" s="7">
        <v>648</v>
      </c>
      <c r="E2224" s="7" t="s">
        <v>1164</v>
      </c>
      <c r="F2224" s="7" t="s">
        <v>148</v>
      </c>
      <c r="G2224" s="7">
        <v>176</v>
      </c>
      <c r="H2224" s="7" t="s">
        <v>884</v>
      </c>
      <c r="I2224" s="7" t="s">
        <v>878</v>
      </c>
      <c r="J2224" s="7" t="s">
        <v>882</v>
      </c>
      <c r="M2224" s="7">
        <v>95</v>
      </c>
      <c r="N2224" s="7">
        <v>95</v>
      </c>
      <c r="O2224" s="126">
        <v>46225.495879629598</v>
      </c>
      <c r="P2224" s="126">
        <v>46225.495879629598</v>
      </c>
    </row>
    <row r="2225" spans="1:16" ht="15.75" customHeight="1">
      <c r="A2225" s="126">
        <v>46230.015752314801</v>
      </c>
      <c r="B2225" s="7">
        <v>12</v>
      </c>
      <c r="C2225" s="7">
        <v>648</v>
      </c>
      <c r="E2225" s="7" t="s">
        <v>1164</v>
      </c>
      <c r="F2225" s="7" t="s">
        <v>148</v>
      </c>
      <c r="G2225" s="7">
        <v>168</v>
      </c>
      <c r="H2225" s="7" t="s">
        <v>885</v>
      </c>
      <c r="I2225" s="7" t="s">
        <v>886</v>
      </c>
      <c r="M2225" s="7">
        <v>100</v>
      </c>
      <c r="N2225" s="7">
        <v>100</v>
      </c>
      <c r="P2225" s="126">
        <v>46209.705671296302</v>
      </c>
    </row>
    <row r="2226" spans="1:16" ht="15.75" customHeight="1">
      <c r="A2226" s="126">
        <v>46230.015752314801</v>
      </c>
      <c r="B2226" s="7">
        <v>12</v>
      </c>
      <c r="C2226" s="7">
        <v>621</v>
      </c>
      <c r="E2226" s="7" t="s">
        <v>1165</v>
      </c>
      <c r="F2226" s="7" t="s">
        <v>665</v>
      </c>
      <c r="G2226" s="7">
        <v>181</v>
      </c>
      <c r="H2226" s="7" t="s">
        <v>873</v>
      </c>
      <c r="I2226" s="7" t="s">
        <v>874</v>
      </c>
      <c r="M2226" s="7"/>
      <c r="N2226" s="7" t="s">
        <v>875</v>
      </c>
      <c r="P2226" s="126"/>
    </row>
    <row r="2227" spans="1:16" ht="15.75" customHeight="1">
      <c r="A2227" s="126">
        <v>46230.015752314801</v>
      </c>
      <c r="B2227" s="7">
        <v>12</v>
      </c>
      <c r="C2227" s="7">
        <v>621</v>
      </c>
      <c r="E2227" s="7" t="s">
        <v>1165</v>
      </c>
      <c r="F2227" s="7" t="s">
        <v>665</v>
      </c>
      <c r="G2227" s="7">
        <v>182</v>
      </c>
      <c r="H2227" s="7" t="s">
        <v>876</v>
      </c>
      <c r="I2227" s="7" t="s">
        <v>874</v>
      </c>
      <c r="J2227" s="7"/>
      <c r="M2227" s="7"/>
      <c r="N2227" s="7" t="s">
        <v>875</v>
      </c>
      <c r="P2227" s="126"/>
    </row>
    <row r="2228" spans="1:16" ht="15.75" customHeight="1">
      <c r="A2228" s="126">
        <v>46230.015752314801</v>
      </c>
      <c r="B2228" s="7">
        <v>12</v>
      </c>
      <c r="C2228" s="7">
        <v>621</v>
      </c>
      <c r="E2228" s="7" t="s">
        <v>1165</v>
      </c>
      <c r="F2228" s="7" t="s">
        <v>665</v>
      </c>
      <c r="G2228" s="7">
        <v>174</v>
      </c>
      <c r="H2228" s="7" t="s">
        <v>877</v>
      </c>
      <c r="I2228" s="7" t="s">
        <v>878</v>
      </c>
      <c r="J2228" s="7" t="s">
        <v>879</v>
      </c>
      <c r="M2228" s="7">
        <v>100</v>
      </c>
      <c r="N2228" s="7">
        <v>100</v>
      </c>
      <c r="P2228" s="126">
        <v>46209.706932870402</v>
      </c>
    </row>
    <row r="2229" spans="1:16" ht="15.75" customHeight="1">
      <c r="A2229" s="126">
        <v>46230.015752314801</v>
      </c>
      <c r="B2229" s="7">
        <v>12</v>
      </c>
      <c r="C2229" s="7">
        <v>621</v>
      </c>
      <c r="E2229" s="7" t="s">
        <v>1165</v>
      </c>
      <c r="F2229" s="7" t="s">
        <v>665</v>
      </c>
      <c r="G2229" s="7">
        <v>180</v>
      </c>
      <c r="H2229" s="7" t="s">
        <v>880</v>
      </c>
      <c r="I2229" s="7" t="s">
        <v>874</v>
      </c>
      <c r="J2229" s="7"/>
      <c r="M2229" s="7"/>
      <c r="N2229" s="7" t="s">
        <v>875</v>
      </c>
      <c r="O2229" s="126"/>
      <c r="P2229" s="126"/>
    </row>
    <row r="2230" spans="1:16" ht="15.75" customHeight="1">
      <c r="A2230" s="126">
        <v>46230.015752314801</v>
      </c>
      <c r="B2230" s="7">
        <v>12</v>
      </c>
      <c r="C2230" s="7">
        <v>621</v>
      </c>
      <c r="E2230" s="7" t="s">
        <v>1165</v>
      </c>
      <c r="F2230" s="7" t="s">
        <v>665</v>
      </c>
      <c r="G2230" s="7">
        <v>175</v>
      </c>
      <c r="H2230" s="7" t="s">
        <v>881</v>
      </c>
      <c r="I2230" s="7" t="s">
        <v>878</v>
      </c>
      <c r="J2230" s="7" t="s">
        <v>882</v>
      </c>
      <c r="M2230" s="7">
        <v>87.5</v>
      </c>
      <c r="N2230" s="7">
        <v>87.5</v>
      </c>
      <c r="O2230" s="126">
        <v>46214.844988425903</v>
      </c>
      <c r="P2230" s="126">
        <v>46214.844988425903</v>
      </c>
    </row>
    <row r="2231" spans="1:16" ht="15.75" customHeight="1">
      <c r="A2231" s="126">
        <v>46230.015752314801</v>
      </c>
      <c r="B2231" s="7">
        <v>12</v>
      </c>
      <c r="C2231" s="7">
        <v>621</v>
      </c>
      <c r="E2231" s="7" t="s">
        <v>1165</v>
      </c>
      <c r="F2231" s="7" t="s">
        <v>665</v>
      </c>
      <c r="G2231" s="7">
        <v>177</v>
      </c>
      <c r="H2231" s="7" t="s">
        <v>883</v>
      </c>
      <c r="I2231" s="7" t="s">
        <v>878</v>
      </c>
      <c r="J2231" s="7" t="s">
        <v>882</v>
      </c>
      <c r="M2231" s="7"/>
      <c r="N2231" s="7" t="s">
        <v>875</v>
      </c>
      <c r="O2231" s="126"/>
      <c r="P2231" s="126"/>
    </row>
    <row r="2232" spans="1:16" ht="15.75" customHeight="1">
      <c r="A2232" s="126">
        <v>46230.015752314801</v>
      </c>
      <c r="B2232" s="7">
        <v>12</v>
      </c>
      <c r="C2232" s="7">
        <v>621</v>
      </c>
      <c r="E2232" s="7" t="s">
        <v>1165</v>
      </c>
      <c r="F2232" s="7" t="s">
        <v>665</v>
      </c>
      <c r="G2232" s="7">
        <v>176</v>
      </c>
      <c r="H2232" s="7" t="s">
        <v>884</v>
      </c>
      <c r="I2232" s="7" t="s">
        <v>878</v>
      </c>
      <c r="J2232" s="7" t="s">
        <v>882</v>
      </c>
      <c r="M2232" s="7">
        <v>90</v>
      </c>
      <c r="N2232" s="7">
        <v>90</v>
      </c>
      <c r="O2232" s="126">
        <v>46226.717233796298</v>
      </c>
      <c r="P2232" s="126">
        <v>46226.717233796298</v>
      </c>
    </row>
    <row r="2233" spans="1:16" ht="15.75" customHeight="1">
      <c r="A2233" s="126">
        <v>46230.015752314801</v>
      </c>
      <c r="B2233" s="7">
        <v>12</v>
      </c>
      <c r="C2233" s="7">
        <v>621</v>
      </c>
      <c r="E2233" s="7" t="s">
        <v>1165</v>
      </c>
      <c r="F2233" s="7" t="s">
        <v>665</v>
      </c>
      <c r="G2233" s="7">
        <v>168</v>
      </c>
      <c r="H2233" s="7" t="s">
        <v>885</v>
      </c>
      <c r="I2233" s="7" t="s">
        <v>886</v>
      </c>
      <c r="M2233" s="7">
        <v>100</v>
      </c>
      <c r="N2233" s="7">
        <v>100</v>
      </c>
      <c r="P2233" s="126">
        <v>46209.706932870402</v>
      </c>
    </row>
    <row r="2234" spans="1:16" ht="15.75" customHeight="1">
      <c r="A2234" s="126">
        <v>46230.015752314801</v>
      </c>
      <c r="B2234" s="7">
        <v>12</v>
      </c>
      <c r="C2234" s="7">
        <v>731</v>
      </c>
      <c r="E2234" s="7" t="s">
        <v>1166</v>
      </c>
      <c r="F2234" s="7" t="s">
        <v>595</v>
      </c>
      <c r="G2234" s="7">
        <v>181</v>
      </c>
      <c r="H2234" s="7" t="s">
        <v>873</v>
      </c>
      <c r="I2234" s="7" t="s">
        <v>874</v>
      </c>
      <c r="M2234" s="7"/>
      <c r="N2234" s="7" t="s">
        <v>875</v>
      </c>
      <c r="P2234" s="126"/>
    </row>
    <row r="2235" spans="1:16" ht="15.75" customHeight="1">
      <c r="A2235" s="126">
        <v>46230.015752314801</v>
      </c>
      <c r="B2235" s="7">
        <v>12</v>
      </c>
      <c r="C2235" s="7">
        <v>731</v>
      </c>
      <c r="E2235" s="7" t="s">
        <v>1166</v>
      </c>
      <c r="F2235" s="7" t="s">
        <v>595</v>
      </c>
      <c r="G2235" s="7">
        <v>182</v>
      </c>
      <c r="H2235" s="7" t="s">
        <v>876</v>
      </c>
      <c r="I2235" s="7" t="s">
        <v>874</v>
      </c>
      <c r="J2235" s="7"/>
      <c r="M2235" s="7"/>
      <c r="N2235" s="7" t="s">
        <v>875</v>
      </c>
      <c r="P2235" s="126"/>
    </row>
    <row r="2236" spans="1:16" ht="15.75" customHeight="1">
      <c r="A2236" s="126">
        <v>46230.015752314801</v>
      </c>
      <c r="B2236" s="7">
        <v>12</v>
      </c>
      <c r="C2236" s="7">
        <v>731</v>
      </c>
      <c r="E2236" s="7" t="s">
        <v>1166</v>
      </c>
      <c r="F2236" s="7" t="s">
        <v>595</v>
      </c>
      <c r="G2236" s="7">
        <v>174</v>
      </c>
      <c r="H2236" s="7" t="s">
        <v>877</v>
      </c>
      <c r="I2236" s="7" t="s">
        <v>878</v>
      </c>
      <c r="J2236" s="7" t="s">
        <v>879</v>
      </c>
      <c r="M2236" s="7">
        <v>100</v>
      </c>
      <c r="N2236" s="7">
        <v>100</v>
      </c>
      <c r="P2236" s="126">
        <v>46209.676643518498</v>
      </c>
    </row>
    <row r="2237" spans="1:16" ht="15.75" customHeight="1">
      <c r="A2237" s="126">
        <v>46230.015752314801</v>
      </c>
      <c r="B2237" s="7">
        <v>12</v>
      </c>
      <c r="C2237" s="7">
        <v>731</v>
      </c>
      <c r="E2237" s="7" t="s">
        <v>1166</v>
      </c>
      <c r="F2237" s="7" t="s">
        <v>595</v>
      </c>
      <c r="G2237" s="7">
        <v>180</v>
      </c>
      <c r="H2237" s="7" t="s">
        <v>880</v>
      </c>
      <c r="I2237" s="7" t="s">
        <v>874</v>
      </c>
      <c r="J2237" s="7"/>
      <c r="M2237" s="7"/>
      <c r="N2237" s="7" t="s">
        <v>875</v>
      </c>
      <c r="O2237" s="126"/>
      <c r="P2237" s="126"/>
    </row>
    <row r="2238" spans="1:16" ht="15.75" customHeight="1">
      <c r="A2238" s="126">
        <v>46230.015752314801</v>
      </c>
      <c r="B2238" s="7">
        <v>12</v>
      </c>
      <c r="C2238" s="7">
        <v>731</v>
      </c>
      <c r="E2238" s="7" t="s">
        <v>1166</v>
      </c>
      <c r="F2238" s="7" t="s">
        <v>595</v>
      </c>
      <c r="G2238" s="7">
        <v>175</v>
      </c>
      <c r="H2238" s="7" t="s">
        <v>881</v>
      </c>
      <c r="I2238" s="7" t="s">
        <v>878</v>
      </c>
      <c r="J2238" s="7" t="s">
        <v>882</v>
      </c>
      <c r="M2238" s="7">
        <v>100</v>
      </c>
      <c r="N2238" s="7">
        <v>100</v>
      </c>
      <c r="O2238" s="126">
        <v>46213.876759259299</v>
      </c>
      <c r="P2238" s="126">
        <v>46213.876759259299</v>
      </c>
    </row>
    <row r="2239" spans="1:16" ht="15.75" customHeight="1">
      <c r="A2239" s="126">
        <v>46230.015752314801</v>
      </c>
      <c r="B2239" s="7">
        <v>12</v>
      </c>
      <c r="C2239" s="7">
        <v>731</v>
      </c>
      <c r="E2239" s="7" t="s">
        <v>1166</v>
      </c>
      <c r="F2239" s="7" t="s">
        <v>595</v>
      </c>
      <c r="G2239" s="7">
        <v>177</v>
      </c>
      <c r="H2239" s="7" t="s">
        <v>883</v>
      </c>
      <c r="I2239" s="7" t="s">
        <v>878</v>
      </c>
      <c r="J2239" s="7" t="s">
        <v>882</v>
      </c>
      <c r="M2239" s="7"/>
      <c r="N2239" s="7" t="s">
        <v>875</v>
      </c>
      <c r="P2239" s="126"/>
    </row>
    <row r="2240" spans="1:16" ht="15.75" customHeight="1">
      <c r="A2240" s="126">
        <v>46230.015752314801</v>
      </c>
      <c r="B2240" s="7">
        <v>12</v>
      </c>
      <c r="C2240" s="7">
        <v>731</v>
      </c>
      <c r="E2240" s="7" t="s">
        <v>1166</v>
      </c>
      <c r="F2240" s="7" t="s">
        <v>595</v>
      </c>
      <c r="G2240" s="7">
        <v>176</v>
      </c>
      <c r="H2240" s="7" t="s">
        <v>884</v>
      </c>
      <c r="I2240" s="7" t="s">
        <v>878</v>
      </c>
      <c r="J2240" s="7" t="s">
        <v>882</v>
      </c>
      <c r="M2240" s="7">
        <v>100</v>
      </c>
      <c r="N2240" s="7">
        <v>100</v>
      </c>
      <c r="O2240" s="126">
        <v>46224.879594907397</v>
      </c>
      <c r="P2240" s="126">
        <v>46224.879594907397</v>
      </c>
    </row>
    <row r="2241" spans="1:16" ht="15.75" customHeight="1">
      <c r="A2241" s="126">
        <v>46230.015752314801</v>
      </c>
      <c r="B2241" s="7">
        <v>12</v>
      </c>
      <c r="C2241" s="7">
        <v>731</v>
      </c>
      <c r="E2241" s="7" t="s">
        <v>1166</v>
      </c>
      <c r="F2241" s="7" t="s">
        <v>595</v>
      </c>
      <c r="G2241" s="7">
        <v>168</v>
      </c>
      <c r="H2241" s="7" t="s">
        <v>885</v>
      </c>
      <c r="I2241" s="7" t="s">
        <v>886</v>
      </c>
      <c r="J2241" s="7"/>
      <c r="M2241" s="7">
        <v>100</v>
      </c>
      <c r="N2241" s="7">
        <v>100</v>
      </c>
      <c r="O2241" s="126"/>
      <c r="P2241" s="126">
        <v>46209.676643518498</v>
      </c>
    </row>
    <row r="2242" spans="1:16" ht="15.75" customHeight="1">
      <c r="A2242" s="126">
        <v>46230.015752314801</v>
      </c>
      <c r="B2242" s="7">
        <v>12</v>
      </c>
      <c r="C2242" s="7">
        <v>592</v>
      </c>
      <c r="E2242" s="7" t="s">
        <v>1167</v>
      </c>
      <c r="F2242" s="7" t="s">
        <v>415</v>
      </c>
      <c r="G2242" s="7">
        <v>181</v>
      </c>
      <c r="H2242" s="7" t="s">
        <v>873</v>
      </c>
      <c r="I2242" s="7" t="s">
        <v>874</v>
      </c>
      <c r="M2242" s="7"/>
      <c r="N2242" s="7" t="s">
        <v>875</v>
      </c>
      <c r="P2242" s="126"/>
    </row>
    <row r="2243" spans="1:16" ht="15.75" customHeight="1">
      <c r="A2243" s="126">
        <v>46230.015752314801</v>
      </c>
      <c r="B2243" s="7">
        <v>12</v>
      </c>
      <c r="C2243" s="7">
        <v>592</v>
      </c>
      <c r="E2243" s="7" t="s">
        <v>1167</v>
      </c>
      <c r="F2243" s="7" t="s">
        <v>415</v>
      </c>
      <c r="G2243" s="7">
        <v>182</v>
      </c>
      <c r="H2243" s="7" t="s">
        <v>876</v>
      </c>
      <c r="I2243" s="7" t="s">
        <v>874</v>
      </c>
      <c r="J2243" s="7"/>
      <c r="M2243" s="7"/>
      <c r="N2243" s="7" t="s">
        <v>875</v>
      </c>
      <c r="P2243" s="126"/>
    </row>
    <row r="2244" spans="1:16" ht="15.75" customHeight="1">
      <c r="A2244" s="126">
        <v>46230.015752314801</v>
      </c>
      <c r="B2244" s="7">
        <v>12</v>
      </c>
      <c r="C2244" s="7">
        <v>592</v>
      </c>
      <c r="E2244" s="7" t="s">
        <v>1167</v>
      </c>
      <c r="F2244" s="7" t="s">
        <v>415</v>
      </c>
      <c r="G2244" s="7">
        <v>174</v>
      </c>
      <c r="H2244" s="7" t="s">
        <v>877</v>
      </c>
      <c r="I2244" s="7" t="s">
        <v>878</v>
      </c>
      <c r="J2244" s="7" t="s">
        <v>879</v>
      </c>
      <c r="M2244" s="7">
        <v>100</v>
      </c>
      <c r="N2244" s="7">
        <v>100</v>
      </c>
      <c r="P2244" s="126">
        <v>46209.706979166702</v>
      </c>
    </row>
    <row r="2245" spans="1:16" ht="15.75" customHeight="1">
      <c r="A2245" s="126">
        <v>46230.015752314801</v>
      </c>
      <c r="B2245" s="7">
        <v>12</v>
      </c>
      <c r="C2245" s="7">
        <v>592</v>
      </c>
      <c r="E2245" s="7" t="s">
        <v>1167</v>
      </c>
      <c r="F2245" s="7" t="s">
        <v>415</v>
      </c>
      <c r="G2245" s="7">
        <v>180</v>
      </c>
      <c r="H2245" s="7" t="s">
        <v>880</v>
      </c>
      <c r="I2245" s="7" t="s">
        <v>874</v>
      </c>
      <c r="J2245" s="7"/>
      <c r="M2245" s="7"/>
      <c r="N2245" s="7" t="s">
        <v>875</v>
      </c>
      <c r="O2245" s="126"/>
      <c r="P2245" s="126"/>
    </row>
    <row r="2246" spans="1:16" ht="15.75" customHeight="1">
      <c r="A2246" s="126">
        <v>46230.015752314801</v>
      </c>
      <c r="B2246" s="7">
        <v>12</v>
      </c>
      <c r="C2246" s="7">
        <v>592</v>
      </c>
      <c r="E2246" s="7" t="s">
        <v>1167</v>
      </c>
      <c r="F2246" s="7" t="s">
        <v>415</v>
      </c>
      <c r="G2246" s="7">
        <v>175</v>
      </c>
      <c r="H2246" s="7" t="s">
        <v>881</v>
      </c>
      <c r="I2246" s="7" t="s">
        <v>878</v>
      </c>
      <c r="J2246" s="7" t="s">
        <v>882</v>
      </c>
      <c r="M2246" s="7">
        <v>100</v>
      </c>
      <c r="N2246" s="7">
        <v>100</v>
      </c>
      <c r="O2246" s="126">
        <v>46213.819675925901</v>
      </c>
      <c r="P2246" s="126">
        <v>46213.819687499999</v>
      </c>
    </row>
    <row r="2247" spans="1:16" ht="15.75" customHeight="1">
      <c r="A2247" s="126">
        <v>46230.015752314801</v>
      </c>
      <c r="B2247" s="7">
        <v>12</v>
      </c>
      <c r="C2247" s="7">
        <v>592</v>
      </c>
      <c r="E2247" s="7" t="s">
        <v>1167</v>
      </c>
      <c r="F2247" s="7" t="s">
        <v>415</v>
      </c>
      <c r="G2247" s="7">
        <v>177</v>
      </c>
      <c r="H2247" s="7" t="s">
        <v>883</v>
      </c>
      <c r="I2247" s="7" t="s">
        <v>878</v>
      </c>
      <c r="J2247" s="7" t="s">
        <v>882</v>
      </c>
      <c r="M2247" s="7"/>
      <c r="N2247" s="7" t="s">
        <v>875</v>
      </c>
      <c r="O2247" s="126"/>
      <c r="P2247" s="126"/>
    </row>
    <row r="2248" spans="1:16" ht="15.75" customHeight="1">
      <c r="A2248" s="126">
        <v>46230.015752314801</v>
      </c>
      <c r="B2248" s="7">
        <v>12</v>
      </c>
      <c r="C2248" s="7">
        <v>592</v>
      </c>
      <c r="E2248" s="7" t="s">
        <v>1167</v>
      </c>
      <c r="F2248" s="7" t="s">
        <v>415</v>
      </c>
      <c r="G2248" s="7">
        <v>176</v>
      </c>
      <c r="H2248" s="7" t="s">
        <v>884</v>
      </c>
      <c r="I2248" s="7" t="s">
        <v>878</v>
      </c>
      <c r="J2248" s="7" t="s">
        <v>882</v>
      </c>
      <c r="M2248" s="7">
        <v>100</v>
      </c>
      <c r="N2248" s="7">
        <v>100</v>
      </c>
      <c r="O2248" s="126">
        <v>46223.725775462997</v>
      </c>
      <c r="P2248" s="126">
        <v>46223.793657407397</v>
      </c>
    </row>
    <row r="2249" spans="1:16" ht="15.75" customHeight="1">
      <c r="A2249" s="126">
        <v>46230.015752314801</v>
      </c>
      <c r="B2249" s="7">
        <v>12</v>
      </c>
      <c r="C2249" s="7">
        <v>592</v>
      </c>
      <c r="E2249" s="7" t="s">
        <v>1167</v>
      </c>
      <c r="F2249" s="7" t="s">
        <v>415</v>
      </c>
      <c r="G2249" s="7">
        <v>168</v>
      </c>
      <c r="H2249" s="7" t="s">
        <v>885</v>
      </c>
      <c r="I2249" s="7" t="s">
        <v>886</v>
      </c>
      <c r="J2249" s="7"/>
      <c r="M2249" s="7">
        <v>100</v>
      </c>
      <c r="N2249" s="7">
        <v>100</v>
      </c>
      <c r="O2249" s="126"/>
      <c r="P2249" s="126">
        <v>46209.706979166702</v>
      </c>
    </row>
    <row r="2250" spans="1:16" ht="15.75" customHeight="1">
      <c r="A2250" s="126">
        <v>46230.015752314801</v>
      </c>
      <c r="B2250" s="7">
        <v>12</v>
      </c>
      <c r="C2250" s="7">
        <v>609</v>
      </c>
      <c r="E2250" s="7" t="s">
        <v>1168</v>
      </c>
      <c r="F2250" s="7" t="s">
        <v>381</v>
      </c>
      <c r="G2250" s="7">
        <v>181</v>
      </c>
      <c r="H2250" s="7" t="s">
        <v>873</v>
      </c>
      <c r="I2250" s="7" t="s">
        <v>874</v>
      </c>
      <c r="J2250" s="7"/>
      <c r="M2250" s="7"/>
      <c r="N2250" s="7" t="s">
        <v>875</v>
      </c>
      <c r="O2250" s="126"/>
      <c r="P2250" s="126"/>
    </row>
    <row r="2251" spans="1:16" ht="15.75" customHeight="1">
      <c r="A2251" s="126">
        <v>46230.015752314801</v>
      </c>
      <c r="B2251" s="7">
        <v>12</v>
      </c>
      <c r="C2251" s="7">
        <v>609</v>
      </c>
      <c r="E2251" s="7" t="s">
        <v>1168</v>
      </c>
      <c r="F2251" s="7" t="s">
        <v>381</v>
      </c>
      <c r="G2251" s="7">
        <v>182</v>
      </c>
      <c r="H2251" s="7" t="s">
        <v>876</v>
      </c>
      <c r="I2251" s="7" t="s">
        <v>874</v>
      </c>
      <c r="J2251" s="7"/>
      <c r="M2251" s="7"/>
      <c r="N2251" s="7" t="s">
        <v>875</v>
      </c>
      <c r="P2251" s="126"/>
    </row>
    <row r="2252" spans="1:16" ht="15.75" customHeight="1">
      <c r="A2252" s="126">
        <v>46230.015752314801</v>
      </c>
      <c r="B2252" s="7">
        <v>12</v>
      </c>
      <c r="C2252" s="7">
        <v>609</v>
      </c>
      <c r="E2252" s="7" t="s">
        <v>1168</v>
      </c>
      <c r="F2252" s="7" t="s">
        <v>381</v>
      </c>
      <c r="G2252" s="7">
        <v>174</v>
      </c>
      <c r="H2252" s="7" t="s">
        <v>877</v>
      </c>
      <c r="I2252" s="7" t="s">
        <v>878</v>
      </c>
      <c r="J2252" s="7" t="s">
        <v>879</v>
      </c>
      <c r="M2252" s="7">
        <v>100</v>
      </c>
      <c r="N2252" s="7">
        <v>100</v>
      </c>
      <c r="P2252" s="126">
        <v>46209.645266203697</v>
      </c>
    </row>
    <row r="2253" spans="1:16" ht="15.75" customHeight="1">
      <c r="A2253" s="126">
        <v>46230.015752314801</v>
      </c>
      <c r="B2253" s="7">
        <v>12</v>
      </c>
      <c r="C2253" s="7">
        <v>609</v>
      </c>
      <c r="E2253" s="7" t="s">
        <v>1168</v>
      </c>
      <c r="F2253" s="7" t="s">
        <v>381</v>
      </c>
      <c r="G2253" s="7">
        <v>180</v>
      </c>
      <c r="H2253" s="7" t="s">
        <v>880</v>
      </c>
      <c r="I2253" s="7" t="s">
        <v>874</v>
      </c>
      <c r="J2253" s="7"/>
      <c r="M2253" s="7"/>
      <c r="N2253" s="7" t="s">
        <v>875</v>
      </c>
      <c r="O2253" s="126"/>
      <c r="P2253" s="126"/>
    </row>
    <row r="2254" spans="1:16" ht="15.75" customHeight="1">
      <c r="A2254" s="126">
        <v>46230.015752314801</v>
      </c>
      <c r="B2254" s="7">
        <v>12</v>
      </c>
      <c r="C2254" s="7">
        <v>609</v>
      </c>
      <c r="E2254" s="7" t="s">
        <v>1168</v>
      </c>
      <c r="F2254" s="7" t="s">
        <v>381</v>
      </c>
      <c r="G2254" s="7">
        <v>175</v>
      </c>
      <c r="H2254" s="7" t="s">
        <v>881</v>
      </c>
      <c r="I2254" s="7" t="s">
        <v>878</v>
      </c>
      <c r="J2254" s="7" t="s">
        <v>882</v>
      </c>
      <c r="M2254" s="7">
        <v>87.5</v>
      </c>
      <c r="N2254" s="7">
        <v>87.5</v>
      </c>
      <c r="O2254" s="126">
        <v>46216.438993055599</v>
      </c>
      <c r="P2254" s="126">
        <v>46216.438993055599</v>
      </c>
    </row>
    <row r="2255" spans="1:16" ht="15.75" customHeight="1">
      <c r="A2255" s="126">
        <v>46230.015752314801</v>
      </c>
      <c r="B2255" s="7">
        <v>12</v>
      </c>
      <c r="C2255" s="7">
        <v>609</v>
      </c>
      <c r="E2255" s="7" t="s">
        <v>1168</v>
      </c>
      <c r="F2255" s="7" t="s">
        <v>381</v>
      </c>
      <c r="G2255" s="7">
        <v>177</v>
      </c>
      <c r="H2255" s="7" t="s">
        <v>883</v>
      </c>
      <c r="I2255" s="7" t="s">
        <v>878</v>
      </c>
      <c r="J2255" s="7" t="s">
        <v>882</v>
      </c>
      <c r="M2255" s="7"/>
      <c r="N2255" s="7" t="s">
        <v>875</v>
      </c>
      <c r="P2255" s="126"/>
    </row>
    <row r="2256" spans="1:16" ht="15.75" customHeight="1">
      <c r="A2256" s="126">
        <v>46230.015752314801</v>
      </c>
      <c r="B2256" s="7">
        <v>12</v>
      </c>
      <c r="C2256" s="7">
        <v>609</v>
      </c>
      <c r="E2256" s="7" t="s">
        <v>1168</v>
      </c>
      <c r="F2256" s="7" t="s">
        <v>381</v>
      </c>
      <c r="G2256" s="7">
        <v>176</v>
      </c>
      <c r="H2256" s="7" t="s">
        <v>884</v>
      </c>
      <c r="I2256" s="7" t="s">
        <v>878</v>
      </c>
      <c r="J2256" s="7" t="s">
        <v>882</v>
      </c>
      <c r="M2256" s="7">
        <v>100</v>
      </c>
      <c r="N2256" s="7">
        <v>100</v>
      </c>
      <c r="O2256" s="126">
        <v>46224.865509259304</v>
      </c>
      <c r="P2256" s="126">
        <v>46224.865509259304</v>
      </c>
    </row>
    <row r="2257" spans="1:16" ht="15.75" customHeight="1">
      <c r="A2257" s="126">
        <v>46230.015752314801</v>
      </c>
      <c r="B2257" s="7">
        <v>12</v>
      </c>
      <c r="C2257" s="7">
        <v>609</v>
      </c>
      <c r="E2257" s="7" t="s">
        <v>1168</v>
      </c>
      <c r="F2257" s="7" t="s">
        <v>381</v>
      </c>
      <c r="G2257" s="7">
        <v>168</v>
      </c>
      <c r="H2257" s="7" t="s">
        <v>885</v>
      </c>
      <c r="I2257" s="7" t="s">
        <v>886</v>
      </c>
      <c r="J2257" s="7"/>
      <c r="M2257" s="7">
        <v>100</v>
      </c>
      <c r="N2257" s="7">
        <v>100</v>
      </c>
      <c r="P2257" s="126">
        <v>46209.645266203697</v>
      </c>
    </row>
    <row r="2258" spans="1:16" ht="15.75" customHeight="1">
      <c r="A2258" s="126">
        <v>46230.015752314801</v>
      </c>
      <c r="B2258" s="7">
        <v>12</v>
      </c>
      <c r="C2258" s="7">
        <v>432</v>
      </c>
      <c r="E2258" s="7" t="s">
        <v>1169</v>
      </c>
      <c r="F2258" s="7" t="s">
        <v>326</v>
      </c>
      <c r="G2258" s="7">
        <v>181</v>
      </c>
      <c r="H2258" s="7" t="s">
        <v>873</v>
      </c>
      <c r="I2258" s="7" t="s">
        <v>874</v>
      </c>
      <c r="J2258" s="7"/>
      <c r="M2258" s="7"/>
      <c r="N2258" s="7" t="s">
        <v>875</v>
      </c>
      <c r="O2258" s="126"/>
      <c r="P2258" s="126"/>
    </row>
    <row r="2259" spans="1:16" ht="15.75" customHeight="1">
      <c r="A2259" s="126">
        <v>46230.015752314801</v>
      </c>
      <c r="B2259" s="7">
        <v>12</v>
      </c>
      <c r="C2259" s="7">
        <v>432</v>
      </c>
      <c r="E2259" s="7" t="s">
        <v>1169</v>
      </c>
      <c r="F2259" s="7" t="s">
        <v>326</v>
      </c>
      <c r="G2259" s="7">
        <v>182</v>
      </c>
      <c r="H2259" s="7" t="s">
        <v>876</v>
      </c>
      <c r="I2259" s="7" t="s">
        <v>874</v>
      </c>
      <c r="J2259" s="7"/>
      <c r="M2259" s="7"/>
      <c r="N2259" s="7" t="s">
        <v>875</v>
      </c>
      <c r="O2259" s="126"/>
      <c r="P2259" s="126"/>
    </row>
    <row r="2260" spans="1:16" ht="15.75" customHeight="1">
      <c r="A2260" s="126">
        <v>46230.015752314801</v>
      </c>
      <c r="B2260" s="7">
        <v>12</v>
      </c>
      <c r="C2260" s="7">
        <v>432</v>
      </c>
      <c r="E2260" s="7" t="s">
        <v>1169</v>
      </c>
      <c r="F2260" s="7" t="s">
        <v>326</v>
      </c>
      <c r="G2260" s="7">
        <v>174</v>
      </c>
      <c r="H2260" s="7" t="s">
        <v>877</v>
      </c>
      <c r="I2260" s="7" t="s">
        <v>878</v>
      </c>
      <c r="J2260" s="7" t="s">
        <v>879</v>
      </c>
      <c r="M2260" s="7">
        <v>100</v>
      </c>
      <c r="N2260" s="7">
        <v>100</v>
      </c>
      <c r="P2260" s="126">
        <v>46209.706979166702</v>
      </c>
    </row>
    <row r="2261" spans="1:16" ht="15.75" customHeight="1">
      <c r="A2261" s="126">
        <v>46230.015752314801</v>
      </c>
      <c r="B2261" s="7">
        <v>12</v>
      </c>
      <c r="C2261" s="7">
        <v>432</v>
      </c>
      <c r="E2261" s="7" t="s">
        <v>1169</v>
      </c>
      <c r="F2261" s="7" t="s">
        <v>326</v>
      </c>
      <c r="G2261" s="7">
        <v>180</v>
      </c>
      <c r="H2261" s="7" t="s">
        <v>880</v>
      </c>
      <c r="I2261" s="7" t="s">
        <v>874</v>
      </c>
      <c r="J2261" s="7"/>
      <c r="M2261" s="7"/>
      <c r="N2261" s="7" t="s">
        <v>875</v>
      </c>
      <c r="O2261" s="126"/>
      <c r="P2261" s="126"/>
    </row>
    <row r="2262" spans="1:16" ht="15.75" customHeight="1">
      <c r="A2262" s="126">
        <v>46230.015752314801</v>
      </c>
      <c r="B2262" s="7">
        <v>12</v>
      </c>
      <c r="C2262" s="7">
        <v>432</v>
      </c>
      <c r="E2262" s="7" t="s">
        <v>1169</v>
      </c>
      <c r="F2262" s="7" t="s">
        <v>326</v>
      </c>
      <c r="G2262" s="7">
        <v>175</v>
      </c>
      <c r="H2262" s="7" t="s">
        <v>881</v>
      </c>
      <c r="I2262" s="7" t="s">
        <v>878</v>
      </c>
      <c r="J2262" s="7" t="s">
        <v>882</v>
      </c>
      <c r="M2262" s="7">
        <v>75</v>
      </c>
      <c r="N2262" s="7">
        <v>75</v>
      </c>
      <c r="O2262" s="126">
        <v>46215.297245370399</v>
      </c>
      <c r="P2262" s="126">
        <v>46215.297245370399</v>
      </c>
    </row>
    <row r="2263" spans="1:16" ht="15.75" customHeight="1">
      <c r="A2263" s="126">
        <v>46230.015752314801</v>
      </c>
      <c r="B2263" s="7">
        <v>12</v>
      </c>
      <c r="C2263" s="7">
        <v>432</v>
      </c>
      <c r="E2263" s="7" t="s">
        <v>1169</v>
      </c>
      <c r="F2263" s="7" t="s">
        <v>326</v>
      </c>
      <c r="G2263" s="7">
        <v>177</v>
      </c>
      <c r="H2263" s="7" t="s">
        <v>883</v>
      </c>
      <c r="I2263" s="7" t="s">
        <v>878</v>
      </c>
      <c r="J2263" s="7" t="s">
        <v>882</v>
      </c>
      <c r="M2263" s="7"/>
      <c r="N2263" s="7" t="s">
        <v>875</v>
      </c>
      <c r="P2263" s="126"/>
    </row>
    <row r="2264" spans="1:16" ht="15.75" customHeight="1">
      <c r="A2264" s="126">
        <v>46230.015752314801</v>
      </c>
      <c r="B2264" s="7">
        <v>12</v>
      </c>
      <c r="C2264" s="7">
        <v>432</v>
      </c>
      <c r="E2264" s="7" t="s">
        <v>1169</v>
      </c>
      <c r="F2264" s="7" t="s">
        <v>326</v>
      </c>
      <c r="G2264" s="7">
        <v>176</v>
      </c>
      <c r="H2264" s="7" t="s">
        <v>884</v>
      </c>
      <c r="I2264" s="7" t="s">
        <v>878</v>
      </c>
      <c r="J2264" s="7" t="s">
        <v>882</v>
      </c>
      <c r="M2264" s="7">
        <v>100</v>
      </c>
      <c r="N2264" s="7">
        <v>100</v>
      </c>
      <c r="O2264" s="126">
        <v>46224.722511574102</v>
      </c>
      <c r="P2264" s="126">
        <v>46224.722511574102</v>
      </c>
    </row>
    <row r="2265" spans="1:16" ht="15.75" customHeight="1">
      <c r="A2265" s="126">
        <v>46230.015752314801</v>
      </c>
      <c r="B2265" s="7">
        <v>12</v>
      </c>
      <c r="C2265" s="7">
        <v>432</v>
      </c>
      <c r="E2265" s="7" t="s">
        <v>1169</v>
      </c>
      <c r="F2265" s="7" t="s">
        <v>326</v>
      </c>
      <c r="G2265" s="7">
        <v>168</v>
      </c>
      <c r="H2265" s="7" t="s">
        <v>885</v>
      </c>
      <c r="I2265" s="7" t="s">
        <v>886</v>
      </c>
      <c r="J2265" s="7"/>
      <c r="M2265" s="7">
        <v>100</v>
      </c>
      <c r="N2265" s="7">
        <v>100</v>
      </c>
      <c r="O2265" s="126"/>
      <c r="P2265" s="126">
        <v>46209.706979166702</v>
      </c>
    </row>
    <row r="2266" spans="1:16" ht="15.75" customHeight="1">
      <c r="A2266" s="126">
        <v>46230.015752314801</v>
      </c>
      <c r="B2266" s="7">
        <v>12</v>
      </c>
      <c r="C2266" s="7">
        <v>770</v>
      </c>
      <c r="E2266" s="7" t="s">
        <v>1170</v>
      </c>
      <c r="F2266" s="7" t="s">
        <v>202</v>
      </c>
      <c r="G2266" s="7">
        <v>181</v>
      </c>
      <c r="H2266" s="7" t="s">
        <v>873</v>
      </c>
      <c r="I2266" s="7" t="s">
        <v>874</v>
      </c>
      <c r="J2266" s="7"/>
      <c r="M2266" s="7"/>
      <c r="N2266" s="7" t="s">
        <v>875</v>
      </c>
      <c r="P2266" s="126"/>
    </row>
    <row r="2267" spans="1:16" ht="15.75" customHeight="1">
      <c r="A2267" s="126">
        <v>46230.015752314801</v>
      </c>
      <c r="B2267" s="7">
        <v>12</v>
      </c>
      <c r="C2267" s="7">
        <v>770</v>
      </c>
      <c r="E2267" s="7" t="s">
        <v>1170</v>
      </c>
      <c r="F2267" s="7" t="s">
        <v>202</v>
      </c>
      <c r="G2267" s="7">
        <v>182</v>
      </c>
      <c r="H2267" s="7" t="s">
        <v>876</v>
      </c>
      <c r="I2267" s="7" t="s">
        <v>874</v>
      </c>
      <c r="J2267" s="7"/>
      <c r="M2267" s="7"/>
      <c r="N2267" s="7" t="s">
        <v>875</v>
      </c>
      <c r="O2267" s="126"/>
      <c r="P2267" s="126"/>
    </row>
    <row r="2268" spans="1:16" ht="15.75" customHeight="1">
      <c r="A2268" s="126">
        <v>46230.015752314801</v>
      </c>
      <c r="B2268" s="7">
        <v>12</v>
      </c>
      <c r="C2268" s="7">
        <v>770</v>
      </c>
      <c r="E2268" s="7" t="s">
        <v>1170</v>
      </c>
      <c r="F2268" s="7" t="s">
        <v>202</v>
      </c>
      <c r="G2268" s="7">
        <v>174</v>
      </c>
      <c r="H2268" s="7" t="s">
        <v>877</v>
      </c>
      <c r="I2268" s="7" t="s">
        <v>878</v>
      </c>
      <c r="J2268" s="7" t="s">
        <v>879</v>
      </c>
      <c r="M2268" s="7">
        <v>100</v>
      </c>
      <c r="N2268" s="7">
        <v>100</v>
      </c>
      <c r="O2268" s="126"/>
      <c r="P2268" s="126">
        <v>46213.567060185203</v>
      </c>
    </row>
    <row r="2269" spans="1:16" ht="15.75" customHeight="1">
      <c r="A2269" s="126">
        <v>46230.015752314801</v>
      </c>
      <c r="B2269" s="7">
        <v>12</v>
      </c>
      <c r="C2269" s="7">
        <v>770</v>
      </c>
      <c r="E2269" s="7" t="s">
        <v>1170</v>
      </c>
      <c r="F2269" s="7" t="s">
        <v>202</v>
      </c>
      <c r="G2269" s="7">
        <v>180</v>
      </c>
      <c r="H2269" s="7" t="s">
        <v>880</v>
      </c>
      <c r="I2269" s="7" t="s">
        <v>874</v>
      </c>
      <c r="J2269" s="7"/>
      <c r="M2269" s="7"/>
      <c r="N2269" s="7" t="s">
        <v>875</v>
      </c>
      <c r="O2269" s="126"/>
      <c r="P2269" s="126"/>
    </row>
    <row r="2270" spans="1:16" ht="15.75" customHeight="1">
      <c r="A2270" s="126">
        <v>46230.015752314801</v>
      </c>
      <c r="B2270" s="7">
        <v>12</v>
      </c>
      <c r="C2270" s="7">
        <v>770</v>
      </c>
      <c r="E2270" s="7" t="s">
        <v>1170</v>
      </c>
      <c r="F2270" s="7" t="s">
        <v>202</v>
      </c>
      <c r="G2270" s="7">
        <v>175</v>
      </c>
      <c r="H2270" s="7" t="s">
        <v>881</v>
      </c>
      <c r="I2270" s="7" t="s">
        <v>878</v>
      </c>
      <c r="J2270" s="7" t="s">
        <v>882</v>
      </c>
      <c r="M2270" s="7">
        <v>100</v>
      </c>
      <c r="N2270" s="7">
        <v>100</v>
      </c>
      <c r="O2270" s="126">
        <v>46216.879513888904</v>
      </c>
      <c r="P2270" s="126">
        <v>46216.879513888904</v>
      </c>
    </row>
    <row r="2271" spans="1:16" ht="15.75" customHeight="1">
      <c r="A2271" s="126">
        <v>46230.015752314801</v>
      </c>
      <c r="B2271" s="7">
        <v>12</v>
      </c>
      <c r="C2271" s="7">
        <v>770</v>
      </c>
      <c r="E2271" s="7" t="s">
        <v>1170</v>
      </c>
      <c r="F2271" s="7" t="s">
        <v>202</v>
      </c>
      <c r="G2271" s="7">
        <v>177</v>
      </c>
      <c r="H2271" s="7" t="s">
        <v>883</v>
      </c>
      <c r="I2271" s="7" t="s">
        <v>878</v>
      </c>
      <c r="J2271" s="7" t="s">
        <v>882</v>
      </c>
      <c r="M2271" s="7"/>
      <c r="N2271" s="7" t="s">
        <v>875</v>
      </c>
      <c r="P2271" s="126"/>
    </row>
    <row r="2272" spans="1:16" ht="15.75" customHeight="1">
      <c r="A2272" s="126">
        <v>46230.015752314801</v>
      </c>
      <c r="B2272" s="7">
        <v>12</v>
      </c>
      <c r="C2272" s="7">
        <v>770</v>
      </c>
      <c r="E2272" s="7" t="s">
        <v>1170</v>
      </c>
      <c r="F2272" s="7" t="s">
        <v>202</v>
      </c>
      <c r="G2272" s="7">
        <v>176</v>
      </c>
      <c r="H2272" s="7" t="s">
        <v>884</v>
      </c>
      <c r="I2272" s="7" t="s">
        <v>878</v>
      </c>
      <c r="J2272" s="7" t="s">
        <v>882</v>
      </c>
      <c r="M2272" s="7">
        <v>100</v>
      </c>
      <c r="N2272" s="7">
        <v>100</v>
      </c>
      <c r="O2272" s="126">
        <v>46228.773865740703</v>
      </c>
      <c r="P2272" s="126">
        <v>46228.773865740703</v>
      </c>
    </row>
    <row r="2273" spans="1:16" ht="15.75" customHeight="1">
      <c r="A2273" s="126">
        <v>46230.015752314801</v>
      </c>
      <c r="B2273" s="7">
        <v>12</v>
      </c>
      <c r="C2273" s="7">
        <v>770</v>
      </c>
      <c r="E2273" s="7" t="s">
        <v>1170</v>
      </c>
      <c r="F2273" s="7" t="s">
        <v>202</v>
      </c>
      <c r="G2273" s="7">
        <v>168</v>
      </c>
      <c r="H2273" s="7" t="s">
        <v>885</v>
      </c>
      <c r="I2273" s="7" t="s">
        <v>886</v>
      </c>
      <c r="M2273" s="7">
        <v>100</v>
      </c>
      <c r="N2273" s="7">
        <v>100</v>
      </c>
      <c r="P2273" s="126">
        <v>46213.567060185203</v>
      </c>
    </row>
    <row r="2274" spans="1:16" ht="15.75" customHeight="1">
      <c r="A2274" s="126">
        <v>46230.015752314801</v>
      </c>
      <c r="B2274" s="7">
        <v>12</v>
      </c>
      <c r="C2274" s="7">
        <v>784</v>
      </c>
      <c r="D2274" s="7"/>
      <c r="E2274" s="7" t="s">
        <v>1171</v>
      </c>
      <c r="F2274" s="7" t="s">
        <v>6</v>
      </c>
      <c r="G2274" s="7">
        <v>181</v>
      </c>
      <c r="H2274" s="7" t="s">
        <v>873</v>
      </c>
      <c r="I2274" s="7" t="s">
        <v>874</v>
      </c>
      <c r="J2274" s="7"/>
      <c r="M2274" s="7"/>
      <c r="N2274" s="7" t="s">
        <v>875</v>
      </c>
      <c r="O2274" s="126"/>
      <c r="P2274" s="126"/>
    </row>
    <row r="2275" spans="1:16" ht="15.75" customHeight="1">
      <c r="A2275" s="126">
        <v>46230.015752314801</v>
      </c>
      <c r="B2275" s="7">
        <v>12</v>
      </c>
      <c r="C2275" s="7">
        <v>784</v>
      </c>
      <c r="D2275" s="7"/>
      <c r="E2275" s="7" t="s">
        <v>1171</v>
      </c>
      <c r="F2275" s="7" t="s">
        <v>6</v>
      </c>
      <c r="G2275" s="7">
        <v>182</v>
      </c>
      <c r="H2275" s="7" t="s">
        <v>876</v>
      </c>
      <c r="I2275" s="7" t="s">
        <v>874</v>
      </c>
      <c r="J2275" s="7"/>
      <c r="M2275" s="7"/>
      <c r="N2275" s="7" t="s">
        <v>875</v>
      </c>
      <c r="P2275" s="126"/>
    </row>
    <row r="2276" spans="1:16" ht="15.75" customHeight="1">
      <c r="A2276" s="126">
        <v>46230.015752314801</v>
      </c>
      <c r="B2276" s="7">
        <v>12</v>
      </c>
      <c r="C2276" s="7">
        <v>784</v>
      </c>
      <c r="D2276" s="7"/>
      <c r="E2276" s="7" t="s">
        <v>1171</v>
      </c>
      <c r="F2276" s="7" t="s">
        <v>6</v>
      </c>
      <c r="G2276" s="7">
        <v>174</v>
      </c>
      <c r="H2276" s="7" t="s">
        <v>877</v>
      </c>
      <c r="I2276" s="7" t="s">
        <v>878</v>
      </c>
      <c r="J2276" s="7" t="s">
        <v>879</v>
      </c>
      <c r="M2276" s="7">
        <v>100</v>
      </c>
      <c r="N2276" s="7">
        <v>100</v>
      </c>
      <c r="O2276" s="126"/>
      <c r="P2276" s="126">
        <v>46210.425381944398</v>
      </c>
    </row>
    <row r="2277" spans="1:16" ht="15.75" customHeight="1">
      <c r="A2277" s="126">
        <v>46230.015752314801</v>
      </c>
      <c r="B2277" s="7">
        <v>12</v>
      </c>
      <c r="C2277" s="7">
        <v>784</v>
      </c>
      <c r="D2277" s="7"/>
      <c r="E2277" s="7" t="s">
        <v>1171</v>
      </c>
      <c r="F2277" s="7" t="s">
        <v>6</v>
      </c>
      <c r="G2277" s="7">
        <v>180</v>
      </c>
      <c r="H2277" s="7" t="s">
        <v>880</v>
      </c>
      <c r="I2277" s="7" t="s">
        <v>874</v>
      </c>
      <c r="J2277" s="7"/>
      <c r="M2277" s="7"/>
      <c r="N2277" s="7" t="s">
        <v>875</v>
      </c>
      <c r="O2277" s="126"/>
      <c r="P2277" s="126"/>
    </row>
    <row r="2278" spans="1:16" ht="15.75" customHeight="1">
      <c r="A2278" s="126">
        <v>46230.015752314801</v>
      </c>
      <c r="B2278" s="7">
        <v>12</v>
      </c>
      <c r="C2278" s="7">
        <v>784</v>
      </c>
      <c r="D2278" s="7"/>
      <c r="E2278" s="7" t="s">
        <v>1171</v>
      </c>
      <c r="F2278" s="7" t="s">
        <v>6</v>
      </c>
      <c r="G2278" s="7">
        <v>175</v>
      </c>
      <c r="H2278" s="7" t="s">
        <v>881</v>
      </c>
      <c r="I2278" s="7" t="s">
        <v>878</v>
      </c>
      <c r="J2278" s="7" t="s">
        <v>882</v>
      </c>
      <c r="M2278" s="7">
        <v>100</v>
      </c>
      <c r="N2278" s="7">
        <v>100</v>
      </c>
      <c r="O2278" s="126">
        <v>46216.535995370403</v>
      </c>
      <c r="P2278" s="126">
        <v>46216.535995370403</v>
      </c>
    </row>
    <row r="2279" spans="1:16" ht="15.75" customHeight="1">
      <c r="A2279" s="126">
        <v>46230.015752314801</v>
      </c>
      <c r="B2279" s="7">
        <v>12</v>
      </c>
      <c r="C2279" s="7">
        <v>784</v>
      </c>
      <c r="D2279" s="7"/>
      <c r="E2279" s="7" t="s">
        <v>1171</v>
      </c>
      <c r="F2279" s="7" t="s">
        <v>6</v>
      </c>
      <c r="G2279" s="7">
        <v>177</v>
      </c>
      <c r="H2279" s="7" t="s">
        <v>883</v>
      </c>
      <c r="I2279" s="7" t="s">
        <v>878</v>
      </c>
      <c r="J2279" s="7" t="s">
        <v>882</v>
      </c>
      <c r="M2279" s="7"/>
      <c r="N2279" s="7" t="s">
        <v>875</v>
      </c>
      <c r="P2279" s="126"/>
    </row>
    <row r="2280" spans="1:16" ht="15.75" customHeight="1">
      <c r="A2280" s="126">
        <v>46230.015752314801</v>
      </c>
      <c r="B2280" s="7">
        <v>12</v>
      </c>
      <c r="C2280" s="7">
        <v>784</v>
      </c>
      <c r="D2280" s="7"/>
      <c r="E2280" s="7" t="s">
        <v>1171</v>
      </c>
      <c r="F2280" s="7" t="s">
        <v>6</v>
      </c>
      <c r="G2280" s="7">
        <v>176</v>
      </c>
      <c r="H2280" s="7" t="s">
        <v>884</v>
      </c>
      <c r="I2280" s="7" t="s">
        <v>878</v>
      </c>
      <c r="J2280" s="7" t="s">
        <v>882</v>
      </c>
      <c r="M2280" s="7">
        <v>100</v>
      </c>
      <c r="N2280" s="7">
        <v>100</v>
      </c>
      <c r="O2280" s="126">
        <v>46224.588877314804</v>
      </c>
      <c r="P2280" s="126">
        <v>46224.588877314804</v>
      </c>
    </row>
    <row r="2281" spans="1:16" ht="15.75" customHeight="1">
      <c r="A2281" s="126">
        <v>46230.015752314801</v>
      </c>
      <c r="B2281" s="7">
        <v>12</v>
      </c>
      <c r="C2281" s="7">
        <v>784</v>
      </c>
      <c r="D2281" s="7"/>
      <c r="E2281" s="7" t="s">
        <v>1171</v>
      </c>
      <c r="F2281" s="7" t="s">
        <v>6</v>
      </c>
      <c r="G2281" s="7">
        <v>168</v>
      </c>
      <c r="H2281" s="7" t="s">
        <v>885</v>
      </c>
      <c r="I2281" s="7" t="s">
        <v>886</v>
      </c>
      <c r="J2281" s="7"/>
      <c r="M2281" s="7">
        <v>100</v>
      </c>
      <c r="N2281" s="7">
        <v>100</v>
      </c>
      <c r="P2281" s="126">
        <v>46210.425381944398</v>
      </c>
    </row>
    <row r="2282" spans="1:16" ht="15.75" customHeight="1">
      <c r="A2282" s="126">
        <v>46230.015752314801</v>
      </c>
      <c r="B2282" s="7">
        <v>12</v>
      </c>
      <c r="C2282" s="7">
        <v>670</v>
      </c>
      <c r="D2282" s="7">
        <v>506941</v>
      </c>
      <c r="E2282" s="7" t="s">
        <v>1172</v>
      </c>
      <c r="F2282" s="7" t="s">
        <v>64</v>
      </c>
      <c r="G2282" s="7">
        <v>181</v>
      </c>
      <c r="H2282" s="7" t="s">
        <v>873</v>
      </c>
      <c r="I2282" s="7" t="s">
        <v>874</v>
      </c>
      <c r="M2282" s="7"/>
      <c r="N2282" s="7" t="s">
        <v>875</v>
      </c>
      <c r="P2282" s="126"/>
    </row>
    <row r="2283" spans="1:16" ht="15.75" customHeight="1">
      <c r="A2283" s="126">
        <v>46230.015752314801</v>
      </c>
      <c r="B2283" s="7">
        <v>12</v>
      </c>
      <c r="C2283" s="7">
        <v>670</v>
      </c>
      <c r="D2283" s="7">
        <v>506941</v>
      </c>
      <c r="E2283" s="7" t="s">
        <v>1172</v>
      </c>
      <c r="F2283" s="7" t="s">
        <v>64</v>
      </c>
      <c r="G2283" s="7">
        <v>182</v>
      </c>
      <c r="H2283" s="7" t="s">
        <v>876</v>
      </c>
      <c r="I2283" s="7" t="s">
        <v>874</v>
      </c>
      <c r="J2283" s="7"/>
      <c r="M2283" s="7"/>
      <c r="N2283" s="7" t="s">
        <v>875</v>
      </c>
      <c r="O2283" s="126"/>
      <c r="P2283" s="126"/>
    </row>
    <row r="2284" spans="1:16" ht="15.75" customHeight="1">
      <c r="A2284" s="126">
        <v>46230.015752314801</v>
      </c>
      <c r="B2284" s="7">
        <v>12</v>
      </c>
      <c r="C2284" s="7">
        <v>670</v>
      </c>
      <c r="D2284" s="7">
        <v>506941</v>
      </c>
      <c r="E2284" s="7" t="s">
        <v>1172</v>
      </c>
      <c r="F2284" s="7" t="s">
        <v>64</v>
      </c>
      <c r="G2284" s="7">
        <v>174</v>
      </c>
      <c r="H2284" s="7" t="s">
        <v>877</v>
      </c>
      <c r="I2284" s="7" t="s">
        <v>878</v>
      </c>
      <c r="J2284" s="7" t="s">
        <v>879</v>
      </c>
      <c r="M2284" s="7">
        <v>100</v>
      </c>
      <c r="N2284" s="7">
        <v>100</v>
      </c>
      <c r="P2284" s="126">
        <v>46209.658877314803</v>
      </c>
    </row>
    <row r="2285" spans="1:16" ht="15.75" customHeight="1">
      <c r="A2285" s="126">
        <v>46230.015752314801</v>
      </c>
      <c r="B2285" s="7">
        <v>12</v>
      </c>
      <c r="C2285" s="7">
        <v>670</v>
      </c>
      <c r="D2285" s="7">
        <v>506941</v>
      </c>
      <c r="E2285" s="7" t="s">
        <v>1172</v>
      </c>
      <c r="F2285" s="7" t="s">
        <v>64</v>
      </c>
      <c r="G2285" s="7">
        <v>180</v>
      </c>
      <c r="H2285" s="7" t="s">
        <v>880</v>
      </c>
      <c r="I2285" s="7" t="s">
        <v>874</v>
      </c>
      <c r="J2285" s="7"/>
      <c r="M2285" s="7"/>
      <c r="N2285" s="7" t="s">
        <v>875</v>
      </c>
      <c r="O2285" s="126"/>
      <c r="P2285" s="126"/>
    </row>
    <row r="2286" spans="1:16" ht="15.75" customHeight="1">
      <c r="A2286" s="126">
        <v>46230.015752314801</v>
      </c>
      <c r="B2286" s="7">
        <v>12</v>
      </c>
      <c r="C2286" s="7">
        <v>670</v>
      </c>
      <c r="D2286" s="7">
        <v>506941</v>
      </c>
      <c r="E2286" s="7" t="s">
        <v>1172</v>
      </c>
      <c r="F2286" s="7" t="s">
        <v>64</v>
      </c>
      <c r="G2286" s="7">
        <v>175</v>
      </c>
      <c r="H2286" s="7" t="s">
        <v>881</v>
      </c>
      <c r="I2286" s="7" t="s">
        <v>878</v>
      </c>
      <c r="J2286" s="7" t="s">
        <v>882</v>
      </c>
      <c r="M2286" s="7">
        <v>100</v>
      </c>
      <c r="N2286" s="7">
        <v>100</v>
      </c>
      <c r="O2286" s="126">
        <v>46215.571354166699</v>
      </c>
      <c r="P2286" s="126">
        <v>46215.571354166699</v>
      </c>
    </row>
    <row r="2287" spans="1:16" ht="15.75" customHeight="1">
      <c r="A2287" s="126">
        <v>46230.015752314801</v>
      </c>
      <c r="B2287" s="7">
        <v>12</v>
      </c>
      <c r="C2287" s="7">
        <v>670</v>
      </c>
      <c r="D2287" s="7">
        <v>506941</v>
      </c>
      <c r="E2287" s="7" t="s">
        <v>1172</v>
      </c>
      <c r="F2287" s="7" t="s">
        <v>64</v>
      </c>
      <c r="G2287" s="7">
        <v>177</v>
      </c>
      <c r="H2287" s="7" t="s">
        <v>883</v>
      </c>
      <c r="I2287" s="7" t="s">
        <v>878</v>
      </c>
      <c r="J2287" s="7" t="s">
        <v>882</v>
      </c>
      <c r="M2287" s="7"/>
      <c r="N2287" s="7" t="s">
        <v>875</v>
      </c>
      <c r="P2287" s="126"/>
    </row>
    <row r="2288" spans="1:16" ht="15.75" customHeight="1">
      <c r="A2288" s="126">
        <v>46230.015752314801</v>
      </c>
      <c r="B2288" s="7">
        <v>12</v>
      </c>
      <c r="C2288" s="7">
        <v>670</v>
      </c>
      <c r="D2288" s="7">
        <v>506941</v>
      </c>
      <c r="E2288" s="7" t="s">
        <v>1172</v>
      </c>
      <c r="F2288" s="7" t="s">
        <v>64</v>
      </c>
      <c r="G2288" s="7">
        <v>176</v>
      </c>
      <c r="H2288" s="7" t="s">
        <v>884</v>
      </c>
      <c r="I2288" s="7" t="s">
        <v>878</v>
      </c>
      <c r="J2288" s="7" t="s">
        <v>882</v>
      </c>
      <c r="M2288" s="7">
        <v>85</v>
      </c>
      <c r="N2288" s="7">
        <v>85</v>
      </c>
      <c r="O2288" s="126">
        <v>46226.754837963003</v>
      </c>
      <c r="P2288" s="126">
        <v>46226.754837963003</v>
      </c>
    </row>
    <row r="2289" spans="1:16" ht="15.75" customHeight="1">
      <c r="A2289" s="126">
        <v>46230.015752314801</v>
      </c>
      <c r="B2289" s="7">
        <v>12</v>
      </c>
      <c r="C2289" s="7">
        <v>670</v>
      </c>
      <c r="D2289" s="7">
        <v>506941</v>
      </c>
      <c r="E2289" s="7" t="s">
        <v>1172</v>
      </c>
      <c r="F2289" s="7" t="s">
        <v>64</v>
      </c>
      <c r="G2289" s="7">
        <v>168</v>
      </c>
      <c r="H2289" s="7" t="s">
        <v>885</v>
      </c>
      <c r="I2289" s="7" t="s">
        <v>886</v>
      </c>
      <c r="M2289" s="7">
        <v>100</v>
      </c>
      <c r="N2289" s="7">
        <v>100</v>
      </c>
      <c r="P2289" s="126">
        <v>46209.658877314803</v>
      </c>
    </row>
    <row r="2290" spans="1:16" ht="15.75" customHeight="1">
      <c r="A2290" s="126">
        <v>46230.015752314801</v>
      </c>
      <c r="B2290" s="7">
        <v>12</v>
      </c>
      <c r="C2290" s="7">
        <v>700</v>
      </c>
      <c r="E2290" s="7" t="s">
        <v>1173</v>
      </c>
      <c r="F2290" s="7" t="s">
        <v>353</v>
      </c>
      <c r="G2290" s="7">
        <v>181</v>
      </c>
      <c r="H2290" s="7" t="s">
        <v>873</v>
      </c>
      <c r="I2290" s="7" t="s">
        <v>874</v>
      </c>
      <c r="J2290" s="7"/>
      <c r="M2290" s="7"/>
      <c r="N2290" s="7" t="s">
        <v>875</v>
      </c>
      <c r="P2290" s="126"/>
    </row>
    <row r="2291" spans="1:16" ht="15.75" customHeight="1">
      <c r="A2291" s="126">
        <v>46230.015752314801</v>
      </c>
      <c r="B2291" s="7">
        <v>12</v>
      </c>
      <c r="C2291" s="7">
        <v>700</v>
      </c>
      <c r="E2291" s="7" t="s">
        <v>1173</v>
      </c>
      <c r="F2291" s="7" t="s">
        <v>353</v>
      </c>
      <c r="G2291" s="7">
        <v>182</v>
      </c>
      <c r="H2291" s="7" t="s">
        <v>876</v>
      </c>
      <c r="I2291" s="7" t="s">
        <v>874</v>
      </c>
      <c r="J2291" s="7"/>
      <c r="M2291" s="7"/>
      <c r="N2291" s="7" t="s">
        <v>875</v>
      </c>
      <c r="P2291" s="126"/>
    </row>
    <row r="2292" spans="1:16" ht="15.75" customHeight="1">
      <c r="A2292" s="126">
        <v>46230.015752314801</v>
      </c>
      <c r="B2292" s="7">
        <v>12</v>
      </c>
      <c r="C2292" s="7">
        <v>700</v>
      </c>
      <c r="E2292" s="7" t="s">
        <v>1173</v>
      </c>
      <c r="F2292" s="7" t="s">
        <v>353</v>
      </c>
      <c r="G2292" s="7">
        <v>174</v>
      </c>
      <c r="H2292" s="7" t="s">
        <v>877</v>
      </c>
      <c r="I2292" s="7" t="s">
        <v>878</v>
      </c>
      <c r="J2292" s="7" t="s">
        <v>879</v>
      </c>
      <c r="M2292" s="7">
        <v>100</v>
      </c>
      <c r="N2292" s="7">
        <v>100</v>
      </c>
      <c r="O2292" s="126"/>
      <c r="P2292" s="126">
        <v>46209.706944444399</v>
      </c>
    </row>
    <row r="2293" spans="1:16" ht="15.75" customHeight="1">
      <c r="A2293" s="126">
        <v>46230.015752314801</v>
      </c>
      <c r="B2293" s="7">
        <v>12</v>
      </c>
      <c r="C2293" s="7">
        <v>700</v>
      </c>
      <c r="E2293" s="7" t="s">
        <v>1173</v>
      </c>
      <c r="F2293" s="7" t="s">
        <v>353</v>
      </c>
      <c r="G2293" s="7">
        <v>180</v>
      </c>
      <c r="H2293" s="7" t="s">
        <v>880</v>
      </c>
      <c r="I2293" s="7" t="s">
        <v>874</v>
      </c>
      <c r="J2293" s="7"/>
      <c r="M2293" s="7"/>
      <c r="N2293" s="7" t="s">
        <v>875</v>
      </c>
      <c r="O2293" s="126"/>
      <c r="P2293" s="126"/>
    </row>
    <row r="2294" spans="1:16" ht="15.75" customHeight="1">
      <c r="A2294" s="126">
        <v>46230.015752314801</v>
      </c>
      <c r="B2294" s="7">
        <v>12</v>
      </c>
      <c r="C2294" s="7">
        <v>700</v>
      </c>
      <c r="E2294" s="7" t="s">
        <v>1173</v>
      </c>
      <c r="F2294" s="7" t="s">
        <v>353</v>
      </c>
      <c r="G2294" s="7">
        <v>175</v>
      </c>
      <c r="H2294" s="7" t="s">
        <v>881</v>
      </c>
      <c r="I2294" s="7" t="s">
        <v>878</v>
      </c>
      <c r="J2294" s="7" t="s">
        <v>882</v>
      </c>
      <c r="M2294" s="7">
        <v>100</v>
      </c>
      <c r="N2294" s="7">
        <v>100</v>
      </c>
      <c r="O2294" s="126">
        <v>46215.863159722197</v>
      </c>
      <c r="P2294" s="126">
        <v>46215.863159722197</v>
      </c>
    </row>
    <row r="2295" spans="1:16" ht="15.75" customHeight="1">
      <c r="A2295" s="126">
        <v>46230.015752314801</v>
      </c>
      <c r="B2295" s="7">
        <v>12</v>
      </c>
      <c r="C2295" s="7">
        <v>700</v>
      </c>
      <c r="E2295" s="7" t="s">
        <v>1173</v>
      </c>
      <c r="F2295" s="7" t="s">
        <v>353</v>
      </c>
      <c r="G2295" s="7">
        <v>177</v>
      </c>
      <c r="H2295" s="7" t="s">
        <v>883</v>
      </c>
      <c r="I2295" s="7" t="s">
        <v>878</v>
      </c>
      <c r="J2295" s="7" t="s">
        <v>882</v>
      </c>
      <c r="M2295" s="7"/>
      <c r="N2295" s="7" t="s">
        <v>875</v>
      </c>
      <c r="O2295" s="126"/>
      <c r="P2295" s="126"/>
    </row>
    <row r="2296" spans="1:16" ht="15.75" customHeight="1">
      <c r="A2296" s="126">
        <v>46230.015752314801</v>
      </c>
      <c r="B2296" s="7">
        <v>12</v>
      </c>
      <c r="C2296" s="7">
        <v>700</v>
      </c>
      <c r="E2296" s="7" t="s">
        <v>1173</v>
      </c>
      <c r="F2296" s="7" t="s">
        <v>353</v>
      </c>
      <c r="G2296" s="7">
        <v>176</v>
      </c>
      <c r="H2296" s="7" t="s">
        <v>884</v>
      </c>
      <c r="I2296" s="7" t="s">
        <v>878</v>
      </c>
      <c r="J2296" s="7" t="s">
        <v>882</v>
      </c>
      <c r="M2296" s="7">
        <v>100</v>
      </c>
      <c r="N2296" s="7">
        <v>100</v>
      </c>
      <c r="O2296" s="126">
        <v>46228.864976851903</v>
      </c>
      <c r="P2296" s="126">
        <v>46228.864976851903</v>
      </c>
    </row>
    <row r="2297" spans="1:16" ht="15.75" customHeight="1">
      <c r="A2297" s="126">
        <v>46230.015752314801</v>
      </c>
      <c r="B2297" s="7">
        <v>12</v>
      </c>
      <c r="C2297" s="7">
        <v>700</v>
      </c>
      <c r="E2297" s="7" t="s">
        <v>1173</v>
      </c>
      <c r="F2297" s="7" t="s">
        <v>353</v>
      </c>
      <c r="G2297" s="7">
        <v>168</v>
      </c>
      <c r="H2297" s="7" t="s">
        <v>885</v>
      </c>
      <c r="I2297" s="7" t="s">
        <v>886</v>
      </c>
      <c r="M2297" s="7">
        <v>100</v>
      </c>
      <c r="N2297" s="7">
        <v>100</v>
      </c>
      <c r="P2297" s="126">
        <v>46209.706944444399</v>
      </c>
    </row>
    <row r="2298" spans="1:16" ht="15.75" customHeight="1">
      <c r="A2298" s="126">
        <v>46230.015752314801</v>
      </c>
      <c r="B2298" s="7">
        <v>12</v>
      </c>
      <c r="C2298" s="7">
        <v>611</v>
      </c>
      <c r="E2298" s="7" t="s">
        <v>1174</v>
      </c>
      <c r="F2298" s="7" t="s">
        <v>163</v>
      </c>
      <c r="G2298" s="7">
        <v>181</v>
      </c>
      <c r="H2298" s="7" t="s">
        <v>873</v>
      </c>
      <c r="I2298" s="7" t="s">
        <v>874</v>
      </c>
      <c r="M2298" s="7"/>
      <c r="N2298" s="7" t="s">
        <v>875</v>
      </c>
      <c r="P2298" s="126"/>
    </row>
    <row r="2299" spans="1:16" ht="15.75" customHeight="1">
      <c r="A2299" s="126">
        <v>46230.015752314801</v>
      </c>
      <c r="B2299" s="7">
        <v>12</v>
      </c>
      <c r="C2299" s="7">
        <v>611</v>
      </c>
      <c r="E2299" s="7" t="s">
        <v>1174</v>
      </c>
      <c r="F2299" s="7" t="s">
        <v>163</v>
      </c>
      <c r="G2299" s="7">
        <v>182</v>
      </c>
      <c r="H2299" s="7" t="s">
        <v>876</v>
      </c>
      <c r="I2299" s="7" t="s">
        <v>874</v>
      </c>
      <c r="J2299" s="7"/>
      <c r="M2299" s="7"/>
      <c r="N2299" s="7" t="s">
        <v>875</v>
      </c>
      <c r="P2299" s="126"/>
    </row>
    <row r="2300" spans="1:16" ht="15.75" customHeight="1">
      <c r="A2300" s="126">
        <v>46230.015752314801</v>
      </c>
      <c r="B2300" s="7">
        <v>12</v>
      </c>
      <c r="C2300" s="7">
        <v>611</v>
      </c>
      <c r="E2300" s="7" t="s">
        <v>1174</v>
      </c>
      <c r="F2300" s="7" t="s">
        <v>163</v>
      </c>
      <c r="G2300" s="7">
        <v>174</v>
      </c>
      <c r="H2300" s="7" t="s">
        <v>877</v>
      </c>
      <c r="I2300" s="7" t="s">
        <v>878</v>
      </c>
      <c r="J2300" s="7" t="s">
        <v>879</v>
      </c>
      <c r="M2300" s="7">
        <v>100</v>
      </c>
      <c r="N2300" s="7">
        <v>100</v>
      </c>
      <c r="P2300" s="126">
        <v>46209.706956018497</v>
      </c>
    </row>
    <row r="2301" spans="1:16" ht="15.75" customHeight="1">
      <c r="A2301" s="126">
        <v>46230.015752314801</v>
      </c>
      <c r="B2301" s="7">
        <v>12</v>
      </c>
      <c r="C2301" s="7">
        <v>611</v>
      </c>
      <c r="E2301" s="7" t="s">
        <v>1174</v>
      </c>
      <c r="F2301" s="7" t="s">
        <v>163</v>
      </c>
      <c r="G2301" s="7">
        <v>180</v>
      </c>
      <c r="H2301" s="7" t="s">
        <v>880</v>
      </c>
      <c r="I2301" s="7" t="s">
        <v>874</v>
      </c>
      <c r="J2301" s="7"/>
      <c r="M2301" s="7"/>
      <c r="N2301" s="7" t="s">
        <v>875</v>
      </c>
      <c r="O2301" s="126"/>
      <c r="P2301" s="126"/>
    </row>
    <row r="2302" spans="1:16" ht="15.75" customHeight="1">
      <c r="A2302" s="126">
        <v>46230.015752314801</v>
      </c>
      <c r="B2302" s="7">
        <v>12</v>
      </c>
      <c r="C2302" s="7">
        <v>611</v>
      </c>
      <c r="E2302" s="7" t="s">
        <v>1174</v>
      </c>
      <c r="F2302" s="7" t="s">
        <v>163</v>
      </c>
      <c r="G2302" s="7">
        <v>175</v>
      </c>
      <c r="H2302" s="7" t="s">
        <v>881</v>
      </c>
      <c r="I2302" s="7" t="s">
        <v>878</v>
      </c>
      <c r="J2302" s="7" t="s">
        <v>882</v>
      </c>
      <c r="M2302" s="7">
        <v>75</v>
      </c>
      <c r="N2302" s="7">
        <v>75</v>
      </c>
      <c r="O2302" s="126">
        <v>46216.369837963</v>
      </c>
      <c r="P2302" s="126">
        <v>46216.369837963</v>
      </c>
    </row>
    <row r="2303" spans="1:16" ht="15.75" customHeight="1">
      <c r="A2303" s="126">
        <v>46230.015752314801</v>
      </c>
      <c r="B2303" s="7">
        <v>12</v>
      </c>
      <c r="C2303" s="7">
        <v>611</v>
      </c>
      <c r="E2303" s="7" t="s">
        <v>1174</v>
      </c>
      <c r="F2303" s="7" t="s">
        <v>163</v>
      </c>
      <c r="G2303" s="7">
        <v>177</v>
      </c>
      <c r="H2303" s="7" t="s">
        <v>883</v>
      </c>
      <c r="I2303" s="7" t="s">
        <v>878</v>
      </c>
      <c r="J2303" s="7" t="s">
        <v>882</v>
      </c>
      <c r="M2303" s="7"/>
      <c r="N2303" s="7" t="s">
        <v>875</v>
      </c>
      <c r="O2303" s="126"/>
      <c r="P2303" s="126"/>
    </row>
    <row r="2304" spans="1:16" ht="15.75" customHeight="1">
      <c r="A2304" s="126">
        <v>46230.015752314801</v>
      </c>
      <c r="B2304" s="7">
        <v>12</v>
      </c>
      <c r="C2304" s="7">
        <v>611</v>
      </c>
      <c r="E2304" s="7" t="s">
        <v>1174</v>
      </c>
      <c r="F2304" s="7" t="s">
        <v>163</v>
      </c>
      <c r="G2304" s="7">
        <v>176</v>
      </c>
      <c r="H2304" s="7" t="s">
        <v>884</v>
      </c>
      <c r="I2304" s="7" t="s">
        <v>878</v>
      </c>
      <c r="J2304" s="7" t="s">
        <v>882</v>
      </c>
      <c r="M2304" s="7">
        <v>100</v>
      </c>
      <c r="N2304" s="7">
        <v>100</v>
      </c>
      <c r="O2304" s="126">
        <v>46225.403634259303</v>
      </c>
      <c r="P2304" s="126">
        <v>46225.403634259303</v>
      </c>
    </row>
    <row r="2305" spans="1:16" ht="15.75" customHeight="1">
      <c r="A2305" s="126">
        <v>46230.015752314801</v>
      </c>
      <c r="B2305" s="7">
        <v>12</v>
      </c>
      <c r="C2305" s="7">
        <v>611</v>
      </c>
      <c r="E2305" s="7" t="s">
        <v>1174</v>
      </c>
      <c r="F2305" s="7" t="s">
        <v>163</v>
      </c>
      <c r="G2305" s="7">
        <v>168</v>
      </c>
      <c r="H2305" s="7" t="s">
        <v>885</v>
      </c>
      <c r="I2305" s="7" t="s">
        <v>886</v>
      </c>
      <c r="M2305" s="7">
        <v>100</v>
      </c>
      <c r="N2305" s="7">
        <v>100</v>
      </c>
      <c r="P2305" s="126">
        <v>46209.706956018497</v>
      </c>
    </row>
    <row r="2306" spans="1:16" ht="15.75" customHeight="1">
      <c r="A2306" s="126">
        <v>46230.015752314801</v>
      </c>
      <c r="B2306" s="7">
        <v>12</v>
      </c>
      <c r="C2306" s="7">
        <v>750</v>
      </c>
      <c r="E2306" s="7" t="s">
        <v>1175</v>
      </c>
      <c r="F2306" s="7" t="s">
        <v>758</v>
      </c>
      <c r="G2306" s="7">
        <v>181</v>
      </c>
      <c r="H2306" s="7" t="s">
        <v>873</v>
      </c>
      <c r="I2306" s="7" t="s">
        <v>874</v>
      </c>
      <c r="M2306" s="7"/>
      <c r="N2306" s="7" t="s">
        <v>875</v>
      </c>
      <c r="P2306" s="126"/>
    </row>
    <row r="2307" spans="1:16" ht="15.75" customHeight="1">
      <c r="A2307" s="126">
        <v>46230.015752314801</v>
      </c>
      <c r="B2307" s="7">
        <v>12</v>
      </c>
      <c r="C2307" s="7">
        <v>750</v>
      </c>
      <c r="E2307" s="7" t="s">
        <v>1175</v>
      </c>
      <c r="F2307" s="7" t="s">
        <v>758</v>
      </c>
      <c r="G2307" s="7">
        <v>182</v>
      </c>
      <c r="H2307" s="7" t="s">
        <v>876</v>
      </c>
      <c r="I2307" s="7" t="s">
        <v>874</v>
      </c>
      <c r="J2307" s="7"/>
      <c r="M2307" s="7"/>
      <c r="N2307" s="7" t="s">
        <v>875</v>
      </c>
      <c r="P2307" s="126"/>
    </row>
    <row r="2308" spans="1:16" ht="15.75" customHeight="1">
      <c r="A2308" s="126">
        <v>46230.015752314801</v>
      </c>
      <c r="B2308" s="7">
        <v>12</v>
      </c>
      <c r="C2308" s="7">
        <v>750</v>
      </c>
      <c r="E2308" s="7" t="s">
        <v>1175</v>
      </c>
      <c r="F2308" s="7" t="s">
        <v>758</v>
      </c>
      <c r="G2308" s="7">
        <v>174</v>
      </c>
      <c r="H2308" s="7" t="s">
        <v>877</v>
      </c>
      <c r="I2308" s="7" t="s">
        <v>878</v>
      </c>
      <c r="J2308" s="7" t="s">
        <v>879</v>
      </c>
      <c r="M2308" s="7">
        <v>100</v>
      </c>
      <c r="N2308" s="7">
        <v>100</v>
      </c>
      <c r="P2308" s="126">
        <v>46209.706956018497</v>
      </c>
    </row>
    <row r="2309" spans="1:16" ht="15.75" customHeight="1">
      <c r="A2309" s="126">
        <v>46230.015752314801</v>
      </c>
      <c r="B2309" s="7">
        <v>12</v>
      </c>
      <c r="C2309" s="7">
        <v>750</v>
      </c>
      <c r="E2309" s="7" t="s">
        <v>1175</v>
      </c>
      <c r="F2309" s="7" t="s">
        <v>758</v>
      </c>
      <c r="G2309" s="7">
        <v>180</v>
      </c>
      <c r="H2309" s="7" t="s">
        <v>880</v>
      </c>
      <c r="I2309" s="7" t="s">
        <v>874</v>
      </c>
      <c r="J2309" s="7"/>
      <c r="M2309" s="7"/>
      <c r="N2309" s="7" t="s">
        <v>875</v>
      </c>
      <c r="P2309" s="126"/>
    </row>
    <row r="2310" spans="1:16" ht="15.75" customHeight="1">
      <c r="A2310" s="126">
        <v>46230.015752314801</v>
      </c>
      <c r="B2310" s="7">
        <v>12</v>
      </c>
      <c r="C2310" s="7">
        <v>750</v>
      </c>
      <c r="E2310" s="7" t="s">
        <v>1175</v>
      </c>
      <c r="F2310" s="7" t="s">
        <v>758</v>
      </c>
      <c r="G2310" s="7">
        <v>175</v>
      </c>
      <c r="H2310" s="7" t="s">
        <v>881</v>
      </c>
      <c r="I2310" s="7" t="s">
        <v>878</v>
      </c>
      <c r="J2310" s="7" t="s">
        <v>882</v>
      </c>
      <c r="M2310" s="7">
        <v>100</v>
      </c>
      <c r="N2310" s="7">
        <v>100</v>
      </c>
      <c r="O2310" s="126">
        <v>46226.7166319444</v>
      </c>
      <c r="P2310" s="126">
        <v>46226.7166319444</v>
      </c>
    </row>
    <row r="2311" spans="1:16" ht="15.75" customHeight="1">
      <c r="A2311" s="126">
        <v>46230.015752314801</v>
      </c>
      <c r="B2311" s="7">
        <v>12</v>
      </c>
      <c r="C2311" s="7">
        <v>750</v>
      </c>
      <c r="E2311" s="7" t="s">
        <v>1175</v>
      </c>
      <c r="F2311" s="7" t="s">
        <v>758</v>
      </c>
      <c r="G2311" s="7">
        <v>177</v>
      </c>
      <c r="H2311" s="7" t="s">
        <v>883</v>
      </c>
      <c r="I2311" s="7" t="s">
        <v>878</v>
      </c>
      <c r="J2311" s="7" t="s">
        <v>882</v>
      </c>
      <c r="M2311" s="7"/>
      <c r="N2311" s="7" t="s">
        <v>875</v>
      </c>
      <c r="P2311" s="126"/>
    </row>
    <row r="2312" spans="1:16" ht="15.75" customHeight="1">
      <c r="A2312" s="126">
        <v>46230.015752314801</v>
      </c>
      <c r="B2312" s="7">
        <v>12</v>
      </c>
      <c r="C2312" s="7">
        <v>750</v>
      </c>
      <c r="E2312" s="7" t="s">
        <v>1175</v>
      </c>
      <c r="F2312" s="7" t="s">
        <v>758</v>
      </c>
      <c r="G2312" s="7">
        <v>176</v>
      </c>
      <c r="H2312" s="7" t="s">
        <v>884</v>
      </c>
      <c r="I2312" s="7" t="s">
        <v>878</v>
      </c>
      <c r="J2312" s="7" t="s">
        <v>882</v>
      </c>
      <c r="M2312" s="7">
        <v>100</v>
      </c>
      <c r="N2312" s="7">
        <v>100</v>
      </c>
      <c r="O2312" s="126">
        <v>46224.797349537002</v>
      </c>
      <c r="P2312" s="126">
        <v>46224.797349537002</v>
      </c>
    </row>
    <row r="2313" spans="1:16" ht="15.75" customHeight="1">
      <c r="A2313" s="126">
        <v>46230.015752314801</v>
      </c>
      <c r="B2313" s="7">
        <v>12</v>
      </c>
      <c r="C2313" s="7">
        <v>750</v>
      </c>
      <c r="E2313" s="7" t="s">
        <v>1175</v>
      </c>
      <c r="F2313" s="7" t="s">
        <v>758</v>
      </c>
      <c r="G2313" s="7">
        <v>168</v>
      </c>
      <c r="H2313" s="7" t="s">
        <v>885</v>
      </c>
      <c r="I2313" s="7" t="s">
        <v>886</v>
      </c>
      <c r="J2313" s="7"/>
      <c r="M2313" s="7">
        <v>100</v>
      </c>
      <c r="N2313" s="7">
        <v>100</v>
      </c>
      <c r="O2313" s="126"/>
      <c r="P2313" s="126">
        <v>46209.706956018497</v>
      </c>
    </row>
    <row r="2314" spans="1:16" ht="15.75" customHeight="1">
      <c r="A2314" s="126">
        <v>46230.015752314801</v>
      </c>
      <c r="B2314" s="7">
        <v>12</v>
      </c>
      <c r="C2314" s="7">
        <v>375</v>
      </c>
      <c r="E2314" s="7" t="s">
        <v>1176</v>
      </c>
      <c r="F2314" s="7" t="s">
        <v>563</v>
      </c>
      <c r="G2314" s="7">
        <v>181</v>
      </c>
      <c r="H2314" s="7" t="s">
        <v>873</v>
      </c>
      <c r="I2314" s="7" t="s">
        <v>874</v>
      </c>
      <c r="M2314" s="7"/>
      <c r="N2314" s="7" t="s">
        <v>875</v>
      </c>
      <c r="P2314" s="126"/>
    </row>
    <row r="2315" spans="1:16" ht="15.75" customHeight="1">
      <c r="A2315" s="126">
        <v>46230.015752314801</v>
      </c>
      <c r="B2315" s="7">
        <v>12</v>
      </c>
      <c r="C2315" s="7">
        <v>375</v>
      </c>
      <c r="E2315" s="7" t="s">
        <v>1176</v>
      </c>
      <c r="F2315" s="7" t="s">
        <v>563</v>
      </c>
      <c r="G2315" s="7">
        <v>182</v>
      </c>
      <c r="H2315" s="7" t="s">
        <v>876</v>
      </c>
      <c r="I2315" s="7" t="s">
        <v>874</v>
      </c>
      <c r="J2315" s="7"/>
      <c r="M2315" s="7"/>
      <c r="N2315" s="7" t="s">
        <v>875</v>
      </c>
      <c r="P2315" s="126"/>
    </row>
    <row r="2316" spans="1:16" ht="15.75" customHeight="1">
      <c r="A2316" s="126">
        <v>46230.015752314801</v>
      </c>
      <c r="B2316" s="7">
        <v>12</v>
      </c>
      <c r="C2316" s="7">
        <v>375</v>
      </c>
      <c r="E2316" s="7" t="s">
        <v>1176</v>
      </c>
      <c r="F2316" s="7" t="s">
        <v>563</v>
      </c>
      <c r="G2316" s="7">
        <v>174</v>
      </c>
      <c r="H2316" s="7" t="s">
        <v>877</v>
      </c>
      <c r="I2316" s="7" t="s">
        <v>878</v>
      </c>
      <c r="J2316" s="7" t="s">
        <v>879</v>
      </c>
      <c r="M2316" s="7">
        <v>100</v>
      </c>
      <c r="N2316" s="7">
        <v>100</v>
      </c>
      <c r="P2316" s="126">
        <v>46212.525381944397</v>
      </c>
    </row>
    <row r="2317" spans="1:16" ht="15.75" customHeight="1">
      <c r="A2317" s="126">
        <v>46230.015752314801</v>
      </c>
      <c r="B2317" s="7">
        <v>12</v>
      </c>
      <c r="C2317" s="7">
        <v>375</v>
      </c>
      <c r="E2317" s="7" t="s">
        <v>1176</v>
      </c>
      <c r="F2317" s="7" t="s">
        <v>563</v>
      </c>
      <c r="G2317" s="7">
        <v>180</v>
      </c>
      <c r="H2317" s="7" t="s">
        <v>880</v>
      </c>
      <c r="I2317" s="7" t="s">
        <v>874</v>
      </c>
      <c r="J2317" s="7"/>
      <c r="M2317" s="7"/>
      <c r="N2317" s="7" t="s">
        <v>875</v>
      </c>
      <c r="O2317" s="126"/>
      <c r="P2317" s="126"/>
    </row>
    <row r="2318" spans="1:16" ht="15.75" customHeight="1">
      <c r="A2318" s="126">
        <v>46230.015752314801</v>
      </c>
      <c r="B2318" s="7">
        <v>12</v>
      </c>
      <c r="C2318" s="7">
        <v>375</v>
      </c>
      <c r="E2318" s="7" t="s">
        <v>1176</v>
      </c>
      <c r="F2318" s="7" t="s">
        <v>563</v>
      </c>
      <c r="G2318" s="7">
        <v>175</v>
      </c>
      <c r="H2318" s="7" t="s">
        <v>881</v>
      </c>
      <c r="I2318" s="7" t="s">
        <v>878</v>
      </c>
      <c r="J2318" s="7" t="s">
        <v>882</v>
      </c>
      <c r="M2318" s="7">
        <v>100</v>
      </c>
      <c r="N2318" s="7">
        <v>100</v>
      </c>
      <c r="O2318" s="126">
        <v>46228.361250000002</v>
      </c>
      <c r="P2318" s="126">
        <v>46228.361250000002</v>
      </c>
    </row>
    <row r="2319" spans="1:16" ht="15.75" customHeight="1">
      <c r="A2319" s="126">
        <v>46230.015752314801</v>
      </c>
      <c r="B2319" s="7">
        <v>12</v>
      </c>
      <c r="C2319" s="7">
        <v>375</v>
      </c>
      <c r="E2319" s="7" t="s">
        <v>1176</v>
      </c>
      <c r="F2319" s="7" t="s">
        <v>563</v>
      </c>
      <c r="G2319" s="7">
        <v>177</v>
      </c>
      <c r="H2319" s="7" t="s">
        <v>883</v>
      </c>
      <c r="I2319" s="7" t="s">
        <v>878</v>
      </c>
      <c r="J2319" s="7" t="s">
        <v>882</v>
      </c>
      <c r="M2319" s="7"/>
      <c r="N2319" s="7" t="s">
        <v>875</v>
      </c>
      <c r="O2319" s="126"/>
      <c r="P2319" s="126"/>
    </row>
    <row r="2320" spans="1:16" ht="15.75" customHeight="1">
      <c r="A2320" s="126">
        <v>46230.015752314801</v>
      </c>
      <c r="B2320" s="7">
        <v>12</v>
      </c>
      <c r="C2320" s="7">
        <v>375</v>
      </c>
      <c r="E2320" s="7" t="s">
        <v>1176</v>
      </c>
      <c r="F2320" s="7" t="s">
        <v>563</v>
      </c>
      <c r="G2320" s="7">
        <v>176</v>
      </c>
      <c r="H2320" s="7" t="s">
        <v>884</v>
      </c>
      <c r="I2320" s="7" t="s">
        <v>878</v>
      </c>
      <c r="J2320" s="7" t="s">
        <v>882</v>
      </c>
      <c r="M2320" s="7">
        <v>100</v>
      </c>
      <c r="N2320" s="7">
        <v>100</v>
      </c>
      <c r="O2320" s="126">
        <v>46228.364421296297</v>
      </c>
      <c r="P2320" s="126">
        <v>46228.364421296297</v>
      </c>
    </row>
    <row r="2321" spans="1:16" ht="15.75" customHeight="1">
      <c r="A2321" s="126">
        <v>46230.015752314801</v>
      </c>
      <c r="B2321" s="7">
        <v>12</v>
      </c>
      <c r="C2321" s="7">
        <v>375</v>
      </c>
      <c r="E2321" s="7" t="s">
        <v>1176</v>
      </c>
      <c r="F2321" s="7" t="s">
        <v>563</v>
      </c>
      <c r="G2321" s="7">
        <v>168</v>
      </c>
      <c r="H2321" s="7" t="s">
        <v>885</v>
      </c>
      <c r="I2321" s="7" t="s">
        <v>886</v>
      </c>
      <c r="J2321" s="7"/>
      <c r="M2321" s="7">
        <v>100</v>
      </c>
      <c r="N2321" s="7">
        <v>100</v>
      </c>
      <c r="O2321" s="126"/>
      <c r="P2321" s="126">
        <v>46212.525381944397</v>
      </c>
    </row>
    <row r="2322" spans="1:16" ht="15.75" customHeight="1">
      <c r="A2322" s="126">
        <v>46230.015752314801</v>
      </c>
      <c r="B2322" s="7">
        <v>12</v>
      </c>
      <c r="C2322" s="7">
        <v>705</v>
      </c>
      <c r="E2322" s="7" t="s">
        <v>1177</v>
      </c>
      <c r="F2322" s="7" t="s">
        <v>264</v>
      </c>
      <c r="G2322" s="7">
        <v>181</v>
      </c>
      <c r="H2322" s="7" t="s">
        <v>873</v>
      </c>
      <c r="I2322" s="7" t="s">
        <v>874</v>
      </c>
      <c r="J2322" s="7"/>
      <c r="M2322" s="7"/>
      <c r="N2322" s="7" t="s">
        <v>875</v>
      </c>
      <c r="O2322" s="126"/>
      <c r="P2322" s="126"/>
    </row>
    <row r="2323" spans="1:16" ht="15.75" customHeight="1">
      <c r="A2323" s="126">
        <v>46230.015752314801</v>
      </c>
      <c r="B2323" s="7">
        <v>12</v>
      </c>
      <c r="C2323" s="7">
        <v>705</v>
      </c>
      <c r="E2323" s="7" t="s">
        <v>1177</v>
      </c>
      <c r="F2323" s="7" t="s">
        <v>264</v>
      </c>
      <c r="G2323" s="7">
        <v>182</v>
      </c>
      <c r="H2323" s="7" t="s">
        <v>876</v>
      </c>
      <c r="I2323" s="7" t="s">
        <v>874</v>
      </c>
      <c r="J2323" s="7"/>
      <c r="M2323" s="7"/>
      <c r="N2323" s="7" t="s">
        <v>875</v>
      </c>
      <c r="P2323" s="126"/>
    </row>
    <row r="2324" spans="1:16" ht="15.75" customHeight="1">
      <c r="A2324" s="126">
        <v>46230.015752314801</v>
      </c>
      <c r="B2324" s="7">
        <v>12</v>
      </c>
      <c r="C2324" s="7">
        <v>705</v>
      </c>
      <c r="E2324" s="7" t="s">
        <v>1177</v>
      </c>
      <c r="F2324" s="7" t="s">
        <v>264</v>
      </c>
      <c r="G2324" s="7">
        <v>174</v>
      </c>
      <c r="H2324" s="7" t="s">
        <v>877</v>
      </c>
      <c r="I2324" s="7" t="s">
        <v>878</v>
      </c>
      <c r="J2324" s="7" t="s">
        <v>879</v>
      </c>
      <c r="M2324" s="7">
        <v>100</v>
      </c>
      <c r="N2324" s="7">
        <v>100</v>
      </c>
      <c r="P2324" s="126">
        <v>46209.706956018497</v>
      </c>
    </row>
    <row r="2325" spans="1:16" ht="15.75" customHeight="1">
      <c r="A2325" s="126">
        <v>46230.015752314801</v>
      </c>
      <c r="B2325" s="7">
        <v>12</v>
      </c>
      <c r="C2325" s="7">
        <v>705</v>
      </c>
      <c r="E2325" s="7" t="s">
        <v>1177</v>
      </c>
      <c r="F2325" s="7" t="s">
        <v>264</v>
      </c>
      <c r="G2325" s="7">
        <v>180</v>
      </c>
      <c r="H2325" s="7" t="s">
        <v>880</v>
      </c>
      <c r="I2325" s="7" t="s">
        <v>874</v>
      </c>
      <c r="J2325" s="7"/>
      <c r="M2325" s="7"/>
      <c r="N2325" s="7" t="s">
        <v>875</v>
      </c>
      <c r="O2325" s="126"/>
      <c r="P2325" s="126"/>
    </row>
    <row r="2326" spans="1:16" ht="15.75" customHeight="1">
      <c r="A2326" s="126">
        <v>46230.015752314801</v>
      </c>
      <c r="B2326" s="7">
        <v>12</v>
      </c>
      <c r="C2326" s="7">
        <v>705</v>
      </c>
      <c r="E2326" s="7" t="s">
        <v>1177</v>
      </c>
      <c r="F2326" s="7" t="s">
        <v>264</v>
      </c>
      <c r="G2326" s="7">
        <v>175</v>
      </c>
      <c r="H2326" s="7" t="s">
        <v>881</v>
      </c>
      <c r="I2326" s="7" t="s">
        <v>878</v>
      </c>
      <c r="J2326" s="7" t="s">
        <v>882</v>
      </c>
      <c r="M2326" s="7">
        <v>75</v>
      </c>
      <c r="N2326" s="7">
        <v>75</v>
      </c>
      <c r="O2326" s="126">
        <v>46216.5695486111</v>
      </c>
      <c r="P2326" s="126">
        <v>46216.5695486111</v>
      </c>
    </row>
    <row r="2327" spans="1:16" ht="15.75" customHeight="1">
      <c r="A2327" s="126">
        <v>46230.015752314801</v>
      </c>
      <c r="B2327" s="7">
        <v>12</v>
      </c>
      <c r="C2327" s="7">
        <v>705</v>
      </c>
      <c r="E2327" s="7" t="s">
        <v>1177</v>
      </c>
      <c r="F2327" s="7" t="s">
        <v>264</v>
      </c>
      <c r="G2327" s="7">
        <v>177</v>
      </c>
      <c r="H2327" s="7" t="s">
        <v>883</v>
      </c>
      <c r="I2327" s="7" t="s">
        <v>878</v>
      </c>
      <c r="J2327" s="7" t="s">
        <v>882</v>
      </c>
      <c r="M2327" s="7"/>
      <c r="N2327" s="7" t="s">
        <v>875</v>
      </c>
      <c r="P2327" s="126"/>
    </row>
    <row r="2328" spans="1:16" ht="15.75" customHeight="1">
      <c r="A2328" s="126">
        <v>46230.015752314801</v>
      </c>
      <c r="B2328" s="7">
        <v>12</v>
      </c>
      <c r="C2328" s="7">
        <v>705</v>
      </c>
      <c r="E2328" s="7" t="s">
        <v>1177</v>
      </c>
      <c r="F2328" s="7" t="s">
        <v>264</v>
      </c>
      <c r="G2328" s="7">
        <v>176</v>
      </c>
      <c r="H2328" s="7" t="s">
        <v>884</v>
      </c>
      <c r="I2328" s="7" t="s">
        <v>878</v>
      </c>
      <c r="J2328" s="7" t="s">
        <v>882</v>
      </c>
      <c r="M2328" s="7">
        <v>100</v>
      </c>
      <c r="N2328" s="7">
        <v>100</v>
      </c>
      <c r="O2328" s="126">
        <v>46224.858078703699</v>
      </c>
      <c r="P2328" s="126">
        <v>46224.858078703699</v>
      </c>
    </row>
    <row r="2329" spans="1:16" ht="15.75" customHeight="1">
      <c r="A2329" s="126">
        <v>46230.015752314801</v>
      </c>
      <c r="B2329" s="7">
        <v>12</v>
      </c>
      <c r="C2329" s="7">
        <v>705</v>
      </c>
      <c r="E2329" s="7" t="s">
        <v>1177</v>
      </c>
      <c r="F2329" s="7" t="s">
        <v>264</v>
      </c>
      <c r="G2329" s="7">
        <v>168</v>
      </c>
      <c r="H2329" s="7" t="s">
        <v>885</v>
      </c>
      <c r="I2329" s="7" t="s">
        <v>886</v>
      </c>
      <c r="J2329" s="7"/>
      <c r="M2329" s="7">
        <v>100</v>
      </c>
      <c r="N2329" s="7">
        <v>100</v>
      </c>
      <c r="P2329" s="126">
        <v>46209.706956018497</v>
      </c>
    </row>
    <row r="2330" spans="1:16" ht="15.75" customHeight="1">
      <c r="A2330" s="126">
        <v>46230.015752314801</v>
      </c>
      <c r="B2330" s="7">
        <v>12</v>
      </c>
      <c r="C2330" s="7">
        <v>653</v>
      </c>
      <c r="E2330" s="7" t="s">
        <v>1178</v>
      </c>
      <c r="F2330" s="7" t="s">
        <v>597</v>
      </c>
      <c r="G2330" s="7">
        <v>181</v>
      </c>
      <c r="H2330" s="7" t="s">
        <v>873</v>
      </c>
      <c r="I2330" s="7" t="s">
        <v>874</v>
      </c>
      <c r="J2330" s="7"/>
      <c r="M2330" s="7"/>
      <c r="N2330" s="7" t="s">
        <v>875</v>
      </c>
      <c r="O2330" s="126"/>
      <c r="P2330" s="126"/>
    </row>
    <row r="2331" spans="1:16" ht="15.75" customHeight="1">
      <c r="A2331" s="126">
        <v>46230.015752314801</v>
      </c>
      <c r="B2331" s="7">
        <v>12</v>
      </c>
      <c r="C2331" s="7">
        <v>653</v>
      </c>
      <c r="E2331" s="7" t="s">
        <v>1178</v>
      </c>
      <c r="F2331" s="7" t="s">
        <v>597</v>
      </c>
      <c r="G2331" s="7">
        <v>182</v>
      </c>
      <c r="H2331" s="7" t="s">
        <v>876</v>
      </c>
      <c r="I2331" s="7" t="s">
        <v>874</v>
      </c>
      <c r="J2331" s="7"/>
      <c r="M2331" s="7"/>
      <c r="N2331" s="7" t="s">
        <v>875</v>
      </c>
      <c r="O2331" s="126"/>
      <c r="P2331" s="126"/>
    </row>
    <row r="2332" spans="1:16" ht="15.75" customHeight="1">
      <c r="A2332" s="126">
        <v>46230.015752314801</v>
      </c>
      <c r="B2332" s="7">
        <v>12</v>
      </c>
      <c r="C2332" s="7">
        <v>653</v>
      </c>
      <c r="E2332" s="7" t="s">
        <v>1178</v>
      </c>
      <c r="F2332" s="7" t="s">
        <v>597</v>
      </c>
      <c r="G2332" s="7">
        <v>174</v>
      </c>
      <c r="H2332" s="7" t="s">
        <v>877</v>
      </c>
      <c r="I2332" s="7" t="s">
        <v>878</v>
      </c>
      <c r="J2332" s="7" t="s">
        <v>879</v>
      </c>
      <c r="M2332" s="7">
        <v>100</v>
      </c>
      <c r="N2332" s="7">
        <v>100</v>
      </c>
      <c r="P2332" s="126">
        <v>46209.706967592603</v>
      </c>
    </row>
    <row r="2333" spans="1:16" ht="15.75" customHeight="1">
      <c r="A2333" s="126">
        <v>46230.015752314801</v>
      </c>
      <c r="B2333" s="7">
        <v>12</v>
      </c>
      <c r="C2333" s="7">
        <v>653</v>
      </c>
      <c r="E2333" s="7" t="s">
        <v>1178</v>
      </c>
      <c r="F2333" s="7" t="s">
        <v>597</v>
      </c>
      <c r="G2333" s="7">
        <v>180</v>
      </c>
      <c r="H2333" s="7" t="s">
        <v>880</v>
      </c>
      <c r="I2333" s="7" t="s">
        <v>874</v>
      </c>
      <c r="J2333" s="7"/>
      <c r="M2333" s="7"/>
      <c r="N2333" s="7" t="s">
        <v>875</v>
      </c>
      <c r="O2333" s="126"/>
      <c r="P2333" s="126"/>
    </row>
    <row r="2334" spans="1:16" ht="15.75" customHeight="1">
      <c r="A2334" s="126">
        <v>46230.015752314801</v>
      </c>
      <c r="B2334" s="7">
        <v>12</v>
      </c>
      <c r="C2334" s="7">
        <v>653</v>
      </c>
      <c r="E2334" s="7" t="s">
        <v>1178</v>
      </c>
      <c r="F2334" s="7" t="s">
        <v>597</v>
      </c>
      <c r="G2334" s="7">
        <v>175</v>
      </c>
      <c r="H2334" s="7" t="s">
        <v>881</v>
      </c>
      <c r="I2334" s="7" t="s">
        <v>878</v>
      </c>
      <c r="J2334" s="7" t="s">
        <v>882</v>
      </c>
      <c r="M2334" s="7">
        <v>87.5</v>
      </c>
      <c r="N2334" s="7">
        <v>87.5</v>
      </c>
      <c r="O2334" s="126">
        <v>46216.7881597222</v>
      </c>
      <c r="P2334" s="126">
        <v>46216.7881597222</v>
      </c>
    </row>
    <row r="2335" spans="1:16" ht="15.75" customHeight="1">
      <c r="A2335" s="126">
        <v>46230.015752314801</v>
      </c>
      <c r="B2335" s="7">
        <v>12</v>
      </c>
      <c r="C2335" s="7">
        <v>653</v>
      </c>
      <c r="E2335" s="7" t="s">
        <v>1178</v>
      </c>
      <c r="F2335" s="7" t="s">
        <v>597</v>
      </c>
      <c r="G2335" s="7">
        <v>177</v>
      </c>
      <c r="H2335" s="7" t="s">
        <v>883</v>
      </c>
      <c r="I2335" s="7" t="s">
        <v>878</v>
      </c>
      <c r="J2335" s="7" t="s">
        <v>882</v>
      </c>
      <c r="M2335" s="7"/>
      <c r="N2335" s="7" t="s">
        <v>875</v>
      </c>
      <c r="P2335" s="126"/>
    </row>
    <row r="2336" spans="1:16" ht="15.75" customHeight="1">
      <c r="A2336" s="126">
        <v>46230.015752314801</v>
      </c>
      <c r="B2336" s="7">
        <v>12</v>
      </c>
      <c r="C2336" s="7">
        <v>653</v>
      </c>
      <c r="E2336" s="7" t="s">
        <v>1178</v>
      </c>
      <c r="F2336" s="7" t="s">
        <v>597</v>
      </c>
      <c r="G2336" s="7">
        <v>176</v>
      </c>
      <c r="H2336" s="7" t="s">
        <v>884</v>
      </c>
      <c r="I2336" s="7" t="s">
        <v>878</v>
      </c>
      <c r="J2336" s="7" t="s">
        <v>882</v>
      </c>
      <c r="M2336" s="7">
        <v>95</v>
      </c>
      <c r="N2336" s="7">
        <v>95</v>
      </c>
      <c r="O2336" s="126">
        <v>46229.471898148098</v>
      </c>
      <c r="P2336" s="126">
        <v>46229.471898148098</v>
      </c>
    </row>
    <row r="2337" spans="1:16" ht="15.75" customHeight="1">
      <c r="A2337" s="126">
        <v>46230.015752314801</v>
      </c>
      <c r="B2337" s="7">
        <v>12</v>
      </c>
      <c r="C2337" s="7">
        <v>653</v>
      </c>
      <c r="E2337" s="7" t="s">
        <v>1178</v>
      </c>
      <c r="F2337" s="7" t="s">
        <v>597</v>
      </c>
      <c r="G2337" s="7">
        <v>168</v>
      </c>
      <c r="H2337" s="7" t="s">
        <v>885</v>
      </c>
      <c r="I2337" s="7" t="s">
        <v>886</v>
      </c>
      <c r="J2337" s="7"/>
      <c r="M2337" s="7">
        <v>100</v>
      </c>
      <c r="N2337" s="7">
        <v>100</v>
      </c>
      <c r="O2337" s="126"/>
      <c r="P2337" s="126">
        <v>46209.706967592603</v>
      </c>
    </row>
    <row r="2338" spans="1:16" ht="15.75" customHeight="1">
      <c r="A2338" s="126">
        <v>46230.015752314801</v>
      </c>
      <c r="B2338" s="7">
        <v>12</v>
      </c>
      <c r="C2338" s="7">
        <v>283</v>
      </c>
      <c r="E2338" s="7" t="s">
        <v>1179</v>
      </c>
      <c r="F2338" s="7" t="s">
        <v>40</v>
      </c>
      <c r="G2338" s="7">
        <v>181</v>
      </c>
      <c r="H2338" s="7" t="s">
        <v>873</v>
      </c>
      <c r="I2338" s="7" t="s">
        <v>874</v>
      </c>
      <c r="J2338" s="7"/>
      <c r="M2338" s="7"/>
      <c r="N2338" s="7" t="s">
        <v>875</v>
      </c>
      <c r="P2338" s="126"/>
    </row>
    <row r="2339" spans="1:16" ht="15.75" customHeight="1">
      <c r="A2339" s="126">
        <v>46230.015752314801</v>
      </c>
      <c r="B2339" s="7">
        <v>12</v>
      </c>
      <c r="C2339" s="7">
        <v>283</v>
      </c>
      <c r="E2339" s="7" t="s">
        <v>1179</v>
      </c>
      <c r="F2339" s="7" t="s">
        <v>40</v>
      </c>
      <c r="G2339" s="7">
        <v>182</v>
      </c>
      <c r="H2339" s="7" t="s">
        <v>876</v>
      </c>
      <c r="I2339" s="7" t="s">
        <v>874</v>
      </c>
      <c r="J2339" s="7"/>
      <c r="M2339" s="7"/>
      <c r="N2339" s="7" t="s">
        <v>875</v>
      </c>
      <c r="O2339" s="126"/>
      <c r="P2339" s="126"/>
    </row>
    <row r="2340" spans="1:16" ht="15.75" customHeight="1">
      <c r="A2340" s="126">
        <v>46230.015752314801</v>
      </c>
      <c r="B2340" s="7">
        <v>12</v>
      </c>
      <c r="C2340" s="7">
        <v>283</v>
      </c>
      <c r="E2340" s="7" t="s">
        <v>1179</v>
      </c>
      <c r="F2340" s="7" t="s">
        <v>40</v>
      </c>
      <c r="G2340" s="7">
        <v>174</v>
      </c>
      <c r="H2340" s="7" t="s">
        <v>877</v>
      </c>
      <c r="I2340" s="7" t="s">
        <v>878</v>
      </c>
      <c r="J2340" s="7" t="s">
        <v>879</v>
      </c>
      <c r="M2340" s="7">
        <v>100</v>
      </c>
      <c r="N2340" s="7">
        <v>100</v>
      </c>
      <c r="O2340" s="126"/>
      <c r="P2340" s="126">
        <v>46225.489224536999</v>
      </c>
    </row>
    <row r="2341" spans="1:16" ht="15.75" customHeight="1">
      <c r="A2341" s="126">
        <v>46230.015752314801</v>
      </c>
      <c r="B2341" s="7">
        <v>12</v>
      </c>
      <c r="C2341" s="7">
        <v>283</v>
      </c>
      <c r="E2341" s="7" t="s">
        <v>1179</v>
      </c>
      <c r="F2341" s="7" t="s">
        <v>40</v>
      </c>
      <c r="G2341" s="7">
        <v>180</v>
      </c>
      <c r="H2341" s="7" t="s">
        <v>880</v>
      </c>
      <c r="I2341" s="7" t="s">
        <v>874</v>
      </c>
      <c r="J2341" s="7"/>
      <c r="M2341" s="7"/>
      <c r="N2341" s="7" t="s">
        <v>875</v>
      </c>
      <c r="P2341" s="126"/>
    </row>
    <row r="2342" spans="1:16" ht="15.75" customHeight="1">
      <c r="A2342" s="126">
        <v>46230.015752314801</v>
      </c>
      <c r="B2342" s="7">
        <v>12</v>
      </c>
      <c r="C2342" s="7">
        <v>283</v>
      </c>
      <c r="E2342" s="7" t="s">
        <v>1179</v>
      </c>
      <c r="F2342" s="7" t="s">
        <v>40</v>
      </c>
      <c r="G2342" s="7">
        <v>175</v>
      </c>
      <c r="H2342" s="7" t="s">
        <v>881</v>
      </c>
      <c r="I2342" s="7" t="s">
        <v>878</v>
      </c>
      <c r="J2342" s="7" t="s">
        <v>882</v>
      </c>
      <c r="M2342" s="7">
        <v>87.5</v>
      </c>
      <c r="N2342" s="7">
        <v>87.5</v>
      </c>
      <c r="O2342" s="126">
        <v>46216.443182870396</v>
      </c>
      <c r="P2342" s="126">
        <v>46216.443182870396</v>
      </c>
    </row>
    <row r="2343" spans="1:16" ht="15.75" customHeight="1">
      <c r="A2343" s="126">
        <v>46230.015752314801</v>
      </c>
      <c r="B2343" s="7">
        <v>12</v>
      </c>
      <c r="C2343" s="7">
        <v>283</v>
      </c>
      <c r="E2343" s="7" t="s">
        <v>1179</v>
      </c>
      <c r="F2343" s="7" t="s">
        <v>40</v>
      </c>
      <c r="G2343" s="7">
        <v>177</v>
      </c>
      <c r="H2343" s="7" t="s">
        <v>883</v>
      </c>
      <c r="I2343" s="7" t="s">
        <v>878</v>
      </c>
      <c r="J2343" s="7" t="s">
        <v>882</v>
      </c>
      <c r="M2343" s="7"/>
      <c r="N2343" s="7" t="s">
        <v>875</v>
      </c>
      <c r="P2343" s="126"/>
    </row>
    <row r="2344" spans="1:16" ht="15.75" customHeight="1">
      <c r="A2344" s="126">
        <v>46230.015752314801</v>
      </c>
      <c r="B2344" s="7">
        <v>12</v>
      </c>
      <c r="C2344" s="7">
        <v>283</v>
      </c>
      <c r="E2344" s="7" t="s">
        <v>1179</v>
      </c>
      <c r="F2344" s="7" t="s">
        <v>40</v>
      </c>
      <c r="G2344" s="7">
        <v>176</v>
      </c>
      <c r="H2344" s="7" t="s">
        <v>884</v>
      </c>
      <c r="I2344" s="7" t="s">
        <v>878</v>
      </c>
      <c r="J2344" s="7" t="s">
        <v>882</v>
      </c>
      <c r="M2344" s="7">
        <v>95</v>
      </c>
      <c r="N2344" s="7">
        <v>95</v>
      </c>
      <c r="O2344" s="126">
        <v>46225.549282407403</v>
      </c>
      <c r="P2344" s="126">
        <v>46225.549282407403</v>
      </c>
    </row>
    <row r="2345" spans="1:16" ht="15.75" customHeight="1">
      <c r="A2345" s="126">
        <v>46230.015752314801</v>
      </c>
      <c r="B2345" s="7">
        <v>12</v>
      </c>
      <c r="C2345" s="7">
        <v>283</v>
      </c>
      <c r="E2345" s="7" t="s">
        <v>1179</v>
      </c>
      <c r="F2345" s="7" t="s">
        <v>40</v>
      </c>
      <c r="G2345" s="7">
        <v>168</v>
      </c>
      <c r="H2345" s="7" t="s">
        <v>885</v>
      </c>
      <c r="I2345" s="7" t="s">
        <v>886</v>
      </c>
      <c r="M2345" s="7">
        <v>100</v>
      </c>
      <c r="N2345" s="7">
        <v>100</v>
      </c>
      <c r="P2345" s="126">
        <v>46225.489224536999</v>
      </c>
    </row>
    <row r="2346" spans="1:16" ht="15.75" customHeight="1">
      <c r="A2346" s="126">
        <v>46230.015752314801</v>
      </c>
      <c r="B2346" s="7">
        <v>12</v>
      </c>
      <c r="C2346" s="7">
        <v>393</v>
      </c>
      <c r="E2346" s="7" t="s">
        <v>1180</v>
      </c>
      <c r="F2346" s="7" t="s">
        <v>417</v>
      </c>
      <c r="G2346" s="7">
        <v>181</v>
      </c>
      <c r="H2346" s="7" t="s">
        <v>873</v>
      </c>
      <c r="I2346" s="7" t="s">
        <v>874</v>
      </c>
      <c r="J2346" s="7"/>
      <c r="M2346" s="7"/>
      <c r="N2346" s="7" t="s">
        <v>875</v>
      </c>
      <c r="O2346" s="126"/>
      <c r="P2346" s="126"/>
    </row>
    <row r="2347" spans="1:16" ht="15.75" customHeight="1">
      <c r="A2347" s="126">
        <v>46230.015752314801</v>
      </c>
      <c r="B2347" s="7">
        <v>12</v>
      </c>
      <c r="C2347" s="7">
        <v>393</v>
      </c>
      <c r="E2347" s="7" t="s">
        <v>1180</v>
      </c>
      <c r="F2347" s="7" t="s">
        <v>417</v>
      </c>
      <c r="G2347" s="7">
        <v>182</v>
      </c>
      <c r="H2347" s="7" t="s">
        <v>876</v>
      </c>
      <c r="I2347" s="7" t="s">
        <v>874</v>
      </c>
      <c r="J2347" s="7"/>
      <c r="M2347" s="7"/>
      <c r="N2347" s="7" t="s">
        <v>875</v>
      </c>
      <c r="P2347" s="126"/>
    </row>
    <row r="2348" spans="1:16" ht="15.75" customHeight="1">
      <c r="A2348" s="126">
        <v>46230.015752314801</v>
      </c>
      <c r="B2348" s="7">
        <v>12</v>
      </c>
      <c r="C2348" s="7">
        <v>393</v>
      </c>
      <c r="E2348" s="7" t="s">
        <v>1180</v>
      </c>
      <c r="F2348" s="7" t="s">
        <v>417</v>
      </c>
      <c r="G2348" s="7">
        <v>174</v>
      </c>
      <c r="H2348" s="7" t="s">
        <v>877</v>
      </c>
      <c r="I2348" s="7" t="s">
        <v>878</v>
      </c>
      <c r="J2348" s="7" t="s">
        <v>879</v>
      </c>
      <c r="M2348" s="7">
        <v>100</v>
      </c>
      <c r="N2348" s="7">
        <v>100</v>
      </c>
      <c r="O2348" s="126"/>
      <c r="P2348" s="126">
        <v>46219.521828703699</v>
      </c>
    </row>
    <row r="2349" spans="1:16" ht="15.75" customHeight="1">
      <c r="A2349" s="126">
        <v>46230.015752314801</v>
      </c>
      <c r="B2349" s="7">
        <v>12</v>
      </c>
      <c r="C2349" s="7">
        <v>393</v>
      </c>
      <c r="E2349" s="7" t="s">
        <v>1180</v>
      </c>
      <c r="F2349" s="7" t="s">
        <v>417</v>
      </c>
      <c r="G2349" s="7">
        <v>180</v>
      </c>
      <c r="H2349" s="7" t="s">
        <v>880</v>
      </c>
      <c r="I2349" s="7" t="s">
        <v>874</v>
      </c>
      <c r="J2349" s="7"/>
      <c r="M2349" s="7"/>
      <c r="N2349" s="7" t="s">
        <v>875</v>
      </c>
      <c r="O2349" s="126"/>
      <c r="P2349" s="126"/>
    </row>
    <row r="2350" spans="1:16" ht="15.75" customHeight="1">
      <c r="A2350" s="126">
        <v>46230.015752314801</v>
      </c>
      <c r="B2350" s="7">
        <v>12</v>
      </c>
      <c r="C2350" s="7">
        <v>393</v>
      </c>
      <c r="E2350" s="7" t="s">
        <v>1180</v>
      </c>
      <c r="F2350" s="7" t="s">
        <v>417</v>
      </c>
      <c r="G2350" s="7">
        <v>175</v>
      </c>
      <c r="H2350" s="7" t="s">
        <v>881</v>
      </c>
      <c r="I2350" s="7" t="s">
        <v>878</v>
      </c>
      <c r="J2350" s="7" t="s">
        <v>882</v>
      </c>
      <c r="M2350" s="7">
        <v>100</v>
      </c>
      <c r="N2350" s="7">
        <v>100</v>
      </c>
      <c r="O2350" s="126">
        <v>46226.557314814803</v>
      </c>
      <c r="P2350" s="126">
        <v>46226.557326388902</v>
      </c>
    </row>
    <row r="2351" spans="1:16" ht="15.75" customHeight="1">
      <c r="A2351" s="126">
        <v>46230.015752314801</v>
      </c>
      <c r="B2351" s="7">
        <v>12</v>
      </c>
      <c r="C2351" s="7">
        <v>393</v>
      </c>
      <c r="E2351" s="7" t="s">
        <v>1180</v>
      </c>
      <c r="F2351" s="7" t="s">
        <v>417</v>
      </c>
      <c r="G2351" s="7">
        <v>177</v>
      </c>
      <c r="H2351" s="7" t="s">
        <v>883</v>
      </c>
      <c r="I2351" s="7" t="s">
        <v>878</v>
      </c>
      <c r="J2351" s="7" t="s">
        <v>882</v>
      </c>
      <c r="M2351" s="7"/>
      <c r="N2351" s="7" t="s">
        <v>875</v>
      </c>
      <c r="P2351" s="126"/>
    </row>
    <row r="2352" spans="1:16" ht="15.75" customHeight="1">
      <c r="A2352" s="126">
        <v>46230.015752314801</v>
      </c>
      <c r="B2352" s="7">
        <v>12</v>
      </c>
      <c r="C2352" s="7">
        <v>393</v>
      </c>
      <c r="E2352" s="7" t="s">
        <v>1180</v>
      </c>
      <c r="F2352" s="7" t="s">
        <v>417</v>
      </c>
      <c r="G2352" s="7">
        <v>176</v>
      </c>
      <c r="H2352" s="7" t="s">
        <v>884</v>
      </c>
      <c r="I2352" s="7" t="s">
        <v>878</v>
      </c>
      <c r="J2352" s="7" t="s">
        <v>882</v>
      </c>
      <c r="M2352" s="7">
        <v>90</v>
      </c>
      <c r="N2352" s="7">
        <v>90</v>
      </c>
      <c r="O2352" s="126">
        <v>46224.468171296299</v>
      </c>
      <c r="P2352" s="126">
        <v>46224.468171296299</v>
      </c>
    </row>
    <row r="2353" spans="1:16" ht="15.75" customHeight="1">
      <c r="A2353" s="126">
        <v>46230.015752314801</v>
      </c>
      <c r="B2353" s="7">
        <v>12</v>
      </c>
      <c r="C2353" s="7">
        <v>393</v>
      </c>
      <c r="E2353" s="7" t="s">
        <v>1180</v>
      </c>
      <c r="F2353" s="7" t="s">
        <v>417</v>
      </c>
      <c r="G2353" s="7">
        <v>168</v>
      </c>
      <c r="H2353" s="7" t="s">
        <v>885</v>
      </c>
      <c r="I2353" s="7" t="s">
        <v>886</v>
      </c>
      <c r="J2353" s="7"/>
      <c r="M2353" s="7">
        <v>100</v>
      </c>
      <c r="N2353" s="7">
        <v>100</v>
      </c>
      <c r="P2353" s="126">
        <v>46219.521840277797</v>
      </c>
    </row>
    <row r="2354" spans="1:16" ht="15.75" customHeight="1">
      <c r="A2354" s="126">
        <v>46230.015752314801</v>
      </c>
      <c r="B2354" s="7">
        <v>12</v>
      </c>
      <c r="C2354" s="7">
        <v>762</v>
      </c>
      <c r="E2354" s="7" t="s">
        <v>1181</v>
      </c>
      <c r="F2354" s="7" t="s">
        <v>448</v>
      </c>
      <c r="G2354" s="7">
        <v>181</v>
      </c>
      <c r="H2354" s="7" t="s">
        <v>873</v>
      </c>
      <c r="I2354" s="7" t="s">
        <v>874</v>
      </c>
      <c r="M2354" s="7"/>
      <c r="N2354" s="7" t="s">
        <v>875</v>
      </c>
      <c r="P2354" s="126"/>
    </row>
    <row r="2355" spans="1:16" ht="15.75" customHeight="1">
      <c r="A2355" s="126">
        <v>46230.015752314801</v>
      </c>
      <c r="B2355" s="7">
        <v>12</v>
      </c>
      <c r="C2355" s="7">
        <v>762</v>
      </c>
      <c r="E2355" s="7" t="s">
        <v>1181</v>
      </c>
      <c r="F2355" s="7" t="s">
        <v>448</v>
      </c>
      <c r="G2355" s="7">
        <v>182</v>
      </c>
      <c r="H2355" s="7" t="s">
        <v>876</v>
      </c>
      <c r="I2355" s="7" t="s">
        <v>874</v>
      </c>
      <c r="J2355" s="7"/>
      <c r="M2355" s="7"/>
      <c r="N2355" s="7" t="s">
        <v>875</v>
      </c>
      <c r="O2355" s="126"/>
      <c r="P2355" s="126"/>
    </row>
    <row r="2356" spans="1:16" ht="15.75" customHeight="1">
      <c r="A2356" s="126">
        <v>46230.015752314801</v>
      </c>
      <c r="B2356" s="7">
        <v>12</v>
      </c>
      <c r="C2356" s="7">
        <v>762</v>
      </c>
      <c r="E2356" s="7" t="s">
        <v>1181</v>
      </c>
      <c r="F2356" s="7" t="s">
        <v>448</v>
      </c>
      <c r="G2356" s="7">
        <v>174</v>
      </c>
      <c r="H2356" s="7" t="s">
        <v>877</v>
      </c>
      <c r="I2356" s="7" t="s">
        <v>878</v>
      </c>
      <c r="J2356" s="7" t="s">
        <v>879</v>
      </c>
      <c r="M2356" s="7">
        <v>100</v>
      </c>
      <c r="N2356" s="7">
        <v>100</v>
      </c>
      <c r="P2356" s="126">
        <v>46209.706979166702</v>
      </c>
    </row>
    <row r="2357" spans="1:16" ht="15.75" customHeight="1">
      <c r="A2357" s="126">
        <v>46230.015752314801</v>
      </c>
      <c r="B2357" s="7">
        <v>12</v>
      </c>
      <c r="C2357" s="7">
        <v>762</v>
      </c>
      <c r="E2357" s="7" t="s">
        <v>1181</v>
      </c>
      <c r="F2357" s="7" t="s">
        <v>448</v>
      </c>
      <c r="G2357" s="7">
        <v>180</v>
      </c>
      <c r="H2357" s="7" t="s">
        <v>880</v>
      </c>
      <c r="I2357" s="7" t="s">
        <v>874</v>
      </c>
      <c r="J2357" s="7"/>
      <c r="M2357" s="7"/>
      <c r="N2357" s="7" t="s">
        <v>875</v>
      </c>
      <c r="O2357" s="126"/>
      <c r="P2357" s="126"/>
    </row>
    <row r="2358" spans="1:16" ht="15.75" customHeight="1">
      <c r="A2358" s="126">
        <v>46230.015752314801</v>
      </c>
      <c r="B2358" s="7">
        <v>12</v>
      </c>
      <c r="C2358" s="7">
        <v>762</v>
      </c>
      <c r="E2358" s="7" t="s">
        <v>1181</v>
      </c>
      <c r="F2358" s="7" t="s">
        <v>448</v>
      </c>
      <c r="G2358" s="7">
        <v>175</v>
      </c>
      <c r="H2358" s="7" t="s">
        <v>881</v>
      </c>
      <c r="I2358" s="7" t="s">
        <v>878</v>
      </c>
      <c r="J2358" s="7" t="s">
        <v>882</v>
      </c>
      <c r="M2358" s="7">
        <v>75</v>
      </c>
      <c r="N2358" s="7">
        <v>75</v>
      </c>
      <c r="O2358" s="126">
        <v>46215.083576388897</v>
      </c>
      <c r="P2358" s="126">
        <v>46215.083576388897</v>
      </c>
    </row>
    <row r="2359" spans="1:16" ht="15.75" customHeight="1">
      <c r="A2359" s="126">
        <v>46230.015752314801</v>
      </c>
      <c r="B2359" s="7">
        <v>12</v>
      </c>
      <c r="C2359" s="7">
        <v>762</v>
      </c>
      <c r="E2359" s="7" t="s">
        <v>1181</v>
      </c>
      <c r="F2359" s="7" t="s">
        <v>448</v>
      </c>
      <c r="G2359" s="7">
        <v>177</v>
      </c>
      <c r="H2359" s="7" t="s">
        <v>883</v>
      </c>
      <c r="I2359" s="7" t="s">
        <v>878</v>
      </c>
      <c r="J2359" s="7" t="s">
        <v>882</v>
      </c>
      <c r="M2359" s="7"/>
      <c r="N2359" s="7" t="s">
        <v>875</v>
      </c>
      <c r="P2359" s="126"/>
    </row>
    <row r="2360" spans="1:16" ht="15.75" customHeight="1">
      <c r="A2360" s="126">
        <v>46230.015752314801</v>
      </c>
      <c r="B2360" s="7">
        <v>12</v>
      </c>
      <c r="C2360" s="7">
        <v>762</v>
      </c>
      <c r="E2360" s="7" t="s">
        <v>1181</v>
      </c>
      <c r="F2360" s="7" t="s">
        <v>448</v>
      </c>
      <c r="G2360" s="7">
        <v>176</v>
      </c>
      <c r="H2360" s="7" t="s">
        <v>884</v>
      </c>
      <c r="I2360" s="7" t="s">
        <v>878</v>
      </c>
      <c r="J2360" s="7" t="s">
        <v>882</v>
      </c>
      <c r="M2360" s="7">
        <v>80</v>
      </c>
      <c r="N2360" s="7">
        <v>80</v>
      </c>
      <c r="O2360" s="126">
        <v>46223.999699074098</v>
      </c>
      <c r="P2360" s="126">
        <v>46223.999699074098</v>
      </c>
    </row>
    <row r="2361" spans="1:16" ht="15.75" customHeight="1">
      <c r="A2361" s="126">
        <v>46230.015752314801</v>
      </c>
      <c r="B2361" s="7">
        <v>12</v>
      </c>
      <c r="C2361" s="7">
        <v>762</v>
      </c>
      <c r="E2361" s="7" t="s">
        <v>1181</v>
      </c>
      <c r="F2361" s="7" t="s">
        <v>448</v>
      </c>
      <c r="G2361" s="7">
        <v>168</v>
      </c>
      <c r="H2361" s="7" t="s">
        <v>885</v>
      </c>
      <c r="I2361" s="7" t="s">
        <v>886</v>
      </c>
      <c r="M2361" s="7">
        <v>100</v>
      </c>
      <c r="N2361" s="7">
        <v>100</v>
      </c>
      <c r="P2361" s="126">
        <v>46209.706979166702</v>
      </c>
    </row>
    <row r="2362" spans="1:16" ht="15.75" customHeight="1">
      <c r="A2362" s="126">
        <v>46230.015752314801</v>
      </c>
      <c r="B2362" s="7">
        <v>12</v>
      </c>
      <c r="C2362" s="7">
        <v>818</v>
      </c>
      <c r="E2362" s="7" t="s">
        <v>1182</v>
      </c>
      <c r="F2362" s="7" t="s">
        <v>344</v>
      </c>
      <c r="G2362" s="7">
        <v>181</v>
      </c>
      <c r="H2362" s="7" t="s">
        <v>873</v>
      </c>
      <c r="I2362" s="7" t="s">
        <v>874</v>
      </c>
      <c r="J2362" s="7"/>
      <c r="M2362" s="7"/>
      <c r="N2362" s="7" t="s">
        <v>875</v>
      </c>
      <c r="P2362" s="126"/>
    </row>
    <row r="2363" spans="1:16" ht="15.75" customHeight="1">
      <c r="A2363" s="126">
        <v>46230.015752314801</v>
      </c>
      <c r="B2363" s="7">
        <v>12</v>
      </c>
      <c r="C2363" s="7">
        <v>818</v>
      </c>
      <c r="E2363" s="7" t="s">
        <v>1182</v>
      </c>
      <c r="F2363" s="7" t="s">
        <v>344</v>
      </c>
      <c r="G2363" s="7">
        <v>182</v>
      </c>
      <c r="H2363" s="7" t="s">
        <v>876</v>
      </c>
      <c r="I2363" s="7" t="s">
        <v>874</v>
      </c>
      <c r="J2363" s="7"/>
      <c r="M2363" s="7"/>
      <c r="N2363" s="7" t="s">
        <v>875</v>
      </c>
      <c r="P2363" s="126"/>
    </row>
    <row r="2364" spans="1:16" ht="15.75" customHeight="1">
      <c r="A2364" s="126">
        <v>46230.015752314801</v>
      </c>
      <c r="B2364" s="7">
        <v>12</v>
      </c>
      <c r="C2364" s="7">
        <v>818</v>
      </c>
      <c r="E2364" s="7" t="s">
        <v>1182</v>
      </c>
      <c r="F2364" s="7" t="s">
        <v>344</v>
      </c>
      <c r="G2364" s="7">
        <v>174</v>
      </c>
      <c r="H2364" s="7" t="s">
        <v>877</v>
      </c>
      <c r="I2364" s="7" t="s">
        <v>878</v>
      </c>
      <c r="J2364" s="7" t="s">
        <v>879</v>
      </c>
      <c r="M2364" s="7">
        <v>100</v>
      </c>
      <c r="N2364" s="7">
        <v>100</v>
      </c>
      <c r="O2364" s="126"/>
      <c r="P2364" s="126">
        <v>46212.774803240703</v>
      </c>
    </row>
    <row r="2365" spans="1:16" ht="15.75" customHeight="1">
      <c r="A2365" s="126">
        <v>46230.015752314801</v>
      </c>
      <c r="B2365" s="7">
        <v>12</v>
      </c>
      <c r="C2365" s="7">
        <v>818</v>
      </c>
      <c r="E2365" s="7" t="s">
        <v>1182</v>
      </c>
      <c r="F2365" s="7" t="s">
        <v>344</v>
      </c>
      <c r="G2365" s="7">
        <v>180</v>
      </c>
      <c r="H2365" s="7" t="s">
        <v>880</v>
      </c>
      <c r="I2365" s="7" t="s">
        <v>874</v>
      </c>
      <c r="J2365" s="7"/>
      <c r="M2365" s="7"/>
      <c r="N2365" s="7" t="s">
        <v>875</v>
      </c>
      <c r="O2365" s="126"/>
      <c r="P2365" s="126"/>
    </row>
    <row r="2366" spans="1:16" ht="15.75" customHeight="1">
      <c r="A2366" s="126">
        <v>46230.015752314801</v>
      </c>
      <c r="B2366" s="7">
        <v>12</v>
      </c>
      <c r="C2366" s="7">
        <v>818</v>
      </c>
      <c r="E2366" s="7" t="s">
        <v>1182</v>
      </c>
      <c r="F2366" s="7" t="s">
        <v>344</v>
      </c>
      <c r="G2366" s="7">
        <v>175</v>
      </c>
      <c r="H2366" s="7" t="s">
        <v>881</v>
      </c>
      <c r="I2366" s="7" t="s">
        <v>878</v>
      </c>
      <c r="J2366" s="7" t="s">
        <v>882</v>
      </c>
      <c r="M2366" s="7">
        <v>87.5</v>
      </c>
      <c r="N2366" s="7">
        <v>87.5</v>
      </c>
      <c r="O2366" s="126">
        <v>46213.681342592601</v>
      </c>
      <c r="P2366" s="126">
        <v>46213.681342592601</v>
      </c>
    </row>
    <row r="2367" spans="1:16" ht="15.75" customHeight="1">
      <c r="A2367" s="126">
        <v>46230.015752314801</v>
      </c>
      <c r="B2367" s="7">
        <v>12</v>
      </c>
      <c r="C2367" s="7">
        <v>818</v>
      </c>
      <c r="E2367" s="7" t="s">
        <v>1182</v>
      </c>
      <c r="F2367" s="7" t="s">
        <v>344</v>
      </c>
      <c r="G2367" s="7">
        <v>177</v>
      </c>
      <c r="H2367" s="7" t="s">
        <v>883</v>
      </c>
      <c r="I2367" s="7" t="s">
        <v>878</v>
      </c>
      <c r="J2367" s="7" t="s">
        <v>882</v>
      </c>
      <c r="M2367" s="7"/>
      <c r="N2367" s="7" t="s">
        <v>875</v>
      </c>
      <c r="O2367" s="126"/>
      <c r="P2367" s="126"/>
    </row>
    <row r="2368" spans="1:16" ht="15.75" customHeight="1">
      <c r="A2368" s="126">
        <v>46230.015752314801</v>
      </c>
      <c r="B2368" s="7">
        <v>12</v>
      </c>
      <c r="C2368" s="7">
        <v>818</v>
      </c>
      <c r="E2368" s="7" t="s">
        <v>1182</v>
      </c>
      <c r="F2368" s="7" t="s">
        <v>344</v>
      </c>
      <c r="G2368" s="7">
        <v>176</v>
      </c>
      <c r="H2368" s="7" t="s">
        <v>884</v>
      </c>
      <c r="I2368" s="7" t="s">
        <v>878</v>
      </c>
      <c r="J2368" s="7" t="s">
        <v>882</v>
      </c>
      <c r="M2368" s="7">
        <v>85</v>
      </c>
      <c r="N2368" s="7">
        <v>85</v>
      </c>
      <c r="O2368" s="126">
        <v>46225.539432870399</v>
      </c>
      <c r="P2368" s="126">
        <v>46225.539432870399</v>
      </c>
    </row>
    <row r="2369" spans="1:16" ht="15.75" customHeight="1">
      <c r="A2369" s="126">
        <v>46230.015752314801</v>
      </c>
      <c r="B2369" s="7">
        <v>12</v>
      </c>
      <c r="C2369" s="7">
        <v>818</v>
      </c>
      <c r="E2369" s="7" t="s">
        <v>1182</v>
      </c>
      <c r="F2369" s="7" t="s">
        <v>344</v>
      </c>
      <c r="G2369" s="7">
        <v>168</v>
      </c>
      <c r="H2369" s="7" t="s">
        <v>885</v>
      </c>
      <c r="I2369" s="7" t="s">
        <v>886</v>
      </c>
      <c r="M2369" s="7">
        <v>100</v>
      </c>
      <c r="N2369" s="7">
        <v>100</v>
      </c>
      <c r="P2369" s="126">
        <v>46212.774803240703</v>
      </c>
    </row>
    <row r="2370" spans="1:16" ht="15.75" customHeight="1">
      <c r="A2370" s="126">
        <v>46230.015752314801</v>
      </c>
      <c r="B2370" s="7">
        <v>12</v>
      </c>
      <c r="C2370" s="7">
        <v>630</v>
      </c>
      <c r="E2370" s="7" t="s">
        <v>1183</v>
      </c>
      <c r="F2370" s="7" t="s">
        <v>278</v>
      </c>
      <c r="G2370" s="7">
        <v>181</v>
      </c>
      <c r="H2370" s="7" t="s">
        <v>873</v>
      </c>
      <c r="I2370" s="7" t="s">
        <v>874</v>
      </c>
      <c r="M2370" s="7"/>
      <c r="N2370" s="7" t="s">
        <v>875</v>
      </c>
      <c r="P2370" s="126"/>
    </row>
    <row r="2371" spans="1:16" ht="15.75" customHeight="1">
      <c r="A2371" s="126">
        <v>46230.015752314801</v>
      </c>
      <c r="B2371" s="7">
        <v>12</v>
      </c>
      <c r="C2371" s="7">
        <v>630</v>
      </c>
      <c r="E2371" s="7" t="s">
        <v>1183</v>
      </c>
      <c r="F2371" s="7" t="s">
        <v>278</v>
      </c>
      <c r="G2371" s="7">
        <v>182</v>
      </c>
      <c r="H2371" s="7" t="s">
        <v>876</v>
      </c>
      <c r="I2371" s="7" t="s">
        <v>874</v>
      </c>
      <c r="J2371" s="7"/>
      <c r="M2371" s="7"/>
      <c r="N2371" s="7" t="s">
        <v>875</v>
      </c>
      <c r="P2371" s="126"/>
    </row>
    <row r="2372" spans="1:16" ht="15.75" customHeight="1">
      <c r="A2372" s="126">
        <v>46230.015752314801</v>
      </c>
      <c r="B2372" s="7">
        <v>12</v>
      </c>
      <c r="C2372" s="7">
        <v>630</v>
      </c>
      <c r="E2372" s="7" t="s">
        <v>1183</v>
      </c>
      <c r="F2372" s="7" t="s">
        <v>278</v>
      </c>
      <c r="G2372" s="7">
        <v>174</v>
      </c>
      <c r="H2372" s="7" t="s">
        <v>877</v>
      </c>
      <c r="I2372" s="7" t="s">
        <v>878</v>
      </c>
      <c r="J2372" s="7" t="s">
        <v>879</v>
      </c>
      <c r="M2372" s="7">
        <v>100</v>
      </c>
      <c r="N2372" s="7">
        <v>100</v>
      </c>
      <c r="P2372" s="126">
        <v>46209.706967592603</v>
      </c>
    </row>
    <row r="2373" spans="1:16" ht="15.75" customHeight="1">
      <c r="A2373" s="126">
        <v>46230.015752314801</v>
      </c>
      <c r="B2373" s="7">
        <v>12</v>
      </c>
      <c r="C2373" s="7">
        <v>630</v>
      </c>
      <c r="E2373" s="7" t="s">
        <v>1183</v>
      </c>
      <c r="F2373" s="7" t="s">
        <v>278</v>
      </c>
      <c r="G2373" s="7">
        <v>180</v>
      </c>
      <c r="H2373" s="7" t="s">
        <v>880</v>
      </c>
      <c r="I2373" s="7" t="s">
        <v>874</v>
      </c>
      <c r="J2373" s="7"/>
      <c r="M2373" s="7"/>
      <c r="N2373" s="7" t="s">
        <v>875</v>
      </c>
      <c r="O2373" s="126"/>
      <c r="P2373" s="126"/>
    </row>
    <row r="2374" spans="1:16" ht="15.75" customHeight="1">
      <c r="A2374" s="126">
        <v>46230.015752314801</v>
      </c>
      <c r="B2374" s="7">
        <v>12</v>
      </c>
      <c r="C2374" s="7">
        <v>630</v>
      </c>
      <c r="E2374" s="7" t="s">
        <v>1183</v>
      </c>
      <c r="F2374" s="7" t="s">
        <v>278</v>
      </c>
      <c r="G2374" s="7">
        <v>175</v>
      </c>
      <c r="H2374" s="7" t="s">
        <v>881</v>
      </c>
      <c r="I2374" s="7" t="s">
        <v>878</v>
      </c>
      <c r="J2374" s="7" t="s">
        <v>882</v>
      </c>
      <c r="M2374" s="7">
        <v>87.5</v>
      </c>
      <c r="N2374" s="7">
        <v>87.5</v>
      </c>
      <c r="O2374" s="126">
        <v>46213.663854166698</v>
      </c>
      <c r="P2374" s="126">
        <v>46213.663854166698</v>
      </c>
    </row>
    <row r="2375" spans="1:16" ht="15.75" customHeight="1">
      <c r="A2375" s="126">
        <v>46230.015752314801</v>
      </c>
      <c r="B2375" s="7">
        <v>12</v>
      </c>
      <c r="C2375" s="7">
        <v>630</v>
      </c>
      <c r="E2375" s="7" t="s">
        <v>1183</v>
      </c>
      <c r="F2375" s="7" t="s">
        <v>278</v>
      </c>
      <c r="G2375" s="7">
        <v>177</v>
      </c>
      <c r="H2375" s="7" t="s">
        <v>883</v>
      </c>
      <c r="I2375" s="7" t="s">
        <v>878</v>
      </c>
      <c r="J2375" s="7" t="s">
        <v>882</v>
      </c>
      <c r="M2375" s="7"/>
      <c r="N2375" s="7" t="s">
        <v>875</v>
      </c>
      <c r="O2375" s="126"/>
      <c r="P2375" s="126"/>
    </row>
    <row r="2376" spans="1:16" ht="15.75" customHeight="1">
      <c r="A2376" s="126">
        <v>46230.015752314801</v>
      </c>
      <c r="B2376" s="7">
        <v>12</v>
      </c>
      <c r="C2376" s="7">
        <v>630</v>
      </c>
      <c r="E2376" s="7" t="s">
        <v>1183</v>
      </c>
      <c r="F2376" s="7" t="s">
        <v>278</v>
      </c>
      <c r="G2376" s="7">
        <v>176</v>
      </c>
      <c r="H2376" s="7" t="s">
        <v>884</v>
      </c>
      <c r="I2376" s="7" t="s">
        <v>878</v>
      </c>
      <c r="J2376" s="7" t="s">
        <v>882</v>
      </c>
      <c r="M2376" s="7">
        <v>90</v>
      </c>
      <c r="N2376" s="7">
        <v>90</v>
      </c>
      <c r="O2376" s="126">
        <v>46223.747071759302</v>
      </c>
      <c r="P2376" s="126">
        <v>46223.793657407397</v>
      </c>
    </row>
    <row r="2377" spans="1:16" ht="15.75" customHeight="1">
      <c r="A2377" s="126">
        <v>46230.015752314801</v>
      </c>
      <c r="B2377" s="7">
        <v>12</v>
      </c>
      <c r="C2377" s="7">
        <v>630</v>
      </c>
      <c r="E2377" s="7" t="s">
        <v>1183</v>
      </c>
      <c r="F2377" s="7" t="s">
        <v>278</v>
      </c>
      <c r="G2377" s="7">
        <v>168</v>
      </c>
      <c r="H2377" s="7" t="s">
        <v>885</v>
      </c>
      <c r="I2377" s="7" t="s">
        <v>886</v>
      </c>
      <c r="M2377" s="7">
        <v>100</v>
      </c>
      <c r="N2377" s="7">
        <v>100</v>
      </c>
      <c r="P2377" s="126">
        <v>46209.706967592603</v>
      </c>
    </row>
    <row r="2378" spans="1:16" ht="15.75" customHeight="1">
      <c r="A2378" s="126">
        <v>46230.015752314801</v>
      </c>
      <c r="B2378" s="7">
        <v>12</v>
      </c>
      <c r="C2378" s="7">
        <v>706</v>
      </c>
      <c r="E2378" s="7" t="s">
        <v>1184</v>
      </c>
      <c r="F2378" s="7" t="s">
        <v>568</v>
      </c>
      <c r="G2378" s="7">
        <v>181</v>
      </c>
      <c r="H2378" s="7" t="s">
        <v>873</v>
      </c>
      <c r="I2378" s="7" t="s">
        <v>874</v>
      </c>
      <c r="M2378" s="7"/>
      <c r="N2378" s="7" t="s">
        <v>875</v>
      </c>
      <c r="P2378" s="126"/>
    </row>
    <row r="2379" spans="1:16" ht="15.75" customHeight="1">
      <c r="A2379" s="126">
        <v>46230.015752314801</v>
      </c>
      <c r="B2379" s="7">
        <v>12</v>
      </c>
      <c r="C2379" s="7">
        <v>706</v>
      </c>
      <c r="E2379" s="7" t="s">
        <v>1184</v>
      </c>
      <c r="F2379" s="7" t="s">
        <v>568</v>
      </c>
      <c r="G2379" s="7">
        <v>182</v>
      </c>
      <c r="H2379" s="7" t="s">
        <v>876</v>
      </c>
      <c r="I2379" s="7" t="s">
        <v>874</v>
      </c>
      <c r="J2379" s="7"/>
      <c r="M2379" s="7"/>
      <c r="N2379" s="7" t="s">
        <v>875</v>
      </c>
      <c r="P2379" s="126"/>
    </row>
    <row r="2380" spans="1:16" ht="15.75" customHeight="1">
      <c r="A2380" s="126">
        <v>46230.015752314801</v>
      </c>
      <c r="B2380" s="7">
        <v>12</v>
      </c>
      <c r="C2380" s="7">
        <v>706</v>
      </c>
      <c r="E2380" s="7" t="s">
        <v>1184</v>
      </c>
      <c r="F2380" s="7" t="s">
        <v>568</v>
      </c>
      <c r="G2380" s="7">
        <v>174</v>
      </c>
      <c r="H2380" s="7" t="s">
        <v>877</v>
      </c>
      <c r="I2380" s="7" t="s">
        <v>878</v>
      </c>
      <c r="J2380" s="7" t="s">
        <v>879</v>
      </c>
      <c r="M2380" s="7">
        <v>100</v>
      </c>
      <c r="N2380" s="7">
        <v>100</v>
      </c>
      <c r="P2380" s="126">
        <v>46209.706979166702</v>
      </c>
    </row>
    <row r="2381" spans="1:16" ht="15.75" customHeight="1">
      <c r="A2381" s="126">
        <v>46230.015752314801</v>
      </c>
      <c r="B2381" s="7">
        <v>12</v>
      </c>
      <c r="C2381" s="7">
        <v>706</v>
      </c>
      <c r="E2381" s="7" t="s">
        <v>1184</v>
      </c>
      <c r="F2381" s="7" t="s">
        <v>568</v>
      </c>
      <c r="G2381" s="7">
        <v>180</v>
      </c>
      <c r="H2381" s="7" t="s">
        <v>880</v>
      </c>
      <c r="I2381" s="7" t="s">
        <v>874</v>
      </c>
      <c r="J2381" s="7"/>
      <c r="M2381" s="7"/>
      <c r="N2381" s="7" t="s">
        <v>875</v>
      </c>
      <c r="O2381" s="126"/>
      <c r="P2381" s="126"/>
    </row>
    <row r="2382" spans="1:16" ht="15.75" customHeight="1">
      <c r="A2382" s="126">
        <v>46230.015752314801</v>
      </c>
      <c r="B2382" s="7">
        <v>12</v>
      </c>
      <c r="C2382" s="7">
        <v>706</v>
      </c>
      <c r="E2382" s="7" t="s">
        <v>1184</v>
      </c>
      <c r="F2382" s="7" t="s">
        <v>568</v>
      </c>
      <c r="G2382" s="7">
        <v>175</v>
      </c>
      <c r="H2382" s="7" t="s">
        <v>881</v>
      </c>
      <c r="I2382" s="7" t="s">
        <v>878</v>
      </c>
      <c r="J2382" s="7" t="s">
        <v>882</v>
      </c>
      <c r="M2382" s="7">
        <v>100</v>
      </c>
      <c r="N2382" s="7">
        <v>100</v>
      </c>
      <c r="O2382" s="126">
        <v>46216.573136574101</v>
      </c>
      <c r="P2382" s="126">
        <v>46216.573136574101</v>
      </c>
    </row>
    <row r="2383" spans="1:16" ht="15.75" customHeight="1">
      <c r="A2383" s="126">
        <v>46230.015752314801</v>
      </c>
      <c r="B2383" s="7">
        <v>12</v>
      </c>
      <c r="C2383" s="7">
        <v>706</v>
      </c>
      <c r="E2383" s="7" t="s">
        <v>1184</v>
      </c>
      <c r="F2383" s="7" t="s">
        <v>568</v>
      </c>
      <c r="G2383" s="7">
        <v>177</v>
      </c>
      <c r="H2383" s="7" t="s">
        <v>883</v>
      </c>
      <c r="I2383" s="7" t="s">
        <v>878</v>
      </c>
      <c r="J2383" s="7" t="s">
        <v>882</v>
      </c>
      <c r="M2383" s="7"/>
      <c r="N2383" s="7" t="s">
        <v>875</v>
      </c>
      <c r="P2383" s="126"/>
    </row>
    <row r="2384" spans="1:16" ht="15.75" customHeight="1">
      <c r="A2384" s="126">
        <v>46230.015752314801</v>
      </c>
      <c r="B2384" s="7">
        <v>12</v>
      </c>
      <c r="C2384" s="7">
        <v>706</v>
      </c>
      <c r="E2384" s="7" t="s">
        <v>1184</v>
      </c>
      <c r="F2384" s="7" t="s">
        <v>568</v>
      </c>
      <c r="G2384" s="7">
        <v>176</v>
      </c>
      <c r="H2384" s="7" t="s">
        <v>884</v>
      </c>
      <c r="I2384" s="7" t="s">
        <v>878</v>
      </c>
      <c r="J2384" s="7" t="s">
        <v>882</v>
      </c>
      <c r="M2384" s="7">
        <v>100</v>
      </c>
      <c r="N2384" s="7">
        <v>100</v>
      </c>
      <c r="O2384" s="126">
        <v>46229.005671296298</v>
      </c>
      <c r="P2384" s="126">
        <v>46229.005671296298</v>
      </c>
    </row>
    <row r="2385" spans="1:16" ht="15.75" customHeight="1">
      <c r="A2385" s="126">
        <v>46230.015752314801</v>
      </c>
      <c r="B2385" s="7">
        <v>12</v>
      </c>
      <c r="C2385" s="7">
        <v>706</v>
      </c>
      <c r="E2385" s="7" t="s">
        <v>1184</v>
      </c>
      <c r="F2385" s="7" t="s">
        <v>568</v>
      </c>
      <c r="G2385" s="7">
        <v>168</v>
      </c>
      <c r="H2385" s="7" t="s">
        <v>885</v>
      </c>
      <c r="I2385" s="7" t="s">
        <v>886</v>
      </c>
      <c r="J2385" s="7"/>
      <c r="M2385" s="7">
        <v>100</v>
      </c>
      <c r="N2385" s="7">
        <v>100</v>
      </c>
      <c r="O2385" s="126"/>
      <c r="P2385" s="126">
        <v>46209.706979166702</v>
      </c>
    </row>
    <row r="2386" spans="1:16" ht="15.75" customHeight="1">
      <c r="A2386" s="126">
        <v>46230.015752314801</v>
      </c>
      <c r="B2386" s="7">
        <v>12</v>
      </c>
      <c r="C2386" s="7">
        <v>753</v>
      </c>
      <c r="D2386" s="7"/>
      <c r="E2386" s="7" t="s">
        <v>1185</v>
      </c>
      <c r="F2386" s="7" t="s">
        <v>462</v>
      </c>
      <c r="G2386" s="7">
        <v>181</v>
      </c>
      <c r="H2386" s="7" t="s">
        <v>873</v>
      </c>
      <c r="I2386" s="7" t="s">
        <v>874</v>
      </c>
      <c r="M2386" s="7"/>
      <c r="N2386" s="7" t="s">
        <v>875</v>
      </c>
      <c r="P2386" s="126"/>
    </row>
    <row r="2387" spans="1:16" ht="15.75" customHeight="1">
      <c r="A2387" s="126">
        <v>46230.015752314801</v>
      </c>
      <c r="B2387" s="7">
        <v>12</v>
      </c>
      <c r="C2387" s="7">
        <v>753</v>
      </c>
      <c r="D2387" s="7"/>
      <c r="E2387" s="7" t="s">
        <v>1185</v>
      </c>
      <c r="F2387" s="7" t="s">
        <v>462</v>
      </c>
      <c r="G2387" s="7">
        <v>182</v>
      </c>
      <c r="H2387" s="7" t="s">
        <v>876</v>
      </c>
      <c r="I2387" s="7" t="s">
        <v>874</v>
      </c>
      <c r="J2387" s="7"/>
      <c r="M2387" s="7"/>
      <c r="N2387" s="7" t="s">
        <v>875</v>
      </c>
      <c r="P2387" s="126"/>
    </row>
    <row r="2388" spans="1:16" ht="15.75" customHeight="1">
      <c r="A2388" s="126">
        <v>46230.015752314801</v>
      </c>
      <c r="B2388" s="7">
        <v>12</v>
      </c>
      <c r="C2388" s="7">
        <v>753</v>
      </c>
      <c r="D2388" s="7"/>
      <c r="E2388" s="7" t="s">
        <v>1185</v>
      </c>
      <c r="F2388" s="7" t="s">
        <v>462</v>
      </c>
      <c r="G2388" s="7">
        <v>174</v>
      </c>
      <c r="H2388" s="7" t="s">
        <v>877</v>
      </c>
      <c r="I2388" s="7" t="s">
        <v>878</v>
      </c>
      <c r="J2388" s="7" t="s">
        <v>879</v>
      </c>
      <c r="M2388" s="7">
        <v>100</v>
      </c>
      <c r="N2388" s="7">
        <v>100</v>
      </c>
      <c r="P2388" s="126">
        <v>46209.706944444399</v>
      </c>
    </row>
    <row r="2389" spans="1:16" ht="15.75" customHeight="1">
      <c r="A2389" s="126">
        <v>46230.015752314801</v>
      </c>
      <c r="B2389" s="7">
        <v>12</v>
      </c>
      <c r="C2389" s="7">
        <v>753</v>
      </c>
      <c r="D2389" s="7"/>
      <c r="E2389" s="7" t="s">
        <v>1185</v>
      </c>
      <c r="F2389" s="7" t="s">
        <v>462</v>
      </c>
      <c r="G2389" s="7">
        <v>180</v>
      </c>
      <c r="H2389" s="7" t="s">
        <v>880</v>
      </c>
      <c r="I2389" s="7" t="s">
        <v>874</v>
      </c>
      <c r="J2389" s="7"/>
      <c r="M2389" s="7"/>
      <c r="N2389" s="7" t="s">
        <v>875</v>
      </c>
      <c r="O2389" s="126"/>
      <c r="P2389" s="126"/>
    </row>
    <row r="2390" spans="1:16" ht="15.75" customHeight="1">
      <c r="A2390" s="126">
        <v>46230.015752314801</v>
      </c>
      <c r="B2390" s="7">
        <v>12</v>
      </c>
      <c r="C2390" s="7">
        <v>753</v>
      </c>
      <c r="D2390" s="7"/>
      <c r="E2390" s="7" t="s">
        <v>1185</v>
      </c>
      <c r="F2390" s="7" t="s">
        <v>462</v>
      </c>
      <c r="G2390" s="7">
        <v>175</v>
      </c>
      <c r="H2390" s="7" t="s">
        <v>881</v>
      </c>
      <c r="I2390" s="7" t="s">
        <v>878</v>
      </c>
      <c r="J2390" s="7" t="s">
        <v>882</v>
      </c>
      <c r="M2390" s="7">
        <v>75</v>
      </c>
      <c r="N2390" s="7">
        <v>75</v>
      </c>
      <c r="O2390" s="126">
        <v>46216.556157407402</v>
      </c>
      <c r="P2390" s="126">
        <v>46216.556157407402</v>
      </c>
    </row>
    <row r="2391" spans="1:16" ht="15.75" customHeight="1">
      <c r="A2391" s="126">
        <v>46230.015752314801</v>
      </c>
      <c r="B2391" s="7">
        <v>12</v>
      </c>
      <c r="C2391" s="7">
        <v>753</v>
      </c>
      <c r="D2391" s="7"/>
      <c r="E2391" s="7" t="s">
        <v>1185</v>
      </c>
      <c r="F2391" s="7" t="s">
        <v>462</v>
      </c>
      <c r="G2391" s="7">
        <v>177</v>
      </c>
      <c r="H2391" s="7" t="s">
        <v>883</v>
      </c>
      <c r="I2391" s="7" t="s">
        <v>878</v>
      </c>
      <c r="J2391" s="7" t="s">
        <v>882</v>
      </c>
      <c r="M2391" s="7"/>
      <c r="N2391" s="7" t="s">
        <v>875</v>
      </c>
      <c r="O2391" s="126"/>
      <c r="P2391" s="126"/>
    </row>
    <row r="2392" spans="1:16" ht="15.75" customHeight="1">
      <c r="A2392" s="126">
        <v>46230.015752314801</v>
      </c>
      <c r="B2392" s="7">
        <v>12</v>
      </c>
      <c r="C2392" s="7">
        <v>753</v>
      </c>
      <c r="D2392" s="7"/>
      <c r="E2392" s="7" t="s">
        <v>1185</v>
      </c>
      <c r="F2392" s="7" t="s">
        <v>462</v>
      </c>
      <c r="G2392" s="7">
        <v>176</v>
      </c>
      <c r="H2392" s="7" t="s">
        <v>884</v>
      </c>
      <c r="I2392" s="7" t="s">
        <v>878</v>
      </c>
      <c r="J2392" s="7" t="s">
        <v>882</v>
      </c>
      <c r="M2392" s="7">
        <v>100</v>
      </c>
      <c r="N2392" s="7">
        <v>100</v>
      </c>
      <c r="O2392" s="126">
        <v>46229.532928240696</v>
      </c>
      <c r="P2392" s="126">
        <v>46229.532928240696</v>
      </c>
    </row>
    <row r="2393" spans="1:16" ht="15.75" customHeight="1">
      <c r="A2393" s="126">
        <v>46230.015752314801</v>
      </c>
      <c r="B2393" s="7">
        <v>12</v>
      </c>
      <c r="C2393" s="7">
        <v>753</v>
      </c>
      <c r="D2393" s="7"/>
      <c r="E2393" s="7" t="s">
        <v>1185</v>
      </c>
      <c r="F2393" s="7" t="s">
        <v>462</v>
      </c>
      <c r="G2393" s="7">
        <v>168</v>
      </c>
      <c r="H2393" s="7" t="s">
        <v>885</v>
      </c>
      <c r="I2393" s="7" t="s">
        <v>886</v>
      </c>
      <c r="J2393" s="7"/>
      <c r="M2393" s="7">
        <v>100</v>
      </c>
      <c r="N2393" s="7">
        <v>100</v>
      </c>
      <c r="O2393" s="126"/>
      <c r="P2393" s="126">
        <v>46209.706944444399</v>
      </c>
    </row>
    <row r="2394" spans="1:16" ht="15.75" customHeight="1">
      <c r="A2394" s="126">
        <v>46230.015752314801</v>
      </c>
      <c r="B2394" s="7">
        <v>12</v>
      </c>
      <c r="C2394" s="7">
        <v>745</v>
      </c>
      <c r="D2394" s="7">
        <v>335294</v>
      </c>
      <c r="E2394" s="7" t="s">
        <v>1186</v>
      </c>
      <c r="F2394" s="7" t="s">
        <v>78</v>
      </c>
      <c r="G2394" s="7">
        <v>181</v>
      </c>
      <c r="H2394" s="7" t="s">
        <v>873</v>
      </c>
      <c r="I2394" s="7" t="s">
        <v>874</v>
      </c>
      <c r="J2394" s="7"/>
      <c r="M2394" s="7"/>
      <c r="N2394" s="7" t="s">
        <v>875</v>
      </c>
      <c r="O2394" s="126"/>
      <c r="P2394" s="126"/>
    </row>
    <row r="2395" spans="1:16" ht="15.75" customHeight="1">
      <c r="A2395" s="126">
        <v>46230.015752314801</v>
      </c>
      <c r="B2395" s="7">
        <v>12</v>
      </c>
      <c r="C2395" s="7">
        <v>745</v>
      </c>
      <c r="D2395" s="7">
        <v>335294</v>
      </c>
      <c r="E2395" s="7" t="s">
        <v>1186</v>
      </c>
      <c r="F2395" s="7" t="s">
        <v>78</v>
      </c>
      <c r="G2395" s="7">
        <v>182</v>
      </c>
      <c r="H2395" s="7" t="s">
        <v>876</v>
      </c>
      <c r="I2395" s="7" t="s">
        <v>874</v>
      </c>
      <c r="J2395" s="7"/>
      <c r="M2395" s="7"/>
      <c r="N2395" s="7" t="s">
        <v>875</v>
      </c>
      <c r="P2395" s="126"/>
    </row>
    <row r="2396" spans="1:16" ht="15.75" customHeight="1">
      <c r="A2396" s="126">
        <v>46230.015752314801</v>
      </c>
      <c r="B2396" s="7">
        <v>12</v>
      </c>
      <c r="C2396" s="7">
        <v>745</v>
      </c>
      <c r="D2396" s="7">
        <v>335294</v>
      </c>
      <c r="E2396" s="7" t="s">
        <v>1186</v>
      </c>
      <c r="F2396" s="7" t="s">
        <v>78</v>
      </c>
      <c r="G2396" s="7">
        <v>174</v>
      </c>
      <c r="H2396" s="7" t="s">
        <v>877</v>
      </c>
      <c r="I2396" s="7" t="s">
        <v>878</v>
      </c>
      <c r="J2396" s="7" t="s">
        <v>879</v>
      </c>
      <c r="M2396" s="7">
        <v>100</v>
      </c>
      <c r="N2396" s="7">
        <v>100</v>
      </c>
      <c r="P2396" s="126">
        <v>46209.643819444398</v>
      </c>
    </row>
    <row r="2397" spans="1:16" ht="15.75" customHeight="1">
      <c r="A2397" s="126">
        <v>46230.015752314801</v>
      </c>
      <c r="B2397" s="7">
        <v>12</v>
      </c>
      <c r="C2397" s="7">
        <v>745</v>
      </c>
      <c r="D2397" s="7">
        <v>335294</v>
      </c>
      <c r="E2397" s="7" t="s">
        <v>1186</v>
      </c>
      <c r="F2397" s="7" t="s">
        <v>78</v>
      </c>
      <c r="G2397" s="7">
        <v>180</v>
      </c>
      <c r="H2397" s="7" t="s">
        <v>880</v>
      </c>
      <c r="I2397" s="7" t="s">
        <v>874</v>
      </c>
      <c r="J2397" s="7"/>
      <c r="M2397" s="7"/>
      <c r="N2397" s="7" t="s">
        <v>875</v>
      </c>
      <c r="P2397" s="126"/>
    </row>
    <row r="2398" spans="1:16" ht="15.75" customHeight="1">
      <c r="A2398" s="126">
        <v>46230.015752314801</v>
      </c>
      <c r="B2398" s="7">
        <v>12</v>
      </c>
      <c r="C2398" s="7">
        <v>745</v>
      </c>
      <c r="D2398" s="7">
        <v>335294</v>
      </c>
      <c r="E2398" s="7" t="s">
        <v>1186</v>
      </c>
      <c r="F2398" s="7" t="s">
        <v>78</v>
      </c>
      <c r="G2398" s="7">
        <v>175</v>
      </c>
      <c r="H2398" s="7" t="s">
        <v>881</v>
      </c>
      <c r="I2398" s="7" t="s">
        <v>878</v>
      </c>
      <c r="J2398" s="7" t="s">
        <v>882</v>
      </c>
      <c r="M2398" s="7">
        <v>75</v>
      </c>
      <c r="N2398" s="7">
        <v>75</v>
      </c>
      <c r="O2398" s="126">
        <v>46214.689826388902</v>
      </c>
      <c r="P2398" s="126">
        <v>46214.689826388902</v>
      </c>
    </row>
    <row r="2399" spans="1:16" ht="15.75" customHeight="1">
      <c r="A2399" s="126">
        <v>46230.015752314801</v>
      </c>
      <c r="B2399" s="7">
        <v>12</v>
      </c>
      <c r="C2399" s="7">
        <v>745</v>
      </c>
      <c r="D2399" s="7">
        <v>335294</v>
      </c>
      <c r="E2399" s="7" t="s">
        <v>1186</v>
      </c>
      <c r="F2399" s="7" t="s">
        <v>78</v>
      </c>
      <c r="G2399" s="7">
        <v>177</v>
      </c>
      <c r="H2399" s="7" t="s">
        <v>883</v>
      </c>
      <c r="I2399" s="7" t="s">
        <v>878</v>
      </c>
      <c r="J2399" s="7" t="s">
        <v>882</v>
      </c>
      <c r="M2399" s="7"/>
      <c r="N2399" s="7" t="s">
        <v>875</v>
      </c>
      <c r="P2399" s="126"/>
    </row>
    <row r="2400" spans="1:16" ht="15.75" customHeight="1">
      <c r="A2400" s="126">
        <v>46230.015752314801</v>
      </c>
      <c r="B2400" s="7">
        <v>12</v>
      </c>
      <c r="C2400" s="7">
        <v>745</v>
      </c>
      <c r="D2400" s="7">
        <v>335294</v>
      </c>
      <c r="E2400" s="7" t="s">
        <v>1186</v>
      </c>
      <c r="F2400" s="7" t="s">
        <v>78</v>
      </c>
      <c r="G2400" s="7">
        <v>176</v>
      </c>
      <c r="H2400" s="7" t="s">
        <v>884</v>
      </c>
      <c r="I2400" s="7" t="s">
        <v>878</v>
      </c>
      <c r="J2400" s="7" t="s">
        <v>882</v>
      </c>
      <c r="M2400" s="7">
        <v>70</v>
      </c>
      <c r="N2400" s="7">
        <v>70</v>
      </c>
      <c r="O2400" s="126">
        <v>46229.876423611102</v>
      </c>
      <c r="P2400" s="126">
        <v>46229.876423611102</v>
      </c>
    </row>
    <row r="2401" spans="1:16" ht="15.75" customHeight="1">
      <c r="A2401" s="126">
        <v>46230.015752314801</v>
      </c>
      <c r="B2401" s="7">
        <v>12</v>
      </c>
      <c r="C2401" s="7">
        <v>745</v>
      </c>
      <c r="D2401" s="7">
        <v>335294</v>
      </c>
      <c r="E2401" s="7" t="s">
        <v>1186</v>
      </c>
      <c r="F2401" s="7" t="s">
        <v>78</v>
      </c>
      <c r="G2401" s="7">
        <v>168</v>
      </c>
      <c r="H2401" s="7" t="s">
        <v>885</v>
      </c>
      <c r="I2401" s="7" t="s">
        <v>886</v>
      </c>
      <c r="J2401" s="7"/>
      <c r="M2401" s="7">
        <v>100</v>
      </c>
      <c r="N2401" s="7">
        <v>100</v>
      </c>
      <c r="P2401" s="126">
        <v>46209.643819444398</v>
      </c>
    </row>
    <row r="2402" spans="1:16" ht="15.75" customHeight="1">
      <c r="A2402" s="126">
        <v>46230.015752314801</v>
      </c>
      <c r="B2402" s="7">
        <v>12</v>
      </c>
      <c r="C2402" s="7">
        <v>768</v>
      </c>
      <c r="E2402" s="7" t="s">
        <v>1187</v>
      </c>
      <c r="F2402" s="7" t="s">
        <v>255</v>
      </c>
      <c r="G2402" s="7">
        <v>181</v>
      </c>
      <c r="H2402" s="7" t="s">
        <v>873</v>
      </c>
      <c r="I2402" s="7" t="s">
        <v>874</v>
      </c>
      <c r="J2402" s="7"/>
      <c r="M2402" s="7"/>
      <c r="N2402" s="7" t="s">
        <v>875</v>
      </c>
      <c r="O2402" s="126"/>
      <c r="P2402" s="126"/>
    </row>
    <row r="2403" spans="1:16" ht="15.75" customHeight="1">
      <c r="A2403" s="126">
        <v>46230.015752314801</v>
      </c>
      <c r="B2403" s="7">
        <v>12</v>
      </c>
      <c r="C2403" s="7">
        <v>768</v>
      </c>
      <c r="E2403" s="7" t="s">
        <v>1187</v>
      </c>
      <c r="F2403" s="7" t="s">
        <v>255</v>
      </c>
      <c r="G2403" s="7">
        <v>182</v>
      </c>
      <c r="H2403" s="7" t="s">
        <v>876</v>
      </c>
      <c r="I2403" s="7" t="s">
        <v>874</v>
      </c>
      <c r="J2403" s="7"/>
      <c r="M2403" s="7"/>
      <c r="N2403" s="7" t="s">
        <v>875</v>
      </c>
      <c r="O2403" s="126"/>
      <c r="P2403" s="126"/>
    </row>
    <row r="2404" spans="1:16" ht="15.75" customHeight="1">
      <c r="A2404" s="126">
        <v>46230.015752314801</v>
      </c>
      <c r="B2404" s="7">
        <v>12</v>
      </c>
      <c r="C2404" s="7">
        <v>768</v>
      </c>
      <c r="E2404" s="7" t="s">
        <v>1187</v>
      </c>
      <c r="F2404" s="7" t="s">
        <v>255</v>
      </c>
      <c r="G2404" s="7">
        <v>174</v>
      </c>
      <c r="H2404" s="7" t="s">
        <v>877</v>
      </c>
      <c r="I2404" s="7" t="s">
        <v>878</v>
      </c>
      <c r="J2404" s="7" t="s">
        <v>879</v>
      </c>
      <c r="M2404" s="7">
        <v>100</v>
      </c>
      <c r="N2404" s="7">
        <v>100</v>
      </c>
      <c r="P2404" s="126">
        <v>46209.706944444399</v>
      </c>
    </row>
    <row r="2405" spans="1:16" ht="15.75" customHeight="1">
      <c r="A2405" s="126">
        <v>46230.015752314801</v>
      </c>
      <c r="B2405" s="7">
        <v>12</v>
      </c>
      <c r="C2405" s="7">
        <v>768</v>
      </c>
      <c r="E2405" s="7" t="s">
        <v>1187</v>
      </c>
      <c r="F2405" s="7" t="s">
        <v>255</v>
      </c>
      <c r="G2405" s="7">
        <v>180</v>
      </c>
      <c r="H2405" s="7" t="s">
        <v>880</v>
      </c>
      <c r="I2405" s="7" t="s">
        <v>874</v>
      </c>
      <c r="J2405" s="7"/>
      <c r="M2405" s="7"/>
      <c r="N2405" s="7" t="s">
        <v>875</v>
      </c>
      <c r="O2405" s="126"/>
      <c r="P2405" s="126"/>
    </row>
    <row r="2406" spans="1:16" ht="15.75" customHeight="1">
      <c r="A2406" s="126">
        <v>46230.015752314801</v>
      </c>
      <c r="B2406" s="7">
        <v>12</v>
      </c>
      <c r="C2406" s="7">
        <v>768</v>
      </c>
      <c r="E2406" s="7" t="s">
        <v>1187</v>
      </c>
      <c r="F2406" s="7" t="s">
        <v>255</v>
      </c>
      <c r="G2406" s="7">
        <v>175</v>
      </c>
      <c r="H2406" s="7" t="s">
        <v>881</v>
      </c>
      <c r="I2406" s="7" t="s">
        <v>878</v>
      </c>
      <c r="J2406" s="7" t="s">
        <v>882</v>
      </c>
      <c r="M2406" s="7">
        <v>75</v>
      </c>
      <c r="N2406" s="7">
        <v>75</v>
      </c>
      <c r="O2406" s="126">
        <v>46229.960416666698</v>
      </c>
      <c r="P2406" s="126">
        <v>46229.960416666698</v>
      </c>
    </row>
    <row r="2407" spans="1:16" ht="15.75" customHeight="1">
      <c r="A2407" s="126">
        <v>46230.015752314801</v>
      </c>
      <c r="B2407" s="7">
        <v>12</v>
      </c>
      <c r="C2407" s="7">
        <v>768</v>
      </c>
      <c r="E2407" s="7" t="s">
        <v>1187</v>
      </c>
      <c r="F2407" s="7" t="s">
        <v>255</v>
      </c>
      <c r="G2407" s="7">
        <v>177</v>
      </c>
      <c r="H2407" s="7" t="s">
        <v>883</v>
      </c>
      <c r="I2407" s="7" t="s">
        <v>878</v>
      </c>
      <c r="J2407" s="7" t="s">
        <v>882</v>
      </c>
      <c r="M2407" s="7"/>
      <c r="N2407" s="7" t="s">
        <v>875</v>
      </c>
      <c r="P2407" s="126"/>
    </row>
    <row r="2408" spans="1:16" ht="15.75" customHeight="1">
      <c r="A2408" s="126">
        <v>46230.015752314801</v>
      </c>
      <c r="B2408" s="7">
        <v>12</v>
      </c>
      <c r="C2408" s="7">
        <v>768</v>
      </c>
      <c r="E2408" s="7" t="s">
        <v>1187</v>
      </c>
      <c r="F2408" s="7" t="s">
        <v>255</v>
      </c>
      <c r="G2408" s="7">
        <v>176</v>
      </c>
      <c r="H2408" s="7" t="s">
        <v>884</v>
      </c>
      <c r="I2408" s="7" t="s">
        <v>878</v>
      </c>
      <c r="J2408" s="7" t="s">
        <v>882</v>
      </c>
      <c r="M2408" s="7">
        <v>100</v>
      </c>
      <c r="N2408" s="7">
        <v>100</v>
      </c>
      <c r="O2408" s="126">
        <v>46229.967002314799</v>
      </c>
      <c r="P2408" s="126">
        <v>46229.967002314799</v>
      </c>
    </row>
    <row r="2409" spans="1:16" ht="15.75" customHeight="1">
      <c r="A2409" s="126">
        <v>46230.015752314801</v>
      </c>
      <c r="B2409" s="7">
        <v>12</v>
      </c>
      <c r="C2409" s="7">
        <v>768</v>
      </c>
      <c r="E2409" s="7" t="s">
        <v>1187</v>
      </c>
      <c r="F2409" s="7" t="s">
        <v>255</v>
      </c>
      <c r="G2409" s="7">
        <v>168</v>
      </c>
      <c r="H2409" s="7" t="s">
        <v>885</v>
      </c>
      <c r="I2409" s="7" t="s">
        <v>886</v>
      </c>
      <c r="J2409" s="7"/>
      <c r="M2409" s="7">
        <v>100</v>
      </c>
      <c r="N2409" s="7">
        <v>100</v>
      </c>
      <c r="O2409" s="126"/>
      <c r="P2409" s="126">
        <v>46209.706944444399</v>
      </c>
    </row>
    <row r="2410" spans="1:16" ht="15.75" customHeight="1">
      <c r="A2410" s="126">
        <v>46230.015752314801</v>
      </c>
      <c r="B2410" s="7">
        <v>12</v>
      </c>
      <c r="C2410" s="7">
        <v>616</v>
      </c>
      <c r="E2410" s="7" t="s">
        <v>1188</v>
      </c>
      <c r="F2410" s="7" t="s">
        <v>618</v>
      </c>
      <c r="G2410" s="7">
        <v>181</v>
      </c>
      <c r="H2410" s="7" t="s">
        <v>873</v>
      </c>
      <c r="I2410" s="7" t="s">
        <v>874</v>
      </c>
      <c r="J2410" s="7"/>
      <c r="M2410" s="7"/>
      <c r="N2410" s="7" t="s">
        <v>875</v>
      </c>
      <c r="P2410" s="126"/>
    </row>
    <row r="2411" spans="1:16" ht="15.75" customHeight="1">
      <c r="A2411" s="126">
        <v>46230.015752314801</v>
      </c>
      <c r="B2411" s="7">
        <v>12</v>
      </c>
      <c r="C2411" s="7">
        <v>616</v>
      </c>
      <c r="E2411" s="7" t="s">
        <v>1188</v>
      </c>
      <c r="F2411" s="7" t="s">
        <v>618</v>
      </c>
      <c r="G2411" s="7">
        <v>182</v>
      </c>
      <c r="H2411" s="7" t="s">
        <v>876</v>
      </c>
      <c r="I2411" s="7" t="s">
        <v>874</v>
      </c>
      <c r="J2411" s="7"/>
      <c r="M2411" s="7"/>
      <c r="N2411" s="7" t="s">
        <v>875</v>
      </c>
      <c r="O2411" s="126"/>
      <c r="P2411" s="126"/>
    </row>
    <row r="2412" spans="1:16" ht="15.75" customHeight="1">
      <c r="A2412" s="126">
        <v>46230.015752314801</v>
      </c>
      <c r="B2412" s="7">
        <v>12</v>
      </c>
      <c r="C2412" s="7">
        <v>616</v>
      </c>
      <c r="E2412" s="7" t="s">
        <v>1188</v>
      </c>
      <c r="F2412" s="7" t="s">
        <v>618</v>
      </c>
      <c r="G2412" s="7">
        <v>174</v>
      </c>
      <c r="H2412" s="7" t="s">
        <v>877</v>
      </c>
      <c r="I2412" s="7" t="s">
        <v>878</v>
      </c>
      <c r="J2412" s="7" t="s">
        <v>879</v>
      </c>
      <c r="M2412" s="7">
        <v>100</v>
      </c>
      <c r="N2412" s="7">
        <v>100</v>
      </c>
      <c r="O2412" s="126"/>
      <c r="P2412" s="126">
        <v>46209.706944444399</v>
      </c>
    </row>
    <row r="2413" spans="1:16" ht="15.75" customHeight="1">
      <c r="A2413" s="126">
        <v>46230.015752314801</v>
      </c>
      <c r="B2413" s="7">
        <v>12</v>
      </c>
      <c r="C2413" s="7">
        <v>616</v>
      </c>
      <c r="E2413" s="7" t="s">
        <v>1188</v>
      </c>
      <c r="F2413" s="7" t="s">
        <v>618</v>
      </c>
      <c r="G2413" s="7">
        <v>180</v>
      </c>
      <c r="H2413" s="7" t="s">
        <v>880</v>
      </c>
      <c r="I2413" s="7" t="s">
        <v>874</v>
      </c>
      <c r="J2413" s="7"/>
      <c r="M2413" s="7"/>
      <c r="N2413" s="7" t="s">
        <v>875</v>
      </c>
      <c r="O2413" s="126"/>
      <c r="P2413" s="126"/>
    </row>
    <row r="2414" spans="1:16" ht="15.75" customHeight="1">
      <c r="A2414" s="126">
        <v>46230.015752314801</v>
      </c>
      <c r="B2414" s="7">
        <v>12</v>
      </c>
      <c r="C2414" s="7">
        <v>616</v>
      </c>
      <c r="E2414" s="7" t="s">
        <v>1188</v>
      </c>
      <c r="F2414" s="7" t="s">
        <v>618</v>
      </c>
      <c r="G2414" s="7">
        <v>175</v>
      </c>
      <c r="H2414" s="7" t="s">
        <v>881</v>
      </c>
      <c r="I2414" s="7" t="s">
        <v>878</v>
      </c>
      <c r="J2414" s="7" t="s">
        <v>882</v>
      </c>
      <c r="M2414" s="7">
        <v>100</v>
      </c>
      <c r="N2414" s="7">
        <v>100</v>
      </c>
      <c r="O2414" s="126">
        <v>46214.441284722197</v>
      </c>
      <c r="P2414" s="126">
        <v>46214.441284722197</v>
      </c>
    </row>
    <row r="2415" spans="1:16" ht="15.75" customHeight="1">
      <c r="A2415" s="126">
        <v>46230.015752314801</v>
      </c>
      <c r="B2415" s="7">
        <v>12</v>
      </c>
      <c r="C2415" s="7">
        <v>616</v>
      </c>
      <c r="E2415" s="7" t="s">
        <v>1188</v>
      </c>
      <c r="F2415" s="7" t="s">
        <v>618</v>
      </c>
      <c r="G2415" s="7">
        <v>177</v>
      </c>
      <c r="H2415" s="7" t="s">
        <v>883</v>
      </c>
      <c r="I2415" s="7" t="s">
        <v>878</v>
      </c>
      <c r="J2415" s="7" t="s">
        <v>882</v>
      </c>
      <c r="M2415" s="7"/>
      <c r="N2415" s="7" t="s">
        <v>875</v>
      </c>
      <c r="P2415" s="126"/>
    </row>
    <row r="2416" spans="1:16" ht="15.75" customHeight="1">
      <c r="A2416" s="126">
        <v>46230.015752314801</v>
      </c>
      <c r="B2416" s="7">
        <v>12</v>
      </c>
      <c r="C2416" s="7">
        <v>616</v>
      </c>
      <c r="E2416" s="7" t="s">
        <v>1188</v>
      </c>
      <c r="F2416" s="7" t="s">
        <v>618</v>
      </c>
      <c r="G2416" s="7">
        <v>176</v>
      </c>
      <c r="H2416" s="7" t="s">
        <v>884</v>
      </c>
      <c r="I2416" s="7" t="s">
        <v>878</v>
      </c>
      <c r="J2416" s="7" t="s">
        <v>882</v>
      </c>
      <c r="M2416" s="7">
        <v>100</v>
      </c>
      <c r="N2416" s="7">
        <v>100</v>
      </c>
      <c r="O2416" s="126">
        <v>46223.893587963001</v>
      </c>
      <c r="P2416" s="126">
        <v>46223.893587963001</v>
      </c>
    </row>
    <row r="2417" spans="1:16" ht="15.75" customHeight="1">
      <c r="A2417" s="126">
        <v>46230.015752314801</v>
      </c>
      <c r="B2417" s="7">
        <v>12</v>
      </c>
      <c r="C2417" s="7">
        <v>616</v>
      </c>
      <c r="E2417" s="7" t="s">
        <v>1188</v>
      </c>
      <c r="F2417" s="7" t="s">
        <v>618</v>
      </c>
      <c r="G2417" s="7">
        <v>168</v>
      </c>
      <c r="H2417" s="7" t="s">
        <v>885</v>
      </c>
      <c r="I2417" s="7" t="s">
        <v>886</v>
      </c>
      <c r="M2417" s="7">
        <v>100</v>
      </c>
      <c r="N2417" s="7">
        <v>100</v>
      </c>
      <c r="P2417" s="126">
        <v>46209.706944444399</v>
      </c>
    </row>
    <row r="2418" spans="1:16" ht="15.75" customHeight="1">
      <c r="A2418" s="126">
        <v>46230.015752314801</v>
      </c>
      <c r="B2418" s="7">
        <v>12</v>
      </c>
      <c r="C2418" s="7">
        <v>307</v>
      </c>
      <c r="E2418" s="7" t="s">
        <v>1189</v>
      </c>
      <c r="F2418" s="7" t="s">
        <v>357</v>
      </c>
      <c r="G2418" s="7">
        <v>181</v>
      </c>
      <c r="H2418" s="7" t="s">
        <v>873</v>
      </c>
      <c r="I2418" s="7" t="s">
        <v>874</v>
      </c>
      <c r="J2418" s="7"/>
      <c r="M2418" s="7"/>
      <c r="N2418" s="7" t="s">
        <v>875</v>
      </c>
      <c r="O2418" s="126"/>
      <c r="P2418" s="126"/>
    </row>
    <row r="2419" spans="1:16" ht="15.75" customHeight="1">
      <c r="A2419" s="126">
        <v>46230.015752314801</v>
      </c>
      <c r="B2419" s="7">
        <v>12</v>
      </c>
      <c r="C2419" s="7">
        <v>307</v>
      </c>
      <c r="E2419" s="7" t="s">
        <v>1189</v>
      </c>
      <c r="F2419" s="7" t="s">
        <v>357</v>
      </c>
      <c r="G2419" s="7">
        <v>182</v>
      </c>
      <c r="H2419" s="7" t="s">
        <v>876</v>
      </c>
      <c r="I2419" s="7" t="s">
        <v>874</v>
      </c>
      <c r="J2419" s="7"/>
      <c r="M2419" s="7"/>
      <c r="N2419" s="7" t="s">
        <v>875</v>
      </c>
      <c r="P2419" s="126"/>
    </row>
    <row r="2420" spans="1:16" ht="15.75" customHeight="1">
      <c r="A2420" s="126">
        <v>46230.015752314801</v>
      </c>
      <c r="B2420" s="7">
        <v>12</v>
      </c>
      <c r="C2420" s="7">
        <v>307</v>
      </c>
      <c r="E2420" s="7" t="s">
        <v>1189</v>
      </c>
      <c r="F2420" s="7" t="s">
        <v>357</v>
      </c>
      <c r="G2420" s="7">
        <v>174</v>
      </c>
      <c r="H2420" s="7" t="s">
        <v>877</v>
      </c>
      <c r="I2420" s="7" t="s">
        <v>878</v>
      </c>
      <c r="J2420" s="7" t="s">
        <v>879</v>
      </c>
      <c r="M2420" s="7">
        <v>100</v>
      </c>
      <c r="N2420" s="7">
        <v>100</v>
      </c>
      <c r="O2420" s="126"/>
      <c r="P2420" s="126">
        <v>46209.706944444399</v>
      </c>
    </row>
    <row r="2421" spans="1:16" ht="15.75" customHeight="1">
      <c r="A2421" s="126">
        <v>46230.015752314801</v>
      </c>
      <c r="B2421" s="7">
        <v>12</v>
      </c>
      <c r="C2421" s="7">
        <v>307</v>
      </c>
      <c r="E2421" s="7" t="s">
        <v>1189</v>
      </c>
      <c r="F2421" s="7" t="s">
        <v>357</v>
      </c>
      <c r="G2421" s="7">
        <v>180</v>
      </c>
      <c r="H2421" s="7" t="s">
        <v>880</v>
      </c>
      <c r="I2421" s="7" t="s">
        <v>874</v>
      </c>
      <c r="J2421" s="7"/>
      <c r="M2421" s="7"/>
      <c r="N2421" s="7" t="s">
        <v>875</v>
      </c>
      <c r="O2421" s="126"/>
      <c r="P2421" s="126"/>
    </row>
    <row r="2422" spans="1:16" ht="15.75" customHeight="1">
      <c r="A2422" s="126">
        <v>46230.015752314801</v>
      </c>
      <c r="B2422" s="7">
        <v>12</v>
      </c>
      <c r="C2422" s="7">
        <v>307</v>
      </c>
      <c r="E2422" s="7" t="s">
        <v>1189</v>
      </c>
      <c r="F2422" s="7" t="s">
        <v>357</v>
      </c>
      <c r="G2422" s="7">
        <v>175</v>
      </c>
      <c r="H2422" s="7" t="s">
        <v>881</v>
      </c>
      <c r="I2422" s="7" t="s">
        <v>878</v>
      </c>
      <c r="J2422" s="7" t="s">
        <v>882</v>
      </c>
      <c r="M2422" s="7">
        <v>75</v>
      </c>
      <c r="N2422" s="7">
        <v>75</v>
      </c>
      <c r="O2422" s="126">
        <v>46215.861400463</v>
      </c>
      <c r="P2422" s="126">
        <v>46215.861400463</v>
      </c>
    </row>
    <row r="2423" spans="1:16" ht="15.75" customHeight="1">
      <c r="A2423" s="126">
        <v>46230.015752314801</v>
      </c>
      <c r="B2423" s="7">
        <v>12</v>
      </c>
      <c r="C2423" s="7">
        <v>307</v>
      </c>
      <c r="E2423" s="7" t="s">
        <v>1189</v>
      </c>
      <c r="F2423" s="7" t="s">
        <v>357</v>
      </c>
      <c r="G2423" s="7">
        <v>177</v>
      </c>
      <c r="H2423" s="7" t="s">
        <v>883</v>
      </c>
      <c r="I2423" s="7" t="s">
        <v>878</v>
      </c>
      <c r="J2423" s="7" t="s">
        <v>882</v>
      </c>
      <c r="M2423" s="7"/>
      <c r="N2423" s="7" t="s">
        <v>875</v>
      </c>
      <c r="P2423" s="126"/>
    </row>
    <row r="2424" spans="1:16" ht="15.75" customHeight="1">
      <c r="A2424" s="126">
        <v>46230.015752314801</v>
      </c>
      <c r="B2424" s="7">
        <v>12</v>
      </c>
      <c r="C2424" s="7">
        <v>307</v>
      </c>
      <c r="E2424" s="7" t="s">
        <v>1189</v>
      </c>
      <c r="F2424" s="7" t="s">
        <v>357</v>
      </c>
      <c r="G2424" s="7">
        <v>176</v>
      </c>
      <c r="H2424" s="7" t="s">
        <v>884</v>
      </c>
      <c r="I2424" s="7" t="s">
        <v>878</v>
      </c>
      <c r="J2424" s="7" t="s">
        <v>882</v>
      </c>
      <c r="M2424" s="7">
        <v>90</v>
      </c>
      <c r="N2424" s="7">
        <v>90</v>
      </c>
      <c r="O2424" s="126">
        <v>46228.680659722202</v>
      </c>
      <c r="P2424" s="126">
        <v>46228.680659722202</v>
      </c>
    </row>
    <row r="2425" spans="1:16" ht="15.75" customHeight="1">
      <c r="A2425" s="126">
        <v>46230.015752314801</v>
      </c>
      <c r="B2425" s="7">
        <v>12</v>
      </c>
      <c r="C2425" s="7">
        <v>307</v>
      </c>
      <c r="E2425" s="7" t="s">
        <v>1189</v>
      </c>
      <c r="F2425" s="7" t="s">
        <v>357</v>
      </c>
      <c r="G2425" s="7">
        <v>168</v>
      </c>
      <c r="H2425" s="7" t="s">
        <v>885</v>
      </c>
      <c r="I2425" s="7" t="s">
        <v>886</v>
      </c>
      <c r="J2425" s="7"/>
      <c r="M2425" s="7">
        <v>100</v>
      </c>
      <c r="N2425" s="7">
        <v>100</v>
      </c>
      <c r="P2425" s="126">
        <v>46209.706944444399</v>
      </c>
    </row>
    <row r="2426" spans="1:16" ht="15.75" customHeight="1">
      <c r="A2426" s="126">
        <v>46230.015752314801</v>
      </c>
      <c r="B2426" s="7">
        <v>12</v>
      </c>
      <c r="C2426" s="7">
        <v>597</v>
      </c>
      <c r="D2426" s="7"/>
      <c r="E2426" s="7" t="s">
        <v>1190</v>
      </c>
      <c r="F2426" s="7" t="s">
        <v>362</v>
      </c>
      <c r="G2426" s="7">
        <v>181</v>
      </c>
      <c r="H2426" s="7" t="s">
        <v>873</v>
      </c>
      <c r="I2426" s="7" t="s">
        <v>874</v>
      </c>
      <c r="M2426" s="7"/>
      <c r="N2426" s="7" t="s">
        <v>875</v>
      </c>
      <c r="P2426" s="126"/>
    </row>
    <row r="2427" spans="1:16" ht="15.75" customHeight="1">
      <c r="A2427" s="126">
        <v>46230.015752314801</v>
      </c>
      <c r="B2427" s="7">
        <v>12</v>
      </c>
      <c r="C2427" s="7">
        <v>597</v>
      </c>
      <c r="D2427" s="7"/>
      <c r="E2427" s="7" t="s">
        <v>1190</v>
      </c>
      <c r="F2427" s="7" t="s">
        <v>362</v>
      </c>
      <c r="G2427" s="7">
        <v>182</v>
      </c>
      <c r="H2427" s="7" t="s">
        <v>876</v>
      </c>
      <c r="I2427" s="7" t="s">
        <v>874</v>
      </c>
      <c r="J2427" s="7"/>
      <c r="M2427" s="7"/>
      <c r="N2427" s="7" t="s">
        <v>875</v>
      </c>
      <c r="O2427" s="126"/>
      <c r="P2427" s="126"/>
    </row>
    <row r="2428" spans="1:16" ht="15.75" customHeight="1">
      <c r="A2428" s="126">
        <v>46230.015752314801</v>
      </c>
      <c r="B2428" s="7">
        <v>12</v>
      </c>
      <c r="C2428" s="7">
        <v>597</v>
      </c>
      <c r="D2428" s="7"/>
      <c r="E2428" s="7" t="s">
        <v>1190</v>
      </c>
      <c r="F2428" s="7" t="s">
        <v>362</v>
      </c>
      <c r="G2428" s="7">
        <v>174</v>
      </c>
      <c r="H2428" s="7" t="s">
        <v>877</v>
      </c>
      <c r="I2428" s="7" t="s">
        <v>878</v>
      </c>
      <c r="J2428" s="7" t="s">
        <v>879</v>
      </c>
      <c r="M2428" s="7">
        <v>100</v>
      </c>
      <c r="N2428" s="7">
        <v>100</v>
      </c>
      <c r="P2428" s="126">
        <v>46209.645624999997</v>
      </c>
    </row>
    <row r="2429" spans="1:16" ht="15.75" customHeight="1">
      <c r="A2429" s="126">
        <v>46230.015752314801</v>
      </c>
      <c r="B2429" s="7">
        <v>12</v>
      </c>
      <c r="C2429" s="7">
        <v>597</v>
      </c>
      <c r="D2429" s="7"/>
      <c r="E2429" s="7" t="s">
        <v>1190</v>
      </c>
      <c r="F2429" s="7" t="s">
        <v>362</v>
      </c>
      <c r="G2429" s="7">
        <v>180</v>
      </c>
      <c r="H2429" s="7" t="s">
        <v>880</v>
      </c>
      <c r="I2429" s="7" t="s">
        <v>874</v>
      </c>
      <c r="J2429" s="7"/>
      <c r="M2429" s="7"/>
      <c r="N2429" s="7" t="s">
        <v>875</v>
      </c>
      <c r="O2429" s="126"/>
      <c r="P2429" s="126"/>
    </row>
    <row r="2430" spans="1:16" ht="15.75" customHeight="1">
      <c r="A2430" s="126">
        <v>46230.015752314801</v>
      </c>
      <c r="B2430" s="7">
        <v>12</v>
      </c>
      <c r="C2430" s="7">
        <v>597</v>
      </c>
      <c r="D2430" s="7"/>
      <c r="E2430" s="7" t="s">
        <v>1190</v>
      </c>
      <c r="F2430" s="7" t="s">
        <v>362</v>
      </c>
      <c r="G2430" s="7">
        <v>175</v>
      </c>
      <c r="H2430" s="7" t="s">
        <v>881</v>
      </c>
      <c r="I2430" s="7" t="s">
        <v>878</v>
      </c>
      <c r="J2430" s="7" t="s">
        <v>882</v>
      </c>
      <c r="M2430" s="7">
        <v>87.5</v>
      </c>
      <c r="N2430" s="7">
        <v>87.5</v>
      </c>
      <c r="O2430" s="126">
        <v>46213.759155092601</v>
      </c>
      <c r="P2430" s="126">
        <v>46213.759155092601</v>
      </c>
    </row>
    <row r="2431" spans="1:16" ht="15.75" customHeight="1">
      <c r="A2431" s="126">
        <v>46230.015752314801</v>
      </c>
      <c r="B2431" s="7">
        <v>12</v>
      </c>
      <c r="C2431" s="7">
        <v>597</v>
      </c>
      <c r="D2431" s="7"/>
      <c r="E2431" s="7" t="s">
        <v>1190</v>
      </c>
      <c r="F2431" s="7" t="s">
        <v>362</v>
      </c>
      <c r="G2431" s="7">
        <v>177</v>
      </c>
      <c r="H2431" s="7" t="s">
        <v>883</v>
      </c>
      <c r="I2431" s="7" t="s">
        <v>878</v>
      </c>
      <c r="J2431" s="7" t="s">
        <v>882</v>
      </c>
      <c r="M2431" s="7"/>
      <c r="N2431" s="7" t="s">
        <v>875</v>
      </c>
      <c r="P2431" s="126"/>
    </row>
    <row r="2432" spans="1:16" ht="15.75" customHeight="1">
      <c r="A2432" s="126">
        <v>46230.015752314801</v>
      </c>
      <c r="B2432" s="7">
        <v>12</v>
      </c>
      <c r="C2432" s="7">
        <v>597</v>
      </c>
      <c r="D2432" s="7"/>
      <c r="E2432" s="7" t="s">
        <v>1190</v>
      </c>
      <c r="F2432" s="7" t="s">
        <v>362</v>
      </c>
      <c r="G2432" s="7">
        <v>176</v>
      </c>
      <c r="H2432" s="7" t="s">
        <v>884</v>
      </c>
      <c r="I2432" s="7" t="s">
        <v>878</v>
      </c>
      <c r="J2432" s="7" t="s">
        <v>882</v>
      </c>
      <c r="M2432" s="7">
        <v>100</v>
      </c>
      <c r="N2432" s="7">
        <v>100</v>
      </c>
      <c r="O2432" s="126">
        <v>46225.868796296301</v>
      </c>
      <c r="P2432" s="126">
        <v>46225.868796296301</v>
      </c>
    </row>
    <row r="2433" spans="1:16" ht="15.75" customHeight="1">
      <c r="A2433" s="126">
        <v>46230.015752314801</v>
      </c>
      <c r="B2433" s="7">
        <v>12</v>
      </c>
      <c r="C2433" s="7">
        <v>597</v>
      </c>
      <c r="D2433" s="7"/>
      <c r="E2433" s="7" t="s">
        <v>1190</v>
      </c>
      <c r="F2433" s="7" t="s">
        <v>362</v>
      </c>
      <c r="G2433" s="7">
        <v>168</v>
      </c>
      <c r="H2433" s="7" t="s">
        <v>885</v>
      </c>
      <c r="I2433" s="7" t="s">
        <v>886</v>
      </c>
      <c r="M2433" s="7">
        <v>100</v>
      </c>
      <c r="N2433" s="7">
        <v>100</v>
      </c>
      <c r="P2433" s="126">
        <v>46209.645624999997</v>
      </c>
    </row>
    <row r="2434" spans="1:16" ht="15.75" customHeight="1">
      <c r="A2434" s="126">
        <v>46230.015752314801</v>
      </c>
      <c r="B2434" s="7">
        <v>12</v>
      </c>
      <c r="C2434" s="7">
        <v>380</v>
      </c>
      <c r="D2434" s="7">
        <v>136562</v>
      </c>
      <c r="E2434" s="7" t="s">
        <v>1191</v>
      </c>
      <c r="F2434" s="7" t="s">
        <v>80</v>
      </c>
      <c r="G2434" s="7">
        <v>181</v>
      </c>
      <c r="H2434" s="7" t="s">
        <v>873</v>
      </c>
      <c r="I2434" s="7" t="s">
        <v>874</v>
      </c>
      <c r="J2434" s="7"/>
      <c r="M2434" s="7"/>
      <c r="N2434" s="7" t="s">
        <v>875</v>
      </c>
      <c r="P2434" s="126"/>
    </row>
    <row r="2435" spans="1:16" ht="15.75" customHeight="1">
      <c r="A2435" s="126">
        <v>46230.015752314801</v>
      </c>
      <c r="B2435" s="7">
        <v>12</v>
      </c>
      <c r="C2435" s="7">
        <v>380</v>
      </c>
      <c r="D2435" s="7">
        <v>136562</v>
      </c>
      <c r="E2435" s="7" t="s">
        <v>1191</v>
      </c>
      <c r="F2435" s="7" t="s">
        <v>80</v>
      </c>
      <c r="G2435" s="7">
        <v>182</v>
      </c>
      <c r="H2435" s="7" t="s">
        <v>876</v>
      </c>
      <c r="I2435" s="7" t="s">
        <v>874</v>
      </c>
      <c r="J2435" s="7"/>
      <c r="M2435" s="7"/>
      <c r="N2435" s="7" t="s">
        <v>875</v>
      </c>
      <c r="P2435" s="126"/>
    </row>
    <row r="2436" spans="1:16" ht="15.75" customHeight="1">
      <c r="A2436" s="126">
        <v>46230.015752314801</v>
      </c>
      <c r="B2436" s="7">
        <v>12</v>
      </c>
      <c r="C2436" s="7">
        <v>380</v>
      </c>
      <c r="D2436" s="7">
        <v>136562</v>
      </c>
      <c r="E2436" s="7" t="s">
        <v>1191</v>
      </c>
      <c r="F2436" s="7" t="s">
        <v>80</v>
      </c>
      <c r="G2436" s="7">
        <v>174</v>
      </c>
      <c r="H2436" s="7" t="s">
        <v>877</v>
      </c>
      <c r="I2436" s="7" t="s">
        <v>878</v>
      </c>
      <c r="J2436" s="7" t="s">
        <v>879</v>
      </c>
      <c r="M2436" s="7">
        <v>100</v>
      </c>
      <c r="N2436" s="7">
        <v>100</v>
      </c>
      <c r="O2436" s="126"/>
      <c r="P2436" s="126">
        <v>46209.706956018497</v>
      </c>
    </row>
    <row r="2437" spans="1:16" ht="15.75" customHeight="1">
      <c r="A2437" s="126">
        <v>46230.015752314801</v>
      </c>
      <c r="B2437" s="7">
        <v>12</v>
      </c>
      <c r="C2437" s="7">
        <v>380</v>
      </c>
      <c r="D2437" s="7">
        <v>136562</v>
      </c>
      <c r="E2437" s="7" t="s">
        <v>1191</v>
      </c>
      <c r="F2437" s="7" t="s">
        <v>80</v>
      </c>
      <c r="G2437" s="7">
        <v>180</v>
      </c>
      <c r="H2437" s="7" t="s">
        <v>880</v>
      </c>
      <c r="I2437" s="7" t="s">
        <v>874</v>
      </c>
      <c r="J2437" s="7"/>
      <c r="M2437" s="7"/>
      <c r="N2437" s="7" t="s">
        <v>875</v>
      </c>
      <c r="O2437" s="126"/>
      <c r="P2437" s="126"/>
    </row>
    <row r="2438" spans="1:16" ht="15.75" customHeight="1">
      <c r="A2438" s="126">
        <v>46230.015752314801</v>
      </c>
      <c r="B2438" s="7">
        <v>12</v>
      </c>
      <c r="C2438" s="7">
        <v>380</v>
      </c>
      <c r="D2438" s="7">
        <v>136562</v>
      </c>
      <c r="E2438" s="7" t="s">
        <v>1191</v>
      </c>
      <c r="F2438" s="7" t="s">
        <v>80</v>
      </c>
      <c r="G2438" s="7">
        <v>175</v>
      </c>
      <c r="H2438" s="7" t="s">
        <v>881</v>
      </c>
      <c r="I2438" s="7" t="s">
        <v>878</v>
      </c>
      <c r="J2438" s="7" t="s">
        <v>882</v>
      </c>
      <c r="M2438" s="7">
        <v>87.5</v>
      </c>
      <c r="N2438" s="7">
        <v>87.5</v>
      </c>
      <c r="O2438" s="126">
        <v>46216.8491782407</v>
      </c>
      <c r="P2438" s="126">
        <v>46216.8491782407</v>
      </c>
    </row>
    <row r="2439" spans="1:16" ht="15.75" customHeight="1">
      <c r="A2439" s="126">
        <v>46230.015752314801</v>
      </c>
      <c r="B2439" s="7">
        <v>12</v>
      </c>
      <c r="C2439" s="7">
        <v>380</v>
      </c>
      <c r="D2439" s="7">
        <v>136562</v>
      </c>
      <c r="E2439" s="7" t="s">
        <v>1191</v>
      </c>
      <c r="F2439" s="7" t="s">
        <v>80</v>
      </c>
      <c r="G2439" s="7">
        <v>177</v>
      </c>
      <c r="H2439" s="7" t="s">
        <v>883</v>
      </c>
      <c r="I2439" s="7" t="s">
        <v>878</v>
      </c>
      <c r="J2439" s="7" t="s">
        <v>882</v>
      </c>
      <c r="M2439" s="7"/>
      <c r="N2439" s="7" t="s">
        <v>875</v>
      </c>
      <c r="O2439" s="126"/>
      <c r="P2439" s="126"/>
    </row>
    <row r="2440" spans="1:16" ht="15.75" customHeight="1">
      <c r="A2440" s="126">
        <v>46230.015752314801</v>
      </c>
      <c r="B2440" s="7">
        <v>12</v>
      </c>
      <c r="C2440" s="7">
        <v>380</v>
      </c>
      <c r="D2440" s="7">
        <v>136562</v>
      </c>
      <c r="E2440" s="7" t="s">
        <v>1191</v>
      </c>
      <c r="F2440" s="7" t="s">
        <v>80</v>
      </c>
      <c r="G2440" s="7">
        <v>176</v>
      </c>
      <c r="H2440" s="7" t="s">
        <v>884</v>
      </c>
      <c r="I2440" s="7" t="s">
        <v>878</v>
      </c>
      <c r="J2440" s="7" t="s">
        <v>882</v>
      </c>
      <c r="M2440" s="7">
        <v>100</v>
      </c>
      <c r="N2440" s="7">
        <v>100</v>
      </c>
      <c r="O2440" s="126">
        <v>46224.720914351798</v>
      </c>
      <c r="P2440" s="126">
        <v>46224.720914351798</v>
      </c>
    </row>
    <row r="2441" spans="1:16" ht="15.75" customHeight="1">
      <c r="A2441" s="126">
        <v>46230.015752314801</v>
      </c>
      <c r="B2441" s="7">
        <v>12</v>
      </c>
      <c r="C2441" s="7">
        <v>380</v>
      </c>
      <c r="D2441" s="7">
        <v>136562</v>
      </c>
      <c r="E2441" s="7" t="s">
        <v>1191</v>
      </c>
      <c r="F2441" s="7" t="s">
        <v>80</v>
      </c>
      <c r="G2441" s="7">
        <v>168</v>
      </c>
      <c r="H2441" s="7" t="s">
        <v>885</v>
      </c>
      <c r="I2441" s="7" t="s">
        <v>886</v>
      </c>
      <c r="M2441" s="7">
        <v>100</v>
      </c>
      <c r="N2441" s="7">
        <v>100</v>
      </c>
      <c r="P2441" s="126">
        <v>46209.706956018497</v>
      </c>
    </row>
    <row r="2442" spans="1:16" ht="15.75" customHeight="1">
      <c r="A2442" s="126">
        <v>46230.015752314801</v>
      </c>
      <c r="B2442" s="7">
        <v>12</v>
      </c>
      <c r="C2442" s="7">
        <v>677</v>
      </c>
      <c r="E2442" s="7" t="s">
        <v>1192</v>
      </c>
      <c r="F2442" s="7" t="s">
        <v>228</v>
      </c>
      <c r="G2442" s="7">
        <v>181</v>
      </c>
      <c r="H2442" s="7" t="s">
        <v>873</v>
      </c>
      <c r="I2442" s="7" t="s">
        <v>874</v>
      </c>
      <c r="M2442" s="7"/>
      <c r="N2442" s="7" t="s">
        <v>875</v>
      </c>
      <c r="P2442" s="126"/>
    </row>
    <row r="2443" spans="1:16" ht="15.75" customHeight="1">
      <c r="A2443" s="126">
        <v>46230.015752314801</v>
      </c>
      <c r="B2443" s="7">
        <v>12</v>
      </c>
      <c r="C2443" s="7">
        <v>677</v>
      </c>
      <c r="E2443" s="7" t="s">
        <v>1192</v>
      </c>
      <c r="F2443" s="7" t="s">
        <v>228</v>
      </c>
      <c r="G2443" s="7">
        <v>182</v>
      </c>
      <c r="H2443" s="7" t="s">
        <v>876</v>
      </c>
      <c r="I2443" s="7" t="s">
        <v>874</v>
      </c>
      <c r="J2443" s="7"/>
      <c r="M2443" s="7"/>
      <c r="N2443" s="7" t="s">
        <v>875</v>
      </c>
      <c r="P2443" s="126"/>
    </row>
    <row r="2444" spans="1:16" ht="15.75" customHeight="1">
      <c r="A2444" s="126">
        <v>46230.015752314801</v>
      </c>
      <c r="B2444" s="7">
        <v>12</v>
      </c>
      <c r="C2444" s="7">
        <v>677</v>
      </c>
      <c r="E2444" s="7" t="s">
        <v>1192</v>
      </c>
      <c r="F2444" s="7" t="s">
        <v>228</v>
      </c>
      <c r="G2444" s="7">
        <v>174</v>
      </c>
      <c r="H2444" s="7" t="s">
        <v>877</v>
      </c>
      <c r="I2444" s="7" t="s">
        <v>878</v>
      </c>
      <c r="J2444" s="7" t="s">
        <v>879</v>
      </c>
      <c r="M2444" s="7">
        <v>100</v>
      </c>
      <c r="N2444" s="7">
        <v>100</v>
      </c>
      <c r="P2444" s="126">
        <v>46209.706979166702</v>
      </c>
    </row>
    <row r="2445" spans="1:16" ht="15.75" customHeight="1">
      <c r="A2445" s="126">
        <v>46230.015752314801</v>
      </c>
      <c r="B2445" s="7">
        <v>12</v>
      </c>
      <c r="C2445" s="7">
        <v>677</v>
      </c>
      <c r="E2445" s="7" t="s">
        <v>1192</v>
      </c>
      <c r="F2445" s="7" t="s">
        <v>228</v>
      </c>
      <c r="G2445" s="7">
        <v>180</v>
      </c>
      <c r="H2445" s="7" t="s">
        <v>880</v>
      </c>
      <c r="I2445" s="7" t="s">
        <v>874</v>
      </c>
      <c r="J2445" s="7"/>
      <c r="M2445" s="7"/>
      <c r="N2445" s="7" t="s">
        <v>875</v>
      </c>
      <c r="O2445" s="126"/>
      <c r="P2445" s="126"/>
    </row>
    <row r="2446" spans="1:16" ht="15.75" customHeight="1">
      <c r="A2446" s="126">
        <v>46230.015752314801</v>
      </c>
      <c r="B2446" s="7">
        <v>12</v>
      </c>
      <c r="C2446" s="7">
        <v>677</v>
      </c>
      <c r="E2446" s="7" t="s">
        <v>1192</v>
      </c>
      <c r="F2446" s="7" t="s">
        <v>228</v>
      </c>
      <c r="G2446" s="7">
        <v>175</v>
      </c>
      <c r="H2446" s="7" t="s">
        <v>881</v>
      </c>
      <c r="I2446" s="7" t="s">
        <v>878</v>
      </c>
      <c r="J2446" s="7" t="s">
        <v>882</v>
      </c>
      <c r="M2446" s="7">
        <v>62.5</v>
      </c>
      <c r="N2446" s="7">
        <v>62.5</v>
      </c>
      <c r="O2446" s="126">
        <v>46216.461851851898</v>
      </c>
      <c r="P2446" s="126">
        <v>46216.461851851898</v>
      </c>
    </row>
    <row r="2447" spans="1:16" ht="15.75" customHeight="1">
      <c r="A2447" s="126">
        <v>46230.015752314801</v>
      </c>
      <c r="B2447" s="7">
        <v>12</v>
      </c>
      <c r="C2447" s="7">
        <v>677</v>
      </c>
      <c r="E2447" s="7" t="s">
        <v>1192</v>
      </c>
      <c r="F2447" s="7" t="s">
        <v>228</v>
      </c>
      <c r="G2447" s="7">
        <v>177</v>
      </c>
      <c r="H2447" s="7" t="s">
        <v>883</v>
      </c>
      <c r="I2447" s="7" t="s">
        <v>878</v>
      </c>
      <c r="J2447" s="7" t="s">
        <v>882</v>
      </c>
      <c r="M2447" s="7"/>
      <c r="N2447" s="7" t="s">
        <v>875</v>
      </c>
      <c r="O2447" s="126"/>
      <c r="P2447" s="126"/>
    </row>
    <row r="2448" spans="1:16" ht="15.75" customHeight="1">
      <c r="A2448" s="126">
        <v>46230.015752314801</v>
      </c>
      <c r="B2448" s="7">
        <v>12</v>
      </c>
      <c r="C2448" s="7">
        <v>677</v>
      </c>
      <c r="E2448" s="7" t="s">
        <v>1192</v>
      </c>
      <c r="F2448" s="7" t="s">
        <v>228</v>
      </c>
      <c r="G2448" s="7">
        <v>176</v>
      </c>
      <c r="H2448" s="7" t="s">
        <v>884</v>
      </c>
      <c r="I2448" s="7" t="s">
        <v>878</v>
      </c>
      <c r="J2448" s="7" t="s">
        <v>882</v>
      </c>
      <c r="M2448" s="7">
        <v>90</v>
      </c>
      <c r="N2448" s="7">
        <v>90</v>
      </c>
      <c r="O2448" s="126">
        <v>46228.260497685202</v>
      </c>
      <c r="P2448" s="126">
        <v>46228.260497685202</v>
      </c>
    </row>
    <row r="2449" spans="1:16" ht="15.75" customHeight="1">
      <c r="A2449" s="126">
        <v>46230.015752314801</v>
      </c>
      <c r="B2449" s="7">
        <v>12</v>
      </c>
      <c r="C2449" s="7">
        <v>677</v>
      </c>
      <c r="E2449" s="7" t="s">
        <v>1192</v>
      </c>
      <c r="F2449" s="7" t="s">
        <v>228</v>
      </c>
      <c r="G2449" s="7">
        <v>168</v>
      </c>
      <c r="H2449" s="7" t="s">
        <v>885</v>
      </c>
      <c r="I2449" s="7" t="s">
        <v>886</v>
      </c>
      <c r="M2449" s="7">
        <v>100</v>
      </c>
      <c r="N2449" s="7">
        <v>100</v>
      </c>
      <c r="P2449" s="126">
        <v>46209.706979166702</v>
      </c>
    </row>
    <row r="2450" spans="1:16" ht="15.75" customHeight="1">
      <c r="A2450" s="126">
        <v>46230.015752314801</v>
      </c>
      <c r="B2450" s="7">
        <v>12</v>
      </c>
      <c r="C2450" s="7">
        <v>763</v>
      </c>
      <c r="D2450" s="7"/>
      <c r="E2450" s="7" t="s">
        <v>1193</v>
      </c>
      <c r="F2450" s="7" t="s">
        <v>170</v>
      </c>
      <c r="G2450" s="7">
        <v>181</v>
      </c>
      <c r="H2450" s="7" t="s">
        <v>873</v>
      </c>
      <c r="I2450" s="7" t="s">
        <v>874</v>
      </c>
      <c r="M2450" s="7"/>
      <c r="N2450" s="7" t="s">
        <v>875</v>
      </c>
      <c r="P2450" s="126"/>
    </row>
    <row r="2451" spans="1:16" ht="15.75" customHeight="1">
      <c r="A2451" s="126">
        <v>46230.015752314801</v>
      </c>
      <c r="B2451" s="7">
        <v>12</v>
      </c>
      <c r="C2451" s="7">
        <v>763</v>
      </c>
      <c r="D2451" s="7"/>
      <c r="E2451" s="7" t="s">
        <v>1193</v>
      </c>
      <c r="F2451" s="7" t="s">
        <v>170</v>
      </c>
      <c r="G2451" s="7">
        <v>182</v>
      </c>
      <c r="H2451" s="7" t="s">
        <v>876</v>
      </c>
      <c r="I2451" s="7" t="s">
        <v>874</v>
      </c>
      <c r="J2451" s="7"/>
      <c r="M2451" s="7"/>
      <c r="N2451" s="7" t="s">
        <v>875</v>
      </c>
      <c r="P2451" s="126"/>
    </row>
    <row r="2452" spans="1:16" ht="15.75" customHeight="1">
      <c r="A2452" s="126">
        <v>46230.015752314801</v>
      </c>
      <c r="B2452" s="7">
        <v>12</v>
      </c>
      <c r="C2452" s="7">
        <v>763</v>
      </c>
      <c r="D2452" s="7"/>
      <c r="E2452" s="7" t="s">
        <v>1193</v>
      </c>
      <c r="F2452" s="7" t="s">
        <v>170</v>
      </c>
      <c r="G2452" s="7">
        <v>174</v>
      </c>
      <c r="H2452" s="7" t="s">
        <v>877</v>
      </c>
      <c r="I2452" s="7" t="s">
        <v>878</v>
      </c>
      <c r="J2452" s="7" t="s">
        <v>879</v>
      </c>
      <c r="M2452" s="7">
        <v>100</v>
      </c>
      <c r="N2452" s="7">
        <v>100</v>
      </c>
      <c r="P2452" s="126">
        <v>46209.706979166702</v>
      </c>
    </row>
    <row r="2453" spans="1:16" ht="15.75" customHeight="1">
      <c r="A2453" s="126">
        <v>46230.015752314801</v>
      </c>
      <c r="B2453" s="7">
        <v>12</v>
      </c>
      <c r="C2453" s="7">
        <v>763</v>
      </c>
      <c r="D2453" s="7"/>
      <c r="E2453" s="7" t="s">
        <v>1193</v>
      </c>
      <c r="F2453" s="7" t="s">
        <v>170</v>
      </c>
      <c r="G2453" s="7">
        <v>180</v>
      </c>
      <c r="H2453" s="7" t="s">
        <v>880</v>
      </c>
      <c r="I2453" s="7" t="s">
        <v>874</v>
      </c>
      <c r="J2453" s="7"/>
      <c r="M2453" s="7"/>
      <c r="N2453" s="7" t="s">
        <v>875</v>
      </c>
      <c r="O2453" s="126"/>
      <c r="P2453" s="126"/>
    </row>
    <row r="2454" spans="1:16" ht="15.75" customHeight="1">
      <c r="A2454" s="126">
        <v>46230.015752314801</v>
      </c>
      <c r="B2454" s="7">
        <v>12</v>
      </c>
      <c r="C2454" s="7">
        <v>763</v>
      </c>
      <c r="D2454" s="7"/>
      <c r="E2454" s="7" t="s">
        <v>1193</v>
      </c>
      <c r="F2454" s="7" t="s">
        <v>170</v>
      </c>
      <c r="G2454" s="7">
        <v>175</v>
      </c>
      <c r="H2454" s="7" t="s">
        <v>881</v>
      </c>
      <c r="I2454" s="7" t="s">
        <v>878</v>
      </c>
      <c r="J2454" s="7" t="s">
        <v>882</v>
      </c>
      <c r="M2454" s="7">
        <v>75</v>
      </c>
      <c r="N2454" s="7">
        <v>75</v>
      </c>
      <c r="O2454" s="126">
        <v>46216.486967592602</v>
      </c>
      <c r="P2454" s="126">
        <v>46216.486967592602</v>
      </c>
    </row>
    <row r="2455" spans="1:16" ht="15.75" customHeight="1">
      <c r="A2455" s="126">
        <v>46230.015752314801</v>
      </c>
      <c r="B2455" s="7">
        <v>12</v>
      </c>
      <c r="C2455" s="7">
        <v>763</v>
      </c>
      <c r="D2455" s="7"/>
      <c r="E2455" s="7" t="s">
        <v>1193</v>
      </c>
      <c r="F2455" s="7" t="s">
        <v>170</v>
      </c>
      <c r="G2455" s="7">
        <v>177</v>
      </c>
      <c r="H2455" s="7" t="s">
        <v>883</v>
      </c>
      <c r="I2455" s="7" t="s">
        <v>878</v>
      </c>
      <c r="J2455" s="7" t="s">
        <v>882</v>
      </c>
      <c r="M2455" s="7"/>
      <c r="N2455" s="7" t="s">
        <v>875</v>
      </c>
      <c r="P2455" s="126"/>
    </row>
    <row r="2456" spans="1:16" ht="15.75" customHeight="1">
      <c r="A2456" s="126">
        <v>46230.015752314801</v>
      </c>
      <c r="B2456" s="7">
        <v>12</v>
      </c>
      <c r="C2456" s="7">
        <v>763</v>
      </c>
      <c r="D2456" s="7"/>
      <c r="E2456" s="7" t="s">
        <v>1193</v>
      </c>
      <c r="F2456" s="7" t="s">
        <v>170</v>
      </c>
      <c r="G2456" s="7">
        <v>176</v>
      </c>
      <c r="H2456" s="7" t="s">
        <v>884</v>
      </c>
      <c r="I2456" s="7" t="s">
        <v>878</v>
      </c>
      <c r="J2456" s="7" t="s">
        <v>882</v>
      </c>
      <c r="M2456" s="7">
        <v>100</v>
      </c>
      <c r="N2456" s="7">
        <v>100</v>
      </c>
      <c r="O2456" s="126">
        <v>46228.813194444403</v>
      </c>
      <c r="P2456" s="126">
        <v>46228.813194444403</v>
      </c>
    </row>
    <row r="2457" spans="1:16" ht="15.75" customHeight="1">
      <c r="A2457" s="126">
        <v>46230.015752314801</v>
      </c>
      <c r="B2457" s="7">
        <v>12</v>
      </c>
      <c r="C2457" s="7">
        <v>763</v>
      </c>
      <c r="D2457" s="7"/>
      <c r="E2457" s="7" t="s">
        <v>1193</v>
      </c>
      <c r="F2457" s="7" t="s">
        <v>170</v>
      </c>
      <c r="G2457" s="7">
        <v>168</v>
      </c>
      <c r="H2457" s="7" t="s">
        <v>885</v>
      </c>
      <c r="I2457" s="7" t="s">
        <v>886</v>
      </c>
      <c r="J2457" s="7"/>
      <c r="M2457" s="7">
        <v>100</v>
      </c>
      <c r="N2457" s="7">
        <v>100</v>
      </c>
      <c r="O2457" s="126"/>
      <c r="P2457" s="126">
        <v>46209.706979166702</v>
      </c>
    </row>
    <row r="2458" spans="1:16" ht="15.75" customHeight="1">
      <c r="A2458" s="126">
        <v>46230.015752314801</v>
      </c>
      <c r="B2458" s="7">
        <v>12</v>
      </c>
      <c r="C2458" s="7">
        <v>780</v>
      </c>
      <c r="D2458" s="7"/>
      <c r="E2458" s="7" t="s">
        <v>1194</v>
      </c>
      <c r="F2458" s="7" t="s">
        <v>769</v>
      </c>
      <c r="G2458" s="7">
        <v>181</v>
      </c>
      <c r="H2458" s="7" t="s">
        <v>873</v>
      </c>
      <c r="I2458" s="7" t="s">
        <v>874</v>
      </c>
      <c r="M2458" s="7"/>
      <c r="N2458" s="7" t="s">
        <v>875</v>
      </c>
      <c r="P2458" s="126"/>
    </row>
    <row r="2459" spans="1:16" ht="15.75" customHeight="1">
      <c r="A2459" s="126">
        <v>46230.015752314801</v>
      </c>
      <c r="B2459" s="7">
        <v>12</v>
      </c>
      <c r="C2459" s="7">
        <v>780</v>
      </c>
      <c r="D2459" s="7"/>
      <c r="E2459" s="7" t="s">
        <v>1194</v>
      </c>
      <c r="F2459" s="7" t="s">
        <v>769</v>
      </c>
      <c r="G2459" s="7">
        <v>182</v>
      </c>
      <c r="H2459" s="7" t="s">
        <v>876</v>
      </c>
      <c r="I2459" s="7" t="s">
        <v>874</v>
      </c>
      <c r="J2459" s="7"/>
      <c r="M2459" s="7"/>
      <c r="N2459" s="7" t="s">
        <v>875</v>
      </c>
      <c r="P2459" s="126"/>
    </row>
    <row r="2460" spans="1:16" ht="15.75" customHeight="1">
      <c r="A2460" s="126">
        <v>46230.015752314801</v>
      </c>
      <c r="B2460" s="7">
        <v>12</v>
      </c>
      <c r="C2460" s="7">
        <v>780</v>
      </c>
      <c r="D2460" s="7"/>
      <c r="E2460" s="7" t="s">
        <v>1194</v>
      </c>
      <c r="F2460" s="7" t="s">
        <v>769</v>
      </c>
      <c r="G2460" s="7">
        <v>174</v>
      </c>
      <c r="H2460" s="7" t="s">
        <v>877</v>
      </c>
      <c r="I2460" s="7" t="s">
        <v>878</v>
      </c>
      <c r="J2460" s="7" t="s">
        <v>879</v>
      </c>
      <c r="M2460" s="7">
        <v>100</v>
      </c>
      <c r="N2460" s="7">
        <v>100</v>
      </c>
      <c r="P2460" s="126">
        <v>46209.652175925898</v>
      </c>
    </row>
    <row r="2461" spans="1:16" ht="15.75" customHeight="1">
      <c r="A2461" s="126">
        <v>46230.015752314801</v>
      </c>
      <c r="B2461" s="7">
        <v>12</v>
      </c>
      <c r="C2461" s="7">
        <v>780</v>
      </c>
      <c r="D2461" s="7"/>
      <c r="E2461" s="7" t="s">
        <v>1194</v>
      </c>
      <c r="F2461" s="7" t="s">
        <v>769</v>
      </c>
      <c r="G2461" s="7">
        <v>180</v>
      </c>
      <c r="H2461" s="7" t="s">
        <v>880</v>
      </c>
      <c r="I2461" s="7" t="s">
        <v>874</v>
      </c>
      <c r="J2461" s="7"/>
      <c r="M2461" s="7"/>
      <c r="N2461" s="7" t="s">
        <v>875</v>
      </c>
      <c r="O2461" s="126"/>
      <c r="P2461" s="126"/>
    </row>
    <row r="2462" spans="1:16" ht="15.75" customHeight="1">
      <c r="A2462" s="126">
        <v>46230.015752314801</v>
      </c>
      <c r="B2462" s="7">
        <v>12</v>
      </c>
      <c r="C2462" s="7">
        <v>780</v>
      </c>
      <c r="D2462" s="7"/>
      <c r="E2462" s="7" t="s">
        <v>1194</v>
      </c>
      <c r="F2462" s="7" t="s">
        <v>769</v>
      </c>
      <c r="G2462" s="7">
        <v>175</v>
      </c>
      <c r="H2462" s="7" t="s">
        <v>881</v>
      </c>
      <c r="I2462" s="7" t="s">
        <v>878</v>
      </c>
      <c r="J2462" s="7" t="s">
        <v>882</v>
      </c>
      <c r="M2462" s="7">
        <v>100</v>
      </c>
      <c r="N2462" s="7">
        <v>100</v>
      </c>
      <c r="O2462" s="126">
        <v>46214.577025462997</v>
      </c>
      <c r="P2462" s="126">
        <v>46214.577025462997</v>
      </c>
    </row>
    <row r="2463" spans="1:16" ht="15.75" customHeight="1">
      <c r="A2463" s="126">
        <v>46230.015752314801</v>
      </c>
      <c r="B2463" s="7">
        <v>12</v>
      </c>
      <c r="C2463" s="7">
        <v>780</v>
      </c>
      <c r="D2463" s="7"/>
      <c r="E2463" s="7" t="s">
        <v>1194</v>
      </c>
      <c r="F2463" s="7" t="s">
        <v>769</v>
      </c>
      <c r="G2463" s="7">
        <v>177</v>
      </c>
      <c r="H2463" s="7" t="s">
        <v>883</v>
      </c>
      <c r="I2463" s="7" t="s">
        <v>878</v>
      </c>
      <c r="J2463" s="7" t="s">
        <v>882</v>
      </c>
      <c r="M2463" s="7"/>
      <c r="N2463" s="7" t="s">
        <v>875</v>
      </c>
      <c r="O2463" s="126"/>
      <c r="P2463" s="126"/>
    </row>
    <row r="2464" spans="1:16" ht="15.75" customHeight="1">
      <c r="A2464" s="126">
        <v>46230.015752314801</v>
      </c>
      <c r="B2464" s="7">
        <v>12</v>
      </c>
      <c r="C2464" s="7">
        <v>780</v>
      </c>
      <c r="D2464" s="7"/>
      <c r="E2464" s="7" t="s">
        <v>1194</v>
      </c>
      <c r="F2464" s="7" t="s">
        <v>769</v>
      </c>
      <c r="G2464" s="7">
        <v>176</v>
      </c>
      <c r="H2464" s="7" t="s">
        <v>884</v>
      </c>
      <c r="I2464" s="7" t="s">
        <v>878</v>
      </c>
      <c r="J2464" s="7" t="s">
        <v>882</v>
      </c>
      <c r="M2464" s="7">
        <v>100</v>
      </c>
      <c r="N2464" s="7">
        <v>100</v>
      </c>
      <c r="O2464" s="126">
        <v>46225.472685185203</v>
      </c>
      <c r="P2464" s="126">
        <v>46225.472685185203</v>
      </c>
    </row>
    <row r="2465" spans="1:16" ht="15.75" customHeight="1">
      <c r="A2465" s="126">
        <v>46230.015752314801</v>
      </c>
      <c r="B2465" s="7">
        <v>12</v>
      </c>
      <c r="C2465" s="7">
        <v>780</v>
      </c>
      <c r="D2465" s="7"/>
      <c r="E2465" s="7" t="s">
        <v>1194</v>
      </c>
      <c r="F2465" s="7" t="s">
        <v>769</v>
      </c>
      <c r="G2465" s="7">
        <v>168</v>
      </c>
      <c r="H2465" s="7" t="s">
        <v>885</v>
      </c>
      <c r="I2465" s="7" t="s">
        <v>886</v>
      </c>
      <c r="J2465" s="7"/>
      <c r="M2465" s="7">
        <v>100</v>
      </c>
      <c r="N2465" s="7">
        <v>100</v>
      </c>
      <c r="O2465" s="126"/>
      <c r="P2465" s="126">
        <v>46209.652175925898</v>
      </c>
    </row>
    <row r="2466" spans="1:16" ht="15.75" customHeight="1">
      <c r="A2466" s="126">
        <v>46230.015752314801</v>
      </c>
      <c r="B2466" s="7">
        <v>12</v>
      </c>
      <c r="C2466" s="7">
        <v>408</v>
      </c>
      <c r="D2466" s="7"/>
      <c r="E2466" s="7" t="s">
        <v>1195</v>
      </c>
      <c r="F2466" s="7" t="s">
        <v>540</v>
      </c>
      <c r="G2466" s="7">
        <v>181</v>
      </c>
      <c r="H2466" s="7" t="s">
        <v>873</v>
      </c>
      <c r="I2466" s="7" t="s">
        <v>874</v>
      </c>
      <c r="J2466" s="7"/>
      <c r="M2466" s="7"/>
      <c r="N2466" s="7" t="s">
        <v>875</v>
      </c>
      <c r="O2466" s="126"/>
      <c r="P2466" s="126"/>
    </row>
    <row r="2467" spans="1:16" ht="15.75" customHeight="1">
      <c r="A2467" s="126">
        <v>46230.015752314801</v>
      </c>
      <c r="B2467" s="7">
        <v>12</v>
      </c>
      <c r="C2467" s="7">
        <v>408</v>
      </c>
      <c r="D2467" s="7"/>
      <c r="E2467" s="7" t="s">
        <v>1195</v>
      </c>
      <c r="F2467" s="7" t="s">
        <v>540</v>
      </c>
      <c r="G2467" s="7">
        <v>182</v>
      </c>
      <c r="H2467" s="7" t="s">
        <v>876</v>
      </c>
      <c r="I2467" s="7" t="s">
        <v>874</v>
      </c>
      <c r="J2467" s="7"/>
      <c r="M2467" s="7"/>
      <c r="N2467" s="7" t="s">
        <v>875</v>
      </c>
      <c r="P2467" s="126"/>
    </row>
    <row r="2468" spans="1:16" ht="15.75" customHeight="1">
      <c r="A2468" s="126">
        <v>46230.015752314801</v>
      </c>
      <c r="B2468" s="7">
        <v>12</v>
      </c>
      <c r="C2468" s="7">
        <v>408</v>
      </c>
      <c r="D2468" s="7"/>
      <c r="E2468" s="7" t="s">
        <v>1195</v>
      </c>
      <c r="F2468" s="7" t="s">
        <v>540</v>
      </c>
      <c r="G2468" s="7">
        <v>174</v>
      </c>
      <c r="H2468" s="7" t="s">
        <v>877</v>
      </c>
      <c r="I2468" s="7" t="s">
        <v>878</v>
      </c>
      <c r="J2468" s="7" t="s">
        <v>879</v>
      </c>
      <c r="M2468" s="7">
        <v>100</v>
      </c>
      <c r="N2468" s="7">
        <v>100</v>
      </c>
      <c r="P2468" s="126">
        <v>46209.706979166702</v>
      </c>
    </row>
    <row r="2469" spans="1:16" ht="15.75" customHeight="1">
      <c r="A2469" s="126">
        <v>46230.015752314801</v>
      </c>
      <c r="B2469" s="7">
        <v>12</v>
      </c>
      <c r="C2469" s="7">
        <v>408</v>
      </c>
      <c r="D2469" s="7"/>
      <c r="E2469" s="7" t="s">
        <v>1195</v>
      </c>
      <c r="F2469" s="7" t="s">
        <v>540</v>
      </c>
      <c r="G2469" s="7">
        <v>180</v>
      </c>
      <c r="H2469" s="7" t="s">
        <v>880</v>
      </c>
      <c r="I2469" s="7" t="s">
        <v>874</v>
      </c>
      <c r="J2469" s="7"/>
      <c r="M2469" s="7"/>
      <c r="N2469" s="7" t="s">
        <v>875</v>
      </c>
      <c r="O2469" s="126"/>
      <c r="P2469" s="126"/>
    </row>
    <row r="2470" spans="1:16" ht="15.75" customHeight="1">
      <c r="A2470" s="126">
        <v>46230.015752314801</v>
      </c>
      <c r="B2470" s="7">
        <v>12</v>
      </c>
      <c r="C2470" s="7">
        <v>408</v>
      </c>
      <c r="D2470" s="7"/>
      <c r="E2470" s="7" t="s">
        <v>1195</v>
      </c>
      <c r="F2470" s="7" t="s">
        <v>540</v>
      </c>
      <c r="G2470" s="7">
        <v>175</v>
      </c>
      <c r="H2470" s="7" t="s">
        <v>881</v>
      </c>
      <c r="I2470" s="7" t="s">
        <v>878</v>
      </c>
      <c r="J2470" s="7" t="s">
        <v>882</v>
      </c>
      <c r="M2470" s="7">
        <v>87.5</v>
      </c>
      <c r="N2470" s="7">
        <v>87.5</v>
      </c>
      <c r="O2470" s="126">
        <v>46214.443865740701</v>
      </c>
      <c r="P2470" s="126">
        <v>46214.443865740701</v>
      </c>
    </row>
    <row r="2471" spans="1:16" ht="15.75" customHeight="1">
      <c r="A2471" s="126">
        <v>46230.015752314801</v>
      </c>
      <c r="B2471" s="7">
        <v>12</v>
      </c>
      <c r="C2471" s="7">
        <v>408</v>
      </c>
      <c r="D2471" s="7"/>
      <c r="E2471" s="7" t="s">
        <v>1195</v>
      </c>
      <c r="F2471" s="7" t="s">
        <v>540</v>
      </c>
      <c r="G2471" s="7">
        <v>177</v>
      </c>
      <c r="H2471" s="7" t="s">
        <v>883</v>
      </c>
      <c r="I2471" s="7" t="s">
        <v>878</v>
      </c>
      <c r="J2471" s="7" t="s">
        <v>882</v>
      </c>
      <c r="M2471" s="7"/>
      <c r="N2471" s="7" t="s">
        <v>875</v>
      </c>
      <c r="P2471" s="126"/>
    </row>
    <row r="2472" spans="1:16" ht="15.75" customHeight="1">
      <c r="A2472" s="126">
        <v>46230.015752314801</v>
      </c>
      <c r="B2472" s="7">
        <v>12</v>
      </c>
      <c r="C2472" s="7">
        <v>408</v>
      </c>
      <c r="D2472" s="7"/>
      <c r="E2472" s="7" t="s">
        <v>1195</v>
      </c>
      <c r="F2472" s="7" t="s">
        <v>540</v>
      </c>
      <c r="G2472" s="7">
        <v>176</v>
      </c>
      <c r="H2472" s="7" t="s">
        <v>884</v>
      </c>
      <c r="I2472" s="7" t="s">
        <v>878</v>
      </c>
      <c r="J2472" s="7" t="s">
        <v>882</v>
      </c>
      <c r="M2472" s="7">
        <v>80</v>
      </c>
      <c r="N2472" s="7">
        <v>80</v>
      </c>
      <c r="O2472" s="126">
        <v>46224.818877314799</v>
      </c>
      <c r="P2472" s="126">
        <v>46224.818877314799</v>
      </c>
    </row>
    <row r="2473" spans="1:16" ht="15.75" customHeight="1">
      <c r="A2473" s="126">
        <v>46230.015752314801</v>
      </c>
      <c r="B2473" s="7">
        <v>12</v>
      </c>
      <c r="C2473" s="7">
        <v>408</v>
      </c>
      <c r="D2473" s="7"/>
      <c r="E2473" s="7" t="s">
        <v>1195</v>
      </c>
      <c r="F2473" s="7" t="s">
        <v>540</v>
      </c>
      <c r="G2473" s="7">
        <v>168</v>
      </c>
      <c r="H2473" s="7" t="s">
        <v>885</v>
      </c>
      <c r="I2473" s="7" t="s">
        <v>886</v>
      </c>
      <c r="J2473" s="7"/>
      <c r="M2473" s="7">
        <v>100</v>
      </c>
      <c r="N2473" s="7">
        <v>100</v>
      </c>
      <c r="P2473" s="126">
        <v>46209.706979166702</v>
      </c>
    </row>
    <row r="2474" spans="1:16" ht="15.75" customHeight="1">
      <c r="A2474" s="126">
        <v>46230.015752314801</v>
      </c>
      <c r="B2474" s="7">
        <v>12</v>
      </c>
      <c r="C2474" s="7">
        <v>422</v>
      </c>
      <c r="D2474" s="7"/>
      <c r="E2474" s="7" t="s">
        <v>1196</v>
      </c>
      <c r="F2474" s="7" t="s">
        <v>32</v>
      </c>
      <c r="G2474" s="7">
        <v>181</v>
      </c>
      <c r="H2474" s="7" t="s">
        <v>873</v>
      </c>
      <c r="I2474" s="7" t="s">
        <v>874</v>
      </c>
      <c r="J2474" s="7"/>
      <c r="M2474" s="7"/>
      <c r="N2474" s="7" t="s">
        <v>875</v>
      </c>
      <c r="O2474" s="126"/>
      <c r="P2474" s="126"/>
    </row>
    <row r="2475" spans="1:16" ht="15.75" customHeight="1">
      <c r="A2475" s="126">
        <v>46230.015752314801</v>
      </c>
      <c r="B2475" s="7">
        <v>12</v>
      </c>
      <c r="C2475" s="7">
        <v>422</v>
      </c>
      <c r="D2475" s="7"/>
      <c r="E2475" s="7" t="s">
        <v>1196</v>
      </c>
      <c r="F2475" s="7" t="s">
        <v>32</v>
      </c>
      <c r="G2475" s="7">
        <v>182</v>
      </c>
      <c r="H2475" s="7" t="s">
        <v>876</v>
      </c>
      <c r="I2475" s="7" t="s">
        <v>874</v>
      </c>
      <c r="J2475" s="7"/>
      <c r="M2475" s="7"/>
      <c r="N2475" s="7" t="s">
        <v>875</v>
      </c>
      <c r="O2475" s="126"/>
      <c r="P2475" s="126"/>
    </row>
    <row r="2476" spans="1:16" ht="15.75" customHeight="1">
      <c r="A2476" s="126">
        <v>46230.015752314801</v>
      </c>
      <c r="B2476" s="7">
        <v>12</v>
      </c>
      <c r="C2476" s="7">
        <v>422</v>
      </c>
      <c r="D2476" s="7"/>
      <c r="E2476" s="7" t="s">
        <v>1196</v>
      </c>
      <c r="F2476" s="7" t="s">
        <v>32</v>
      </c>
      <c r="G2476" s="7">
        <v>174</v>
      </c>
      <c r="H2476" s="7" t="s">
        <v>877</v>
      </c>
      <c r="I2476" s="7" t="s">
        <v>878</v>
      </c>
      <c r="J2476" s="7" t="s">
        <v>879</v>
      </c>
      <c r="M2476" s="7">
        <v>100</v>
      </c>
      <c r="N2476" s="7">
        <v>100</v>
      </c>
      <c r="P2476" s="126">
        <v>46209.706967592603</v>
      </c>
    </row>
    <row r="2477" spans="1:16" ht="15.75" customHeight="1">
      <c r="A2477" s="126">
        <v>46230.015752314801</v>
      </c>
      <c r="B2477" s="7">
        <v>12</v>
      </c>
      <c r="C2477" s="7">
        <v>422</v>
      </c>
      <c r="E2477" s="7" t="s">
        <v>1196</v>
      </c>
      <c r="F2477" s="7" t="s">
        <v>32</v>
      </c>
      <c r="G2477" s="7">
        <v>180</v>
      </c>
      <c r="H2477" s="7" t="s">
        <v>880</v>
      </c>
      <c r="I2477" s="7" t="s">
        <v>874</v>
      </c>
      <c r="J2477" s="7"/>
      <c r="M2477" s="7"/>
      <c r="N2477" s="7" t="s">
        <v>875</v>
      </c>
      <c r="O2477" s="126"/>
      <c r="P2477" s="126"/>
    </row>
    <row r="2478" spans="1:16" ht="15.75" customHeight="1">
      <c r="A2478" s="126">
        <v>46230.015752314801</v>
      </c>
      <c r="B2478" s="7">
        <v>12</v>
      </c>
      <c r="C2478" s="7">
        <v>422</v>
      </c>
      <c r="E2478" s="7" t="s">
        <v>1196</v>
      </c>
      <c r="F2478" s="7" t="s">
        <v>32</v>
      </c>
      <c r="G2478" s="7">
        <v>175</v>
      </c>
      <c r="H2478" s="7" t="s">
        <v>881</v>
      </c>
      <c r="I2478" s="7" t="s">
        <v>878</v>
      </c>
      <c r="J2478" s="7" t="s">
        <v>882</v>
      </c>
      <c r="M2478" s="7">
        <v>87.5</v>
      </c>
      <c r="N2478" s="7">
        <v>87.5</v>
      </c>
      <c r="O2478" s="126">
        <v>46213.668078703697</v>
      </c>
      <c r="P2478" s="126">
        <v>46213.668078703697</v>
      </c>
    </row>
    <row r="2479" spans="1:16" ht="15.75" customHeight="1">
      <c r="A2479" s="126">
        <v>46230.015752314801</v>
      </c>
      <c r="B2479" s="7">
        <v>12</v>
      </c>
      <c r="C2479" s="7">
        <v>422</v>
      </c>
      <c r="E2479" s="7" t="s">
        <v>1196</v>
      </c>
      <c r="F2479" s="7" t="s">
        <v>32</v>
      </c>
      <c r="G2479" s="7">
        <v>177</v>
      </c>
      <c r="H2479" s="7" t="s">
        <v>883</v>
      </c>
      <c r="I2479" s="7" t="s">
        <v>878</v>
      </c>
      <c r="J2479" s="7" t="s">
        <v>882</v>
      </c>
      <c r="M2479" s="7"/>
      <c r="N2479" s="7" t="s">
        <v>875</v>
      </c>
      <c r="P2479" s="126"/>
    </row>
    <row r="2480" spans="1:16" ht="15.75" customHeight="1">
      <c r="A2480" s="126">
        <v>46230.015752314801</v>
      </c>
      <c r="B2480" s="7">
        <v>12</v>
      </c>
      <c r="C2480" s="7">
        <v>422</v>
      </c>
      <c r="E2480" s="7" t="s">
        <v>1196</v>
      </c>
      <c r="F2480" s="7" t="s">
        <v>32</v>
      </c>
      <c r="G2480" s="7">
        <v>176</v>
      </c>
      <c r="H2480" s="7" t="s">
        <v>884</v>
      </c>
      <c r="I2480" s="7" t="s">
        <v>878</v>
      </c>
      <c r="J2480" s="7" t="s">
        <v>882</v>
      </c>
      <c r="M2480" s="7">
        <v>100</v>
      </c>
      <c r="N2480" s="7">
        <v>100</v>
      </c>
      <c r="O2480" s="126">
        <v>46223.809722222199</v>
      </c>
      <c r="P2480" s="126">
        <v>46223.809722222199</v>
      </c>
    </row>
    <row r="2481" spans="1:16" ht="15.75" customHeight="1">
      <c r="A2481" s="126">
        <v>46230.015752314801</v>
      </c>
      <c r="B2481" s="7">
        <v>12</v>
      </c>
      <c r="C2481" s="7">
        <v>422</v>
      </c>
      <c r="E2481" s="7" t="s">
        <v>1196</v>
      </c>
      <c r="F2481" s="7" t="s">
        <v>32</v>
      </c>
      <c r="G2481" s="7">
        <v>168</v>
      </c>
      <c r="H2481" s="7" t="s">
        <v>885</v>
      </c>
      <c r="I2481" s="7" t="s">
        <v>886</v>
      </c>
      <c r="J2481" s="7"/>
      <c r="M2481" s="7">
        <v>100</v>
      </c>
      <c r="N2481" s="7">
        <v>100</v>
      </c>
      <c r="O2481" s="126"/>
      <c r="P2481" s="126">
        <v>46209.706967592603</v>
      </c>
    </row>
    <row r="2482" spans="1:16" ht="15.75" customHeight="1">
      <c r="A2482" s="126">
        <v>46230.015752314801</v>
      </c>
      <c r="B2482" s="7">
        <v>12</v>
      </c>
      <c r="C2482" s="7">
        <v>683</v>
      </c>
      <c r="E2482" s="7" t="s">
        <v>1197</v>
      </c>
      <c r="F2482" s="7" t="s">
        <v>736</v>
      </c>
      <c r="G2482" s="7">
        <v>181</v>
      </c>
      <c r="H2482" s="7" t="s">
        <v>873</v>
      </c>
      <c r="I2482" s="7" t="s">
        <v>874</v>
      </c>
      <c r="J2482" s="7"/>
      <c r="M2482" s="7"/>
      <c r="N2482" s="7" t="s">
        <v>875</v>
      </c>
      <c r="P2482" s="126"/>
    </row>
    <row r="2483" spans="1:16" ht="15.75" customHeight="1">
      <c r="A2483" s="126">
        <v>46230.015752314801</v>
      </c>
      <c r="B2483" s="7">
        <v>12</v>
      </c>
      <c r="C2483" s="7">
        <v>683</v>
      </c>
      <c r="E2483" s="7" t="s">
        <v>1197</v>
      </c>
      <c r="F2483" s="7" t="s">
        <v>736</v>
      </c>
      <c r="G2483" s="7">
        <v>182</v>
      </c>
      <c r="H2483" s="7" t="s">
        <v>876</v>
      </c>
      <c r="I2483" s="7" t="s">
        <v>874</v>
      </c>
      <c r="J2483" s="7"/>
      <c r="M2483" s="7"/>
      <c r="N2483" s="7" t="s">
        <v>875</v>
      </c>
      <c r="O2483" s="126"/>
      <c r="P2483" s="126"/>
    </row>
    <row r="2484" spans="1:16" ht="15.75" customHeight="1">
      <c r="A2484" s="126">
        <v>46230.015752314801</v>
      </c>
      <c r="B2484" s="7">
        <v>12</v>
      </c>
      <c r="C2484" s="7">
        <v>683</v>
      </c>
      <c r="E2484" s="7" t="s">
        <v>1197</v>
      </c>
      <c r="F2484" s="7" t="s">
        <v>736</v>
      </c>
      <c r="G2484" s="7">
        <v>174</v>
      </c>
      <c r="H2484" s="7" t="s">
        <v>877</v>
      </c>
      <c r="I2484" s="7" t="s">
        <v>878</v>
      </c>
      <c r="J2484" s="7" t="s">
        <v>879</v>
      </c>
      <c r="M2484" s="7">
        <v>100</v>
      </c>
      <c r="N2484" s="7">
        <v>100</v>
      </c>
      <c r="O2484" s="126"/>
      <c r="P2484" s="126">
        <v>46211.420891203699</v>
      </c>
    </row>
    <row r="2485" spans="1:16" ht="15.75" customHeight="1">
      <c r="A2485" s="126">
        <v>46230.015752314801</v>
      </c>
      <c r="B2485" s="7">
        <v>12</v>
      </c>
      <c r="C2485" s="7">
        <v>683</v>
      </c>
      <c r="E2485" s="7" t="s">
        <v>1197</v>
      </c>
      <c r="F2485" s="7" t="s">
        <v>736</v>
      </c>
      <c r="G2485" s="7">
        <v>180</v>
      </c>
      <c r="H2485" s="7" t="s">
        <v>880</v>
      </c>
      <c r="I2485" s="7" t="s">
        <v>874</v>
      </c>
      <c r="J2485" s="7"/>
      <c r="M2485" s="7"/>
      <c r="N2485" s="7" t="s">
        <v>875</v>
      </c>
      <c r="O2485" s="126"/>
      <c r="P2485" s="126"/>
    </row>
    <row r="2486" spans="1:16" ht="15.75" customHeight="1">
      <c r="A2486" s="126">
        <v>46230.015752314801</v>
      </c>
      <c r="B2486" s="7">
        <v>12</v>
      </c>
      <c r="C2486" s="7">
        <v>683</v>
      </c>
      <c r="E2486" s="7" t="s">
        <v>1197</v>
      </c>
      <c r="F2486" s="7" t="s">
        <v>736</v>
      </c>
      <c r="G2486" s="7">
        <v>175</v>
      </c>
      <c r="H2486" s="7" t="s">
        <v>881</v>
      </c>
      <c r="I2486" s="7" t="s">
        <v>878</v>
      </c>
      <c r="J2486" s="7" t="s">
        <v>882</v>
      </c>
      <c r="M2486" s="7">
        <v>100</v>
      </c>
      <c r="N2486" s="7">
        <v>100</v>
      </c>
      <c r="O2486" s="126">
        <v>46216.763807870397</v>
      </c>
      <c r="P2486" s="126">
        <v>46216.763807870397</v>
      </c>
    </row>
    <row r="2487" spans="1:16" ht="15.75" customHeight="1">
      <c r="A2487" s="126">
        <v>46230.015752314801</v>
      </c>
      <c r="B2487" s="7">
        <v>12</v>
      </c>
      <c r="C2487" s="7">
        <v>683</v>
      </c>
      <c r="E2487" s="7" t="s">
        <v>1197</v>
      </c>
      <c r="F2487" s="7" t="s">
        <v>736</v>
      </c>
      <c r="G2487" s="7">
        <v>177</v>
      </c>
      <c r="H2487" s="7" t="s">
        <v>883</v>
      </c>
      <c r="I2487" s="7" t="s">
        <v>878</v>
      </c>
      <c r="J2487" s="7" t="s">
        <v>882</v>
      </c>
      <c r="M2487" s="7"/>
      <c r="N2487" s="7" t="s">
        <v>875</v>
      </c>
      <c r="P2487" s="126"/>
    </row>
    <row r="2488" spans="1:16" ht="15.75" customHeight="1">
      <c r="A2488" s="126">
        <v>46230.015752314801</v>
      </c>
      <c r="B2488" s="7">
        <v>12</v>
      </c>
      <c r="C2488" s="7">
        <v>683</v>
      </c>
      <c r="E2488" s="7" t="s">
        <v>1197</v>
      </c>
      <c r="F2488" s="7" t="s">
        <v>736</v>
      </c>
      <c r="G2488" s="7">
        <v>176</v>
      </c>
      <c r="H2488" s="7" t="s">
        <v>884</v>
      </c>
      <c r="I2488" s="7" t="s">
        <v>878</v>
      </c>
      <c r="J2488" s="7" t="s">
        <v>882</v>
      </c>
      <c r="M2488" s="7">
        <v>90</v>
      </c>
      <c r="N2488" s="7">
        <v>90</v>
      </c>
      <c r="O2488" s="126">
        <v>46224.416689814803</v>
      </c>
      <c r="P2488" s="126">
        <v>46224.416689814803</v>
      </c>
    </row>
    <row r="2489" spans="1:16" ht="15.75" customHeight="1">
      <c r="A2489" s="126">
        <v>46230.015752314801</v>
      </c>
      <c r="B2489" s="7">
        <v>12</v>
      </c>
      <c r="C2489" s="7">
        <v>683</v>
      </c>
      <c r="E2489" s="7" t="s">
        <v>1197</v>
      </c>
      <c r="F2489" s="7" t="s">
        <v>736</v>
      </c>
      <c r="G2489" s="7">
        <v>168</v>
      </c>
      <c r="H2489" s="7" t="s">
        <v>885</v>
      </c>
      <c r="I2489" s="7" t="s">
        <v>886</v>
      </c>
      <c r="M2489" s="7">
        <v>100</v>
      </c>
      <c r="N2489" s="7">
        <v>100</v>
      </c>
      <c r="P2489" s="126">
        <v>46211.420891203699</v>
      </c>
    </row>
    <row r="2490" spans="1:16" ht="15.75" customHeight="1">
      <c r="A2490" s="126">
        <v>46230.015752314801</v>
      </c>
      <c r="B2490" s="7">
        <v>12</v>
      </c>
      <c r="C2490" s="7">
        <v>399</v>
      </c>
      <c r="E2490" s="7" t="s">
        <v>1198</v>
      </c>
      <c r="F2490" s="7" t="s">
        <v>499</v>
      </c>
      <c r="G2490" s="7">
        <v>181</v>
      </c>
      <c r="H2490" s="7" t="s">
        <v>873</v>
      </c>
      <c r="I2490" s="7" t="s">
        <v>874</v>
      </c>
      <c r="J2490" s="7"/>
      <c r="M2490" s="7"/>
      <c r="N2490" s="7" t="s">
        <v>875</v>
      </c>
      <c r="O2490" s="126"/>
      <c r="P2490" s="126"/>
    </row>
    <row r="2491" spans="1:16" ht="15.75" customHeight="1">
      <c r="A2491" s="126">
        <v>46230.015752314801</v>
      </c>
      <c r="B2491" s="7">
        <v>12</v>
      </c>
      <c r="C2491" s="7">
        <v>399</v>
      </c>
      <c r="E2491" s="7" t="s">
        <v>1198</v>
      </c>
      <c r="F2491" s="7" t="s">
        <v>499</v>
      </c>
      <c r="G2491" s="7">
        <v>182</v>
      </c>
      <c r="H2491" s="7" t="s">
        <v>876</v>
      </c>
      <c r="I2491" s="7" t="s">
        <v>874</v>
      </c>
      <c r="J2491" s="7"/>
      <c r="M2491" s="7"/>
      <c r="N2491" s="7" t="s">
        <v>875</v>
      </c>
      <c r="P2491" s="126"/>
    </row>
    <row r="2492" spans="1:16" ht="15.75" customHeight="1">
      <c r="A2492" s="126">
        <v>46230.015752314801</v>
      </c>
      <c r="B2492" s="7">
        <v>12</v>
      </c>
      <c r="C2492" s="7">
        <v>399</v>
      </c>
      <c r="E2492" s="7" t="s">
        <v>1198</v>
      </c>
      <c r="F2492" s="7" t="s">
        <v>499</v>
      </c>
      <c r="G2492" s="7">
        <v>174</v>
      </c>
      <c r="H2492" s="7" t="s">
        <v>877</v>
      </c>
      <c r="I2492" s="7" t="s">
        <v>878</v>
      </c>
      <c r="J2492" s="7" t="s">
        <v>879</v>
      </c>
      <c r="M2492" s="7">
        <v>100</v>
      </c>
      <c r="N2492" s="7">
        <v>100</v>
      </c>
      <c r="O2492" s="126"/>
      <c r="P2492" s="126">
        <v>46210.386342592603</v>
      </c>
    </row>
    <row r="2493" spans="1:16" ht="15.75" customHeight="1">
      <c r="A2493" s="126">
        <v>46230.015752314801</v>
      </c>
      <c r="B2493" s="7">
        <v>12</v>
      </c>
      <c r="C2493" s="7">
        <v>399</v>
      </c>
      <c r="E2493" s="7" t="s">
        <v>1198</v>
      </c>
      <c r="F2493" s="7" t="s">
        <v>499</v>
      </c>
      <c r="G2493" s="7">
        <v>180</v>
      </c>
      <c r="H2493" s="7" t="s">
        <v>880</v>
      </c>
      <c r="I2493" s="7" t="s">
        <v>874</v>
      </c>
      <c r="J2493" s="7"/>
      <c r="M2493" s="7"/>
      <c r="N2493" s="7" t="s">
        <v>875</v>
      </c>
      <c r="O2493" s="126"/>
      <c r="P2493" s="126"/>
    </row>
    <row r="2494" spans="1:16" ht="15.75" customHeight="1">
      <c r="A2494" s="126">
        <v>46230.015752314801</v>
      </c>
      <c r="B2494" s="7">
        <v>12</v>
      </c>
      <c r="C2494" s="7">
        <v>399</v>
      </c>
      <c r="E2494" s="7" t="s">
        <v>1198</v>
      </c>
      <c r="F2494" s="7" t="s">
        <v>499</v>
      </c>
      <c r="G2494" s="7">
        <v>175</v>
      </c>
      <c r="H2494" s="7" t="s">
        <v>881</v>
      </c>
      <c r="I2494" s="7" t="s">
        <v>878</v>
      </c>
      <c r="J2494" s="7" t="s">
        <v>882</v>
      </c>
      <c r="M2494" s="7">
        <v>100</v>
      </c>
      <c r="N2494" s="7">
        <v>100</v>
      </c>
      <c r="O2494" s="126">
        <v>46215.632534722201</v>
      </c>
      <c r="P2494" s="126">
        <v>46215.632534722201</v>
      </c>
    </row>
    <row r="2495" spans="1:16" ht="15.75" customHeight="1">
      <c r="A2495" s="126">
        <v>46230.015752314801</v>
      </c>
      <c r="B2495" s="7">
        <v>12</v>
      </c>
      <c r="C2495" s="7">
        <v>399</v>
      </c>
      <c r="E2495" s="7" t="s">
        <v>1198</v>
      </c>
      <c r="F2495" s="7" t="s">
        <v>499</v>
      </c>
      <c r="G2495" s="7">
        <v>177</v>
      </c>
      <c r="H2495" s="7" t="s">
        <v>883</v>
      </c>
      <c r="I2495" s="7" t="s">
        <v>878</v>
      </c>
      <c r="J2495" s="7" t="s">
        <v>882</v>
      </c>
      <c r="M2495" s="7"/>
      <c r="N2495" s="7" t="s">
        <v>875</v>
      </c>
      <c r="P2495" s="126"/>
    </row>
    <row r="2496" spans="1:16" ht="15.75" customHeight="1">
      <c r="A2496" s="126">
        <v>46230.015752314801</v>
      </c>
      <c r="B2496" s="7">
        <v>12</v>
      </c>
      <c r="C2496" s="7">
        <v>399</v>
      </c>
      <c r="E2496" s="7" t="s">
        <v>1198</v>
      </c>
      <c r="F2496" s="7" t="s">
        <v>499</v>
      </c>
      <c r="G2496" s="7">
        <v>176</v>
      </c>
      <c r="H2496" s="7" t="s">
        <v>884</v>
      </c>
      <c r="I2496" s="7" t="s">
        <v>878</v>
      </c>
      <c r="J2496" s="7" t="s">
        <v>882</v>
      </c>
      <c r="M2496" s="7">
        <v>100</v>
      </c>
      <c r="N2496" s="7">
        <v>100</v>
      </c>
      <c r="O2496" s="126">
        <v>46227.661203703698</v>
      </c>
      <c r="P2496" s="126">
        <v>46227.661203703698</v>
      </c>
    </row>
    <row r="2497" spans="1:16" ht="15.75" customHeight="1">
      <c r="A2497" s="126">
        <v>46230.015752314801</v>
      </c>
      <c r="B2497" s="7">
        <v>12</v>
      </c>
      <c r="C2497" s="7">
        <v>399</v>
      </c>
      <c r="E2497" s="7" t="s">
        <v>1198</v>
      </c>
      <c r="F2497" s="7" t="s">
        <v>499</v>
      </c>
      <c r="G2497" s="7">
        <v>168</v>
      </c>
      <c r="H2497" s="7" t="s">
        <v>885</v>
      </c>
      <c r="I2497" s="7" t="s">
        <v>886</v>
      </c>
      <c r="J2497" s="7"/>
      <c r="M2497" s="7">
        <v>100</v>
      </c>
      <c r="N2497" s="7">
        <v>100</v>
      </c>
      <c r="P2497" s="126">
        <v>46210.386342592603</v>
      </c>
    </row>
    <row r="2498" spans="1:16" ht="15.75" customHeight="1">
      <c r="A2498" s="126">
        <v>46230.015752314801</v>
      </c>
      <c r="B2498" s="7">
        <v>12</v>
      </c>
      <c r="C2498" s="7">
        <v>261</v>
      </c>
      <c r="E2498" s="7" t="s">
        <v>1199</v>
      </c>
      <c r="F2498" s="7" t="s">
        <v>234</v>
      </c>
      <c r="G2498" s="7">
        <v>181</v>
      </c>
      <c r="H2498" s="7" t="s">
        <v>873</v>
      </c>
      <c r="I2498" s="7" t="s">
        <v>874</v>
      </c>
      <c r="M2498" s="7"/>
      <c r="N2498" s="7" t="s">
        <v>875</v>
      </c>
      <c r="P2498" s="126"/>
    </row>
    <row r="2499" spans="1:16" ht="15.75" customHeight="1">
      <c r="A2499" s="126">
        <v>46230.015752314801</v>
      </c>
      <c r="B2499" s="7">
        <v>12</v>
      </c>
      <c r="C2499" s="7">
        <v>261</v>
      </c>
      <c r="E2499" s="7" t="s">
        <v>1199</v>
      </c>
      <c r="F2499" s="7" t="s">
        <v>234</v>
      </c>
      <c r="G2499" s="7">
        <v>182</v>
      </c>
      <c r="H2499" s="7" t="s">
        <v>876</v>
      </c>
      <c r="I2499" s="7" t="s">
        <v>874</v>
      </c>
      <c r="J2499" s="7"/>
      <c r="M2499" s="7"/>
      <c r="N2499" s="7" t="s">
        <v>875</v>
      </c>
      <c r="O2499" s="126"/>
      <c r="P2499" s="126"/>
    </row>
    <row r="2500" spans="1:16" ht="15.75" customHeight="1">
      <c r="A2500" s="126">
        <v>46230.015752314801</v>
      </c>
      <c r="B2500" s="7">
        <v>12</v>
      </c>
      <c r="C2500" s="7">
        <v>261</v>
      </c>
      <c r="E2500" s="7" t="s">
        <v>1199</v>
      </c>
      <c r="F2500" s="7" t="s">
        <v>234</v>
      </c>
      <c r="G2500" s="7">
        <v>174</v>
      </c>
      <c r="H2500" s="7" t="s">
        <v>877</v>
      </c>
      <c r="I2500" s="7" t="s">
        <v>878</v>
      </c>
      <c r="J2500" s="7" t="s">
        <v>879</v>
      </c>
      <c r="M2500" s="7">
        <v>100</v>
      </c>
      <c r="N2500" s="7">
        <v>100</v>
      </c>
      <c r="P2500" s="126">
        <v>46209.706956018497</v>
      </c>
    </row>
    <row r="2501" spans="1:16" ht="15.75" customHeight="1">
      <c r="A2501" s="126">
        <v>46230.015752314801</v>
      </c>
      <c r="B2501" s="7">
        <v>12</v>
      </c>
      <c r="C2501" s="7">
        <v>261</v>
      </c>
      <c r="E2501" s="7" t="s">
        <v>1199</v>
      </c>
      <c r="F2501" s="7" t="s">
        <v>234</v>
      </c>
      <c r="G2501" s="7">
        <v>180</v>
      </c>
      <c r="H2501" s="7" t="s">
        <v>880</v>
      </c>
      <c r="I2501" s="7" t="s">
        <v>874</v>
      </c>
      <c r="J2501" s="7"/>
      <c r="M2501" s="7"/>
      <c r="N2501" s="7" t="s">
        <v>875</v>
      </c>
      <c r="O2501" s="126"/>
      <c r="P2501" s="126"/>
    </row>
    <row r="2502" spans="1:16" ht="15.75" customHeight="1">
      <c r="A2502" s="126">
        <v>46230.015752314801</v>
      </c>
      <c r="B2502" s="7">
        <v>12</v>
      </c>
      <c r="C2502" s="7">
        <v>261</v>
      </c>
      <c r="E2502" s="7" t="s">
        <v>1199</v>
      </c>
      <c r="F2502" s="7" t="s">
        <v>234</v>
      </c>
      <c r="G2502" s="7">
        <v>175</v>
      </c>
      <c r="H2502" s="7" t="s">
        <v>881</v>
      </c>
      <c r="I2502" s="7" t="s">
        <v>878</v>
      </c>
      <c r="J2502" s="7" t="s">
        <v>882</v>
      </c>
      <c r="M2502" s="7">
        <v>75</v>
      </c>
      <c r="N2502" s="7">
        <v>75</v>
      </c>
      <c r="O2502" s="126">
        <v>46213.888460648202</v>
      </c>
      <c r="P2502" s="126">
        <v>46213.888460648202</v>
      </c>
    </row>
    <row r="2503" spans="1:16" ht="15.75" customHeight="1">
      <c r="A2503" s="126">
        <v>46230.015752314801</v>
      </c>
      <c r="B2503" s="7">
        <v>12</v>
      </c>
      <c r="C2503" s="7">
        <v>261</v>
      </c>
      <c r="E2503" s="7" t="s">
        <v>1199</v>
      </c>
      <c r="F2503" s="7" t="s">
        <v>234</v>
      </c>
      <c r="G2503" s="7">
        <v>177</v>
      </c>
      <c r="H2503" s="7" t="s">
        <v>883</v>
      </c>
      <c r="I2503" s="7" t="s">
        <v>878</v>
      </c>
      <c r="J2503" s="7" t="s">
        <v>882</v>
      </c>
      <c r="M2503" s="7"/>
      <c r="N2503" s="7" t="s">
        <v>875</v>
      </c>
      <c r="P2503" s="126"/>
    </row>
    <row r="2504" spans="1:16" ht="15.75" customHeight="1">
      <c r="A2504" s="126">
        <v>46230.015752314801</v>
      </c>
      <c r="B2504" s="7">
        <v>12</v>
      </c>
      <c r="C2504" s="7">
        <v>261</v>
      </c>
      <c r="E2504" s="7" t="s">
        <v>1199</v>
      </c>
      <c r="F2504" s="7" t="s">
        <v>234</v>
      </c>
      <c r="G2504" s="7">
        <v>176</v>
      </c>
      <c r="H2504" s="7" t="s">
        <v>884</v>
      </c>
      <c r="I2504" s="7" t="s">
        <v>878</v>
      </c>
      <c r="J2504" s="7" t="s">
        <v>882</v>
      </c>
      <c r="M2504" s="7">
        <v>100</v>
      </c>
      <c r="N2504" s="7">
        <v>100</v>
      </c>
      <c r="O2504" s="126">
        <v>46223.787337962996</v>
      </c>
      <c r="P2504" s="126">
        <v>46223.793657407397</v>
      </c>
    </row>
    <row r="2505" spans="1:16" ht="15.75" customHeight="1">
      <c r="A2505" s="126">
        <v>46230.015752314801</v>
      </c>
      <c r="B2505" s="7">
        <v>12</v>
      </c>
      <c r="C2505" s="7">
        <v>261</v>
      </c>
      <c r="E2505" s="7" t="s">
        <v>1199</v>
      </c>
      <c r="F2505" s="7" t="s">
        <v>234</v>
      </c>
      <c r="G2505" s="7">
        <v>168</v>
      </c>
      <c r="H2505" s="7" t="s">
        <v>885</v>
      </c>
      <c r="I2505" s="7" t="s">
        <v>886</v>
      </c>
      <c r="M2505" s="7">
        <v>100</v>
      </c>
      <c r="N2505" s="7">
        <v>100</v>
      </c>
      <c r="P2505" s="126">
        <v>46209.706956018497</v>
      </c>
    </row>
    <row r="2506" spans="1:16" ht="15.75" customHeight="1">
      <c r="A2506" s="126">
        <v>46230.015752314801</v>
      </c>
      <c r="B2506" s="7">
        <v>12</v>
      </c>
      <c r="C2506" s="7">
        <v>462</v>
      </c>
      <c r="E2506" s="7" t="s">
        <v>1200</v>
      </c>
      <c r="F2506" s="7" t="s">
        <v>335</v>
      </c>
      <c r="G2506" s="7">
        <v>181</v>
      </c>
      <c r="H2506" s="7" t="s">
        <v>873</v>
      </c>
      <c r="I2506" s="7" t="s">
        <v>874</v>
      </c>
      <c r="J2506" s="7"/>
      <c r="M2506" s="7"/>
      <c r="N2506" s="7" t="s">
        <v>875</v>
      </c>
      <c r="P2506" s="126"/>
    </row>
    <row r="2507" spans="1:16" ht="15.75" customHeight="1">
      <c r="A2507" s="126">
        <v>46230.015752314801</v>
      </c>
      <c r="B2507" s="7">
        <v>12</v>
      </c>
      <c r="C2507" s="7">
        <v>462</v>
      </c>
      <c r="E2507" s="7" t="s">
        <v>1200</v>
      </c>
      <c r="F2507" s="7" t="s">
        <v>335</v>
      </c>
      <c r="G2507" s="7">
        <v>182</v>
      </c>
      <c r="H2507" s="7" t="s">
        <v>876</v>
      </c>
      <c r="I2507" s="7" t="s">
        <v>874</v>
      </c>
      <c r="J2507" s="7"/>
      <c r="M2507" s="7"/>
      <c r="N2507" s="7" t="s">
        <v>875</v>
      </c>
      <c r="P2507" s="126"/>
    </row>
    <row r="2508" spans="1:16" ht="15.75" customHeight="1">
      <c r="A2508" s="126">
        <v>46230.015752314801</v>
      </c>
      <c r="B2508" s="7">
        <v>12</v>
      </c>
      <c r="C2508" s="7">
        <v>462</v>
      </c>
      <c r="E2508" s="7" t="s">
        <v>1200</v>
      </c>
      <c r="F2508" s="7" t="s">
        <v>335</v>
      </c>
      <c r="G2508" s="7">
        <v>174</v>
      </c>
      <c r="H2508" s="7" t="s">
        <v>877</v>
      </c>
      <c r="I2508" s="7" t="s">
        <v>878</v>
      </c>
      <c r="J2508" s="7" t="s">
        <v>879</v>
      </c>
      <c r="M2508" s="7">
        <v>100</v>
      </c>
      <c r="N2508" s="7">
        <v>100</v>
      </c>
      <c r="O2508" s="126"/>
      <c r="P2508" s="126">
        <v>46209.706932870402</v>
      </c>
    </row>
    <row r="2509" spans="1:16" ht="15.75" customHeight="1">
      <c r="A2509" s="126">
        <v>46230.015752314801</v>
      </c>
      <c r="B2509" s="7">
        <v>12</v>
      </c>
      <c r="C2509" s="7">
        <v>462</v>
      </c>
      <c r="E2509" s="7" t="s">
        <v>1200</v>
      </c>
      <c r="F2509" s="7" t="s">
        <v>335</v>
      </c>
      <c r="G2509" s="7">
        <v>180</v>
      </c>
      <c r="H2509" s="7" t="s">
        <v>880</v>
      </c>
      <c r="I2509" s="7" t="s">
        <v>874</v>
      </c>
      <c r="J2509" s="7"/>
      <c r="M2509" s="7"/>
      <c r="N2509" s="7" t="s">
        <v>875</v>
      </c>
      <c r="O2509" s="126"/>
      <c r="P2509" s="126"/>
    </row>
    <row r="2510" spans="1:16" ht="15.75" customHeight="1">
      <c r="A2510" s="126">
        <v>46230.015752314801</v>
      </c>
      <c r="B2510" s="7">
        <v>12</v>
      </c>
      <c r="C2510" s="7">
        <v>462</v>
      </c>
      <c r="E2510" s="7" t="s">
        <v>1200</v>
      </c>
      <c r="F2510" s="7" t="s">
        <v>335</v>
      </c>
      <c r="G2510" s="7">
        <v>175</v>
      </c>
      <c r="H2510" s="7" t="s">
        <v>881</v>
      </c>
      <c r="I2510" s="7" t="s">
        <v>878</v>
      </c>
      <c r="J2510" s="7" t="s">
        <v>882</v>
      </c>
      <c r="M2510" s="7">
        <v>62.5</v>
      </c>
      <c r="N2510" s="7">
        <v>62.5</v>
      </c>
      <c r="O2510" s="126">
        <v>46216.547210648103</v>
      </c>
      <c r="P2510" s="126">
        <v>46216.547210648103</v>
      </c>
    </row>
    <row r="2511" spans="1:16" ht="15.75" customHeight="1">
      <c r="A2511" s="126">
        <v>46230.015752314801</v>
      </c>
      <c r="B2511" s="7">
        <v>12</v>
      </c>
      <c r="C2511" s="7">
        <v>462</v>
      </c>
      <c r="E2511" s="7" t="s">
        <v>1200</v>
      </c>
      <c r="F2511" s="7" t="s">
        <v>335</v>
      </c>
      <c r="G2511" s="7">
        <v>177</v>
      </c>
      <c r="H2511" s="7" t="s">
        <v>883</v>
      </c>
      <c r="I2511" s="7" t="s">
        <v>878</v>
      </c>
      <c r="J2511" s="7" t="s">
        <v>882</v>
      </c>
      <c r="M2511" s="7"/>
      <c r="N2511" s="7" t="s">
        <v>875</v>
      </c>
      <c r="O2511" s="126"/>
      <c r="P2511" s="126"/>
    </row>
    <row r="2512" spans="1:16" ht="15.75" customHeight="1">
      <c r="A2512" s="126">
        <v>46230.015752314801</v>
      </c>
      <c r="B2512" s="7">
        <v>12</v>
      </c>
      <c r="C2512" s="7">
        <v>462</v>
      </c>
      <c r="E2512" s="7" t="s">
        <v>1200</v>
      </c>
      <c r="F2512" s="7" t="s">
        <v>335</v>
      </c>
      <c r="G2512" s="7">
        <v>176</v>
      </c>
      <c r="H2512" s="7" t="s">
        <v>884</v>
      </c>
      <c r="I2512" s="7" t="s">
        <v>878</v>
      </c>
      <c r="J2512" s="7" t="s">
        <v>882</v>
      </c>
      <c r="M2512" s="7">
        <v>65</v>
      </c>
      <c r="N2512" s="7">
        <v>65</v>
      </c>
      <c r="O2512" s="126">
        <v>46227.566435185203</v>
      </c>
      <c r="P2512" s="126">
        <v>46227.566435185203</v>
      </c>
    </row>
    <row r="2513" spans="1:16" ht="15.75" customHeight="1">
      <c r="A2513" s="126">
        <v>46230.015752314801</v>
      </c>
      <c r="B2513" s="7">
        <v>12</v>
      </c>
      <c r="C2513" s="7">
        <v>462</v>
      </c>
      <c r="E2513" s="7" t="s">
        <v>1200</v>
      </c>
      <c r="F2513" s="7" t="s">
        <v>335</v>
      </c>
      <c r="G2513" s="7">
        <v>168</v>
      </c>
      <c r="H2513" s="7" t="s">
        <v>885</v>
      </c>
      <c r="I2513" s="7" t="s">
        <v>886</v>
      </c>
      <c r="M2513" s="7">
        <v>100</v>
      </c>
      <c r="N2513" s="7">
        <v>100</v>
      </c>
      <c r="P2513" s="126">
        <v>46209.706932870402</v>
      </c>
    </row>
    <row r="2514" spans="1:16" ht="15.75" customHeight="1">
      <c r="A2514" s="126">
        <v>46230.015752314801</v>
      </c>
      <c r="B2514" s="7">
        <v>12</v>
      </c>
      <c r="C2514" s="7">
        <v>782</v>
      </c>
      <c r="E2514" s="7" t="s">
        <v>1201</v>
      </c>
      <c r="F2514" s="7" t="s">
        <v>776</v>
      </c>
      <c r="G2514" s="7">
        <v>181</v>
      </c>
      <c r="H2514" s="7" t="s">
        <v>873</v>
      </c>
      <c r="I2514" s="7" t="s">
        <v>874</v>
      </c>
      <c r="M2514" s="7"/>
      <c r="N2514" s="7" t="s">
        <v>875</v>
      </c>
      <c r="P2514" s="126"/>
    </row>
    <row r="2515" spans="1:16" ht="15.75" customHeight="1">
      <c r="A2515" s="126">
        <v>46230.015752314801</v>
      </c>
      <c r="B2515" s="7">
        <v>12</v>
      </c>
      <c r="C2515" s="7">
        <v>782</v>
      </c>
      <c r="E2515" s="7" t="s">
        <v>1201</v>
      </c>
      <c r="F2515" s="7" t="s">
        <v>776</v>
      </c>
      <c r="G2515" s="7">
        <v>182</v>
      </c>
      <c r="H2515" s="7" t="s">
        <v>876</v>
      </c>
      <c r="I2515" s="7" t="s">
        <v>874</v>
      </c>
      <c r="J2515" s="7"/>
      <c r="M2515" s="7"/>
      <c r="N2515" s="7" t="s">
        <v>875</v>
      </c>
      <c r="P2515" s="126"/>
    </row>
    <row r="2516" spans="1:16" ht="15.75" customHeight="1">
      <c r="A2516" s="126">
        <v>46230.015752314801</v>
      </c>
      <c r="B2516" s="7">
        <v>12</v>
      </c>
      <c r="C2516" s="7">
        <v>782</v>
      </c>
      <c r="E2516" s="7" t="s">
        <v>1201</v>
      </c>
      <c r="F2516" s="7" t="s">
        <v>776</v>
      </c>
      <c r="G2516" s="7">
        <v>174</v>
      </c>
      <c r="H2516" s="7" t="s">
        <v>877</v>
      </c>
      <c r="I2516" s="7" t="s">
        <v>878</v>
      </c>
      <c r="J2516" s="7" t="s">
        <v>879</v>
      </c>
      <c r="M2516" s="7">
        <v>100</v>
      </c>
      <c r="N2516" s="7">
        <v>100</v>
      </c>
      <c r="P2516" s="126">
        <v>46209.706932870402</v>
      </c>
    </row>
    <row r="2517" spans="1:16" ht="15.75" customHeight="1">
      <c r="A2517" s="126">
        <v>46230.015752314801</v>
      </c>
      <c r="B2517" s="7">
        <v>12</v>
      </c>
      <c r="C2517" s="7">
        <v>782</v>
      </c>
      <c r="E2517" s="7" t="s">
        <v>1201</v>
      </c>
      <c r="F2517" s="7" t="s">
        <v>776</v>
      </c>
      <c r="G2517" s="7">
        <v>180</v>
      </c>
      <c r="H2517" s="7" t="s">
        <v>880</v>
      </c>
      <c r="I2517" s="7" t="s">
        <v>874</v>
      </c>
      <c r="J2517" s="7"/>
      <c r="M2517" s="7"/>
      <c r="N2517" s="7" t="s">
        <v>875</v>
      </c>
      <c r="O2517" s="126"/>
      <c r="P2517" s="126"/>
    </row>
    <row r="2518" spans="1:16" ht="15.75" customHeight="1">
      <c r="A2518" s="126">
        <v>46230.015752314801</v>
      </c>
      <c r="B2518" s="7">
        <v>12</v>
      </c>
      <c r="C2518" s="7">
        <v>782</v>
      </c>
      <c r="E2518" s="7" t="s">
        <v>1201</v>
      </c>
      <c r="F2518" s="7" t="s">
        <v>776</v>
      </c>
      <c r="G2518" s="7">
        <v>175</v>
      </c>
      <c r="H2518" s="7" t="s">
        <v>881</v>
      </c>
      <c r="I2518" s="7" t="s">
        <v>878</v>
      </c>
      <c r="J2518" s="7" t="s">
        <v>882</v>
      </c>
      <c r="M2518" s="7">
        <v>0</v>
      </c>
      <c r="N2518" s="7">
        <v>0</v>
      </c>
      <c r="O2518" s="126">
        <v>46216.625</v>
      </c>
      <c r="P2518" s="126">
        <v>46216.6257175926</v>
      </c>
    </row>
    <row r="2519" spans="1:16" ht="15.75" customHeight="1">
      <c r="A2519" s="126">
        <v>46230.015752314801</v>
      </c>
      <c r="B2519" s="7">
        <v>12</v>
      </c>
      <c r="C2519" s="7">
        <v>782</v>
      </c>
      <c r="E2519" s="7" t="s">
        <v>1201</v>
      </c>
      <c r="F2519" s="7" t="s">
        <v>776</v>
      </c>
      <c r="G2519" s="7">
        <v>177</v>
      </c>
      <c r="H2519" s="7" t="s">
        <v>883</v>
      </c>
      <c r="I2519" s="7" t="s">
        <v>878</v>
      </c>
      <c r="J2519" s="7" t="s">
        <v>882</v>
      </c>
      <c r="M2519" s="7"/>
      <c r="N2519" s="7" t="s">
        <v>875</v>
      </c>
      <c r="O2519" s="126"/>
      <c r="P2519" s="126"/>
    </row>
    <row r="2520" spans="1:16" ht="15.75" customHeight="1">
      <c r="A2520" s="126">
        <v>46230.015752314801</v>
      </c>
      <c r="B2520" s="7">
        <v>12</v>
      </c>
      <c r="C2520" s="7">
        <v>782</v>
      </c>
      <c r="E2520" s="7" t="s">
        <v>1201</v>
      </c>
      <c r="F2520" s="7" t="s">
        <v>776</v>
      </c>
      <c r="G2520" s="7">
        <v>176</v>
      </c>
      <c r="H2520" s="7" t="s">
        <v>884</v>
      </c>
      <c r="I2520" s="7" t="s">
        <v>878</v>
      </c>
      <c r="J2520" s="7" t="s">
        <v>882</v>
      </c>
      <c r="M2520" s="7"/>
      <c r="N2520" s="7" t="s">
        <v>875</v>
      </c>
      <c r="O2520" s="126"/>
      <c r="P2520" s="126"/>
    </row>
    <row r="2521" spans="1:16" ht="15.75" customHeight="1">
      <c r="A2521" s="126">
        <v>46230.015752314801</v>
      </c>
      <c r="B2521" s="7">
        <v>12</v>
      </c>
      <c r="C2521" s="7">
        <v>782</v>
      </c>
      <c r="E2521" s="7" t="s">
        <v>1201</v>
      </c>
      <c r="F2521" s="7" t="s">
        <v>776</v>
      </c>
      <c r="G2521" s="7">
        <v>168</v>
      </c>
      <c r="H2521" s="7" t="s">
        <v>885</v>
      </c>
      <c r="I2521" s="7" t="s">
        <v>886</v>
      </c>
      <c r="M2521" s="7">
        <v>100</v>
      </c>
      <c r="N2521" s="7">
        <v>100</v>
      </c>
      <c r="P2521" s="126">
        <v>46209.706932870402</v>
      </c>
    </row>
    <row r="2522" spans="1:16" ht="15.75" customHeight="1">
      <c r="A2522" s="126">
        <v>46230.015752314801</v>
      </c>
      <c r="B2522" s="7">
        <v>12</v>
      </c>
      <c r="C2522" s="7">
        <v>721</v>
      </c>
      <c r="E2522" s="7" t="s">
        <v>1202</v>
      </c>
      <c r="F2522" s="7" t="s">
        <v>692</v>
      </c>
      <c r="G2522" s="7">
        <v>181</v>
      </c>
      <c r="H2522" s="7" t="s">
        <v>873</v>
      </c>
      <c r="I2522" s="7" t="s">
        <v>874</v>
      </c>
      <c r="M2522" s="7"/>
      <c r="N2522" s="7" t="s">
        <v>875</v>
      </c>
      <c r="P2522" s="126"/>
    </row>
    <row r="2523" spans="1:16" ht="15.75" customHeight="1">
      <c r="A2523" s="126">
        <v>46230.015752314801</v>
      </c>
      <c r="B2523" s="7">
        <v>12</v>
      </c>
      <c r="C2523" s="7">
        <v>721</v>
      </c>
      <c r="E2523" s="7" t="s">
        <v>1202</v>
      </c>
      <c r="F2523" s="7" t="s">
        <v>692</v>
      </c>
      <c r="G2523" s="7">
        <v>182</v>
      </c>
      <c r="H2523" s="7" t="s">
        <v>876</v>
      </c>
      <c r="I2523" s="7" t="s">
        <v>874</v>
      </c>
      <c r="J2523" s="7"/>
      <c r="M2523" s="7"/>
      <c r="N2523" s="7" t="s">
        <v>875</v>
      </c>
      <c r="P2523" s="126"/>
    </row>
    <row r="2524" spans="1:16" ht="15.75" customHeight="1">
      <c r="A2524" s="126">
        <v>46230.015752314801</v>
      </c>
      <c r="B2524" s="7">
        <v>12</v>
      </c>
      <c r="C2524" s="7">
        <v>721</v>
      </c>
      <c r="E2524" s="7" t="s">
        <v>1202</v>
      </c>
      <c r="F2524" s="7" t="s">
        <v>692</v>
      </c>
      <c r="G2524" s="7">
        <v>174</v>
      </c>
      <c r="H2524" s="7" t="s">
        <v>877</v>
      </c>
      <c r="I2524" s="7" t="s">
        <v>878</v>
      </c>
      <c r="J2524" s="7" t="s">
        <v>879</v>
      </c>
      <c r="M2524" s="7">
        <v>100</v>
      </c>
      <c r="N2524" s="7">
        <v>100</v>
      </c>
      <c r="P2524" s="126">
        <v>46209.706967592603</v>
      </c>
    </row>
    <row r="2525" spans="1:16" ht="15.75" customHeight="1">
      <c r="A2525" s="126">
        <v>46230.015752314801</v>
      </c>
      <c r="B2525" s="7">
        <v>12</v>
      </c>
      <c r="C2525" s="7">
        <v>721</v>
      </c>
      <c r="E2525" s="7" t="s">
        <v>1202</v>
      </c>
      <c r="F2525" s="7" t="s">
        <v>692</v>
      </c>
      <c r="G2525" s="7">
        <v>180</v>
      </c>
      <c r="H2525" s="7" t="s">
        <v>880</v>
      </c>
      <c r="I2525" s="7" t="s">
        <v>874</v>
      </c>
      <c r="J2525" s="7"/>
      <c r="M2525" s="7"/>
      <c r="N2525" s="7" t="s">
        <v>875</v>
      </c>
      <c r="O2525" s="126"/>
      <c r="P2525" s="126"/>
    </row>
    <row r="2526" spans="1:16" ht="15.75" customHeight="1">
      <c r="A2526" s="126">
        <v>46230.015752314801</v>
      </c>
      <c r="B2526" s="7">
        <v>12</v>
      </c>
      <c r="C2526" s="7">
        <v>721</v>
      </c>
      <c r="E2526" s="7" t="s">
        <v>1202</v>
      </c>
      <c r="F2526" s="7" t="s">
        <v>692</v>
      </c>
      <c r="G2526" s="7">
        <v>175</v>
      </c>
      <c r="H2526" s="7" t="s">
        <v>881</v>
      </c>
      <c r="I2526" s="7" t="s">
        <v>878</v>
      </c>
      <c r="J2526" s="7" t="s">
        <v>882</v>
      </c>
      <c r="M2526" s="7">
        <v>75</v>
      </c>
      <c r="N2526" s="7">
        <v>75</v>
      </c>
      <c r="O2526" s="126">
        <v>46215.801747685196</v>
      </c>
      <c r="P2526" s="126">
        <v>46215.801759259302</v>
      </c>
    </row>
    <row r="2527" spans="1:16" ht="15.75" customHeight="1">
      <c r="A2527" s="126">
        <v>46230.015752314801</v>
      </c>
      <c r="B2527" s="7">
        <v>12</v>
      </c>
      <c r="C2527" s="7">
        <v>721</v>
      </c>
      <c r="E2527" s="7" t="s">
        <v>1202</v>
      </c>
      <c r="F2527" s="7" t="s">
        <v>692</v>
      </c>
      <c r="G2527" s="7">
        <v>177</v>
      </c>
      <c r="H2527" s="7" t="s">
        <v>883</v>
      </c>
      <c r="I2527" s="7" t="s">
        <v>878</v>
      </c>
      <c r="J2527" s="7" t="s">
        <v>882</v>
      </c>
      <c r="M2527" s="7"/>
      <c r="N2527" s="7" t="s">
        <v>875</v>
      </c>
      <c r="P2527" s="126"/>
    </row>
    <row r="2528" spans="1:16" ht="15.75" customHeight="1">
      <c r="A2528" s="126">
        <v>46230.015752314801</v>
      </c>
      <c r="B2528" s="7">
        <v>12</v>
      </c>
      <c r="C2528" s="7">
        <v>721</v>
      </c>
      <c r="E2528" s="7" t="s">
        <v>1202</v>
      </c>
      <c r="F2528" s="7" t="s">
        <v>692</v>
      </c>
      <c r="G2528" s="7">
        <v>176</v>
      </c>
      <c r="H2528" s="7" t="s">
        <v>884</v>
      </c>
      <c r="I2528" s="7" t="s">
        <v>878</v>
      </c>
      <c r="J2528" s="7" t="s">
        <v>882</v>
      </c>
      <c r="M2528" s="7">
        <v>90</v>
      </c>
      <c r="N2528" s="7">
        <v>90</v>
      </c>
      <c r="O2528" s="126">
        <v>46229.5867939815</v>
      </c>
      <c r="P2528" s="126">
        <v>46229.5867939815</v>
      </c>
    </row>
    <row r="2529" spans="1:16" ht="15.75" customHeight="1">
      <c r="A2529" s="126">
        <v>46230.015752314801</v>
      </c>
      <c r="B2529" s="7">
        <v>12</v>
      </c>
      <c r="C2529" s="7">
        <v>721</v>
      </c>
      <c r="E2529" s="7" t="s">
        <v>1202</v>
      </c>
      <c r="F2529" s="7" t="s">
        <v>692</v>
      </c>
      <c r="G2529" s="7">
        <v>168</v>
      </c>
      <c r="H2529" s="7" t="s">
        <v>885</v>
      </c>
      <c r="I2529" s="7" t="s">
        <v>886</v>
      </c>
      <c r="J2529" s="7"/>
      <c r="M2529" s="7">
        <v>100</v>
      </c>
      <c r="N2529" s="7">
        <v>100</v>
      </c>
      <c r="O2529" s="126"/>
      <c r="P2529" s="126">
        <v>46209.706967592603</v>
      </c>
    </row>
    <row r="2530" spans="1:16" ht="15.75" customHeight="1">
      <c r="A2530" s="126">
        <v>46230.015752314801</v>
      </c>
      <c r="B2530" s="7">
        <v>12</v>
      </c>
      <c r="C2530" s="7">
        <v>667</v>
      </c>
      <c r="E2530" s="7" t="s">
        <v>1203</v>
      </c>
      <c r="F2530" s="7" t="s">
        <v>484</v>
      </c>
      <c r="G2530" s="7">
        <v>181</v>
      </c>
      <c r="H2530" s="7" t="s">
        <v>873</v>
      </c>
      <c r="I2530" s="7" t="s">
        <v>874</v>
      </c>
      <c r="M2530" s="7"/>
      <c r="N2530" s="7" t="s">
        <v>875</v>
      </c>
      <c r="P2530" s="126"/>
    </row>
    <row r="2531" spans="1:16" ht="15.75" customHeight="1">
      <c r="A2531" s="126">
        <v>46230.015752314801</v>
      </c>
      <c r="B2531" s="7">
        <v>12</v>
      </c>
      <c r="C2531" s="7">
        <v>667</v>
      </c>
      <c r="E2531" s="7" t="s">
        <v>1203</v>
      </c>
      <c r="F2531" s="7" t="s">
        <v>484</v>
      </c>
      <c r="G2531" s="7">
        <v>182</v>
      </c>
      <c r="H2531" s="7" t="s">
        <v>876</v>
      </c>
      <c r="I2531" s="7" t="s">
        <v>874</v>
      </c>
      <c r="J2531" s="7"/>
      <c r="M2531" s="7"/>
      <c r="N2531" s="7" t="s">
        <v>875</v>
      </c>
      <c r="P2531" s="126"/>
    </row>
    <row r="2532" spans="1:16" ht="15.75" customHeight="1">
      <c r="A2532" s="126">
        <v>46230.015752314801</v>
      </c>
      <c r="B2532" s="7">
        <v>12</v>
      </c>
      <c r="C2532" s="7">
        <v>667</v>
      </c>
      <c r="E2532" s="7" t="s">
        <v>1203</v>
      </c>
      <c r="F2532" s="7" t="s">
        <v>484</v>
      </c>
      <c r="G2532" s="7">
        <v>174</v>
      </c>
      <c r="H2532" s="7" t="s">
        <v>877</v>
      </c>
      <c r="I2532" s="7" t="s">
        <v>878</v>
      </c>
      <c r="J2532" s="7" t="s">
        <v>879</v>
      </c>
      <c r="M2532" s="7">
        <v>100</v>
      </c>
      <c r="N2532" s="7">
        <v>100</v>
      </c>
      <c r="P2532" s="126">
        <v>46209.6796412037</v>
      </c>
    </row>
    <row r="2533" spans="1:16" ht="15.75" customHeight="1">
      <c r="A2533" s="126">
        <v>46230.015752314801</v>
      </c>
      <c r="B2533" s="7">
        <v>12</v>
      </c>
      <c r="C2533" s="7">
        <v>667</v>
      </c>
      <c r="E2533" s="7" t="s">
        <v>1203</v>
      </c>
      <c r="F2533" s="7" t="s">
        <v>484</v>
      </c>
      <c r="G2533" s="7">
        <v>180</v>
      </c>
      <c r="H2533" s="7" t="s">
        <v>880</v>
      </c>
      <c r="I2533" s="7" t="s">
        <v>874</v>
      </c>
      <c r="J2533" s="7"/>
      <c r="M2533" s="7"/>
      <c r="N2533" s="7" t="s">
        <v>875</v>
      </c>
      <c r="O2533" s="126"/>
      <c r="P2533" s="126"/>
    </row>
    <row r="2534" spans="1:16" ht="15.75" customHeight="1">
      <c r="A2534" s="126">
        <v>46230.015752314801</v>
      </c>
      <c r="B2534" s="7">
        <v>12</v>
      </c>
      <c r="C2534" s="7">
        <v>667</v>
      </c>
      <c r="E2534" s="7" t="s">
        <v>1203</v>
      </c>
      <c r="F2534" s="7" t="s">
        <v>484</v>
      </c>
      <c r="G2534" s="7">
        <v>175</v>
      </c>
      <c r="H2534" s="7" t="s">
        <v>881</v>
      </c>
      <c r="I2534" s="7" t="s">
        <v>878</v>
      </c>
      <c r="J2534" s="7" t="s">
        <v>882</v>
      </c>
      <c r="M2534" s="7">
        <v>100</v>
      </c>
      <c r="N2534" s="7">
        <v>100</v>
      </c>
      <c r="O2534" s="126">
        <v>46215.973020833299</v>
      </c>
      <c r="P2534" s="126">
        <v>46215.973032407397</v>
      </c>
    </row>
    <row r="2535" spans="1:16" ht="15.75" customHeight="1">
      <c r="A2535" s="126">
        <v>46230.015752314801</v>
      </c>
      <c r="B2535" s="7">
        <v>12</v>
      </c>
      <c r="C2535" s="7">
        <v>667</v>
      </c>
      <c r="E2535" s="7" t="s">
        <v>1203</v>
      </c>
      <c r="F2535" s="7" t="s">
        <v>484</v>
      </c>
      <c r="G2535" s="7">
        <v>177</v>
      </c>
      <c r="H2535" s="7" t="s">
        <v>883</v>
      </c>
      <c r="I2535" s="7" t="s">
        <v>878</v>
      </c>
      <c r="J2535" s="7" t="s">
        <v>882</v>
      </c>
      <c r="M2535" s="7"/>
      <c r="N2535" s="7" t="s">
        <v>875</v>
      </c>
      <c r="O2535" s="126"/>
      <c r="P2535" s="126"/>
    </row>
    <row r="2536" spans="1:16" ht="15.75" customHeight="1">
      <c r="A2536" s="126">
        <v>46230.015752314801</v>
      </c>
      <c r="B2536" s="7">
        <v>12</v>
      </c>
      <c r="C2536" s="7">
        <v>667</v>
      </c>
      <c r="E2536" s="7" t="s">
        <v>1203</v>
      </c>
      <c r="F2536" s="7" t="s">
        <v>484</v>
      </c>
      <c r="G2536" s="7">
        <v>176</v>
      </c>
      <c r="H2536" s="7" t="s">
        <v>884</v>
      </c>
      <c r="I2536" s="7" t="s">
        <v>878</v>
      </c>
      <c r="J2536" s="7" t="s">
        <v>882</v>
      </c>
      <c r="M2536" s="7">
        <v>100</v>
      </c>
      <c r="N2536" s="7">
        <v>100</v>
      </c>
      <c r="O2536" s="126">
        <v>46224.787268518499</v>
      </c>
      <c r="P2536" s="126">
        <v>46224.787268518499</v>
      </c>
    </row>
    <row r="2537" spans="1:16" ht="15.75" customHeight="1">
      <c r="A2537" s="126">
        <v>46230.015752314801</v>
      </c>
      <c r="B2537" s="7">
        <v>12</v>
      </c>
      <c r="C2537" s="7">
        <v>667</v>
      </c>
      <c r="E2537" s="7" t="s">
        <v>1203</v>
      </c>
      <c r="F2537" s="7" t="s">
        <v>484</v>
      </c>
      <c r="G2537" s="7">
        <v>168</v>
      </c>
      <c r="H2537" s="7" t="s">
        <v>885</v>
      </c>
      <c r="I2537" s="7" t="s">
        <v>886</v>
      </c>
      <c r="J2537" s="7"/>
      <c r="M2537" s="7">
        <v>100</v>
      </c>
      <c r="N2537" s="7">
        <v>100</v>
      </c>
      <c r="O2537" s="126"/>
      <c r="P2537" s="126">
        <v>46209.6796412037</v>
      </c>
    </row>
    <row r="2538" spans="1:16" ht="15.75" customHeight="1">
      <c r="A2538" s="126">
        <v>46230.015752314801</v>
      </c>
      <c r="B2538" s="7">
        <v>12</v>
      </c>
      <c r="C2538" s="7">
        <v>633</v>
      </c>
      <c r="E2538" s="7" t="s">
        <v>1204</v>
      </c>
      <c r="F2538" s="7" t="s">
        <v>796</v>
      </c>
      <c r="G2538" s="7">
        <v>181</v>
      </c>
      <c r="H2538" s="7" t="s">
        <v>873</v>
      </c>
      <c r="I2538" s="7" t="s">
        <v>874</v>
      </c>
      <c r="J2538" s="7"/>
      <c r="M2538" s="7"/>
      <c r="N2538" s="7" t="s">
        <v>875</v>
      </c>
      <c r="O2538" s="126"/>
      <c r="P2538" s="126"/>
    </row>
    <row r="2539" spans="1:16" ht="15.75" customHeight="1">
      <c r="A2539" s="126">
        <v>46230.015752314801</v>
      </c>
      <c r="B2539" s="7">
        <v>12</v>
      </c>
      <c r="C2539" s="7">
        <v>633</v>
      </c>
      <c r="E2539" s="7" t="s">
        <v>1204</v>
      </c>
      <c r="F2539" s="7" t="s">
        <v>796</v>
      </c>
      <c r="G2539" s="7">
        <v>182</v>
      </c>
      <c r="H2539" s="7" t="s">
        <v>876</v>
      </c>
      <c r="I2539" s="7" t="s">
        <v>874</v>
      </c>
      <c r="J2539" s="7"/>
      <c r="M2539" s="7"/>
      <c r="N2539" s="7" t="s">
        <v>875</v>
      </c>
      <c r="P2539" s="126"/>
    </row>
    <row r="2540" spans="1:16" ht="15.75" customHeight="1">
      <c r="A2540" s="126">
        <v>46230.015752314801</v>
      </c>
      <c r="B2540" s="7">
        <v>12</v>
      </c>
      <c r="C2540" s="7">
        <v>633</v>
      </c>
      <c r="E2540" s="7" t="s">
        <v>1204</v>
      </c>
      <c r="F2540" s="7" t="s">
        <v>796</v>
      </c>
      <c r="G2540" s="7">
        <v>174</v>
      </c>
      <c r="H2540" s="7" t="s">
        <v>877</v>
      </c>
      <c r="I2540" s="7" t="s">
        <v>878</v>
      </c>
      <c r="J2540" s="7" t="s">
        <v>879</v>
      </c>
      <c r="M2540" s="7">
        <v>100</v>
      </c>
      <c r="N2540" s="7">
        <v>100</v>
      </c>
      <c r="P2540" s="126">
        <v>46209.706956018497</v>
      </c>
    </row>
    <row r="2541" spans="1:16" ht="15.75" customHeight="1">
      <c r="A2541" s="126">
        <v>46230.015752314801</v>
      </c>
      <c r="B2541" s="7">
        <v>12</v>
      </c>
      <c r="C2541" s="7">
        <v>633</v>
      </c>
      <c r="E2541" s="7" t="s">
        <v>1204</v>
      </c>
      <c r="F2541" s="7" t="s">
        <v>796</v>
      </c>
      <c r="G2541" s="7">
        <v>180</v>
      </c>
      <c r="H2541" s="7" t="s">
        <v>880</v>
      </c>
      <c r="I2541" s="7" t="s">
        <v>874</v>
      </c>
      <c r="J2541" s="7"/>
      <c r="M2541" s="7"/>
      <c r="N2541" s="7" t="s">
        <v>875</v>
      </c>
      <c r="O2541" s="126"/>
      <c r="P2541" s="126"/>
    </row>
    <row r="2542" spans="1:16" ht="15.75" customHeight="1">
      <c r="A2542" s="126">
        <v>46230.015752314801</v>
      </c>
      <c r="B2542" s="7">
        <v>12</v>
      </c>
      <c r="C2542" s="7">
        <v>633</v>
      </c>
      <c r="E2542" s="7" t="s">
        <v>1204</v>
      </c>
      <c r="F2542" s="7" t="s">
        <v>796</v>
      </c>
      <c r="G2542" s="7">
        <v>175</v>
      </c>
      <c r="H2542" s="7" t="s">
        <v>881</v>
      </c>
      <c r="I2542" s="7" t="s">
        <v>878</v>
      </c>
      <c r="J2542" s="7" t="s">
        <v>882</v>
      </c>
      <c r="M2542" s="7">
        <v>87.5</v>
      </c>
      <c r="N2542" s="7">
        <v>87.5</v>
      </c>
      <c r="O2542" s="126">
        <v>46216.470752314803</v>
      </c>
      <c r="P2542" s="126">
        <v>46216.470752314803</v>
      </c>
    </row>
    <row r="2543" spans="1:16" ht="15.75" customHeight="1">
      <c r="A2543" s="126">
        <v>46230.015752314801</v>
      </c>
      <c r="B2543" s="7">
        <v>12</v>
      </c>
      <c r="C2543" s="7">
        <v>633</v>
      </c>
      <c r="E2543" s="7" t="s">
        <v>1204</v>
      </c>
      <c r="F2543" s="7" t="s">
        <v>796</v>
      </c>
      <c r="G2543" s="7">
        <v>177</v>
      </c>
      <c r="H2543" s="7" t="s">
        <v>883</v>
      </c>
      <c r="I2543" s="7" t="s">
        <v>878</v>
      </c>
      <c r="J2543" s="7" t="s">
        <v>882</v>
      </c>
      <c r="M2543" s="7"/>
      <c r="N2543" s="7" t="s">
        <v>875</v>
      </c>
      <c r="P2543" s="126"/>
    </row>
    <row r="2544" spans="1:16" ht="15.75" customHeight="1">
      <c r="A2544" s="126">
        <v>46230.015752314801</v>
      </c>
      <c r="B2544" s="7">
        <v>12</v>
      </c>
      <c r="C2544" s="7">
        <v>633</v>
      </c>
      <c r="E2544" s="7" t="s">
        <v>1204</v>
      </c>
      <c r="F2544" s="7" t="s">
        <v>796</v>
      </c>
      <c r="G2544" s="7">
        <v>176</v>
      </c>
      <c r="H2544" s="7" t="s">
        <v>884</v>
      </c>
      <c r="I2544" s="7" t="s">
        <v>878</v>
      </c>
      <c r="J2544" s="7" t="s">
        <v>882</v>
      </c>
      <c r="M2544" s="7">
        <v>100</v>
      </c>
      <c r="N2544" s="7">
        <v>100</v>
      </c>
      <c r="O2544" s="126">
        <v>46223.712268518502</v>
      </c>
      <c r="P2544" s="126">
        <v>46223.793657407397</v>
      </c>
    </row>
    <row r="2545" spans="1:16" ht="15.75" customHeight="1">
      <c r="A2545" s="126">
        <v>46230.015752314801</v>
      </c>
      <c r="B2545" s="7">
        <v>12</v>
      </c>
      <c r="C2545" s="7">
        <v>633</v>
      </c>
      <c r="E2545" s="7" t="s">
        <v>1204</v>
      </c>
      <c r="F2545" s="7" t="s">
        <v>796</v>
      </c>
      <c r="G2545" s="7">
        <v>168</v>
      </c>
      <c r="H2545" s="7" t="s">
        <v>885</v>
      </c>
      <c r="I2545" s="7" t="s">
        <v>886</v>
      </c>
      <c r="J2545" s="7"/>
      <c r="M2545" s="7">
        <v>100</v>
      </c>
      <c r="N2545" s="7">
        <v>100</v>
      </c>
      <c r="P2545" s="126">
        <v>46209.706956018497</v>
      </c>
    </row>
    <row r="2546" spans="1:16" ht="15.75" customHeight="1">
      <c r="A2546" s="126">
        <v>46230.015752314801</v>
      </c>
      <c r="B2546" s="7">
        <v>12</v>
      </c>
      <c r="C2546" s="7">
        <v>711</v>
      </c>
      <c r="E2546" s="7" t="s">
        <v>1205</v>
      </c>
      <c r="F2546" s="7" t="s">
        <v>284</v>
      </c>
      <c r="G2546" s="7">
        <v>181</v>
      </c>
      <c r="H2546" s="7" t="s">
        <v>873</v>
      </c>
      <c r="I2546" s="7" t="s">
        <v>874</v>
      </c>
      <c r="J2546" s="7"/>
      <c r="M2546" s="7"/>
      <c r="N2546" s="7" t="s">
        <v>875</v>
      </c>
      <c r="O2546" s="126"/>
      <c r="P2546" s="126"/>
    </row>
    <row r="2547" spans="1:16" ht="15.75" customHeight="1">
      <c r="A2547" s="126">
        <v>46230.015752314801</v>
      </c>
      <c r="B2547" s="7">
        <v>12</v>
      </c>
      <c r="C2547" s="7">
        <v>711</v>
      </c>
      <c r="E2547" s="7" t="s">
        <v>1205</v>
      </c>
      <c r="F2547" s="7" t="s">
        <v>284</v>
      </c>
      <c r="G2547" s="7">
        <v>182</v>
      </c>
      <c r="H2547" s="7" t="s">
        <v>876</v>
      </c>
      <c r="I2547" s="7" t="s">
        <v>874</v>
      </c>
      <c r="J2547" s="7"/>
      <c r="M2547" s="7"/>
      <c r="N2547" s="7" t="s">
        <v>875</v>
      </c>
      <c r="O2547" s="126"/>
      <c r="P2547" s="126"/>
    </row>
    <row r="2548" spans="1:16" ht="15.75" customHeight="1">
      <c r="A2548" s="126">
        <v>46230.015752314801</v>
      </c>
      <c r="B2548" s="7">
        <v>12</v>
      </c>
      <c r="C2548" s="7">
        <v>711</v>
      </c>
      <c r="E2548" s="7" t="s">
        <v>1205</v>
      </c>
      <c r="F2548" s="7" t="s">
        <v>284</v>
      </c>
      <c r="G2548" s="7">
        <v>174</v>
      </c>
      <c r="H2548" s="7" t="s">
        <v>877</v>
      </c>
      <c r="I2548" s="7" t="s">
        <v>878</v>
      </c>
      <c r="J2548" s="7" t="s">
        <v>879</v>
      </c>
      <c r="M2548" s="7">
        <v>100</v>
      </c>
      <c r="N2548" s="7">
        <v>100</v>
      </c>
      <c r="P2548" s="126">
        <v>46209.714930555601</v>
      </c>
    </row>
    <row r="2549" spans="1:16" ht="15.75" customHeight="1">
      <c r="A2549" s="126">
        <v>46230.015752314801</v>
      </c>
      <c r="B2549" s="7">
        <v>12</v>
      </c>
      <c r="C2549" s="7">
        <v>711</v>
      </c>
      <c r="D2549" s="7"/>
      <c r="E2549" s="7" t="s">
        <v>1205</v>
      </c>
      <c r="F2549" s="7" t="s">
        <v>284</v>
      </c>
      <c r="G2549" s="7">
        <v>180</v>
      </c>
      <c r="H2549" s="7" t="s">
        <v>880</v>
      </c>
      <c r="I2549" s="7" t="s">
        <v>874</v>
      </c>
      <c r="J2549" s="7"/>
      <c r="M2549" s="7"/>
      <c r="N2549" s="7" t="s">
        <v>875</v>
      </c>
      <c r="O2549" s="126"/>
      <c r="P2549" s="126"/>
    </row>
    <row r="2550" spans="1:16" ht="15.75" customHeight="1">
      <c r="A2550" s="126">
        <v>46230.015752314801</v>
      </c>
      <c r="B2550" s="7">
        <v>12</v>
      </c>
      <c r="C2550" s="7">
        <v>711</v>
      </c>
      <c r="D2550" s="7"/>
      <c r="E2550" s="7" t="s">
        <v>1205</v>
      </c>
      <c r="F2550" s="7" t="s">
        <v>284</v>
      </c>
      <c r="G2550" s="7">
        <v>175</v>
      </c>
      <c r="H2550" s="7" t="s">
        <v>881</v>
      </c>
      <c r="I2550" s="7" t="s">
        <v>878</v>
      </c>
      <c r="J2550" s="7" t="s">
        <v>882</v>
      </c>
      <c r="M2550" s="7">
        <v>100</v>
      </c>
      <c r="N2550" s="7">
        <v>100</v>
      </c>
      <c r="O2550" s="126">
        <v>46216.485312500001</v>
      </c>
      <c r="P2550" s="126">
        <v>46216.485312500001</v>
      </c>
    </row>
    <row r="2551" spans="1:16" ht="15.75" customHeight="1">
      <c r="A2551" s="126">
        <v>46230.015752314801</v>
      </c>
      <c r="B2551" s="7">
        <v>12</v>
      </c>
      <c r="C2551" s="7">
        <v>711</v>
      </c>
      <c r="D2551" s="7"/>
      <c r="E2551" s="7" t="s">
        <v>1205</v>
      </c>
      <c r="F2551" s="7" t="s">
        <v>284</v>
      </c>
      <c r="G2551" s="7">
        <v>177</v>
      </c>
      <c r="H2551" s="7" t="s">
        <v>883</v>
      </c>
      <c r="I2551" s="7" t="s">
        <v>878</v>
      </c>
      <c r="J2551" s="7" t="s">
        <v>882</v>
      </c>
      <c r="M2551" s="7"/>
      <c r="N2551" s="7" t="s">
        <v>875</v>
      </c>
      <c r="P2551" s="126"/>
    </row>
    <row r="2552" spans="1:16" ht="15.75" customHeight="1">
      <c r="A2552" s="126">
        <v>46230.015752314801</v>
      </c>
      <c r="B2552" s="7">
        <v>12</v>
      </c>
      <c r="C2552" s="7">
        <v>711</v>
      </c>
      <c r="D2552" s="7"/>
      <c r="E2552" s="7" t="s">
        <v>1205</v>
      </c>
      <c r="F2552" s="7" t="s">
        <v>284</v>
      </c>
      <c r="G2552" s="7">
        <v>176</v>
      </c>
      <c r="H2552" s="7" t="s">
        <v>884</v>
      </c>
      <c r="I2552" s="7" t="s">
        <v>878</v>
      </c>
      <c r="J2552" s="7" t="s">
        <v>882</v>
      </c>
      <c r="M2552" s="7">
        <v>100</v>
      </c>
      <c r="N2552" s="7">
        <v>100</v>
      </c>
      <c r="O2552" s="126">
        <v>46224.960555555597</v>
      </c>
      <c r="P2552" s="126">
        <v>46224.960555555597</v>
      </c>
    </row>
    <row r="2553" spans="1:16" ht="15.75" customHeight="1">
      <c r="A2553" s="126">
        <v>46230.015752314801</v>
      </c>
      <c r="B2553" s="7">
        <v>12</v>
      </c>
      <c r="C2553" s="7">
        <v>711</v>
      </c>
      <c r="D2553" s="7"/>
      <c r="E2553" s="7" t="s">
        <v>1205</v>
      </c>
      <c r="F2553" s="7" t="s">
        <v>284</v>
      </c>
      <c r="G2553" s="7">
        <v>168</v>
      </c>
      <c r="H2553" s="7" t="s">
        <v>885</v>
      </c>
      <c r="I2553" s="7" t="s">
        <v>886</v>
      </c>
      <c r="J2553" s="7"/>
      <c r="M2553" s="7">
        <v>100</v>
      </c>
      <c r="N2553" s="7">
        <v>100</v>
      </c>
      <c r="O2553" s="126"/>
      <c r="P2553" s="126">
        <v>46209.714930555601</v>
      </c>
    </row>
    <row r="2554" spans="1:16" ht="15.75" customHeight="1">
      <c r="A2554" s="126">
        <v>46230.015752314801</v>
      </c>
      <c r="B2554" s="7">
        <v>12</v>
      </c>
      <c r="C2554" s="7">
        <v>590</v>
      </c>
      <c r="D2554" s="7"/>
      <c r="E2554" s="7" t="s">
        <v>1206</v>
      </c>
      <c r="F2554" s="7" t="s">
        <v>745</v>
      </c>
      <c r="G2554" s="7">
        <v>181</v>
      </c>
      <c r="H2554" s="7" t="s">
        <v>873</v>
      </c>
      <c r="I2554" s="7" t="s">
        <v>874</v>
      </c>
      <c r="J2554" s="7"/>
      <c r="M2554" s="7"/>
      <c r="N2554" s="7" t="s">
        <v>875</v>
      </c>
      <c r="P2554" s="126"/>
    </row>
    <row r="2555" spans="1:16" ht="15.75" customHeight="1">
      <c r="A2555" s="126">
        <v>46230.015752314801</v>
      </c>
      <c r="B2555" s="7">
        <v>12</v>
      </c>
      <c r="C2555" s="7">
        <v>590</v>
      </c>
      <c r="D2555" s="7"/>
      <c r="E2555" s="7" t="s">
        <v>1206</v>
      </c>
      <c r="F2555" s="7" t="s">
        <v>745</v>
      </c>
      <c r="G2555" s="7">
        <v>182</v>
      </c>
      <c r="H2555" s="7" t="s">
        <v>876</v>
      </c>
      <c r="I2555" s="7" t="s">
        <v>874</v>
      </c>
      <c r="J2555" s="7"/>
      <c r="M2555" s="7"/>
      <c r="N2555" s="7" t="s">
        <v>875</v>
      </c>
      <c r="O2555" s="126"/>
      <c r="P2555" s="126"/>
    </row>
    <row r="2556" spans="1:16" ht="15.75" customHeight="1">
      <c r="A2556" s="126">
        <v>46230.015752314801</v>
      </c>
      <c r="B2556" s="7">
        <v>12</v>
      </c>
      <c r="C2556" s="7">
        <v>590</v>
      </c>
      <c r="D2556" s="7"/>
      <c r="E2556" s="7" t="s">
        <v>1206</v>
      </c>
      <c r="F2556" s="7" t="s">
        <v>745</v>
      </c>
      <c r="G2556" s="7">
        <v>174</v>
      </c>
      <c r="H2556" s="7" t="s">
        <v>877</v>
      </c>
      <c r="I2556" s="7" t="s">
        <v>878</v>
      </c>
      <c r="J2556" s="7" t="s">
        <v>879</v>
      </c>
      <c r="M2556" s="7">
        <v>100</v>
      </c>
      <c r="N2556" s="7">
        <v>100</v>
      </c>
      <c r="O2556" s="126"/>
      <c r="P2556" s="126">
        <v>46209.706932870402</v>
      </c>
    </row>
    <row r="2557" spans="1:16" ht="15.75" customHeight="1">
      <c r="A2557" s="126">
        <v>46230.015752314801</v>
      </c>
      <c r="B2557" s="7">
        <v>12</v>
      </c>
      <c r="C2557" s="7">
        <v>590</v>
      </c>
      <c r="D2557" s="7"/>
      <c r="E2557" s="7" t="s">
        <v>1206</v>
      </c>
      <c r="F2557" s="7" t="s">
        <v>745</v>
      </c>
      <c r="G2557" s="7">
        <v>180</v>
      </c>
      <c r="H2557" s="7" t="s">
        <v>880</v>
      </c>
      <c r="I2557" s="7" t="s">
        <v>874</v>
      </c>
      <c r="J2557" s="7"/>
      <c r="M2557" s="7"/>
      <c r="N2557" s="7" t="s">
        <v>875</v>
      </c>
      <c r="O2557" s="126"/>
      <c r="P2557" s="126"/>
    </row>
    <row r="2558" spans="1:16" ht="15.75" customHeight="1">
      <c r="A2558" s="126">
        <v>46230.015752314801</v>
      </c>
      <c r="B2558" s="7">
        <v>12</v>
      </c>
      <c r="C2558" s="7">
        <v>590</v>
      </c>
      <c r="D2558" s="7"/>
      <c r="E2558" s="7" t="s">
        <v>1206</v>
      </c>
      <c r="F2558" s="7" t="s">
        <v>745</v>
      </c>
      <c r="G2558" s="7">
        <v>175</v>
      </c>
      <c r="H2558" s="7" t="s">
        <v>881</v>
      </c>
      <c r="I2558" s="7" t="s">
        <v>878</v>
      </c>
      <c r="J2558" s="7" t="s">
        <v>882</v>
      </c>
      <c r="M2558" s="7">
        <v>62.5</v>
      </c>
      <c r="N2558" s="7">
        <v>62.5</v>
      </c>
      <c r="O2558" s="126">
        <v>46216.401655092603</v>
      </c>
      <c r="P2558" s="126">
        <v>46216.401655092603</v>
      </c>
    </row>
    <row r="2559" spans="1:16" ht="15.75" customHeight="1">
      <c r="A2559" s="126">
        <v>46230.015752314801</v>
      </c>
      <c r="B2559" s="7">
        <v>12</v>
      </c>
      <c r="C2559" s="7">
        <v>590</v>
      </c>
      <c r="D2559" s="7"/>
      <c r="E2559" s="7" t="s">
        <v>1206</v>
      </c>
      <c r="F2559" s="7" t="s">
        <v>745</v>
      </c>
      <c r="G2559" s="7">
        <v>177</v>
      </c>
      <c r="H2559" s="7" t="s">
        <v>883</v>
      </c>
      <c r="I2559" s="7" t="s">
        <v>878</v>
      </c>
      <c r="J2559" s="7" t="s">
        <v>882</v>
      </c>
      <c r="M2559" s="7"/>
      <c r="N2559" s="7" t="s">
        <v>875</v>
      </c>
      <c r="P2559" s="126"/>
    </row>
    <row r="2560" spans="1:16" ht="15.75" customHeight="1">
      <c r="A2560" s="126">
        <v>46230.015752314801</v>
      </c>
      <c r="B2560" s="7">
        <v>12</v>
      </c>
      <c r="C2560" s="7">
        <v>590</v>
      </c>
      <c r="D2560" s="7"/>
      <c r="E2560" s="7" t="s">
        <v>1206</v>
      </c>
      <c r="F2560" s="7" t="s">
        <v>745</v>
      </c>
      <c r="G2560" s="7">
        <v>176</v>
      </c>
      <c r="H2560" s="7" t="s">
        <v>884</v>
      </c>
      <c r="I2560" s="7" t="s">
        <v>878</v>
      </c>
      <c r="J2560" s="7" t="s">
        <v>882</v>
      </c>
      <c r="M2560" s="7">
        <v>90</v>
      </c>
      <c r="N2560" s="7">
        <v>90</v>
      </c>
      <c r="O2560" s="126">
        <v>46224.914629629602</v>
      </c>
      <c r="P2560" s="126">
        <v>46224.914629629602</v>
      </c>
    </row>
    <row r="2561" spans="1:16" ht="15.75" customHeight="1">
      <c r="A2561" s="126">
        <v>46230.015752314801</v>
      </c>
      <c r="B2561" s="7">
        <v>12</v>
      </c>
      <c r="C2561" s="7">
        <v>590</v>
      </c>
      <c r="D2561" s="7"/>
      <c r="E2561" s="7" t="s">
        <v>1206</v>
      </c>
      <c r="F2561" s="7" t="s">
        <v>745</v>
      </c>
      <c r="G2561" s="7">
        <v>168</v>
      </c>
      <c r="H2561" s="7" t="s">
        <v>885</v>
      </c>
      <c r="I2561" s="7" t="s">
        <v>886</v>
      </c>
      <c r="M2561" s="7">
        <v>100</v>
      </c>
      <c r="N2561" s="7">
        <v>100</v>
      </c>
      <c r="P2561" s="126">
        <v>46209.706932870402</v>
      </c>
    </row>
    <row r="2562" spans="1:16" ht="15.75" customHeight="1">
      <c r="A2562" s="126">
        <v>46230.015752314801</v>
      </c>
      <c r="B2562" s="7">
        <v>12</v>
      </c>
      <c r="C2562" s="7">
        <v>285</v>
      </c>
      <c r="D2562" s="7"/>
      <c r="E2562" s="7" t="s">
        <v>1207</v>
      </c>
      <c r="F2562" s="7" t="s">
        <v>158</v>
      </c>
      <c r="G2562" s="7">
        <v>181</v>
      </c>
      <c r="H2562" s="7" t="s">
        <v>873</v>
      </c>
      <c r="I2562" s="7" t="s">
        <v>874</v>
      </c>
      <c r="J2562" s="7"/>
      <c r="M2562" s="7"/>
      <c r="N2562" s="7" t="s">
        <v>875</v>
      </c>
      <c r="O2562" s="126"/>
      <c r="P2562" s="126"/>
    </row>
    <row r="2563" spans="1:16" ht="15.75" customHeight="1">
      <c r="A2563" s="126">
        <v>46230.015752314801</v>
      </c>
      <c r="B2563" s="7">
        <v>12</v>
      </c>
      <c r="C2563" s="7">
        <v>285</v>
      </c>
      <c r="D2563" s="7"/>
      <c r="E2563" s="7" t="s">
        <v>1207</v>
      </c>
      <c r="F2563" s="7" t="s">
        <v>158</v>
      </c>
      <c r="G2563" s="7">
        <v>182</v>
      </c>
      <c r="H2563" s="7" t="s">
        <v>876</v>
      </c>
      <c r="I2563" s="7" t="s">
        <v>874</v>
      </c>
      <c r="J2563" s="7"/>
      <c r="M2563" s="7"/>
      <c r="N2563" s="7" t="s">
        <v>875</v>
      </c>
      <c r="P2563" s="126"/>
    </row>
    <row r="2564" spans="1:16" ht="15.75" customHeight="1">
      <c r="A2564" s="126">
        <v>46230.015752314801</v>
      </c>
      <c r="B2564" s="7">
        <v>12</v>
      </c>
      <c r="C2564" s="7">
        <v>285</v>
      </c>
      <c r="D2564" s="7"/>
      <c r="E2564" s="7" t="s">
        <v>1207</v>
      </c>
      <c r="F2564" s="7" t="s">
        <v>158</v>
      </c>
      <c r="G2564" s="7">
        <v>174</v>
      </c>
      <c r="H2564" s="7" t="s">
        <v>877</v>
      </c>
      <c r="I2564" s="7" t="s">
        <v>878</v>
      </c>
      <c r="J2564" s="7" t="s">
        <v>879</v>
      </c>
      <c r="M2564" s="7">
        <v>100</v>
      </c>
      <c r="N2564" s="7">
        <v>100</v>
      </c>
      <c r="O2564" s="126"/>
      <c r="P2564" s="126">
        <v>46209.706944444399</v>
      </c>
    </row>
    <row r="2565" spans="1:16" ht="15.75" customHeight="1">
      <c r="A2565" s="126">
        <v>46230.015752314801</v>
      </c>
      <c r="B2565" s="7">
        <v>12</v>
      </c>
      <c r="C2565" s="7">
        <v>285</v>
      </c>
      <c r="D2565" s="7"/>
      <c r="E2565" s="7" t="s">
        <v>1207</v>
      </c>
      <c r="F2565" s="7" t="s">
        <v>158</v>
      </c>
      <c r="G2565" s="7">
        <v>180</v>
      </c>
      <c r="H2565" s="7" t="s">
        <v>880</v>
      </c>
      <c r="I2565" s="7" t="s">
        <v>874</v>
      </c>
      <c r="J2565" s="7"/>
      <c r="M2565" s="7"/>
      <c r="N2565" s="7" t="s">
        <v>875</v>
      </c>
      <c r="O2565" s="126"/>
      <c r="P2565" s="126"/>
    </row>
    <row r="2566" spans="1:16" ht="15.75" customHeight="1">
      <c r="A2566" s="126">
        <v>46230.015752314801</v>
      </c>
      <c r="B2566" s="7">
        <v>12</v>
      </c>
      <c r="C2566" s="7">
        <v>285</v>
      </c>
      <c r="D2566" s="7"/>
      <c r="E2566" s="7" t="s">
        <v>1207</v>
      </c>
      <c r="F2566" s="7" t="s">
        <v>158</v>
      </c>
      <c r="G2566" s="7">
        <v>175</v>
      </c>
      <c r="H2566" s="7" t="s">
        <v>881</v>
      </c>
      <c r="I2566" s="7" t="s">
        <v>878</v>
      </c>
      <c r="J2566" s="7" t="s">
        <v>882</v>
      </c>
      <c r="M2566" s="7">
        <v>100</v>
      </c>
      <c r="N2566" s="7">
        <v>100</v>
      </c>
      <c r="O2566" s="126">
        <v>46214.4845138889</v>
      </c>
      <c r="P2566" s="126">
        <v>46214.4845138889</v>
      </c>
    </row>
    <row r="2567" spans="1:16" ht="15.75" customHeight="1">
      <c r="A2567" s="126">
        <v>46230.015752314801</v>
      </c>
      <c r="B2567" s="7">
        <v>12</v>
      </c>
      <c r="C2567" s="7">
        <v>285</v>
      </c>
      <c r="D2567" s="7"/>
      <c r="E2567" s="7" t="s">
        <v>1207</v>
      </c>
      <c r="F2567" s="7" t="s">
        <v>158</v>
      </c>
      <c r="G2567" s="7">
        <v>177</v>
      </c>
      <c r="H2567" s="7" t="s">
        <v>883</v>
      </c>
      <c r="I2567" s="7" t="s">
        <v>878</v>
      </c>
      <c r="J2567" s="7" t="s">
        <v>882</v>
      </c>
      <c r="M2567" s="7"/>
      <c r="N2567" s="7" t="s">
        <v>875</v>
      </c>
      <c r="P2567" s="126"/>
    </row>
    <row r="2568" spans="1:16" ht="15.75" customHeight="1">
      <c r="A2568" s="126">
        <v>46230.015752314801</v>
      </c>
      <c r="B2568" s="7">
        <v>12</v>
      </c>
      <c r="C2568" s="7">
        <v>285</v>
      </c>
      <c r="D2568" s="7"/>
      <c r="E2568" s="7" t="s">
        <v>1207</v>
      </c>
      <c r="F2568" s="7" t="s">
        <v>158</v>
      </c>
      <c r="G2568" s="7">
        <v>176</v>
      </c>
      <c r="H2568" s="7" t="s">
        <v>884</v>
      </c>
      <c r="I2568" s="7" t="s">
        <v>878</v>
      </c>
      <c r="J2568" s="7" t="s">
        <v>882</v>
      </c>
      <c r="M2568" s="7">
        <v>100</v>
      </c>
      <c r="N2568" s="7">
        <v>100</v>
      </c>
      <c r="O2568" s="126">
        <v>46224.369641203702</v>
      </c>
      <c r="P2568" s="126">
        <v>46224.369641203702</v>
      </c>
    </row>
    <row r="2569" spans="1:16" ht="15.75" customHeight="1">
      <c r="A2569" s="126">
        <v>46230.015752314801</v>
      </c>
      <c r="B2569" s="7">
        <v>12</v>
      </c>
      <c r="C2569" s="7">
        <v>285</v>
      </c>
      <c r="D2569" s="7"/>
      <c r="E2569" s="7" t="s">
        <v>1207</v>
      </c>
      <c r="F2569" s="7" t="s">
        <v>158</v>
      </c>
      <c r="G2569" s="7">
        <v>168</v>
      </c>
      <c r="H2569" s="7" t="s">
        <v>885</v>
      </c>
      <c r="I2569" s="7" t="s">
        <v>886</v>
      </c>
      <c r="J2569" s="7"/>
      <c r="M2569" s="7">
        <v>100</v>
      </c>
      <c r="N2569" s="7">
        <v>100</v>
      </c>
      <c r="P2569" s="126">
        <v>46209.706944444399</v>
      </c>
    </row>
    <row r="2570" spans="1:16" ht="15.75" customHeight="1">
      <c r="A2570" s="126">
        <v>46230.015752314801</v>
      </c>
      <c r="B2570" s="7">
        <v>12</v>
      </c>
      <c r="C2570" s="7">
        <v>356</v>
      </c>
      <c r="D2570" s="7"/>
      <c r="E2570" s="7" t="s">
        <v>1208</v>
      </c>
      <c r="F2570" s="7" t="s">
        <v>603</v>
      </c>
      <c r="G2570" s="7">
        <v>181</v>
      </c>
      <c r="H2570" s="7" t="s">
        <v>873</v>
      </c>
      <c r="I2570" s="7" t="s">
        <v>874</v>
      </c>
      <c r="M2570" s="7"/>
      <c r="N2570" s="7" t="s">
        <v>875</v>
      </c>
      <c r="P2570" s="126"/>
    </row>
    <row r="2571" spans="1:16" ht="15.75" customHeight="1">
      <c r="A2571" s="126">
        <v>46230.015752314801</v>
      </c>
      <c r="B2571" s="7">
        <v>12</v>
      </c>
      <c r="C2571" s="7">
        <v>356</v>
      </c>
      <c r="D2571" s="7"/>
      <c r="E2571" s="7" t="s">
        <v>1208</v>
      </c>
      <c r="F2571" s="7" t="s">
        <v>603</v>
      </c>
      <c r="G2571" s="7">
        <v>182</v>
      </c>
      <c r="H2571" s="7" t="s">
        <v>876</v>
      </c>
      <c r="I2571" s="7" t="s">
        <v>874</v>
      </c>
      <c r="J2571" s="7"/>
      <c r="M2571" s="7"/>
      <c r="N2571" s="7" t="s">
        <v>875</v>
      </c>
      <c r="O2571" s="126"/>
      <c r="P2571" s="126"/>
    </row>
    <row r="2572" spans="1:16" ht="15.75" customHeight="1">
      <c r="A2572" s="126">
        <v>46230.015752314801</v>
      </c>
      <c r="B2572" s="7">
        <v>12</v>
      </c>
      <c r="C2572" s="7">
        <v>356</v>
      </c>
      <c r="D2572" s="7"/>
      <c r="E2572" s="7" t="s">
        <v>1208</v>
      </c>
      <c r="F2572" s="7" t="s">
        <v>603</v>
      </c>
      <c r="G2572" s="7">
        <v>174</v>
      </c>
      <c r="H2572" s="7" t="s">
        <v>877</v>
      </c>
      <c r="I2572" s="7" t="s">
        <v>878</v>
      </c>
      <c r="J2572" s="7" t="s">
        <v>879</v>
      </c>
      <c r="M2572" s="7">
        <v>100</v>
      </c>
      <c r="N2572" s="7">
        <v>100</v>
      </c>
      <c r="P2572" s="126">
        <v>46209.706979166702</v>
      </c>
    </row>
    <row r="2573" spans="1:16" ht="15.75" customHeight="1">
      <c r="A2573" s="126">
        <v>46230.015752314801</v>
      </c>
      <c r="B2573" s="7">
        <v>12</v>
      </c>
      <c r="C2573" s="7">
        <v>356</v>
      </c>
      <c r="D2573" s="7"/>
      <c r="E2573" s="7" t="s">
        <v>1208</v>
      </c>
      <c r="F2573" s="7" t="s">
        <v>603</v>
      </c>
      <c r="G2573" s="7">
        <v>180</v>
      </c>
      <c r="H2573" s="7" t="s">
        <v>880</v>
      </c>
      <c r="I2573" s="7" t="s">
        <v>874</v>
      </c>
      <c r="J2573" s="7"/>
      <c r="M2573" s="7"/>
      <c r="N2573" s="7" t="s">
        <v>875</v>
      </c>
      <c r="O2573" s="126"/>
      <c r="P2573" s="126"/>
    </row>
    <row r="2574" spans="1:16" ht="15.75" customHeight="1">
      <c r="A2574" s="126">
        <v>46230.015752314801</v>
      </c>
      <c r="B2574" s="7">
        <v>12</v>
      </c>
      <c r="C2574" s="7">
        <v>356</v>
      </c>
      <c r="D2574" s="7"/>
      <c r="E2574" s="7" t="s">
        <v>1208</v>
      </c>
      <c r="F2574" s="7" t="s">
        <v>603</v>
      </c>
      <c r="G2574" s="7">
        <v>175</v>
      </c>
      <c r="H2574" s="7" t="s">
        <v>881</v>
      </c>
      <c r="I2574" s="7" t="s">
        <v>878</v>
      </c>
      <c r="J2574" s="7" t="s">
        <v>882</v>
      </c>
      <c r="M2574" s="7">
        <v>100</v>
      </c>
      <c r="N2574" s="7">
        <v>100</v>
      </c>
      <c r="O2574" s="126">
        <v>46216.406435185199</v>
      </c>
      <c r="P2574" s="126">
        <v>46216.406435185199</v>
      </c>
    </row>
    <row r="2575" spans="1:16" ht="15.75" customHeight="1">
      <c r="A2575" s="126">
        <v>46230.015752314801</v>
      </c>
      <c r="B2575" s="7">
        <v>12</v>
      </c>
      <c r="C2575" s="7">
        <v>356</v>
      </c>
      <c r="D2575" s="7"/>
      <c r="E2575" s="7" t="s">
        <v>1208</v>
      </c>
      <c r="F2575" s="7" t="s">
        <v>603</v>
      </c>
      <c r="G2575" s="7">
        <v>177</v>
      </c>
      <c r="H2575" s="7" t="s">
        <v>883</v>
      </c>
      <c r="I2575" s="7" t="s">
        <v>878</v>
      </c>
      <c r="J2575" s="7" t="s">
        <v>882</v>
      </c>
      <c r="M2575" s="7"/>
      <c r="N2575" s="7" t="s">
        <v>875</v>
      </c>
      <c r="P2575" s="126"/>
    </row>
    <row r="2576" spans="1:16" ht="15.75" customHeight="1">
      <c r="A2576" s="126">
        <v>46230.015752314801</v>
      </c>
      <c r="B2576" s="7">
        <v>12</v>
      </c>
      <c r="C2576" s="7">
        <v>356</v>
      </c>
      <c r="E2576" s="7" t="s">
        <v>1208</v>
      </c>
      <c r="F2576" s="7" t="s">
        <v>603</v>
      </c>
      <c r="G2576" s="7">
        <v>176</v>
      </c>
      <c r="H2576" s="7" t="s">
        <v>884</v>
      </c>
      <c r="I2576" s="7" t="s">
        <v>878</v>
      </c>
      <c r="J2576" s="7" t="s">
        <v>882</v>
      </c>
      <c r="M2576" s="7">
        <v>100</v>
      </c>
      <c r="N2576" s="7">
        <v>100</v>
      </c>
      <c r="O2576" s="126">
        <v>46225.715046296304</v>
      </c>
      <c r="P2576" s="126">
        <v>46225.715046296304</v>
      </c>
    </row>
    <row r="2577" spans="1:16" ht="15.75" customHeight="1">
      <c r="A2577" s="126">
        <v>46230.015752314801</v>
      </c>
      <c r="B2577" s="7">
        <v>12</v>
      </c>
      <c r="C2577" s="7">
        <v>356</v>
      </c>
      <c r="E2577" s="7" t="s">
        <v>1208</v>
      </c>
      <c r="F2577" s="7" t="s">
        <v>603</v>
      </c>
      <c r="G2577" s="7">
        <v>168</v>
      </c>
      <c r="H2577" s="7" t="s">
        <v>885</v>
      </c>
      <c r="I2577" s="7" t="s">
        <v>886</v>
      </c>
      <c r="M2577" s="7">
        <v>100</v>
      </c>
      <c r="N2577" s="7">
        <v>100</v>
      </c>
      <c r="P2577" s="126">
        <v>46209.706979166702</v>
      </c>
    </row>
    <row r="2578" spans="1:16" ht="15.75" customHeight="1">
      <c r="A2578" s="126">
        <v>46230.015752314801</v>
      </c>
      <c r="B2578" s="7">
        <v>12</v>
      </c>
      <c r="C2578" s="7">
        <v>297</v>
      </c>
      <c r="E2578" s="7" t="s">
        <v>1209</v>
      </c>
      <c r="F2578" s="7" t="s">
        <v>517</v>
      </c>
      <c r="G2578" s="7">
        <v>181</v>
      </c>
      <c r="H2578" s="7" t="s">
        <v>873</v>
      </c>
      <c r="I2578" s="7" t="s">
        <v>874</v>
      </c>
      <c r="J2578" s="7"/>
      <c r="M2578" s="7"/>
      <c r="N2578" s="7" t="s">
        <v>875</v>
      </c>
      <c r="P2578" s="126"/>
    </row>
    <row r="2579" spans="1:16" ht="15.75" customHeight="1">
      <c r="A2579" s="126">
        <v>46230.015752314801</v>
      </c>
      <c r="B2579" s="7">
        <v>12</v>
      </c>
      <c r="C2579" s="7">
        <v>297</v>
      </c>
      <c r="E2579" s="7" t="s">
        <v>1209</v>
      </c>
      <c r="F2579" s="7" t="s">
        <v>517</v>
      </c>
      <c r="G2579" s="7">
        <v>182</v>
      </c>
      <c r="H2579" s="7" t="s">
        <v>876</v>
      </c>
      <c r="I2579" s="7" t="s">
        <v>874</v>
      </c>
      <c r="J2579" s="7"/>
      <c r="M2579" s="7"/>
      <c r="N2579" s="7" t="s">
        <v>875</v>
      </c>
      <c r="P2579" s="126"/>
    </row>
    <row r="2580" spans="1:16" ht="15.75" customHeight="1">
      <c r="A2580" s="126">
        <v>46230.015752314801</v>
      </c>
      <c r="B2580" s="7">
        <v>12</v>
      </c>
      <c r="C2580" s="7">
        <v>297</v>
      </c>
      <c r="E2580" s="7" t="s">
        <v>1209</v>
      </c>
      <c r="F2580" s="7" t="s">
        <v>517</v>
      </c>
      <c r="G2580" s="7">
        <v>174</v>
      </c>
      <c r="H2580" s="7" t="s">
        <v>877</v>
      </c>
      <c r="I2580" s="7" t="s">
        <v>878</v>
      </c>
      <c r="J2580" s="7" t="s">
        <v>879</v>
      </c>
      <c r="M2580" s="7">
        <v>100</v>
      </c>
      <c r="N2580" s="7">
        <v>100</v>
      </c>
      <c r="O2580" s="126"/>
      <c r="P2580" s="126">
        <v>46209.706944444399</v>
      </c>
    </row>
    <row r="2581" spans="1:16" ht="15.75" customHeight="1">
      <c r="A2581" s="126">
        <v>46230.015752314801</v>
      </c>
      <c r="B2581" s="7">
        <v>12</v>
      </c>
      <c r="C2581" s="7">
        <v>297</v>
      </c>
      <c r="E2581" s="7" t="s">
        <v>1209</v>
      </c>
      <c r="F2581" s="7" t="s">
        <v>517</v>
      </c>
      <c r="G2581" s="7">
        <v>180</v>
      </c>
      <c r="H2581" s="7" t="s">
        <v>880</v>
      </c>
      <c r="I2581" s="7" t="s">
        <v>874</v>
      </c>
      <c r="J2581" s="7"/>
      <c r="M2581" s="7"/>
      <c r="N2581" s="7" t="s">
        <v>875</v>
      </c>
      <c r="O2581" s="126"/>
      <c r="P2581" s="126"/>
    </row>
    <row r="2582" spans="1:16" ht="15.75" customHeight="1">
      <c r="A2582" s="126">
        <v>46230.015752314801</v>
      </c>
      <c r="B2582" s="7">
        <v>12</v>
      </c>
      <c r="C2582" s="7">
        <v>297</v>
      </c>
      <c r="E2582" s="7" t="s">
        <v>1209</v>
      </c>
      <c r="F2582" s="7" t="s">
        <v>517</v>
      </c>
      <c r="G2582" s="7">
        <v>175</v>
      </c>
      <c r="H2582" s="7" t="s">
        <v>881</v>
      </c>
      <c r="I2582" s="7" t="s">
        <v>878</v>
      </c>
      <c r="J2582" s="7" t="s">
        <v>882</v>
      </c>
      <c r="M2582" s="7">
        <v>87.5</v>
      </c>
      <c r="N2582" s="7">
        <v>87.5</v>
      </c>
      <c r="O2582" s="126">
        <v>46216.301574074103</v>
      </c>
      <c r="P2582" s="126">
        <v>46216.301574074103</v>
      </c>
    </row>
    <row r="2583" spans="1:16" ht="15.75" customHeight="1">
      <c r="A2583" s="126">
        <v>46230.015752314801</v>
      </c>
      <c r="B2583" s="7">
        <v>12</v>
      </c>
      <c r="C2583" s="7">
        <v>297</v>
      </c>
      <c r="E2583" s="7" t="s">
        <v>1209</v>
      </c>
      <c r="F2583" s="7" t="s">
        <v>517</v>
      </c>
      <c r="G2583" s="7">
        <v>177</v>
      </c>
      <c r="H2583" s="7" t="s">
        <v>883</v>
      </c>
      <c r="I2583" s="7" t="s">
        <v>878</v>
      </c>
      <c r="J2583" s="7" t="s">
        <v>882</v>
      </c>
      <c r="M2583" s="7"/>
      <c r="N2583" s="7" t="s">
        <v>875</v>
      </c>
      <c r="O2583" s="126"/>
      <c r="P2583" s="126"/>
    </row>
    <row r="2584" spans="1:16" ht="15.75" customHeight="1">
      <c r="A2584" s="126">
        <v>46230.015752314801</v>
      </c>
      <c r="B2584" s="7">
        <v>12</v>
      </c>
      <c r="C2584" s="7">
        <v>297</v>
      </c>
      <c r="E2584" s="7" t="s">
        <v>1209</v>
      </c>
      <c r="F2584" s="7" t="s">
        <v>517</v>
      </c>
      <c r="G2584" s="7">
        <v>176</v>
      </c>
      <c r="H2584" s="7" t="s">
        <v>884</v>
      </c>
      <c r="I2584" s="7" t="s">
        <v>878</v>
      </c>
      <c r="J2584" s="7" t="s">
        <v>882</v>
      </c>
      <c r="M2584" s="7">
        <v>100</v>
      </c>
      <c r="N2584" s="7">
        <v>100</v>
      </c>
      <c r="O2584" s="126">
        <v>46223.919293981497</v>
      </c>
      <c r="P2584" s="126">
        <v>46223.919293981497</v>
      </c>
    </row>
    <row r="2585" spans="1:16" ht="15.75" customHeight="1">
      <c r="A2585" s="126">
        <v>46230.015752314801</v>
      </c>
      <c r="B2585" s="7">
        <v>12</v>
      </c>
      <c r="C2585" s="7">
        <v>297</v>
      </c>
      <c r="E2585" s="7" t="s">
        <v>1209</v>
      </c>
      <c r="F2585" s="7" t="s">
        <v>517</v>
      </c>
      <c r="G2585" s="7">
        <v>168</v>
      </c>
      <c r="H2585" s="7" t="s">
        <v>885</v>
      </c>
      <c r="I2585" s="7" t="s">
        <v>886</v>
      </c>
      <c r="M2585" s="7">
        <v>100</v>
      </c>
      <c r="N2585" s="7">
        <v>100</v>
      </c>
      <c r="P2585" s="126">
        <v>46209.706944444399</v>
      </c>
    </row>
    <row r="2586" spans="1:16" ht="15.75" customHeight="1">
      <c r="A2586" s="126">
        <v>46230.015752314801</v>
      </c>
      <c r="B2586" s="7">
        <v>12</v>
      </c>
      <c r="C2586" s="7">
        <v>771</v>
      </c>
      <c r="E2586" s="7" t="s">
        <v>1210</v>
      </c>
      <c r="F2586" s="7" t="s">
        <v>338</v>
      </c>
      <c r="G2586" s="7">
        <v>181</v>
      </c>
      <c r="H2586" s="7" t="s">
        <v>873</v>
      </c>
      <c r="I2586" s="7" t="s">
        <v>874</v>
      </c>
      <c r="M2586" s="7"/>
      <c r="N2586" s="7" t="s">
        <v>875</v>
      </c>
      <c r="P2586" s="126"/>
    </row>
    <row r="2587" spans="1:16" ht="15.75" customHeight="1">
      <c r="A2587" s="126">
        <v>46230.015752314801</v>
      </c>
      <c r="B2587" s="7">
        <v>12</v>
      </c>
      <c r="C2587" s="7">
        <v>771</v>
      </c>
      <c r="E2587" s="7" t="s">
        <v>1210</v>
      </c>
      <c r="F2587" s="7" t="s">
        <v>338</v>
      </c>
      <c r="G2587" s="7">
        <v>182</v>
      </c>
      <c r="H2587" s="7" t="s">
        <v>876</v>
      </c>
      <c r="I2587" s="7" t="s">
        <v>874</v>
      </c>
      <c r="J2587" s="7"/>
      <c r="M2587" s="7"/>
      <c r="N2587" s="7" t="s">
        <v>875</v>
      </c>
      <c r="P2587" s="126"/>
    </row>
    <row r="2588" spans="1:16" ht="15.75" customHeight="1">
      <c r="A2588" s="126">
        <v>46230.015752314801</v>
      </c>
      <c r="B2588" s="7">
        <v>12</v>
      </c>
      <c r="C2588" s="7">
        <v>771</v>
      </c>
      <c r="E2588" s="7" t="s">
        <v>1210</v>
      </c>
      <c r="F2588" s="7" t="s">
        <v>338</v>
      </c>
      <c r="G2588" s="7">
        <v>174</v>
      </c>
      <c r="H2588" s="7" t="s">
        <v>877</v>
      </c>
      <c r="I2588" s="7" t="s">
        <v>878</v>
      </c>
      <c r="J2588" s="7" t="s">
        <v>879</v>
      </c>
      <c r="M2588" s="7">
        <v>100</v>
      </c>
      <c r="N2588" s="7">
        <v>100</v>
      </c>
      <c r="P2588" s="126">
        <v>46209.706979166702</v>
      </c>
    </row>
    <row r="2589" spans="1:16" ht="15.75" customHeight="1">
      <c r="A2589" s="126">
        <v>46230.015752314801</v>
      </c>
      <c r="B2589" s="7">
        <v>12</v>
      </c>
      <c r="C2589" s="7">
        <v>771</v>
      </c>
      <c r="E2589" s="7" t="s">
        <v>1210</v>
      </c>
      <c r="F2589" s="7" t="s">
        <v>338</v>
      </c>
      <c r="G2589" s="7">
        <v>180</v>
      </c>
      <c r="H2589" s="7" t="s">
        <v>880</v>
      </c>
      <c r="I2589" s="7" t="s">
        <v>874</v>
      </c>
      <c r="J2589" s="7"/>
      <c r="M2589" s="7"/>
      <c r="N2589" s="7" t="s">
        <v>875</v>
      </c>
      <c r="O2589" s="126"/>
      <c r="P2589" s="126"/>
    </row>
    <row r="2590" spans="1:16" ht="15.75" customHeight="1">
      <c r="A2590" s="126">
        <v>46230.015752314801</v>
      </c>
      <c r="B2590" s="7">
        <v>12</v>
      </c>
      <c r="C2590" s="7">
        <v>771</v>
      </c>
      <c r="E2590" s="7" t="s">
        <v>1210</v>
      </c>
      <c r="F2590" s="7" t="s">
        <v>338</v>
      </c>
      <c r="G2590" s="7">
        <v>175</v>
      </c>
      <c r="H2590" s="7" t="s">
        <v>881</v>
      </c>
      <c r="I2590" s="7" t="s">
        <v>878</v>
      </c>
      <c r="J2590" s="7" t="s">
        <v>882</v>
      </c>
      <c r="M2590" s="7">
        <v>100</v>
      </c>
      <c r="N2590" s="7">
        <v>100</v>
      </c>
      <c r="O2590" s="126">
        <v>46216.618703703702</v>
      </c>
      <c r="P2590" s="126">
        <v>46216.618703703702</v>
      </c>
    </row>
    <row r="2591" spans="1:16" ht="15.75" customHeight="1">
      <c r="A2591" s="126">
        <v>46230.015752314801</v>
      </c>
      <c r="B2591" s="7">
        <v>12</v>
      </c>
      <c r="C2591" s="7">
        <v>771</v>
      </c>
      <c r="E2591" s="7" t="s">
        <v>1210</v>
      </c>
      <c r="F2591" s="7" t="s">
        <v>338</v>
      </c>
      <c r="G2591" s="7">
        <v>177</v>
      </c>
      <c r="H2591" s="7" t="s">
        <v>883</v>
      </c>
      <c r="I2591" s="7" t="s">
        <v>878</v>
      </c>
      <c r="J2591" s="7" t="s">
        <v>882</v>
      </c>
      <c r="M2591" s="7"/>
      <c r="N2591" s="7" t="s">
        <v>875</v>
      </c>
      <c r="O2591" s="126"/>
      <c r="P2591" s="126"/>
    </row>
    <row r="2592" spans="1:16" ht="15.75" customHeight="1">
      <c r="A2592" s="126">
        <v>46230.015752314801</v>
      </c>
      <c r="B2592" s="7">
        <v>12</v>
      </c>
      <c r="C2592" s="7">
        <v>771</v>
      </c>
      <c r="E2592" s="7" t="s">
        <v>1210</v>
      </c>
      <c r="F2592" s="7" t="s">
        <v>338</v>
      </c>
      <c r="G2592" s="7">
        <v>176</v>
      </c>
      <c r="H2592" s="7" t="s">
        <v>884</v>
      </c>
      <c r="I2592" s="7" t="s">
        <v>878</v>
      </c>
      <c r="J2592" s="7" t="s">
        <v>882</v>
      </c>
      <c r="M2592" s="7">
        <v>100</v>
      </c>
      <c r="N2592" s="7">
        <v>100</v>
      </c>
      <c r="O2592" s="126">
        <v>46226.541122685201</v>
      </c>
      <c r="P2592" s="126">
        <v>46226.541122685201</v>
      </c>
    </row>
    <row r="2593" spans="1:16" ht="15.75" customHeight="1">
      <c r="A2593" s="126">
        <v>46230.015752314801</v>
      </c>
      <c r="B2593" s="7">
        <v>12</v>
      </c>
      <c r="C2593" s="7">
        <v>771</v>
      </c>
      <c r="E2593" s="7" t="s">
        <v>1210</v>
      </c>
      <c r="F2593" s="7" t="s">
        <v>338</v>
      </c>
      <c r="G2593" s="7">
        <v>168</v>
      </c>
      <c r="H2593" s="7" t="s">
        <v>885</v>
      </c>
      <c r="I2593" s="7" t="s">
        <v>886</v>
      </c>
      <c r="M2593" s="7">
        <v>100</v>
      </c>
      <c r="N2593" s="7">
        <v>100</v>
      </c>
      <c r="P2593" s="126">
        <v>46209.706979166702</v>
      </c>
    </row>
    <row r="2594" spans="1:16" ht="15.75" customHeight="1">
      <c r="A2594" s="126">
        <v>46230.015752314801</v>
      </c>
      <c r="B2594" s="7">
        <v>12</v>
      </c>
      <c r="C2594" s="7">
        <v>764</v>
      </c>
      <c r="E2594" s="7" t="s">
        <v>1211</v>
      </c>
      <c r="F2594" s="7" t="s">
        <v>426</v>
      </c>
      <c r="G2594" s="7">
        <v>181</v>
      </c>
      <c r="H2594" s="7" t="s">
        <v>873</v>
      </c>
      <c r="I2594" s="7" t="s">
        <v>874</v>
      </c>
      <c r="M2594" s="7"/>
      <c r="N2594" s="7" t="s">
        <v>875</v>
      </c>
      <c r="P2594" s="126"/>
    </row>
    <row r="2595" spans="1:16" ht="15.75" customHeight="1">
      <c r="A2595" s="126">
        <v>46230.015752314801</v>
      </c>
      <c r="B2595" s="7">
        <v>12</v>
      </c>
      <c r="C2595" s="7">
        <v>764</v>
      </c>
      <c r="E2595" s="7" t="s">
        <v>1211</v>
      </c>
      <c r="F2595" s="7" t="s">
        <v>426</v>
      </c>
      <c r="G2595" s="7">
        <v>182</v>
      </c>
      <c r="H2595" s="7" t="s">
        <v>876</v>
      </c>
      <c r="I2595" s="7" t="s">
        <v>874</v>
      </c>
      <c r="J2595" s="7"/>
      <c r="M2595" s="7"/>
      <c r="N2595" s="7" t="s">
        <v>875</v>
      </c>
      <c r="P2595" s="126"/>
    </row>
    <row r="2596" spans="1:16" ht="15.75" customHeight="1">
      <c r="A2596" s="126">
        <v>46230.015752314801</v>
      </c>
      <c r="B2596" s="7">
        <v>12</v>
      </c>
      <c r="C2596" s="7">
        <v>764</v>
      </c>
      <c r="E2596" s="7" t="s">
        <v>1211</v>
      </c>
      <c r="F2596" s="7" t="s">
        <v>426</v>
      </c>
      <c r="G2596" s="7">
        <v>174</v>
      </c>
      <c r="H2596" s="7" t="s">
        <v>877</v>
      </c>
      <c r="I2596" s="7" t="s">
        <v>878</v>
      </c>
      <c r="J2596" s="7" t="s">
        <v>879</v>
      </c>
      <c r="M2596" s="7">
        <v>100</v>
      </c>
      <c r="N2596" s="7">
        <v>100</v>
      </c>
      <c r="P2596" s="126">
        <v>46209.7133680556</v>
      </c>
    </row>
    <row r="2597" spans="1:16" ht="15.75" customHeight="1">
      <c r="A2597" s="126">
        <v>46230.015752314801</v>
      </c>
      <c r="B2597" s="7">
        <v>12</v>
      </c>
      <c r="C2597" s="7">
        <v>764</v>
      </c>
      <c r="E2597" s="7" t="s">
        <v>1211</v>
      </c>
      <c r="F2597" s="7" t="s">
        <v>426</v>
      </c>
      <c r="G2597" s="7">
        <v>180</v>
      </c>
      <c r="H2597" s="7" t="s">
        <v>880</v>
      </c>
      <c r="I2597" s="7" t="s">
        <v>874</v>
      </c>
      <c r="J2597" s="7"/>
      <c r="M2597" s="7"/>
      <c r="N2597" s="7" t="s">
        <v>875</v>
      </c>
      <c r="O2597" s="126"/>
      <c r="P2597" s="126"/>
    </row>
    <row r="2598" spans="1:16" ht="15.75" customHeight="1">
      <c r="A2598" s="126">
        <v>46230.015752314801</v>
      </c>
      <c r="B2598" s="7">
        <v>12</v>
      </c>
      <c r="C2598" s="7">
        <v>764</v>
      </c>
      <c r="E2598" s="7" t="s">
        <v>1211</v>
      </c>
      <c r="F2598" s="7" t="s">
        <v>426</v>
      </c>
      <c r="G2598" s="7">
        <v>175</v>
      </c>
      <c r="H2598" s="7" t="s">
        <v>881</v>
      </c>
      <c r="I2598" s="7" t="s">
        <v>878</v>
      </c>
      <c r="J2598" s="7" t="s">
        <v>882</v>
      </c>
      <c r="M2598" s="7">
        <v>100</v>
      </c>
      <c r="N2598" s="7">
        <v>100</v>
      </c>
      <c r="O2598" s="126">
        <v>46216.561655092599</v>
      </c>
      <c r="P2598" s="126">
        <v>46216.561655092599</v>
      </c>
    </row>
    <row r="2599" spans="1:16" ht="15.75" customHeight="1">
      <c r="A2599" s="126">
        <v>46230.015752314801</v>
      </c>
      <c r="B2599" s="7">
        <v>12</v>
      </c>
      <c r="C2599" s="7">
        <v>764</v>
      </c>
      <c r="E2599" s="7" t="s">
        <v>1211</v>
      </c>
      <c r="F2599" s="7" t="s">
        <v>426</v>
      </c>
      <c r="G2599" s="7">
        <v>177</v>
      </c>
      <c r="H2599" s="7" t="s">
        <v>883</v>
      </c>
      <c r="I2599" s="7" t="s">
        <v>878</v>
      </c>
      <c r="J2599" s="7" t="s">
        <v>882</v>
      </c>
      <c r="M2599" s="7"/>
      <c r="N2599" s="7" t="s">
        <v>875</v>
      </c>
      <c r="P2599" s="126"/>
    </row>
    <row r="2600" spans="1:16" ht="15.75" customHeight="1">
      <c r="A2600" s="126">
        <v>46230.015752314801</v>
      </c>
      <c r="B2600" s="7">
        <v>12</v>
      </c>
      <c r="C2600" s="7">
        <v>764</v>
      </c>
      <c r="E2600" s="7" t="s">
        <v>1211</v>
      </c>
      <c r="F2600" s="7" t="s">
        <v>426</v>
      </c>
      <c r="G2600" s="7">
        <v>176</v>
      </c>
      <c r="H2600" s="7" t="s">
        <v>884</v>
      </c>
      <c r="I2600" s="7" t="s">
        <v>878</v>
      </c>
      <c r="J2600" s="7" t="s">
        <v>882</v>
      </c>
      <c r="M2600" s="7">
        <v>100</v>
      </c>
      <c r="N2600" s="7">
        <v>100</v>
      </c>
      <c r="O2600" s="126">
        <v>46226.690185185202</v>
      </c>
      <c r="P2600" s="126">
        <v>46226.690185185202</v>
      </c>
    </row>
    <row r="2601" spans="1:16" ht="15.75" customHeight="1">
      <c r="A2601" s="126">
        <v>46230.015752314801</v>
      </c>
      <c r="B2601" s="7">
        <v>12</v>
      </c>
      <c r="C2601" s="7">
        <v>764</v>
      </c>
      <c r="E2601" s="7" t="s">
        <v>1211</v>
      </c>
      <c r="F2601" s="7" t="s">
        <v>426</v>
      </c>
      <c r="G2601" s="7">
        <v>168</v>
      </c>
      <c r="H2601" s="7" t="s">
        <v>885</v>
      </c>
      <c r="I2601" s="7" t="s">
        <v>886</v>
      </c>
      <c r="J2601" s="7"/>
      <c r="M2601" s="7">
        <v>100</v>
      </c>
      <c r="N2601" s="7">
        <v>100</v>
      </c>
      <c r="O2601" s="126"/>
      <c r="P2601" s="126">
        <v>46209.7133680556</v>
      </c>
    </row>
    <row r="2602" spans="1:16" ht="15.75" customHeight="1">
      <c r="A2602" s="126">
        <v>46230.015752314801</v>
      </c>
      <c r="B2602" s="7">
        <v>12</v>
      </c>
      <c r="C2602" s="7">
        <v>793</v>
      </c>
      <c r="E2602" s="7" t="s">
        <v>1212</v>
      </c>
      <c r="F2602" s="7" t="s">
        <v>799</v>
      </c>
      <c r="G2602" s="7">
        <v>181</v>
      </c>
      <c r="H2602" s="7" t="s">
        <v>873</v>
      </c>
      <c r="I2602" s="7" t="s">
        <v>874</v>
      </c>
      <c r="M2602" s="7"/>
      <c r="N2602" s="7" t="s">
        <v>875</v>
      </c>
      <c r="P2602" s="126"/>
    </row>
    <row r="2603" spans="1:16" ht="15.75" customHeight="1">
      <c r="A2603" s="126">
        <v>46230.015752314801</v>
      </c>
      <c r="B2603" s="7">
        <v>12</v>
      </c>
      <c r="C2603" s="7">
        <v>793</v>
      </c>
      <c r="E2603" s="7" t="s">
        <v>1212</v>
      </c>
      <c r="F2603" s="7" t="s">
        <v>799</v>
      </c>
      <c r="G2603" s="7">
        <v>182</v>
      </c>
      <c r="H2603" s="7" t="s">
        <v>876</v>
      </c>
      <c r="I2603" s="7" t="s">
        <v>874</v>
      </c>
      <c r="J2603" s="7"/>
      <c r="M2603" s="7"/>
      <c r="N2603" s="7" t="s">
        <v>875</v>
      </c>
      <c r="P2603" s="126"/>
    </row>
    <row r="2604" spans="1:16" ht="15.75" customHeight="1">
      <c r="A2604" s="126">
        <v>46230.015752314801</v>
      </c>
      <c r="B2604" s="7">
        <v>12</v>
      </c>
      <c r="C2604" s="7">
        <v>793</v>
      </c>
      <c r="E2604" s="7" t="s">
        <v>1212</v>
      </c>
      <c r="F2604" s="7" t="s">
        <v>799</v>
      </c>
      <c r="G2604" s="7">
        <v>174</v>
      </c>
      <c r="H2604" s="7" t="s">
        <v>877</v>
      </c>
      <c r="I2604" s="7" t="s">
        <v>878</v>
      </c>
      <c r="J2604" s="7" t="s">
        <v>879</v>
      </c>
      <c r="M2604" s="7">
        <v>100</v>
      </c>
      <c r="N2604" s="7">
        <v>100</v>
      </c>
      <c r="P2604" s="126">
        <v>46209.706967592603</v>
      </c>
    </row>
    <row r="2605" spans="1:16" ht="15.75" customHeight="1">
      <c r="A2605" s="126">
        <v>46230.015752314801</v>
      </c>
      <c r="B2605" s="7">
        <v>12</v>
      </c>
      <c r="C2605" s="7">
        <v>793</v>
      </c>
      <c r="E2605" s="7" t="s">
        <v>1212</v>
      </c>
      <c r="F2605" s="7" t="s">
        <v>799</v>
      </c>
      <c r="G2605" s="7">
        <v>180</v>
      </c>
      <c r="H2605" s="7" t="s">
        <v>880</v>
      </c>
      <c r="I2605" s="7" t="s">
        <v>874</v>
      </c>
      <c r="J2605" s="7"/>
      <c r="M2605" s="7"/>
      <c r="N2605" s="7" t="s">
        <v>875</v>
      </c>
      <c r="O2605" s="126"/>
      <c r="P2605" s="126"/>
    </row>
    <row r="2606" spans="1:16" ht="15.75" customHeight="1">
      <c r="A2606" s="126">
        <v>46230.015752314801</v>
      </c>
      <c r="B2606" s="7">
        <v>12</v>
      </c>
      <c r="C2606" s="7">
        <v>793</v>
      </c>
      <c r="E2606" s="7" t="s">
        <v>1212</v>
      </c>
      <c r="F2606" s="7" t="s">
        <v>799</v>
      </c>
      <c r="G2606" s="7">
        <v>175</v>
      </c>
      <c r="H2606" s="7" t="s">
        <v>881</v>
      </c>
      <c r="I2606" s="7" t="s">
        <v>878</v>
      </c>
      <c r="J2606" s="7" t="s">
        <v>882</v>
      </c>
      <c r="M2606" s="7">
        <v>87.5</v>
      </c>
      <c r="N2606" s="7">
        <v>87.5</v>
      </c>
      <c r="O2606" s="126">
        <v>46216.4978819444</v>
      </c>
      <c r="P2606" s="126">
        <v>46216.4978819444</v>
      </c>
    </row>
    <row r="2607" spans="1:16" ht="15.75" customHeight="1">
      <c r="A2607" s="126">
        <v>46230.015752314801</v>
      </c>
      <c r="B2607" s="7">
        <v>12</v>
      </c>
      <c r="C2607" s="7">
        <v>793</v>
      </c>
      <c r="E2607" s="7" t="s">
        <v>1212</v>
      </c>
      <c r="F2607" s="7" t="s">
        <v>799</v>
      </c>
      <c r="G2607" s="7">
        <v>177</v>
      </c>
      <c r="H2607" s="7" t="s">
        <v>883</v>
      </c>
      <c r="I2607" s="7" t="s">
        <v>878</v>
      </c>
      <c r="J2607" s="7" t="s">
        <v>882</v>
      </c>
      <c r="M2607" s="7"/>
      <c r="N2607" s="7" t="s">
        <v>875</v>
      </c>
      <c r="O2607" s="126"/>
      <c r="P2607" s="126"/>
    </row>
    <row r="2608" spans="1:16" ht="15.75" customHeight="1">
      <c r="A2608" s="126">
        <v>46230.015752314801</v>
      </c>
      <c r="B2608" s="7">
        <v>12</v>
      </c>
      <c r="C2608" s="7">
        <v>793</v>
      </c>
      <c r="E2608" s="7" t="s">
        <v>1212</v>
      </c>
      <c r="F2608" s="7" t="s">
        <v>799</v>
      </c>
      <c r="G2608" s="7">
        <v>176</v>
      </c>
      <c r="H2608" s="7" t="s">
        <v>884</v>
      </c>
      <c r="I2608" s="7" t="s">
        <v>878</v>
      </c>
      <c r="J2608" s="7" t="s">
        <v>882</v>
      </c>
      <c r="M2608" s="7">
        <v>100</v>
      </c>
      <c r="N2608" s="7">
        <v>100</v>
      </c>
      <c r="O2608" s="126">
        <v>46225.733090277798</v>
      </c>
      <c r="P2608" s="126">
        <v>46225.733090277798</v>
      </c>
    </row>
    <row r="2609" spans="1:16" ht="15.75" customHeight="1">
      <c r="A2609" s="126">
        <v>46230.015752314801</v>
      </c>
      <c r="B2609" s="7">
        <v>12</v>
      </c>
      <c r="C2609" s="7">
        <v>793</v>
      </c>
      <c r="E2609" s="7" t="s">
        <v>1212</v>
      </c>
      <c r="F2609" s="7" t="s">
        <v>799</v>
      </c>
      <c r="G2609" s="7">
        <v>168</v>
      </c>
      <c r="H2609" s="7" t="s">
        <v>885</v>
      </c>
      <c r="I2609" s="7" t="s">
        <v>886</v>
      </c>
      <c r="J2609" s="7"/>
      <c r="M2609" s="7">
        <v>100</v>
      </c>
      <c r="N2609" s="7">
        <v>100</v>
      </c>
      <c r="O2609" s="126"/>
      <c r="P2609" s="126">
        <v>46209.706967592603</v>
      </c>
    </row>
    <row r="2610" spans="1:16" ht="15.75" customHeight="1">
      <c r="A2610" s="126">
        <v>46230.015752314801</v>
      </c>
      <c r="B2610" s="7">
        <v>12</v>
      </c>
      <c r="C2610" s="7">
        <v>779</v>
      </c>
      <c r="E2610" s="7" t="s">
        <v>1213</v>
      </c>
      <c r="F2610" s="7" t="s">
        <v>688</v>
      </c>
      <c r="G2610" s="7">
        <v>181</v>
      </c>
      <c r="H2610" s="7" t="s">
        <v>873</v>
      </c>
      <c r="I2610" s="7" t="s">
        <v>874</v>
      </c>
      <c r="J2610" s="7"/>
      <c r="M2610" s="7"/>
      <c r="N2610" s="7" t="s">
        <v>875</v>
      </c>
      <c r="O2610" s="126"/>
      <c r="P2610" s="126"/>
    </row>
    <row r="2611" spans="1:16" ht="15.75" customHeight="1">
      <c r="A2611" s="126">
        <v>46230.015752314801</v>
      </c>
      <c r="B2611" s="7">
        <v>12</v>
      </c>
      <c r="C2611" s="7">
        <v>779</v>
      </c>
      <c r="E2611" s="7" t="s">
        <v>1213</v>
      </c>
      <c r="F2611" s="7" t="s">
        <v>688</v>
      </c>
      <c r="G2611" s="7">
        <v>182</v>
      </c>
      <c r="H2611" s="7" t="s">
        <v>876</v>
      </c>
      <c r="I2611" s="7" t="s">
        <v>874</v>
      </c>
      <c r="J2611" s="7"/>
      <c r="M2611" s="7"/>
      <c r="N2611" s="7" t="s">
        <v>875</v>
      </c>
      <c r="P2611" s="126"/>
    </row>
    <row r="2612" spans="1:16" ht="15.75" customHeight="1">
      <c r="A2612" s="126">
        <v>46230.015752314801</v>
      </c>
      <c r="B2612" s="7">
        <v>12</v>
      </c>
      <c r="C2612" s="7">
        <v>779</v>
      </c>
      <c r="E2612" s="7" t="s">
        <v>1213</v>
      </c>
      <c r="F2612" s="7" t="s">
        <v>688</v>
      </c>
      <c r="G2612" s="7">
        <v>174</v>
      </c>
      <c r="H2612" s="7" t="s">
        <v>877</v>
      </c>
      <c r="I2612" s="7" t="s">
        <v>878</v>
      </c>
      <c r="J2612" s="7" t="s">
        <v>879</v>
      </c>
      <c r="M2612" s="7">
        <v>100</v>
      </c>
      <c r="N2612" s="7">
        <v>100</v>
      </c>
      <c r="P2612" s="126">
        <v>46210.424942129597</v>
      </c>
    </row>
    <row r="2613" spans="1:16" ht="15.75" customHeight="1">
      <c r="A2613" s="126">
        <v>46230.015752314801</v>
      </c>
      <c r="B2613" s="7">
        <v>12</v>
      </c>
      <c r="C2613" s="7">
        <v>779</v>
      </c>
      <c r="E2613" s="7" t="s">
        <v>1213</v>
      </c>
      <c r="F2613" s="7" t="s">
        <v>688</v>
      </c>
      <c r="G2613" s="7">
        <v>180</v>
      </c>
      <c r="H2613" s="7" t="s">
        <v>880</v>
      </c>
      <c r="I2613" s="7" t="s">
        <v>874</v>
      </c>
      <c r="J2613" s="7"/>
      <c r="M2613" s="7"/>
      <c r="N2613" s="7" t="s">
        <v>875</v>
      </c>
      <c r="O2613" s="126"/>
      <c r="P2613" s="126"/>
    </row>
    <row r="2614" spans="1:16" ht="15.75" customHeight="1">
      <c r="A2614" s="126">
        <v>46230.015752314801</v>
      </c>
      <c r="B2614" s="7">
        <v>12</v>
      </c>
      <c r="C2614" s="7">
        <v>779</v>
      </c>
      <c r="E2614" s="7" t="s">
        <v>1213</v>
      </c>
      <c r="F2614" s="7" t="s">
        <v>688</v>
      </c>
      <c r="G2614" s="7">
        <v>175</v>
      </c>
      <c r="H2614" s="7" t="s">
        <v>881</v>
      </c>
      <c r="I2614" s="7" t="s">
        <v>878</v>
      </c>
      <c r="J2614" s="7" t="s">
        <v>882</v>
      </c>
      <c r="M2614" s="7">
        <v>100</v>
      </c>
      <c r="N2614" s="7">
        <v>100</v>
      </c>
      <c r="O2614" s="126">
        <v>46216.528946759303</v>
      </c>
      <c r="P2614" s="126">
        <v>46216.528946759303</v>
      </c>
    </row>
    <row r="2615" spans="1:16" ht="15.75" customHeight="1">
      <c r="A2615" s="126">
        <v>46230.015752314801</v>
      </c>
      <c r="B2615" s="7">
        <v>12</v>
      </c>
      <c r="C2615" s="7">
        <v>779</v>
      </c>
      <c r="E2615" s="7" t="s">
        <v>1213</v>
      </c>
      <c r="F2615" s="7" t="s">
        <v>688</v>
      </c>
      <c r="G2615" s="7">
        <v>177</v>
      </c>
      <c r="H2615" s="7" t="s">
        <v>883</v>
      </c>
      <c r="I2615" s="7" t="s">
        <v>878</v>
      </c>
      <c r="J2615" s="7" t="s">
        <v>882</v>
      </c>
      <c r="M2615" s="7"/>
      <c r="N2615" s="7" t="s">
        <v>875</v>
      </c>
      <c r="P2615" s="126"/>
    </row>
    <row r="2616" spans="1:16" ht="15.75" customHeight="1">
      <c r="A2616" s="126">
        <v>46230.015752314801</v>
      </c>
      <c r="B2616" s="7">
        <v>12</v>
      </c>
      <c r="C2616" s="7">
        <v>779</v>
      </c>
      <c r="E2616" s="7" t="s">
        <v>1213</v>
      </c>
      <c r="F2616" s="7" t="s">
        <v>688</v>
      </c>
      <c r="G2616" s="7">
        <v>176</v>
      </c>
      <c r="H2616" s="7" t="s">
        <v>884</v>
      </c>
      <c r="I2616" s="7" t="s">
        <v>878</v>
      </c>
      <c r="J2616" s="7" t="s">
        <v>882</v>
      </c>
      <c r="M2616" s="7">
        <v>100</v>
      </c>
      <c r="N2616" s="7">
        <v>100</v>
      </c>
      <c r="O2616" s="126">
        <v>46227.954189814802</v>
      </c>
      <c r="P2616" s="126">
        <v>46227.954189814802</v>
      </c>
    </row>
    <row r="2617" spans="1:16" ht="15.75" customHeight="1">
      <c r="A2617" s="126">
        <v>46230.015752314801</v>
      </c>
      <c r="B2617" s="7">
        <v>12</v>
      </c>
      <c r="C2617" s="7">
        <v>779</v>
      </c>
      <c r="E2617" s="7" t="s">
        <v>1213</v>
      </c>
      <c r="F2617" s="7" t="s">
        <v>688</v>
      </c>
      <c r="G2617" s="7">
        <v>168</v>
      </c>
      <c r="H2617" s="7" t="s">
        <v>885</v>
      </c>
      <c r="I2617" s="7" t="s">
        <v>886</v>
      </c>
      <c r="J2617" s="7"/>
      <c r="M2617" s="7">
        <v>100</v>
      </c>
      <c r="N2617" s="7">
        <v>100</v>
      </c>
      <c r="P2617" s="126">
        <v>46210.424942129597</v>
      </c>
    </row>
    <row r="2618" spans="1:16" ht="15.75" customHeight="1">
      <c r="A2618" s="126">
        <v>46230.015752314801</v>
      </c>
      <c r="B2618" s="7">
        <v>12</v>
      </c>
      <c r="C2618" s="7">
        <v>751</v>
      </c>
      <c r="E2618" s="7" t="s">
        <v>1214</v>
      </c>
      <c r="F2618" s="7" t="s">
        <v>740</v>
      </c>
      <c r="G2618" s="7">
        <v>181</v>
      </c>
      <c r="H2618" s="7" t="s">
        <v>873</v>
      </c>
      <c r="I2618" s="7" t="s">
        <v>874</v>
      </c>
      <c r="J2618" s="7"/>
      <c r="M2618" s="7"/>
      <c r="N2618" s="7" t="s">
        <v>875</v>
      </c>
      <c r="O2618" s="126"/>
      <c r="P2618" s="126"/>
    </row>
    <row r="2619" spans="1:16" ht="15.75" customHeight="1">
      <c r="A2619" s="126">
        <v>46230.015752314801</v>
      </c>
      <c r="B2619" s="7">
        <v>12</v>
      </c>
      <c r="C2619" s="7">
        <v>751</v>
      </c>
      <c r="E2619" s="7" t="s">
        <v>1214</v>
      </c>
      <c r="F2619" s="7" t="s">
        <v>740</v>
      </c>
      <c r="G2619" s="7">
        <v>182</v>
      </c>
      <c r="H2619" s="7" t="s">
        <v>876</v>
      </c>
      <c r="I2619" s="7" t="s">
        <v>874</v>
      </c>
      <c r="J2619" s="7"/>
      <c r="M2619" s="7"/>
      <c r="N2619" s="7" t="s">
        <v>875</v>
      </c>
      <c r="O2619" s="126"/>
      <c r="P2619" s="126"/>
    </row>
    <row r="2620" spans="1:16" ht="15.75" customHeight="1">
      <c r="A2620" s="126">
        <v>46230.015752314801</v>
      </c>
      <c r="B2620" s="7">
        <v>12</v>
      </c>
      <c r="C2620" s="7">
        <v>751</v>
      </c>
      <c r="E2620" s="7" t="s">
        <v>1214</v>
      </c>
      <c r="F2620" s="7" t="s">
        <v>740</v>
      </c>
      <c r="G2620" s="7">
        <v>174</v>
      </c>
      <c r="H2620" s="7" t="s">
        <v>877</v>
      </c>
      <c r="I2620" s="7" t="s">
        <v>878</v>
      </c>
      <c r="J2620" s="7" t="s">
        <v>879</v>
      </c>
      <c r="M2620" s="7">
        <v>100</v>
      </c>
      <c r="N2620" s="7">
        <v>100</v>
      </c>
      <c r="P2620" s="126">
        <v>46216.808645833298</v>
      </c>
    </row>
    <row r="2621" spans="1:16" ht="15.75" customHeight="1">
      <c r="A2621" s="126">
        <v>46230.015752314801</v>
      </c>
      <c r="B2621" s="7">
        <v>12</v>
      </c>
      <c r="C2621" s="7">
        <v>751</v>
      </c>
      <c r="E2621" s="7" t="s">
        <v>1214</v>
      </c>
      <c r="F2621" s="7" t="s">
        <v>740</v>
      </c>
      <c r="G2621" s="7">
        <v>180</v>
      </c>
      <c r="H2621" s="7" t="s">
        <v>880</v>
      </c>
      <c r="I2621" s="7" t="s">
        <v>874</v>
      </c>
      <c r="J2621" s="7"/>
      <c r="M2621" s="7"/>
      <c r="N2621" s="7" t="s">
        <v>875</v>
      </c>
      <c r="P2621" s="126"/>
    </row>
    <row r="2622" spans="1:16" ht="15.75" customHeight="1">
      <c r="A2622" s="126">
        <v>46230.015752314801</v>
      </c>
      <c r="B2622" s="7">
        <v>12</v>
      </c>
      <c r="C2622" s="7">
        <v>751</v>
      </c>
      <c r="E2622" s="7" t="s">
        <v>1214</v>
      </c>
      <c r="F2622" s="7" t="s">
        <v>740</v>
      </c>
      <c r="G2622" s="7">
        <v>175</v>
      </c>
      <c r="H2622" s="7" t="s">
        <v>881</v>
      </c>
      <c r="I2622" s="7" t="s">
        <v>878</v>
      </c>
      <c r="J2622" s="7" t="s">
        <v>882</v>
      </c>
      <c r="M2622" s="7">
        <v>100</v>
      </c>
      <c r="N2622" s="7">
        <v>100</v>
      </c>
      <c r="O2622" s="126">
        <v>46216.819016203699</v>
      </c>
      <c r="P2622" s="126">
        <v>46216.819016203699</v>
      </c>
    </row>
    <row r="2623" spans="1:16" ht="15.75" customHeight="1">
      <c r="A2623" s="126">
        <v>46230.015752314801</v>
      </c>
      <c r="B2623" s="7">
        <v>12</v>
      </c>
      <c r="C2623" s="7">
        <v>751</v>
      </c>
      <c r="E2623" s="7" t="s">
        <v>1214</v>
      </c>
      <c r="F2623" s="7" t="s">
        <v>740</v>
      </c>
      <c r="G2623" s="7">
        <v>177</v>
      </c>
      <c r="H2623" s="7" t="s">
        <v>883</v>
      </c>
      <c r="I2623" s="7" t="s">
        <v>878</v>
      </c>
      <c r="J2623" s="7" t="s">
        <v>882</v>
      </c>
      <c r="M2623" s="7"/>
      <c r="N2623" s="7" t="s">
        <v>875</v>
      </c>
      <c r="P2623" s="126"/>
    </row>
    <row r="2624" spans="1:16" ht="15.75" customHeight="1">
      <c r="A2624" s="126">
        <v>46230.015752314801</v>
      </c>
      <c r="B2624" s="7">
        <v>12</v>
      </c>
      <c r="C2624" s="7">
        <v>751</v>
      </c>
      <c r="E2624" s="7" t="s">
        <v>1214</v>
      </c>
      <c r="F2624" s="7" t="s">
        <v>740</v>
      </c>
      <c r="G2624" s="7">
        <v>176</v>
      </c>
      <c r="H2624" s="7" t="s">
        <v>884</v>
      </c>
      <c r="I2624" s="7" t="s">
        <v>878</v>
      </c>
      <c r="J2624" s="7" t="s">
        <v>882</v>
      </c>
      <c r="M2624" s="7">
        <v>80</v>
      </c>
      <c r="N2624" s="7">
        <v>80</v>
      </c>
      <c r="O2624" s="126">
        <v>46224.822581018503</v>
      </c>
      <c r="P2624" s="126">
        <v>46224.822581018503</v>
      </c>
    </row>
    <row r="2625" spans="1:16" ht="15.75" customHeight="1">
      <c r="A2625" s="126">
        <v>46230.015752314801</v>
      </c>
      <c r="B2625" s="7">
        <v>12</v>
      </c>
      <c r="C2625" s="7">
        <v>751</v>
      </c>
      <c r="E2625" s="7" t="s">
        <v>1214</v>
      </c>
      <c r="F2625" s="7" t="s">
        <v>740</v>
      </c>
      <c r="G2625" s="7">
        <v>168</v>
      </c>
      <c r="H2625" s="7" t="s">
        <v>885</v>
      </c>
      <c r="I2625" s="7" t="s">
        <v>886</v>
      </c>
      <c r="J2625" s="7"/>
      <c r="M2625" s="7">
        <v>100</v>
      </c>
      <c r="N2625" s="7">
        <v>100</v>
      </c>
      <c r="O2625" s="126"/>
      <c r="P2625" s="126">
        <v>46216.808784722198</v>
      </c>
    </row>
    <row r="2626" spans="1:16" ht="15.75" customHeight="1">
      <c r="A2626" s="126">
        <v>46230.015752314801</v>
      </c>
      <c r="B2626" s="7">
        <v>12</v>
      </c>
      <c r="C2626" s="7">
        <v>275</v>
      </c>
      <c r="E2626" s="7" t="s">
        <v>1215</v>
      </c>
      <c r="F2626" s="7" t="s">
        <v>495</v>
      </c>
      <c r="G2626" s="7">
        <v>181</v>
      </c>
      <c r="H2626" s="7" t="s">
        <v>873</v>
      </c>
      <c r="I2626" s="7" t="s">
        <v>874</v>
      </c>
      <c r="J2626" s="7"/>
      <c r="M2626" s="7"/>
      <c r="N2626" s="7" t="s">
        <v>875</v>
      </c>
      <c r="P2626" s="126"/>
    </row>
    <row r="2627" spans="1:16" ht="15.75" customHeight="1">
      <c r="A2627" s="126">
        <v>46230.015752314801</v>
      </c>
      <c r="B2627" s="7">
        <v>12</v>
      </c>
      <c r="C2627" s="7">
        <v>275</v>
      </c>
      <c r="E2627" s="7" t="s">
        <v>1215</v>
      </c>
      <c r="F2627" s="7" t="s">
        <v>495</v>
      </c>
      <c r="G2627" s="7">
        <v>182</v>
      </c>
      <c r="H2627" s="7" t="s">
        <v>876</v>
      </c>
      <c r="I2627" s="7" t="s">
        <v>874</v>
      </c>
      <c r="J2627" s="7"/>
      <c r="M2627" s="7"/>
      <c r="N2627" s="7" t="s">
        <v>875</v>
      </c>
      <c r="O2627" s="126"/>
      <c r="P2627" s="126"/>
    </row>
    <row r="2628" spans="1:16" ht="15.75" customHeight="1">
      <c r="A2628" s="126">
        <v>46230.015752314801</v>
      </c>
      <c r="B2628" s="7">
        <v>12</v>
      </c>
      <c r="C2628" s="7">
        <v>275</v>
      </c>
      <c r="E2628" s="7" t="s">
        <v>1215</v>
      </c>
      <c r="F2628" s="7" t="s">
        <v>495</v>
      </c>
      <c r="G2628" s="7">
        <v>174</v>
      </c>
      <c r="H2628" s="7" t="s">
        <v>877</v>
      </c>
      <c r="I2628" s="7" t="s">
        <v>878</v>
      </c>
      <c r="J2628" s="7" t="s">
        <v>879</v>
      </c>
      <c r="M2628" s="7">
        <v>100</v>
      </c>
      <c r="N2628" s="7">
        <v>100</v>
      </c>
      <c r="O2628" s="126"/>
      <c r="P2628" s="126">
        <v>46210.517615740697</v>
      </c>
    </row>
    <row r="2629" spans="1:16" ht="15.75" customHeight="1">
      <c r="A2629" s="126">
        <v>46230.015752314801</v>
      </c>
      <c r="B2629" s="7">
        <v>12</v>
      </c>
      <c r="C2629" s="7">
        <v>275</v>
      </c>
      <c r="E2629" s="7" t="s">
        <v>1215</v>
      </c>
      <c r="F2629" s="7" t="s">
        <v>495</v>
      </c>
      <c r="G2629" s="7">
        <v>180</v>
      </c>
      <c r="H2629" s="7" t="s">
        <v>880</v>
      </c>
      <c r="I2629" s="7" t="s">
        <v>874</v>
      </c>
      <c r="J2629" s="7"/>
      <c r="M2629" s="7"/>
      <c r="N2629" s="7" t="s">
        <v>875</v>
      </c>
      <c r="O2629" s="126"/>
      <c r="P2629" s="126"/>
    </row>
    <row r="2630" spans="1:16" ht="15.75" customHeight="1">
      <c r="A2630" s="126">
        <v>46230.015752314801</v>
      </c>
      <c r="B2630" s="7">
        <v>12</v>
      </c>
      <c r="C2630" s="7">
        <v>275</v>
      </c>
      <c r="E2630" s="7" t="s">
        <v>1215</v>
      </c>
      <c r="F2630" s="7" t="s">
        <v>495</v>
      </c>
      <c r="G2630" s="7">
        <v>175</v>
      </c>
      <c r="H2630" s="7" t="s">
        <v>881</v>
      </c>
      <c r="I2630" s="7" t="s">
        <v>878</v>
      </c>
      <c r="J2630" s="7" t="s">
        <v>882</v>
      </c>
      <c r="M2630" s="7">
        <v>100</v>
      </c>
      <c r="N2630" s="7">
        <v>100</v>
      </c>
      <c r="O2630" s="126">
        <v>46225.559178240699</v>
      </c>
      <c r="P2630" s="126">
        <v>46225.559178240699</v>
      </c>
    </row>
    <row r="2631" spans="1:16" ht="15.75" customHeight="1">
      <c r="A2631" s="126">
        <v>46230.015752314801</v>
      </c>
      <c r="B2631" s="7">
        <v>12</v>
      </c>
      <c r="C2631" s="7">
        <v>275</v>
      </c>
      <c r="E2631" s="7" t="s">
        <v>1215</v>
      </c>
      <c r="F2631" s="7" t="s">
        <v>495</v>
      </c>
      <c r="G2631" s="7">
        <v>177</v>
      </c>
      <c r="H2631" s="7" t="s">
        <v>883</v>
      </c>
      <c r="I2631" s="7" t="s">
        <v>878</v>
      </c>
      <c r="J2631" s="7" t="s">
        <v>882</v>
      </c>
      <c r="M2631" s="7"/>
      <c r="N2631" s="7" t="s">
        <v>875</v>
      </c>
      <c r="P2631" s="126"/>
    </row>
    <row r="2632" spans="1:16" ht="15.75" customHeight="1">
      <c r="A2632" s="126">
        <v>46230.015752314801</v>
      </c>
      <c r="B2632" s="7">
        <v>12</v>
      </c>
      <c r="C2632" s="7">
        <v>275</v>
      </c>
      <c r="E2632" s="7" t="s">
        <v>1215</v>
      </c>
      <c r="F2632" s="7" t="s">
        <v>495</v>
      </c>
      <c r="G2632" s="7">
        <v>176</v>
      </c>
      <c r="H2632" s="7" t="s">
        <v>884</v>
      </c>
      <c r="I2632" s="7" t="s">
        <v>878</v>
      </c>
      <c r="J2632" s="7" t="s">
        <v>882</v>
      </c>
      <c r="M2632" s="7">
        <v>100</v>
      </c>
      <c r="N2632" s="7">
        <v>100</v>
      </c>
      <c r="O2632" s="126">
        <v>46228.000567129602</v>
      </c>
      <c r="P2632" s="126">
        <v>46228.000567129602</v>
      </c>
    </row>
    <row r="2633" spans="1:16" ht="15.75" customHeight="1">
      <c r="A2633" s="126">
        <v>46230.015752314801</v>
      </c>
      <c r="B2633" s="7">
        <v>12</v>
      </c>
      <c r="C2633" s="7">
        <v>275</v>
      </c>
      <c r="E2633" s="7" t="s">
        <v>1215</v>
      </c>
      <c r="F2633" s="7" t="s">
        <v>495</v>
      </c>
      <c r="G2633" s="7">
        <v>168</v>
      </c>
      <c r="H2633" s="7" t="s">
        <v>885</v>
      </c>
      <c r="I2633" s="7" t="s">
        <v>886</v>
      </c>
      <c r="M2633" s="7">
        <v>100</v>
      </c>
      <c r="N2633" s="7">
        <v>100</v>
      </c>
      <c r="P2633" s="126">
        <v>46210.517627314803</v>
      </c>
    </row>
    <row r="2634" spans="1:16" ht="15.75" customHeight="1">
      <c r="A2634" s="126">
        <v>46230.015752314801</v>
      </c>
      <c r="B2634" s="7">
        <v>12</v>
      </c>
      <c r="C2634" s="7">
        <v>500</v>
      </c>
      <c r="E2634" s="7" t="s">
        <v>1216</v>
      </c>
      <c r="F2634" s="7" t="s">
        <v>714</v>
      </c>
      <c r="G2634" s="7">
        <v>181</v>
      </c>
      <c r="H2634" s="7" t="s">
        <v>873</v>
      </c>
      <c r="I2634" s="7" t="s">
        <v>874</v>
      </c>
      <c r="J2634" s="7"/>
      <c r="M2634" s="7"/>
      <c r="N2634" s="7" t="s">
        <v>875</v>
      </c>
      <c r="P2634" s="126"/>
    </row>
    <row r="2635" spans="1:16" ht="15.75" customHeight="1">
      <c r="A2635" s="126">
        <v>46230.015752314801</v>
      </c>
      <c r="B2635" s="7">
        <v>12</v>
      </c>
      <c r="C2635" s="7">
        <v>500</v>
      </c>
      <c r="E2635" s="7" t="s">
        <v>1216</v>
      </c>
      <c r="F2635" s="7" t="s">
        <v>714</v>
      </c>
      <c r="G2635" s="7">
        <v>182</v>
      </c>
      <c r="H2635" s="7" t="s">
        <v>876</v>
      </c>
      <c r="I2635" s="7" t="s">
        <v>874</v>
      </c>
      <c r="J2635" s="7"/>
      <c r="M2635" s="7"/>
      <c r="N2635" s="7" t="s">
        <v>875</v>
      </c>
      <c r="P2635" s="126"/>
    </row>
    <row r="2636" spans="1:16" ht="15.75" customHeight="1">
      <c r="A2636" s="126">
        <v>46230.015752314801</v>
      </c>
      <c r="B2636" s="7">
        <v>12</v>
      </c>
      <c r="C2636" s="7">
        <v>500</v>
      </c>
      <c r="E2636" s="7" t="s">
        <v>1216</v>
      </c>
      <c r="F2636" s="7" t="s">
        <v>714</v>
      </c>
      <c r="G2636" s="7">
        <v>174</v>
      </c>
      <c r="H2636" s="7" t="s">
        <v>877</v>
      </c>
      <c r="I2636" s="7" t="s">
        <v>878</v>
      </c>
      <c r="J2636" s="7" t="s">
        <v>879</v>
      </c>
      <c r="M2636" s="7">
        <v>100</v>
      </c>
      <c r="N2636" s="7">
        <v>100</v>
      </c>
      <c r="O2636" s="126"/>
      <c r="P2636" s="126">
        <v>46226.491747685199</v>
      </c>
    </row>
    <row r="2637" spans="1:16" ht="15.75" customHeight="1">
      <c r="A2637" s="126">
        <v>46230.015752314801</v>
      </c>
      <c r="B2637" s="7">
        <v>12</v>
      </c>
      <c r="C2637" s="7">
        <v>500</v>
      </c>
      <c r="E2637" s="7" t="s">
        <v>1216</v>
      </c>
      <c r="F2637" s="7" t="s">
        <v>714</v>
      </c>
      <c r="G2637" s="7">
        <v>180</v>
      </c>
      <c r="H2637" s="7" t="s">
        <v>880</v>
      </c>
      <c r="I2637" s="7" t="s">
        <v>874</v>
      </c>
      <c r="J2637" s="7"/>
      <c r="M2637" s="7"/>
      <c r="N2637" s="7" t="s">
        <v>875</v>
      </c>
      <c r="O2637" s="126"/>
      <c r="P2637" s="126"/>
    </row>
    <row r="2638" spans="1:16" ht="15.75" customHeight="1">
      <c r="A2638" s="126">
        <v>46230.015752314801</v>
      </c>
      <c r="B2638" s="7">
        <v>12</v>
      </c>
      <c r="C2638" s="7">
        <v>500</v>
      </c>
      <c r="E2638" s="7" t="s">
        <v>1216</v>
      </c>
      <c r="F2638" s="7" t="s">
        <v>714</v>
      </c>
      <c r="G2638" s="7">
        <v>175</v>
      </c>
      <c r="H2638" s="7" t="s">
        <v>881</v>
      </c>
      <c r="I2638" s="7" t="s">
        <v>878</v>
      </c>
      <c r="J2638" s="7" t="s">
        <v>882</v>
      </c>
      <c r="M2638" s="7">
        <v>100</v>
      </c>
      <c r="N2638" s="7">
        <v>100</v>
      </c>
      <c r="O2638" s="126">
        <v>46216.834432870397</v>
      </c>
      <c r="P2638" s="126">
        <v>46216.834432870397</v>
      </c>
    </row>
    <row r="2639" spans="1:16" ht="15.75" customHeight="1">
      <c r="A2639" s="126">
        <v>46230.015752314801</v>
      </c>
      <c r="B2639" s="7">
        <v>12</v>
      </c>
      <c r="C2639" s="7">
        <v>500</v>
      </c>
      <c r="E2639" s="7" t="s">
        <v>1216</v>
      </c>
      <c r="F2639" s="7" t="s">
        <v>714</v>
      </c>
      <c r="G2639" s="7">
        <v>177</v>
      </c>
      <c r="H2639" s="7" t="s">
        <v>883</v>
      </c>
      <c r="I2639" s="7" t="s">
        <v>878</v>
      </c>
      <c r="J2639" s="7" t="s">
        <v>882</v>
      </c>
      <c r="M2639" s="7"/>
      <c r="N2639" s="7" t="s">
        <v>875</v>
      </c>
      <c r="P2639" s="126"/>
    </row>
    <row r="2640" spans="1:16" ht="15.75" customHeight="1">
      <c r="A2640" s="126">
        <v>46230.015752314801</v>
      </c>
      <c r="B2640" s="7">
        <v>12</v>
      </c>
      <c r="C2640" s="7">
        <v>500</v>
      </c>
      <c r="E2640" s="7" t="s">
        <v>1216</v>
      </c>
      <c r="F2640" s="7" t="s">
        <v>714</v>
      </c>
      <c r="G2640" s="7">
        <v>176</v>
      </c>
      <c r="H2640" s="7" t="s">
        <v>884</v>
      </c>
      <c r="I2640" s="7" t="s">
        <v>878</v>
      </c>
      <c r="J2640" s="7" t="s">
        <v>882</v>
      </c>
      <c r="M2640" s="7">
        <v>90</v>
      </c>
      <c r="N2640" s="7">
        <v>90</v>
      </c>
      <c r="O2640" s="126">
        <v>46225.436087962997</v>
      </c>
      <c r="P2640" s="126">
        <v>46225.436087962997</v>
      </c>
    </row>
    <row r="2641" spans="1:16" ht="15.75" customHeight="1">
      <c r="A2641" s="126">
        <v>46230.015752314801</v>
      </c>
      <c r="B2641" s="7">
        <v>12</v>
      </c>
      <c r="C2641" s="7">
        <v>500</v>
      </c>
      <c r="E2641" s="7" t="s">
        <v>1216</v>
      </c>
      <c r="F2641" s="7" t="s">
        <v>714</v>
      </c>
      <c r="G2641" s="7">
        <v>168</v>
      </c>
      <c r="H2641" s="7" t="s">
        <v>885</v>
      </c>
      <c r="I2641" s="7" t="s">
        <v>886</v>
      </c>
      <c r="J2641" s="7"/>
      <c r="M2641" s="7">
        <v>100</v>
      </c>
      <c r="N2641" s="7">
        <v>100</v>
      </c>
      <c r="P2641" s="126">
        <v>46216.834432870397</v>
      </c>
    </row>
    <row r="2642" spans="1:16" ht="15.75" customHeight="1">
      <c r="A2642" s="126">
        <v>46230.015752314801</v>
      </c>
      <c r="B2642" s="7">
        <v>12</v>
      </c>
      <c r="C2642" s="7">
        <v>791</v>
      </c>
      <c r="E2642" s="7" t="s">
        <v>1217</v>
      </c>
      <c r="F2642" s="7" t="s">
        <v>782</v>
      </c>
      <c r="G2642" s="7">
        <v>181</v>
      </c>
      <c r="H2642" s="7" t="s">
        <v>873</v>
      </c>
      <c r="I2642" s="7" t="s">
        <v>874</v>
      </c>
      <c r="M2642" s="7"/>
      <c r="N2642" s="7" t="s">
        <v>875</v>
      </c>
      <c r="P2642" s="126"/>
    </row>
    <row r="2643" spans="1:16" ht="15.75" customHeight="1">
      <c r="A2643" s="126">
        <v>46230.015752314801</v>
      </c>
      <c r="B2643" s="7">
        <v>12</v>
      </c>
      <c r="C2643" s="7">
        <v>791</v>
      </c>
      <c r="E2643" s="7" t="s">
        <v>1217</v>
      </c>
      <c r="F2643" s="7" t="s">
        <v>782</v>
      </c>
      <c r="G2643" s="7">
        <v>182</v>
      </c>
      <c r="H2643" s="7" t="s">
        <v>876</v>
      </c>
      <c r="I2643" s="7" t="s">
        <v>874</v>
      </c>
      <c r="J2643" s="7"/>
      <c r="M2643" s="7"/>
      <c r="N2643" s="7" t="s">
        <v>875</v>
      </c>
      <c r="O2643" s="126"/>
      <c r="P2643" s="126"/>
    </row>
    <row r="2644" spans="1:16" ht="15.75" customHeight="1">
      <c r="A2644" s="126">
        <v>46230.015752314801</v>
      </c>
      <c r="B2644" s="7">
        <v>12</v>
      </c>
      <c r="C2644" s="7">
        <v>791</v>
      </c>
      <c r="E2644" s="7" t="s">
        <v>1217</v>
      </c>
      <c r="F2644" s="7" t="s">
        <v>782</v>
      </c>
      <c r="G2644" s="7">
        <v>174</v>
      </c>
      <c r="H2644" s="7" t="s">
        <v>877</v>
      </c>
      <c r="I2644" s="7" t="s">
        <v>878</v>
      </c>
      <c r="J2644" s="7" t="s">
        <v>879</v>
      </c>
      <c r="M2644" s="7">
        <v>100</v>
      </c>
      <c r="N2644" s="7">
        <v>100</v>
      </c>
      <c r="P2644" s="126">
        <v>46209.706932870402</v>
      </c>
    </row>
    <row r="2645" spans="1:16" ht="15.75" customHeight="1">
      <c r="A2645" s="126">
        <v>46230.015752314801</v>
      </c>
      <c r="B2645" s="7">
        <v>12</v>
      </c>
      <c r="C2645" s="7">
        <v>791</v>
      </c>
      <c r="E2645" s="7" t="s">
        <v>1217</v>
      </c>
      <c r="F2645" s="7" t="s">
        <v>782</v>
      </c>
      <c r="G2645" s="7">
        <v>180</v>
      </c>
      <c r="H2645" s="7" t="s">
        <v>880</v>
      </c>
      <c r="I2645" s="7" t="s">
        <v>874</v>
      </c>
      <c r="J2645" s="7"/>
      <c r="M2645" s="7"/>
      <c r="N2645" s="7" t="s">
        <v>875</v>
      </c>
      <c r="O2645" s="126"/>
      <c r="P2645" s="126"/>
    </row>
    <row r="2646" spans="1:16" ht="15.75" customHeight="1">
      <c r="A2646" s="126">
        <v>46230.015752314801</v>
      </c>
      <c r="B2646" s="7">
        <v>12</v>
      </c>
      <c r="C2646" s="7">
        <v>791</v>
      </c>
      <c r="E2646" s="7" t="s">
        <v>1217</v>
      </c>
      <c r="F2646" s="7" t="s">
        <v>782</v>
      </c>
      <c r="G2646" s="7">
        <v>175</v>
      </c>
      <c r="H2646" s="7" t="s">
        <v>881</v>
      </c>
      <c r="I2646" s="7" t="s">
        <v>878</v>
      </c>
      <c r="J2646" s="7" t="s">
        <v>882</v>
      </c>
      <c r="M2646" s="7">
        <v>100</v>
      </c>
      <c r="N2646" s="7">
        <v>100</v>
      </c>
      <c r="O2646" s="126">
        <v>46216.780405092599</v>
      </c>
      <c r="P2646" s="126">
        <v>46216.780405092599</v>
      </c>
    </row>
    <row r="2647" spans="1:16" ht="15.75" customHeight="1">
      <c r="A2647" s="126">
        <v>46230.015752314801</v>
      </c>
      <c r="B2647" s="7">
        <v>12</v>
      </c>
      <c r="C2647" s="7">
        <v>791</v>
      </c>
      <c r="E2647" s="7" t="s">
        <v>1217</v>
      </c>
      <c r="F2647" s="7" t="s">
        <v>782</v>
      </c>
      <c r="G2647" s="7">
        <v>177</v>
      </c>
      <c r="H2647" s="7" t="s">
        <v>883</v>
      </c>
      <c r="I2647" s="7" t="s">
        <v>878</v>
      </c>
      <c r="J2647" s="7" t="s">
        <v>882</v>
      </c>
      <c r="M2647" s="7"/>
      <c r="N2647" s="7" t="s">
        <v>875</v>
      </c>
      <c r="P2647" s="126"/>
    </row>
    <row r="2648" spans="1:16" ht="15.75" customHeight="1">
      <c r="A2648" s="126">
        <v>46230.015752314801</v>
      </c>
      <c r="B2648" s="7">
        <v>12</v>
      </c>
      <c r="C2648" s="7">
        <v>791</v>
      </c>
      <c r="E2648" s="7" t="s">
        <v>1217</v>
      </c>
      <c r="F2648" s="7" t="s">
        <v>782</v>
      </c>
      <c r="G2648" s="7">
        <v>176</v>
      </c>
      <c r="H2648" s="7" t="s">
        <v>884</v>
      </c>
      <c r="I2648" s="7" t="s">
        <v>878</v>
      </c>
      <c r="J2648" s="7" t="s">
        <v>882</v>
      </c>
      <c r="M2648" s="7">
        <v>90</v>
      </c>
      <c r="N2648" s="7">
        <v>90</v>
      </c>
      <c r="O2648" s="126">
        <v>46227.2870833333</v>
      </c>
      <c r="P2648" s="126">
        <v>46227.2870833333</v>
      </c>
    </row>
    <row r="2649" spans="1:16" ht="15.75" customHeight="1">
      <c r="A2649" s="126">
        <v>46230.015752314801</v>
      </c>
      <c r="B2649" s="7">
        <v>12</v>
      </c>
      <c r="C2649" s="7">
        <v>791</v>
      </c>
      <c r="E2649" s="7" t="s">
        <v>1217</v>
      </c>
      <c r="F2649" s="7" t="s">
        <v>782</v>
      </c>
      <c r="G2649" s="7">
        <v>168</v>
      </c>
      <c r="H2649" s="7" t="s">
        <v>885</v>
      </c>
      <c r="I2649" s="7" t="s">
        <v>886</v>
      </c>
      <c r="M2649" s="7">
        <v>100</v>
      </c>
      <c r="N2649" s="7">
        <v>100</v>
      </c>
      <c r="P2649" s="126">
        <v>46209.706932870402</v>
      </c>
    </row>
    <row r="2650" spans="1:16" ht="15.75" customHeight="1">
      <c r="A2650" s="126">
        <v>46230.015752314801</v>
      </c>
      <c r="B2650" s="7">
        <v>12</v>
      </c>
      <c r="C2650" s="7">
        <v>282</v>
      </c>
      <c r="E2650" s="7" t="s">
        <v>1218</v>
      </c>
      <c r="F2650" s="7" t="s">
        <v>1219</v>
      </c>
      <c r="G2650" s="7">
        <v>181</v>
      </c>
      <c r="H2650" s="7" t="s">
        <v>873</v>
      </c>
      <c r="I2650" s="7" t="s">
        <v>874</v>
      </c>
      <c r="J2650" s="7"/>
      <c r="M2650" s="7"/>
      <c r="N2650" s="7" t="s">
        <v>875</v>
      </c>
      <c r="P2650" s="126"/>
    </row>
    <row r="2651" spans="1:16" ht="15.75" customHeight="1">
      <c r="A2651" s="126">
        <v>46230.015752314801</v>
      </c>
      <c r="B2651" s="7">
        <v>12</v>
      </c>
      <c r="C2651" s="7">
        <v>282</v>
      </c>
      <c r="E2651" s="7" t="s">
        <v>1218</v>
      </c>
      <c r="F2651" s="7" t="s">
        <v>1219</v>
      </c>
      <c r="G2651" s="7">
        <v>182</v>
      </c>
      <c r="H2651" s="7" t="s">
        <v>876</v>
      </c>
      <c r="I2651" s="7" t="s">
        <v>874</v>
      </c>
      <c r="J2651" s="7"/>
      <c r="M2651" s="7"/>
      <c r="N2651" s="7" t="s">
        <v>875</v>
      </c>
      <c r="P2651" s="126"/>
    </row>
    <row r="2652" spans="1:16" ht="15.75" customHeight="1">
      <c r="A2652" s="126">
        <v>46230.015752314801</v>
      </c>
      <c r="B2652" s="7">
        <v>12</v>
      </c>
      <c r="C2652" s="7">
        <v>282</v>
      </c>
      <c r="E2652" s="7" t="s">
        <v>1218</v>
      </c>
      <c r="F2652" s="7" t="s">
        <v>1219</v>
      </c>
      <c r="G2652" s="7">
        <v>174</v>
      </c>
      <c r="H2652" s="7" t="s">
        <v>877</v>
      </c>
      <c r="I2652" s="7" t="s">
        <v>878</v>
      </c>
      <c r="J2652" s="7" t="s">
        <v>879</v>
      </c>
      <c r="M2652" s="7">
        <v>100</v>
      </c>
      <c r="N2652" s="7">
        <v>100</v>
      </c>
      <c r="O2652" s="126"/>
      <c r="P2652" s="126">
        <v>46210.5917708333</v>
      </c>
    </row>
    <row r="2653" spans="1:16" ht="15.75" customHeight="1">
      <c r="A2653" s="126">
        <v>46230.015752314801</v>
      </c>
      <c r="B2653" s="7">
        <v>12</v>
      </c>
      <c r="C2653" s="7">
        <v>282</v>
      </c>
      <c r="E2653" s="7" t="s">
        <v>1218</v>
      </c>
      <c r="F2653" s="7" t="s">
        <v>1219</v>
      </c>
      <c r="G2653" s="7">
        <v>180</v>
      </c>
      <c r="H2653" s="7" t="s">
        <v>880</v>
      </c>
      <c r="I2653" s="7" t="s">
        <v>874</v>
      </c>
      <c r="J2653" s="7"/>
      <c r="M2653" s="7"/>
      <c r="N2653" s="7" t="s">
        <v>875</v>
      </c>
      <c r="P2653" s="126"/>
    </row>
    <row r="2654" spans="1:16" ht="15.75" customHeight="1">
      <c r="A2654" s="126">
        <v>46230.015752314801</v>
      </c>
      <c r="B2654" s="7">
        <v>12</v>
      </c>
      <c r="C2654" s="7">
        <v>282</v>
      </c>
      <c r="E2654" s="7" t="s">
        <v>1218</v>
      </c>
      <c r="F2654" s="7" t="s">
        <v>1219</v>
      </c>
      <c r="G2654" s="7">
        <v>175</v>
      </c>
      <c r="H2654" s="7" t="s">
        <v>881</v>
      </c>
      <c r="I2654" s="7" t="s">
        <v>878</v>
      </c>
      <c r="J2654" s="7" t="s">
        <v>882</v>
      </c>
      <c r="M2654" s="7"/>
      <c r="N2654" s="7" t="s">
        <v>875</v>
      </c>
      <c r="O2654" s="126"/>
      <c r="P2654" s="126"/>
    </row>
    <row r="2655" spans="1:16" ht="15.75" customHeight="1">
      <c r="A2655" s="126">
        <v>46230.015752314801</v>
      </c>
      <c r="B2655" s="7">
        <v>12</v>
      </c>
      <c r="C2655" s="7">
        <v>282</v>
      </c>
      <c r="E2655" s="7" t="s">
        <v>1218</v>
      </c>
      <c r="F2655" s="7" t="s">
        <v>1219</v>
      </c>
      <c r="G2655" s="7">
        <v>177</v>
      </c>
      <c r="H2655" s="7" t="s">
        <v>883</v>
      </c>
      <c r="I2655" s="7" t="s">
        <v>878</v>
      </c>
      <c r="J2655" s="7" t="s">
        <v>882</v>
      </c>
      <c r="M2655" s="7"/>
      <c r="N2655" s="7" t="s">
        <v>875</v>
      </c>
      <c r="O2655" s="126"/>
      <c r="P2655" s="126"/>
    </row>
    <row r="2656" spans="1:16" ht="15.75" customHeight="1">
      <c r="A2656" s="126">
        <v>46230.015752314801</v>
      </c>
      <c r="B2656" s="7">
        <v>12</v>
      </c>
      <c r="C2656" s="7">
        <v>282</v>
      </c>
      <c r="E2656" s="7" t="s">
        <v>1218</v>
      </c>
      <c r="F2656" s="7" t="s">
        <v>1219</v>
      </c>
      <c r="G2656" s="7">
        <v>176</v>
      </c>
      <c r="H2656" s="7" t="s">
        <v>884</v>
      </c>
      <c r="I2656" s="7" t="s">
        <v>878</v>
      </c>
      <c r="J2656" s="7" t="s">
        <v>882</v>
      </c>
      <c r="M2656" s="7"/>
      <c r="N2656" s="7" t="s">
        <v>875</v>
      </c>
      <c r="P2656" s="126"/>
    </row>
    <row r="2657" spans="1:16" ht="15.75" customHeight="1">
      <c r="A2657" s="126">
        <v>46230.015752314801</v>
      </c>
      <c r="B2657" s="7">
        <v>12</v>
      </c>
      <c r="C2657" s="7">
        <v>282</v>
      </c>
      <c r="E2657" s="7" t="s">
        <v>1218</v>
      </c>
      <c r="F2657" s="7" t="s">
        <v>1219</v>
      </c>
      <c r="G2657" s="7">
        <v>168</v>
      </c>
      <c r="H2657" s="7" t="s">
        <v>885</v>
      </c>
      <c r="I2657" s="7" t="s">
        <v>886</v>
      </c>
      <c r="M2657" s="7">
        <v>100</v>
      </c>
      <c r="N2657" s="7">
        <v>100</v>
      </c>
      <c r="P2657" s="126">
        <v>46210.591782407399</v>
      </c>
    </row>
    <row r="2658" spans="1:16" ht="15.75" customHeight="1">
      <c r="A2658" s="126">
        <v>46230.015752314801</v>
      </c>
      <c r="B2658" s="7">
        <v>12</v>
      </c>
      <c r="C2658" s="7">
        <v>523</v>
      </c>
      <c r="E2658" s="7" t="s">
        <v>1220</v>
      </c>
      <c r="F2658" s="7" t="s">
        <v>1221</v>
      </c>
      <c r="G2658" s="7">
        <v>181</v>
      </c>
      <c r="H2658" s="7" t="s">
        <v>873</v>
      </c>
      <c r="I2658" s="7" t="s">
        <v>874</v>
      </c>
      <c r="M2658" s="7"/>
      <c r="N2658" s="7" t="s">
        <v>875</v>
      </c>
      <c r="P2658" s="126"/>
    </row>
    <row r="2659" spans="1:16" ht="15.75" customHeight="1">
      <c r="A2659" s="126">
        <v>46230.015752314801</v>
      </c>
      <c r="B2659" s="7">
        <v>12</v>
      </c>
      <c r="C2659" s="7">
        <v>523</v>
      </c>
      <c r="E2659" s="7" t="s">
        <v>1220</v>
      </c>
      <c r="F2659" s="7" t="s">
        <v>1221</v>
      </c>
      <c r="G2659" s="7">
        <v>182</v>
      </c>
      <c r="H2659" s="7" t="s">
        <v>876</v>
      </c>
      <c r="I2659" s="7" t="s">
        <v>874</v>
      </c>
      <c r="J2659" s="7"/>
      <c r="M2659" s="7"/>
      <c r="N2659" s="7" t="s">
        <v>875</v>
      </c>
      <c r="P2659" s="126"/>
    </row>
    <row r="2660" spans="1:16" ht="15.75" customHeight="1">
      <c r="A2660" s="126">
        <v>46230.015752314801</v>
      </c>
      <c r="B2660" s="7">
        <v>12</v>
      </c>
      <c r="C2660" s="7">
        <v>523</v>
      </c>
      <c r="E2660" s="7" t="s">
        <v>1220</v>
      </c>
      <c r="F2660" s="7" t="s">
        <v>1221</v>
      </c>
      <c r="G2660" s="7">
        <v>174</v>
      </c>
      <c r="H2660" s="7" t="s">
        <v>877</v>
      </c>
      <c r="I2660" s="7" t="s">
        <v>878</v>
      </c>
      <c r="J2660" s="7" t="s">
        <v>879</v>
      </c>
      <c r="M2660" s="7">
        <v>100</v>
      </c>
      <c r="N2660" s="7">
        <v>100</v>
      </c>
      <c r="P2660" s="126">
        <v>46226.491747685199</v>
      </c>
    </row>
    <row r="2661" spans="1:16" ht="15.75" customHeight="1">
      <c r="A2661" s="126">
        <v>46230.015752314801</v>
      </c>
      <c r="B2661" s="7">
        <v>12</v>
      </c>
      <c r="C2661" s="7">
        <v>523</v>
      </c>
      <c r="E2661" s="7" t="s">
        <v>1220</v>
      </c>
      <c r="F2661" s="7" t="s">
        <v>1221</v>
      </c>
      <c r="G2661" s="7">
        <v>180</v>
      </c>
      <c r="H2661" s="7" t="s">
        <v>880</v>
      </c>
      <c r="I2661" s="7" t="s">
        <v>874</v>
      </c>
      <c r="J2661" s="7"/>
      <c r="M2661" s="7"/>
      <c r="N2661" s="7" t="s">
        <v>875</v>
      </c>
      <c r="O2661" s="126"/>
      <c r="P2661" s="126"/>
    </row>
    <row r="2662" spans="1:16" ht="15.75" customHeight="1">
      <c r="A2662" s="126">
        <v>46230.015752314801</v>
      </c>
      <c r="B2662" s="7">
        <v>12</v>
      </c>
      <c r="C2662" s="7">
        <v>523</v>
      </c>
      <c r="E2662" s="7" t="s">
        <v>1220</v>
      </c>
      <c r="F2662" s="7" t="s">
        <v>1221</v>
      </c>
      <c r="G2662" s="7">
        <v>175</v>
      </c>
      <c r="H2662" s="7" t="s">
        <v>881</v>
      </c>
      <c r="I2662" s="7" t="s">
        <v>878</v>
      </c>
      <c r="J2662" s="7" t="s">
        <v>882</v>
      </c>
      <c r="M2662" s="7"/>
      <c r="N2662" s="7" t="s">
        <v>875</v>
      </c>
      <c r="P2662" s="126"/>
    </row>
    <row r="2663" spans="1:16" ht="15.75" customHeight="1">
      <c r="A2663" s="126">
        <v>46230.015752314801</v>
      </c>
      <c r="B2663" s="7">
        <v>12</v>
      </c>
      <c r="C2663" s="7">
        <v>523</v>
      </c>
      <c r="E2663" s="7" t="s">
        <v>1220</v>
      </c>
      <c r="F2663" s="7" t="s">
        <v>1221</v>
      </c>
      <c r="G2663" s="7">
        <v>177</v>
      </c>
      <c r="H2663" s="7" t="s">
        <v>883</v>
      </c>
      <c r="I2663" s="7" t="s">
        <v>878</v>
      </c>
      <c r="J2663" s="7" t="s">
        <v>882</v>
      </c>
      <c r="M2663" s="7"/>
      <c r="N2663" s="7" t="s">
        <v>875</v>
      </c>
      <c r="O2663" s="126"/>
      <c r="P2663" s="126"/>
    </row>
    <row r="2664" spans="1:16" ht="15.75" customHeight="1">
      <c r="A2664" s="126">
        <v>46230.015752314801</v>
      </c>
      <c r="B2664" s="7">
        <v>12</v>
      </c>
      <c r="C2664" s="7">
        <v>523</v>
      </c>
      <c r="E2664" s="7" t="s">
        <v>1220</v>
      </c>
      <c r="F2664" s="7" t="s">
        <v>1221</v>
      </c>
      <c r="G2664" s="7">
        <v>176</v>
      </c>
      <c r="H2664" s="7" t="s">
        <v>884</v>
      </c>
      <c r="I2664" s="7" t="s">
        <v>878</v>
      </c>
      <c r="J2664" s="7" t="s">
        <v>882</v>
      </c>
      <c r="M2664" s="7"/>
      <c r="N2664" s="7" t="s">
        <v>875</v>
      </c>
      <c r="O2664" s="126"/>
      <c r="P2664" s="126"/>
    </row>
    <row r="2665" spans="1:16" ht="15.75" customHeight="1">
      <c r="A2665" s="126">
        <v>46230.015752314801</v>
      </c>
      <c r="B2665" s="7">
        <v>12</v>
      </c>
      <c r="C2665" s="7">
        <v>523</v>
      </c>
      <c r="E2665" s="7" t="s">
        <v>1220</v>
      </c>
      <c r="F2665" s="7" t="s">
        <v>1221</v>
      </c>
      <c r="G2665" s="7">
        <v>168</v>
      </c>
      <c r="H2665" s="7" t="s">
        <v>885</v>
      </c>
      <c r="I2665" s="7" t="s">
        <v>886</v>
      </c>
      <c r="M2665" s="7">
        <v>100</v>
      </c>
      <c r="N2665" s="7">
        <v>100</v>
      </c>
      <c r="P2665" s="126">
        <v>46226.491747685199</v>
      </c>
    </row>
    <row r="2666" spans="1:16" ht="15.75" customHeight="1">
      <c r="A2666" s="126"/>
      <c r="B2666" s="7"/>
      <c r="C2666" s="7"/>
      <c r="E2666" s="7"/>
      <c r="F2666" s="7"/>
      <c r="G2666" s="7"/>
      <c r="H2666" s="7"/>
      <c r="I2666" s="7"/>
      <c r="M2666" s="7"/>
      <c r="N2666" s="7"/>
      <c r="P2666" s="126"/>
    </row>
    <row r="2667" spans="1:16" ht="15.75" customHeight="1">
      <c r="A2667" s="126"/>
      <c r="B2667" s="7"/>
      <c r="C2667" s="7"/>
      <c r="E2667" s="7"/>
      <c r="F2667" s="7"/>
      <c r="G2667" s="7"/>
      <c r="H2667" s="7"/>
      <c r="I2667" s="7"/>
      <c r="M2667" s="7"/>
      <c r="N2667" s="7"/>
      <c r="P2667" s="126"/>
    </row>
    <row r="2668" spans="1:16" ht="15.75" customHeight="1">
      <c r="A2668" s="126"/>
      <c r="B2668" s="7"/>
      <c r="C2668" s="7"/>
      <c r="E2668" s="7"/>
      <c r="F2668" s="7"/>
      <c r="G2668" s="7"/>
      <c r="H2668" s="7"/>
      <c r="I2668" s="7"/>
      <c r="J2668" s="7"/>
      <c r="M2668" s="7"/>
      <c r="N2668" s="7"/>
      <c r="P2668" s="126"/>
    </row>
    <row r="2669" spans="1:16" ht="15.75" customHeight="1">
      <c r="A2669" s="126"/>
      <c r="B2669" s="7"/>
      <c r="C2669" s="7"/>
      <c r="E2669" s="7"/>
      <c r="F2669" s="7"/>
      <c r="G2669" s="7"/>
      <c r="H2669" s="7"/>
      <c r="I2669" s="7"/>
      <c r="M2669" s="7"/>
      <c r="N2669" s="7"/>
      <c r="P2669" s="126"/>
    </row>
    <row r="2670" spans="1:16" ht="15.75" customHeight="1">
      <c r="A2670" s="126"/>
      <c r="B2670" s="7"/>
      <c r="C2670" s="7"/>
      <c r="E2670" s="7"/>
      <c r="F2670" s="7"/>
      <c r="G2670" s="7"/>
      <c r="H2670" s="7"/>
      <c r="I2670" s="7"/>
      <c r="J2670" s="7"/>
      <c r="M2670" s="7"/>
      <c r="N2670" s="7"/>
      <c r="O2670" s="126"/>
      <c r="P2670" s="126"/>
    </row>
    <row r="2671" spans="1:16" ht="15.75" customHeight="1">
      <c r="A2671" s="126"/>
      <c r="B2671" s="7"/>
      <c r="C2671" s="7"/>
      <c r="E2671" s="7"/>
      <c r="F2671" s="7"/>
      <c r="G2671" s="7"/>
      <c r="H2671" s="7"/>
      <c r="I2671" s="7"/>
      <c r="J2671" s="7"/>
      <c r="M2671" s="7"/>
      <c r="N2671" s="7"/>
      <c r="P2671" s="126"/>
    </row>
    <row r="2672" spans="1:16" ht="15.75" customHeight="1">
      <c r="A2672" s="126"/>
      <c r="B2672" s="7"/>
      <c r="C2672" s="7"/>
      <c r="E2672" s="7"/>
      <c r="F2672" s="7"/>
      <c r="G2672" s="7"/>
      <c r="H2672" s="7"/>
      <c r="I2672" s="7"/>
      <c r="J2672" s="7"/>
      <c r="M2672" s="7"/>
      <c r="N2672" s="7"/>
      <c r="O2672" s="126"/>
      <c r="P2672" s="126"/>
    </row>
    <row r="2673" spans="1:16" ht="15.75" customHeight="1">
      <c r="A2673" s="126"/>
      <c r="B2673" s="7"/>
      <c r="C2673" s="7"/>
      <c r="E2673" s="7"/>
      <c r="F2673" s="7"/>
      <c r="G2673" s="7"/>
      <c r="H2673" s="7"/>
      <c r="I2673" s="7"/>
      <c r="J2673" s="7"/>
      <c r="M2673" s="7"/>
      <c r="N2673" s="7"/>
      <c r="O2673" s="126"/>
      <c r="P2673" s="126"/>
    </row>
    <row r="2674" spans="1:16" ht="15.75" customHeight="1">
      <c r="A2674" s="126"/>
      <c r="B2674" s="7"/>
      <c r="C2674" s="7"/>
      <c r="E2674" s="7"/>
      <c r="F2674" s="7"/>
      <c r="G2674" s="7"/>
      <c r="H2674" s="7"/>
      <c r="I2674" s="7"/>
      <c r="M2674" s="7"/>
      <c r="N2674" s="7"/>
      <c r="P2674" s="126"/>
    </row>
    <row r="2675" spans="1:16" ht="15.75" customHeight="1">
      <c r="A2675" s="126"/>
      <c r="B2675" s="7"/>
      <c r="C2675" s="7"/>
      <c r="D2675" s="7"/>
      <c r="E2675" s="7"/>
      <c r="F2675" s="7"/>
      <c r="G2675" s="7"/>
      <c r="H2675" s="7"/>
      <c r="I2675" s="7"/>
      <c r="M2675" s="7"/>
      <c r="N2675" s="7"/>
      <c r="P2675" s="126"/>
    </row>
    <row r="2676" spans="1:16" ht="15.75" customHeight="1">
      <c r="A2676" s="126"/>
      <c r="B2676" s="7"/>
      <c r="C2676" s="7"/>
      <c r="D2676" s="7"/>
      <c r="E2676" s="7"/>
      <c r="F2676" s="7"/>
      <c r="G2676" s="7"/>
      <c r="H2676" s="7"/>
      <c r="I2676" s="7"/>
      <c r="M2676" s="7"/>
      <c r="N2676" s="7"/>
      <c r="P2676" s="126"/>
    </row>
    <row r="2677" spans="1:16" ht="15.75" customHeight="1">
      <c r="A2677" s="126"/>
      <c r="B2677" s="7"/>
      <c r="C2677" s="7"/>
      <c r="D2677" s="7"/>
      <c r="E2677" s="7"/>
      <c r="F2677" s="7"/>
      <c r="G2677" s="7"/>
      <c r="H2677" s="7"/>
      <c r="I2677" s="7"/>
      <c r="J2677" s="7"/>
      <c r="M2677" s="7"/>
      <c r="N2677" s="7"/>
      <c r="P2677" s="126"/>
    </row>
    <row r="2678" spans="1:16" ht="15.75" customHeight="1">
      <c r="A2678" s="126"/>
      <c r="B2678" s="7"/>
      <c r="C2678" s="7"/>
      <c r="D2678" s="7"/>
      <c r="E2678" s="7"/>
      <c r="F2678" s="7"/>
      <c r="G2678" s="7"/>
      <c r="H2678" s="7"/>
      <c r="I2678" s="7"/>
      <c r="M2678" s="7"/>
      <c r="N2678" s="7"/>
      <c r="P2678" s="126"/>
    </row>
    <row r="2679" spans="1:16" ht="15.75" customHeight="1">
      <c r="A2679" s="126"/>
      <c r="B2679" s="7"/>
      <c r="C2679" s="7"/>
      <c r="D2679" s="7"/>
      <c r="E2679" s="7"/>
      <c r="F2679" s="7"/>
      <c r="G2679" s="7"/>
      <c r="H2679" s="7"/>
      <c r="I2679" s="7"/>
      <c r="J2679" s="7"/>
      <c r="M2679" s="7"/>
      <c r="N2679" s="7"/>
      <c r="O2679" s="126"/>
      <c r="P2679" s="126"/>
    </row>
    <row r="2680" spans="1:16" ht="15.75" customHeight="1">
      <c r="A2680" s="126"/>
      <c r="B2680" s="7"/>
      <c r="C2680" s="7"/>
      <c r="D2680" s="7"/>
      <c r="E2680" s="7"/>
      <c r="F2680" s="7"/>
      <c r="G2680" s="7"/>
      <c r="H2680" s="7"/>
      <c r="I2680" s="7"/>
      <c r="J2680" s="7"/>
      <c r="M2680" s="7"/>
      <c r="N2680" s="7"/>
      <c r="P2680" s="126"/>
    </row>
    <row r="2681" spans="1:16" ht="15.75" customHeight="1">
      <c r="A2681" s="126"/>
      <c r="B2681" s="7"/>
      <c r="C2681" s="7"/>
      <c r="D2681" s="7"/>
      <c r="E2681" s="7"/>
      <c r="F2681" s="7"/>
      <c r="G2681" s="7"/>
      <c r="H2681" s="7"/>
      <c r="I2681" s="7"/>
      <c r="J2681" s="7"/>
      <c r="M2681" s="7"/>
      <c r="N2681" s="7"/>
      <c r="O2681" s="126"/>
      <c r="P2681" s="126"/>
    </row>
    <row r="2682" spans="1:16" ht="15.75" customHeight="1">
      <c r="A2682" s="126"/>
      <c r="B2682" s="7"/>
      <c r="C2682" s="7"/>
      <c r="D2682" s="7"/>
      <c r="E2682" s="7"/>
      <c r="F2682" s="7"/>
      <c r="G2682" s="7"/>
      <c r="H2682" s="7"/>
      <c r="I2682" s="7"/>
      <c r="J2682" s="7"/>
      <c r="M2682" s="7"/>
      <c r="N2682" s="7"/>
      <c r="P2682" s="126"/>
    </row>
    <row r="2683" spans="1:16" ht="15.75" customHeight="1">
      <c r="A2683" s="126"/>
      <c r="B2683" s="7"/>
      <c r="C2683" s="7"/>
      <c r="D2683" s="7"/>
      <c r="E2683" s="7"/>
      <c r="F2683" s="7"/>
      <c r="G2683" s="7"/>
      <c r="H2683" s="7"/>
      <c r="I2683" s="7"/>
      <c r="M2683" s="7"/>
      <c r="N2683" s="7"/>
      <c r="P2683" s="126"/>
    </row>
    <row r="2684" spans="1:16" ht="15.75" customHeight="1">
      <c r="A2684" s="126"/>
      <c r="B2684" s="7"/>
      <c r="C2684" s="7"/>
      <c r="D2684" s="7"/>
      <c r="E2684" s="7"/>
      <c r="F2684" s="7"/>
      <c r="G2684" s="7"/>
      <c r="H2684" s="7"/>
      <c r="I2684" s="7"/>
      <c r="M2684" s="7"/>
      <c r="N2684" s="7"/>
      <c r="P2684" s="126"/>
    </row>
    <row r="2685" spans="1:16" ht="15.75" customHeight="1">
      <c r="A2685" s="126"/>
      <c r="B2685" s="7"/>
      <c r="C2685" s="7"/>
      <c r="D2685" s="7"/>
      <c r="E2685" s="7"/>
      <c r="F2685" s="7"/>
      <c r="G2685" s="7"/>
      <c r="H2685" s="7"/>
      <c r="I2685" s="7"/>
      <c r="M2685" s="7"/>
      <c r="N2685" s="7"/>
      <c r="P2685" s="126"/>
    </row>
    <row r="2686" spans="1:16" ht="15.75" customHeight="1">
      <c r="A2686" s="126"/>
      <c r="B2686" s="7"/>
      <c r="C2686" s="7"/>
      <c r="D2686" s="7"/>
      <c r="E2686" s="7"/>
      <c r="F2686" s="7"/>
      <c r="G2686" s="7"/>
      <c r="H2686" s="7"/>
      <c r="I2686" s="7"/>
      <c r="J2686" s="7"/>
      <c r="M2686" s="7"/>
      <c r="N2686" s="7"/>
      <c r="P2686" s="126"/>
    </row>
    <row r="2687" spans="1:16" ht="15.75" customHeight="1">
      <c r="A2687" s="126"/>
      <c r="B2687" s="7"/>
      <c r="C2687" s="7"/>
      <c r="D2687" s="7"/>
      <c r="E2687" s="7"/>
      <c r="F2687" s="7"/>
      <c r="G2687" s="7"/>
      <c r="H2687" s="7"/>
      <c r="I2687" s="7"/>
      <c r="M2687" s="7"/>
      <c r="N2687" s="7"/>
      <c r="P2687" s="126"/>
    </row>
    <row r="2688" spans="1:16" ht="15.75" customHeight="1">
      <c r="A2688" s="126"/>
      <c r="B2688" s="7"/>
      <c r="C2688" s="7"/>
      <c r="D2688" s="7"/>
      <c r="E2688" s="7"/>
      <c r="F2688" s="7"/>
      <c r="G2688" s="7"/>
      <c r="H2688" s="7"/>
      <c r="I2688" s="7"/>
      <c r="J2688" s="7"/>
      <c r="M2688" s="7"/>
      <c r="N2688" s="7"/>
      <c r="O2688" s="126"/>
      <c r="P2688" s="126"/>
    </row>
    <row r="2689" spans="1:16" ht="15.75" customHeight="1">
      <c r="A2689" s="126"/>
      <c r="B2689" s="7"/>
      <c r="C2689" s="7"/>
      <c r="D2689" s="7"/>
      <c r="E2689" s="7"/>
      <c r="F2689" s="7"/>
      <c r="G2689" s="7"/>
      <c r="H2689" s="7"/>
      <c r="I2689" s="7"/>
      <c r="J2689" s="7"/>
      <c r="M2689" s="7"/>
      <c r="N2689" s="7"/>
      <c r="P2689" s="126"/>
    </row>
    <row r="2690" spans="1:16" ht="15.75" customHeight="1">
      <c r="A2690" s="126"/>
      <c r="B2690" s="7"/>
      <c r="C2690" s="7"/>
      <c r="D2690" s="7"/>
      <c r="E2690" s="7"/>
      <c r="F2690" s="7"/>
      <c r="G2690" s="7"/>
      <c r="H2690" s="7"/>
      <c r="I2690" s="7"/>
      <c r="J2690" s="7"/>
      <c r="M2690" s="7"/>
      <c r="N2690" s="7"/>
      <c r="O2690" s="126"/>
      <c r="P2690" s="126"/>
    </row>
    <row r="2691" spans="1:16" ht="15.75" customHeight="1">
      <c r="A2691" s="126"/>
      <c r="B2691" s="7"/>
      <c r="C2691" s="7"/>
      <c r="D2691" s="7"/>
      <c r="E2691" s="7"/>
      <c r="F2691" s="7"/>
      <c r="G2691" s="7"/>
      <c r="H2691" s="7"/>
      <c r="I2691" s="7"/>
      <c r="J2691" s="7"/>
      <c r="M2691" s="7"/>
      <c r="N2691" s="7"/>
      <c r="P2691" s="126"/>
    </row>
    <row r="2692" spans="1:16" ht="15.75" customHeight="1">
      <c r="A2692" s="126"/>
      <c r="B2692" s="7"/>
      <c r="C2692" s="7"/>
      <c r="D2692" s="7"/>
      <c r="E2692" s="7"/>
      <c r="F2692" s="7"/>
      <c r="G2692" s="7"/>
      <c r="H2692" s="7"/>
      <c r="I2692" s="7"/>
      <c r="M2692" s="7"/>
      <c r="N2692" s="7"/>
      <c r="P2692" s="126"/>
    </row>
    <row r="2693" spans="1:16" ht="15.75" customHeight="1">
      <c r="A2693" s="126"/>
      <c r="B2693" s="7"/>
      <c r="C2693" s="7"/>
      <c r="D2693" s="7"/>
      <c r="E2693" s="7"/>
      <c r="F2693" s="7"/>
      <c r="G2693" s="7"/>
      <c r="H2693" s="7"/>
      <c r="I2693" s="7"/>
      <c r="M2693" s="7"/>
      <c r="N2693" s="7"/>
      <c r="P2693" s="126"/>
    </row>
    <row r="2694" spans="1:16" ht="15.75" customHeight="1">
      <c r="A2694" s="126"/>
      <c r="B2694" s="7"/>
      <c r="C2694" s="7"/>
      <c r="D2694" s="7"/>
      <c r="E2694" s="7"/>
      <c r="F2694" s="7"/>
      <c r="G2694" s="7"/>
      <c r="H2694" s="7"/>
      <c r="I2694" s="7"/>
      <c r="M2694" s="7"/>
      <c r="N2694" s="7"/>
      <c r="P2694" s="126"/>
    </row>
    <row r="2695" spans="1:16" ht="15.75" customHeight="1">
      <c r="A2695" s="126"/>
      <c r="B2695" s="7"/>
      <c r="C2695" s="7"/>
      <c r="D2695" s="7"/>
      <c r="E2695" s="7"/>
      <c r="F2695" s="7"/>
      <c r="G2695" s="7"/>
      <c r="H2695" s="7"/>
      <c r="I2695" s="7"/>
      <c r="J2695" s="7"/>
      <c r="M2695" s="7"/>
      <c r="N2695" s="7"/>
      <c r="P2695" s="126"/>
    </row>
    <row r="2696" spans="1:16" ht="15.75" customHeight="1">
      <c r="A2696" s="126"/>
      <c r="B2696" s="7"/>
      <c r="C2696" s="7"/>
      <c r="D2696" s="7"/>
      <c r="E2696" s="7"/>
      <c r="F2696" s="7"/>
      <c r="G2696" s="7"/>
      <c r="H2696" s="7"/>
      <c r="I2696" s="7"/>
      <c r="M2696" s="7"/>
      <c r="N2696" s="7"/>
      <c r="P2696" s="126"/>
    </row>
    <row r="2697" spans="1:16" ht="15.75" customHeight="1">
      <c r="A2697" s="126"/>
      <c r="B2697" s="7"/>
      <c r="C2697" s="7"/>
      <c r="D2697" s="7"/>
      <c r="E2697" s="7"/>
      <c r="F2697" s="7"/>
      <c r="G2697" s="7"/>
      <c r="H2697" s="7"/>
      <c r="I2697" s="7"/>
      <c r="J2697" s="7"/>
      <c r="M2697" s="7"/>
      <c r="N2697" s="7"/>
      <c r="P2697" s="126"/>
    </row>
    <row r="2698" spans="1:16" ht="15.75" customHeight="1">
      <c r="A2698" s="126"/>
      <c r="B2698" s="7"/>
      <c r="C2698" s="7"/>
      <c r="D2698" s="7"/>
      <c r="E2698" s="7"/>
      <c r="F2698" s="7"/>
      <c r="G2698" s="7"/>
      <c r="H2698" s="7"/>
      <c r="I2698" s="7"/>
      <c r="J2698" s="7"/>
      <c r="M2698" s="7"/>
      <c r="N2698" s="7"/>
      <c r="P2698" s="126"/>
    </row>
    <row r="2699" spans="1:16" ht="15.75" customHeight="1">
      <c r="A2699" s="126"/>
      <c r="B2699" s="7"/>
      <c r="C2699" s="7"/>
      <c r="D2699" s="7"/>
      <c r="E2699" s="7"/>
      <c r="F2699" s="7"/>
      <c r="G2699" s="7"/>
      <c r="H2699" s="7"/>
      <c r="I2699" s="7"/>
      <c r="J2699" s="7"/>
      <c r="M2699" s="7"/>
      <c r="N2699" s="7"/>
      <c r="O2699" s="126"/>
      <c r="P2699" s="126"/>
    </row>
    <row r="2700" spans="1:16" ht="15.75" customHeight="1">
      <c r="A2700" s="126"/>
      <c r="B2700" s="7"/>
      <c r="C2700" s="7"/>
      <c r="D2700" s="7"/>
      <c r="E2700" s="7"/>
      <c r="F2700" s="7"/>
      <c r="G2700" s="7"/>
      <c r="H2700" s="7"/>
      <c r="I2700" s="7"/>
      <c r="J2700" s="7"/>
      <c r="M2700" s="7"/>
      <c r="N2700" s="7"/>
      <c r="O2700" s="126"/>
      <c r="P2700" s="126"/>
    </row>
    <row r="2701" spans="1:16" ht="15.75" customHeight="1">
      <c r="A2701" s="126"/>
      <c r="B2701" s="7"/>
      <c r="C2701" s="7"/>
      <c r="D2701" s="7"/>
      <c r="E2701" s="7"/>
      <c r="F2701" s="7"/>
      <c r="G2701" s="7"/>
      <c r="H2701" s="7"/>
      <c r="I2701" s="7"/>
      <c r="M2701" s="7"/>
      <c r="N2701" s="7"/>
      <c r="P2701" s="126"/>
    </row>
    <row r="2702" spans="1:16" ht="15.75" customHeight="1">
      <c r="A2702" s="126"/>
      <c r="B2702" s="7"/>
      <c r="C2702" s="7"/>
      <c r="E2702" s="7"/>
      <c r="F2702" s="7"/>
      <c r="G2702" s="7"/>
      <c r="H2702" s="7"/>
      <c r="I2702" s="7"/>
      <c r="M2702" s="7"/>
      <c r="N2702" s="7"/>
      <c r="P2702" s="126"/>
    </row>
    <row r="2703" spans="1:16" ht="15.75" customHeight="1">
      <c r="A2703" s="126"/>
      <c r="B2703" s="7"/>
      <c r="C2703" s="7"/>
      <c r="E2703" s="7"/>
      <c r="F2703" s="7"/>
      <c r="G2703" s="7"/>
      <c r="H2703" s="7"/>
      <c r="I2703" s="7"/>
      <c r="M2703" s="7"/>
      <c r="N2703" s="7"/>
      <c r="P2703" s="126"/>
    </row>
    <row r="2704" spans="1:16" ht="15.75" customHeight="1">
      <c r="A2704" s="126"/>
      <c r="B2704" s="7"/>
      <c r="C2704" s="7"/>
      <c r="E2704" s="7"/>
      <c r="F2704" s="7"/>
      <c r="G2704" s="7"/>
      <c r="H2704" s="7"/>
      <c r="I2704" s="7"/>
      <c r="J2704" s="7"/>
      <c r="M2704" s="7"/>
      <c r="N2704" s="7"/>
      <c r="P2704" s="126"/>
    </row>
    <row r="2705" spans="1:16" ht="15.75" customHeight="1">
      <c r="A2705" s="126"/>
      <c r="B2705" s="7"/>
      <c r="C2705" s="7"/>
      <c r="E2705" s="7"/>
      <c r="F2705" s="7"/>
      <c r="G2705" s="7"/>
      <c r="H2705" s="7"/>
      <c r="I2705" s="7"/>
      <c r="M2705" s="7"/>
      <c r="N2705" s="7"/>
      <c r="P2705" s="126"/>
    </row>
    <row r="2706" spans="1:16" ht="15.75" customHeight="1">
      <c r="A2706" s="126"/>
      <c r="B2706" s="7"/>
      <c r="C2706" s="7"/>
      <c r="E2706" s="7"/>
      <c r="F2706" s="7"/>
      <c r="G2706" s="7"/>
      <c r="H2706" s="7"/>
      <c r="I2706" s="7"/>
      <c r="J2706" s="7"/>
      <c r="M2706" s="7"/>
      <c r="N2706" s="7"/>
      <c r="O2706" s="126"/>
      <c r="P2706" s="126"/>
    </row>
    <row r="2707" spans="1:16" ht="15.75" customHeight="1">
      <c r="A2707" s="126"/>
      <c r="B2707" s="7"/>
      <c r="C2707" s="7"/>
      <c r="E2707" s="7"/>
      <c r="F2707" s="7"/>
      <c r="G2707" s="7"/>
      <c r="H2707" s="7"/>
      <c r="I2707" s="7"/>
      <c r="J2707" s="7"/>
      <c r="M2707" s="7"/>
      <c r="N2707" s="7"/>
      <c r="P2707" s="126"/>
    </row>
    <row r="2708" spans="1:16" ht="15.75" customHeight="1">
      <c r="A2708" s="126"/>
      <c r="B2708" s="7"/>
      <c r="C2708" s="7"/>
      <c r="E2708" s="7"/>
      <c r="F2708" s="7"/>
      <c r="G2708" s="7"/>
      <c r="H2708" s="7"/>
      <c r="I2708" s="7"/>
      <c r="J2708" s="7"/>
      <c r="M2708" s="7"/>
      <c r="N2708" s="7"/>
      <c r="O2708" s="126"/>
      <c r="P2708" s="126"/>
    </row>
    <row r="2709" spans="1:16" ht="15.75" customHeight="1">
      <c r="A2709" s="126"/>
      <c r="B2709" s="7"/>
      <c r="C2709" s="7"/>
      <c r="E2709" s="7"/>
      <c r="F2709" s="7"/>
      <c r="G2709" s="7"/>
      <c r="H2709" s="7"/>
      <c r="I2709" s="7"/>
      <c r="J2709" s="7"/>
      <c r="M2709" s="7"/>
      <c r="N2709" s="7"/>
      <c r="O2709" s="126"/>
      <c r="P2709" s="126"/>
    </row>
    <row r="2710" spans="1:16" ht="15.75" customHeight="1">
      <c r="A2710" s="126"/>
      <c r="B2710" s="7"/>
      <c r="C2710" s="7"/>
      <c r="E2710" s="7"/>
      <c r="F2710" s="7"/>
      <c r="G2710" s="7"/>
      <c r="H2710" s="7"/>
      <c r="I2710" s="7"/>
      <c r="M2710" s="7"/>
      <c r="N2710" s="7"/>
      <c r="P2710" s="126"/>
    </row>
    <row r="2711" spans="1:16" ht="15.75" customHeight="1">
      <c r="A2711" s="126"/>
      <c r="B2711" s="7"/>
      <c r="C2711" s="7"/>
      <c r="E2711" s="7"/>
      <c r="F2711" s="7"/>
      <c r="G2711" s="7"/>
      <c r="H2711" s="7"/>
      <c r="I2711" s="7"/>
      <c r="M2711" s="7"/>
      <c r="N2711" s="7"/>
      <c r="P2711" s="126"/>
    </row>
    <row r="2712" spans="1:16" ht="15.75" customHeight="1">
      <c r="A2712" s="126"/>
      <c r="B2712" s="7"/>
      <c r="C2712" s="7"/>
      <c r="E2712" s="7"/>
      <c r="F2712" s="7"/>
      <c r="G2712" s="7"/>
      <c r="H2712" s="7"/>
      <c r="I2712" s="7"/>
      <c r="M2712" s="7"/>
      <c r="N2712" s="7"/>
      <c r="P2712" s="126"/>
    </row>
    <row r="2713" spans="1:16" ht="15.75" customHeight="1">
      <c r="A2713" s="126"/>
      <c r="B2713" s="7"/>
      <c r="C2713" s="7"/>
      <c r="E2713" s="7"/>
      <c r="F2713" s="7"/>
      <c r="G2713" s="7"/>
      <c r="H2713" s="7"/>
      <c r="I2713" s="7"/>
      <c r="J2713" s="7"/>
      <c r="M2713" s="7"/>
      <c r="N2713" s="7"/>
      <c r="P2713" s="126"/>
    </row>
    <row r="2714" spans="1:16" ht="15.75" customHeight="1">
      <c r="A2714" s="126"/>
      <c r="B2714" s="7"/>
      <c r="C2714" s="7"/>
      <c r="E2714" s="7"/>
      <c r="F2714" s="7"/>
      <c r="G2714" s="7"/>
      <c r="H2714" s="7"/>
      <c r="I2714" s="7"/>
      <c r="M2714" s="7"/>
      <c r="N2714" s="7"/>
      <c r="P2714" s="126"/>
    </row>
    <row r="2715" spans="1:16" ht="15.75" customHeight="1">
      <c r="A2715" s="126"/>
      <c r="B2715" s="7"/>
      <c r="C2715" s="7"/>
      <c r="E2715" s="7"/>
      <c r="F2715" s="7"/>
      <c r="G2715" s="7"/>
      <c r="H2715" s="7"/>
      <c r="I2715" s="7"/>
      <c r="J2715" s="7"/>
      <c r="M2715" s="7"/>
      <c r="N2715" s="7"/>
      <c r="O2715" s="126"/>
      <c r="P2715" s="126"/>
    </row>
    <row r="2716" spans="1:16" ht="15.75" customHeight="1">
      <c r="A2716" s="126"/>
      <c r="B2716" s="7"/>
      <c r="C2716" s="7"/>
      <c r="E2716" s="7"/>
      <c r="F2716" s="7"/>
      <c r="G2716" s="7"/>
      <c r="H2716" s="7"/>
      <c r="I2716" s="7"/>
      <c r="J2716" s="7"/>
      <c r="M2716" s="7"/>
      <c r="N2716" s="7"/>
      <c r="P2716" s="126"/>
    </row>
    <row r="2717" spans="1:16" ht="15.75" customHeight="1">
      <c r="A2717" s="126"/>
      <c r="B2717" s="7"/>
      <c r="C2717" s="7"/>
      <c r="E2717" s="7"/>
      <c r="F2717" s="7"/>
      <c r="G2717" s="7"/>
      <c r="H2717" s="7"/>
      <c r="I2717" s="7"/>
      <c r="J2717" s="7"/>
      <c r="M2717" s="7"/>
      <c r="N2717" s="7"/>
      <c r="O2717" s="126"/>
      <c r="P2717" s="126"/>
    </row>
    <row r="2718" spans="1:16" ht="15.75" customHeight="1">
      <c r="A2718" s="126"/>
      <c r="B2718" s="7"/>
      <c r="C2718" s="7"/>
      <c r="E2718" s="7"/>
      <c r="F2718" s="7"/>
      <c r="G2718" s="7"/>
      <c r="H2718" s="7"/>
      <c r="I2718" s="7"/>
      <c r="J2718" s="7"/>
      <c r="M2718" s="7"/>
      <c r="N2718" s="7"/>
      <c r="O2718" s="126"/>
      <c r="P2718" s="126"/>
    </row>
    <row r="2719" spans="1:16" ht="15.75" customHeight="1">
      <c r="A2719" s="126"/>
      <c r="B2719" s="7"/>
      <c r="C2719" s="7"/>
      <c r="E2719" s="7"/>
      <c r="F2719" s="7"/>
      <c r="G2719" s="7"/>
      <c r="H2719" s="7"/>
      <c r="I2719" s="7"/>
      <c r="M2719" s="7"/>
      <c r="N2719" s="7"/>
      <c r="P2719" s="126"/>
    </row>
    <row r="2720" spans="1:16" ht="15.75" customHeight="1">
      <c r="A2720" s="126"/>
      <c r="B2720" s="7"/>
      <c r="C2720" s="7"/>
      <c r="D2720" s="7"/>
      <c r="E2720" s="7"/>
      <c r="F2720" s="7"/>
      <c r="G2720" s="7"/>
      <c r="H2720" s="7"/>
      <c r="I2720" s="7"/>
      <c r="M2720" s="7"/>
      <c r="N2720" s="7"/>
      <c r="P2720" s="126"/>
    </row>
    <row r="2721" spans="1:16" ht="15.75" customHeight="1">
      <c r="A2721" s="126"/>
      <c r="B2721" s="7"/>
      <c r="C2721" s="7"/>
      <c r="D2721" s="7"/>
      <c r="E2721" s="7"/>
      <c r="F2721" s="7"/>
      <c r="G2721" s="7"/>
      <c r="H2721" s="7"/>
      <c r="I2721" s="7"/>
      <c r="M2721" s="7"/>
      <c r="N2721" s="7"/>
      <c r="P2721" s="126"/>
    </row>
    <row r="2722" spans="1:16" ht="15.75" customHeight="1">
      <c r="A2722" s="126"/>
      <c r="B2722" s="7"/>
      <c r="C2722" s="7"/>
      <c r="D2722" s="7"/>
      <c r="E2722" s="7"/>
      <c r="F2722" s="7"/>
      <c r="G2722" s="7"/>
      <c r="H2722" s="7"/>
      <c r="I2722" s="7"/>
      <c r="J2722" s="7"/>
      <c r="M2722" s="7"/>
      <c r="N2722" s="7"/>
      <c r="P2722" s="126"/>
    </row>
    <row r="2723" spans="1:16" ht="15.75" customHeight="1">
      <c r="A2723" s="126"/>
      <c r="B2723" s="7"/>
      <c r="C2723" s="7"/>
      <c r="D2723" s="7"/>
      <c r="E2723" s="7"/>
      <c r="F2723" s="7"/>
      <c r="G2723" s="7"/>
      <c r="H2723" s="7"/>
      <c r="I2723" s="7"/>
      <c r="M2723" s="7"/>
      <c r="N2723" s="7"/>
      <c r="P2723" s="126"/>
    </row>
    <row r="2724" spans="1:16" ht="15.75" customHeight="1">
      <c r="A2724" s="126"/>
      <c r="B2724" s="7"/>
      <c r="C2724" s="7"/>
      <c r="D2724" s="7"/>
      <c r="E2724" s="7"/>
      <c r="F2724" s="7"/>
      <c r="G2724" s="7"/>
      <c r="H2724" s="7"/>
      <c r="I2724" s="7"/>
      <c r="J2724" s="7"/>
      <c r="M2724" s="7"/>
      <c r="N2724" s="7"/>
      <c r="O2724" s="126"/>
      <c r="P2724" s="126"/>
    </row>
    <row r="2725" spans="1:16" ht="15.75" customHeight="1">
      <c r="A2725" s="126"/>
      <c r="B2725" s="7"/>
      <c r="C2725" s="7"/>
      <c r="D2725" s="7"/>
      <c r="E2725" s="7"/>
      <c r="F2725" s="7"/>
      <c r="G2725" s="7"/>
      <c r="H2725" s="7"/>
      <c r="I2725" s="7"/>
      <c r="J2725" s="7"/>
      <c r="M2725" s="7"/>
      <c r="N2725" s="7"/>
      <c r="P2725" s="126"/>
    </row>
    <row r="2726" spans="1:16" ht="15.75" customHeight="1">
      <c r="A2726" s="126"/>
      <c r="B2726" s="7"/>
      <c r="C2726" s="7"/>
      <c r="D2726" s="7"/>
      <c r="E2726" s="7"/>
      <c r="F2726" s="7"/>
      <c r="G2726" s="7"/>
      <c r="H2726" s="7"/>
      <c r="I2726" s="7"/>
      <c r="J2726" s="7"/>
      <c r="M2726" s="7"/>
      <c r="N2726" s="7"/>
      <c r="O2726" s="126"/>
      <c r="P2726" s="126"/>
    </row>
    <row r="2727" spans="1:16" ht="15.75" customHeight="1">
      <c r="A2727" s="126"/>
      <c r="B2727" s="7"/>
      <c r="C2727" s="7"/>
      <c r="D2727" s="7"/>
      <c r="E2727" s="7"/>
      <c r="F2727" s="7"/>
      <c r="G2727" s="7"/>
      <c r="H2727" s="7"/>
      <c r="I2727" s="7"/>
      <c r="J2727" s="7"/>
      <c r="M2727" s="7"/>
      <c r="N2727" s="7"/>
      <c r="O2727" s="126"/>
      <c r="P2727" s="126"/>
    </row>
    <row r="2728" spans="1:16" ht="15.75" customHeight="1">
      <c r="A2728" s="126"/>
      <c r="B2728" s="7"/>
      <c r="C2728" s="7"/>
      <c r="D2728" s="7"/>
      <c r="E2728" s="7"/>
      <c r="F2728" s="7"/>
      <c r="G2728" s="7"/>
      <c r="H2728" s="7"/>
      <c r="I2728" s="7"/>
      <c r="M2728" s="7"/>
      <c r="N2728" s="7"/>
      <c r="P2728" s="126"/>
    </row>
    <row r="2729" spans="1:16" ht="15.75" customHeight="1">
      <c r="A2729" s="126"/>
      <c r="B2729" s="7"/>
      <c r="C2729" s="7"/>
      <c r="D2729" s="7"/>
      <c r="E2729" s="7"/>
      <c r="F2729" s="7"/>
      <c r="G2729" s="7"/>
      <c r="H2729" s="7"/>
      <c r="I2729" s="7"/>
      <c r="M2729" s="7"/>
      <c r="N2729" s="7"/>
      <c r="P2729" s="126"/>
    </row>
    <row r="2730" spans="1:16" ht="15.75" customHeight="1">
      <c r="A2730" s="126"/>
      <c r="B2730" s="7"/>
      <c r="C2730" s="7"/>
      <c r="D2730" s="7"/>
      <c r="E2730" s="7"/>
      <c r="F2730" s="7"/>
      <c r="G2730" s="7"/>
      <c r="H2730" s="7"/>
      <c r="I2730" s="7"/>
      <c r="M2730" s="7"/>
      <c r="N2730" s="7"/>
      <c r="P2730" s="126"/>
    </row>
    <row r="2731" spans="1:16" ht="15.75" customHeight="1">
      <c r="A2731" s="126"/>
      <c r="B2731" s="7"/>
      <c r="C2731" s="7"/>
      <c r="D2731" s="7"/>
      <c r="E2731" s="7"/>
      <c r="F2731" s="7"/>
      <c r="G2731" s="7"/>
      <c r="H2731" s="7"/>
      <c r="I2731" s="7"/>
      <c r="J2731" s="7"/>
      <c r="M2731" s="7"/>
      <c r="N2731" s="7"/>
      <c r="P2731" s="126"/>
    </row>
    <row r="2732" spans="1:16" ht="15.75" customHeight="1">
      <c r="A2732" s="126"/>
      <c r="B2732" s="7"/>
      <c r="C2732" s="7"/>
      <c r="D2732" s="7"/>
      <c r="E2732" s="7"/>
      <c r="F2732" s="7"/>
      <c r="G2732" s="7"/>
      <c r="H2732" s="7"/>
      <c r="I2732" s="7"/>
      <c r="M2732" s="7"/>
      <c r="N2732" s="7"/>
      <c r="P2732" s="126"/>
    </row>
    <row r="2733" spans="1:16" ht="15.75" customHeight="1">
      <c r="A2733" s="126"/>
      <c r="B2733" s="7"/>
      <c r="C2733" s="7"/>
      <c r="D2733" s="7"/>
      <c r="E2733" s="7"/>
      <c r="F2733" s="7"/>
      <c r="G2733" s="7"/>
      <c r="H2733" s="7"/>
      <c r="I2733" s="7"/>
      <c r="J2733" s="7"/>
      <c r="M2733" s="7"/>
      <c r="N2733" s="7"/>
      <c r="O2733" s="126"/>
      <c r="P2733" s="126"/>
    </row>
    <row r="2734" spans="1:16" ht="15.75" customHeight="1">
      <c r="A2734" s="126"/>
      <c r="B2734" s="7"/>
      <c r="C2734" s="7"/>
      <c r="D2734" s="7"/>
      <c r="E2734" s="7"/>
      <c r="F2734" s="7"/>
      <c r="G2734" s="7"/>
      <c r="H2734" s="7"/>
      <c r="I2734" s="7"/>
      <c r="J2734" s="7"/>
      <c r="M2734" s="7"/>
      <c r="N2734" s="7"/>
      <c r="P2734" s="126"/>
    </row>
    <row r="2735" spans="1:16" ht="15.75" customHeight="1">
      <c r="A2735" s="126"/>
      <c r="B2735" s="7"/>
      <c r="C2735" s="7"/>
      <c r="D2735" s="7"/>
      <c r="E2735" s="7"/>
      <c r="F2735" s="7"/>
      <c r="G2735" s="7"/>
      <c r="H2735" s="7"/>
      <c r="I2735" s="7"/>
      <c r="J2735" s="7"/>
      <c r="M2735" s="7"/>
      <c r="N2735" s="7"/>
      <c r="O2735" s="126"/>
      <c r="P2735" s="126"/>
    </row>
    <row r="2736" spans="1:16" ht="15.75" customHeight="1">
      <c r="A2736" s="126"/>
      <c r="B2736" s="7"/>
      <c r="C2736" s="7"/>
      <c r="D2736" s="7"/>
      <c r="E2736" s="7"/>
      <c r="F2736" s="7"/>
      <c r="G2736" s="7"/>
      <c r="H2736" s="7"/>
      <c r="I2736" s="7"/>
      <c r="J2736" s="7"/>
      <c r="M2736" s="7"/>
      <c r="N2736" s="7"/>
      <c r="O2736" s="126"/>
      <c r="P2736" s="126"/>
    </row>
    <row r="2737" spans="1:16" ht="15.75" customHeight="1">
      <c r="A2737" s="126"/>
      <c r="B2737" s="7"/>
      <c r="C2737" s="7"/>
      <c r="D2737" s="7"/>
      <c r="E2737" s="7"/>
      <c r="F2737" s="7"/>
      <c r="G2737" s="7"/>
      <c r="H2737" s="7"/>
      <c r="I2737" s="7"/>
      <c r="M2737" s="7"/>
      <c r="N2737" s="7"/>
      <c r="P2737" s="126"/>
    </row>
    <row r="2738" spans="1:16" ht="15.75" customHeight="1">
      <c r="A2738" s="126"/>
      <c r="B2738" s="7"/>
      <c r="C2738" s="7"/>
      <c r="D2738" s="7"/>
      <c r="E2738" s="7"/>
      <c r="F2738" s="7"/>
      <c r="G2738" s="7"/>
      <c r="H2738" s="7"/>
      <c r="I2738" s="7"/>
      <c r="M2738" s="7"/>
      <c r="N2738" s="7"/>
      <c r="P2738" s="126"/>
    </row>
    <row r="2739" spans="1:16" ht="15.75" customHeight="1">
      <c r="A2739" s="126"/>
      <c r="B2739" s="7"/>
      <c r="C2739" s="7"/>
      <c r="D2739" s="7"/>
      <c r="E2739" s="7"/>
      <c r="F2739" s="7"/>
      <c r="G2739" s="7"/>
      <c r="H2739" s="7"/>
      <c r="I2739" s="7"/>
      <c r="M2739" s="7"/>
      <c r="N2739" s="7"/>
      <c r="P2739" s="126"/>
    </row>
    <row r="2740" spans="1:16" ht="15.75" customHeight="1">
      <c r="A2740" s="126"/>
      <c r="B2740" s="7"/>
      <c r="C2740" s="7"/>
      <c r="D2740" s="7"/>
      <c r="E2740" s="7"/>
      <c r="F2740" s="7"/>
      <c r="G2740" s="7"/>
      <c r="H2740" s="7"/>
      <c r="I2740" s="7"/>
      <c r="J2740" s="7"/>
      <c r="M2740" s="7"/>
      <c r="N2740" s="7"/>
      <c r="P2740" s="126"/>
    </row>
    <row r="2741" spans="1:16" ht="15.75" customHeight="1">
      <c r="A2741" s="126"/>
      <c r="B2741" s="7"/>
      <c r="C2741" s="7"/>
      <c r="D2741" s="7"/>
      <c r="E2741" s="7"/>
      <c r="F2741" s="7"/>
      <c r="G2741" s="7"/>
      <c r="H2741" s="7"/>
      <c r="I2741" s="7"/>
      <c r="M2741" s="7"/>
      <c r="N2741" s="7"/>
      <c r="P2741" s="126"/>
    </row>
    <row r="2742" spans="1:16" ht="15.75" customHeight="1">
      <c r="A2742" s="126"/>
      <c r="B2742" s="7"/>
      <c r="C2742" s="7"/>
      <c r="D2742" s="7"/>
      <c r="E2742" s="7"/>
      <c r="F2742" s="7"/>
      <c r="G2742" s="7"/>
      <c r="H2742" s="7"/>
      <c r="I2742" s="7"/>
      <c r="J2742" s="7"/>
      <c r="M2742" s="7"/>
      <c r="N2742" s="7"/>
      <c r="O2742" s="126"/>
      <c r="P2742" s="126"/>
    </row>
    <row r="2743" spans="1:16" ht="15.75" customHeight="1">
      <c r="A2743" s="126"/>
      <c r="B2743" s="7"/>
      <c r="C2743" s="7"/>
      <c r="D2743" s="7"/>
      <c r="E2743" s="7"/>
      <c r="F2743" s="7"/>
      <c r="G2743" s="7"/>
      <c r="H2743" s="7"/>
      <c r="I2743" s="7"/>
      <c r="J2743" s="7"/>
      <c r="M2743" s="7"/>
      <c r="N2743" s="7"/>
      <c r="P2743" s="126"/>
    </row>
    <row r="2744" spans="1:16" ht="15.75" customHeight="1">
      <c r="A2744" s="126"/>
      <c r="B2744" s="7"/>
      <c r="C2744" s="7"/>
      <c r="D2744" s="7"/>
      <c r="E2744" s="7"/>
      <c r="F2744" s="7"/>
      <c r="G2744" s="7"/>
      <c r="H2744" s="7"/>
      <c r="I2744" s="7"/>
      <c r="J2744" s="7"/>
      <c r="M2744" s="7"/>
      <c r="N2744" s="7"/>
      <c r="O2744" s="126"/>
      <c r="P2744" s="126"/>
    </row>
    <row r="2745" spans="1:16" ht="15.75" customHeight="1">
      <c r="A2745" s="126"/>
      <c r="B2745" s="7"/>
      <c r="C2745" s="7"/>
      <c r="D2745" s="7"/>
      <c r="E2745" s="7"/>
      <c r="F2745" s="7"/>
      <c r="G2745" s="7"/>
      <c r="H2745" s="7"/>
      <c r="I2745" s="7"/>
      <c r="J2745" s="7"/>
      <c r="M2745" s="7"/>
      <c r="N2745" s="7"/>
      <c r="O2745" s="126"/>
      <c r="P2745" s="126"/>
    </row>
    <row r="2746" spans="1:16" ht="15.75" customHeight="1">
      <c r="A2746" s="126"/>
      <c r="B2746" s="7"/>
      <c r="C2746" s="7"/>
      <c r="D2746" s="7"/>
      <c r="E2746" s="7"/>
      <c r="F2746" s="7"/>
      <c r="G2746" s="7"/>
      <c r="H2746" s="7"/>
      <c r="I2746" s="7"/>
      <c r="M2746" s="7"/>
      <c r="N2746" s="7"/>
      <c r="P2746" s="126"/>
    </row>
    <row r="2747" spans="1:16" ht="15.75" customHeight="1">
      <c r="A2747" s="126"/>
      <c r="B2747" s="7"/>
      <c r="C2747" s="7"/>
      <c r="E2747" s="7"/>
      <c r="F2747" s="7"/>
      <c r="G2747" s="7"/>
      <c r="H2747" s="7"/>
      <c r="I2747" s="7"/>
      <c r="M2747" s="7"/>
      <c r="N2747" s="7"/>
      <c r="P2747" s="126"/>
    </row>
    <row r="2748" spans="1:16" ht="15.75" customHeight="1">
      <c r="A2748" s="126"/>
      <c r="B2748" s="7"/>
      <c r="C2748" s="7"/>
      <c r="E2748" s="7"/>
      <c r="F2748" s="7"/>
      <c r="G2748" s="7"/>
      <c r="H2748" s="7"/>
      <c r="I2748" s="7"/>
      <c r="M2748" s="7"/>
      <c r="N2748" s="7"/>
      <c r="P2748" s="126"/>
    </row>
    <row r="2749" spans="1:16" ht="15.75" customHeight="1">
      <c r="A2749" s="126"/>
      <c r="B2749" s="7"/>
      <c r="C2749" s="7"/>
      <c r="E2749" s="7"/>
      <c r="F2749" s="7"/>
      <c r="G2749" s="7"/>
      <c r="H2749" s="7"/>
      <c r="I2749" s="7"/>
      <c r="J2749" s="7"/>
      <c r="M2749" s="7"/>
      <c r="N2749" s="7"/>
      <c r="P2749" s="126"/>
    </row>
    <row r="2750" spans="1:16" ht="15.75" customHeight="1">
      <c r="A2750" s="126"/>
      <c r="B2750" s="7"/>
      <c r="C2750" s="7"/>
      <c r="E2750" s="7"/>
      <c r="F2750" s="7"/>
      <c r="G2750" s="7"/>
      <c r="H2750" s="7"/>
      <c r="I2750" s="7"/>
      <c r="M2750" s="7"/>
      <c r="N2750" s="7"/>
      <c r="P2750" s="126"/>
    </row>
    <row r="2751" spans="1:16" ht="15.75" customHeight="1">
      <c r="A2751" s="126"/>
      <c r="B2751" s="7"/>
      <c r="C2751" s="7"/>
      <c r="E2751" s="7"/>
      <c r="F2751" s="7"/>
      <c r="G2751" s="7"/>
      <c r="H2751" s="7"/>
      <c r="I2751" s="7"/>
      <c r="J2751" s="7"/>
      <c r="M2751" s="7"/>
      <c r="N2751" s="7"/>
      <c r="O2751" s="126"/>
      <c r="P2751" s="126"/>
    </row>
    <row r="2752" spans="1:16" ht="15.75" customHeight="1">
      <c r="A2752" s="126"/>
      <c r="B2752" s="7"/>
      <c r="C2752" s="7"/>
      <c r="E2752" s="7"/>
      <c r="F2752" s="7"/>
      <c r="G2752" s="7"/>
      <c r="H2752" s="7"/>
      <c r="I2752" s="7"/>
      <c r="J2752" s="7"/>
      <c r="M2752" s="7"/>
      <c r="N2752" s="7"/>
      <c r="P2752" s="126"/>
    </row>
    <row r="2753" spans="1:16" ht="15.75" customHeight="1">
      <c r="A2753" s="126"/>
      <c r="B2753" s="7"/>
      <c r="C2753" s="7"/>
      <c r="E2753" s="7"/>
      <c r="F2753" s="7"/>
      <c r="G2753" s="7"/>
      <c r="H2753" s="7"/>
      <c r="I2753" s="7"/>
      <c r="J2753" s="7"/>
      <c r="M2753" s="7"/>
      <c r="N2753" s="7"/>
      <c r="O2753" s="126"/>
      <c r="P2753" s="126"/>
    </row>
    <row r="2754" spans="1:16" ht="15.75" customHeight="1">
      <c r="A2754" s="126"/>
      <c r="B2754" s="7"/>
      <c r="C2754" s="7"/>
      <c r="E2754" s="7"/>
      <c r="F2754" s="7"/>
      <c r="G2754" s="7"/>
      <c r="H2754" s="7"/>
      <c r="I2754" s="7"/>
      <c r="J2754" s="7"/>
      <c r="M2754" s="7"/>
      <c r="N2754" s="7"/>
      <c r="O2754" s="126"/>
      <c r="P2754" s="126"/>
    </row>
    <row r="2755" spans="1:16" ht="15.75" customHeight="1">
      <c r="A2755" s="126"/>
      <c r="B2755" s="7"/>
      <c r="C2755" s="7"/>
      <c r="E2755" s="7"/>
      <c r="F2755" s="7"/>
      <c r="G2755" s="7"/>
      <c r="H2755" s="7"/>
      <c r="I2755" s="7"/>
      <c r="M2755" s="7"/>
      <c r="N2755" s="7"/>
      <c r="P2755" s="126"/>
    </row>
    <row r="2756" spans="1:16" ht="15.75" customHeight="1">
      <c r="A2756" s="126"/>
      <c r="B2756" s="7"/>
      <c r="C2756" s="7"/>
      <c r="E2756" s="7"/>
      <c r="F2756" s="7"/>
      <c r="G2756" s="7"/>
      <c r="H2756" s="7"/>
      <c r="I2756" s="7"/>
      <c r="M2756" s="7"/>
      <c r="N2756" s="7"/>
      <c r="P2756" s="126"/>
    </row>
    <row r="2757" spans="1:16" ht="15.75" customHeight="1">
      <c r="A2757" s="126"/>
      <c r="B2757" s="7"/>
      <c r="C2757" s="7"/>
      <c r="E2757" s="7"/>
      <c r="F2757" s="7"/>
      <c r="G2757" s="7"/>
      <c r="H2757" s="7"/>
      <c r="I2757" s="7"/>
      <c r="M2757" s="7"/>
      <c r="N2757" s="7"/>
      <c r="P2757" s="126"/>
    </row>
    <row r="2758" spans="1:16" ht="15.75" customHeight="1">
      <c r="A2758" s="126"/>
      <c r="B2758" s="7"/>
      <c r="C2758" s="7"/>
      <c r="E2758" s="7"/>
      <c r="F2758" s="7"/>
      <c r="G2758" s="7"/>
      <c r="H2758" s="7"/>
      <c r="I2758" s="7"/>
      <c r="J2758" s="7"/>
      <c r="M2758" s="7"/>
      <c r="N2758" s="7"/>
      <c r="P2758" s="126"/>
    </row>
    <row r="2759" spans="1:16" ht="15.75" customHeight="1">
      <c r="A2759" s="126"/>
      <c r="B2759" s="7"/>
      <c r="C2759" s="7"/>
      <c r="E2759" s="7"/>
      <c r="F2759" s="7"/>
      <c r="G2759" s="7"/>
      <c r="H2759" s="7"/>
      <c r="I2759" s="7"/>
      <c r="M2759" s="7"/>
      <c r="N2759" s="7"/>
      <c r="P2759" s="126"/>
    </row>
    <row r="2760" spans="1:16" ht="15.75" customHeight="1">
      <c r="A2760" s="126"/>
      <c r="B2760" s="7"/>
      <c r="C2760" s="7"/>
      <c r="E2760" s="7"/>
      <c r="F2760" s="7"/>
      <c r="G2760" s="7"/>
      <c r="H2760" s="7"/>
      <c r="I2760" s="7"/>
      <c r="J2760" s="7"/>
      <c r="M2760" s="7"/>
      <c r="N2760" s="7"/>
      <c r="O2760" s="126"/>
      <c r="P2760" s="126"/>
    </row>
    <row r="2761" spans="1:16" ht="15.75" customHeight="1">
      <c r="A2761" s="126"/>
      <c r="B2761" s="7"/>
      <c r="C2761" s="7"/>
      <c r="E2761" s="7"/>
      <c r="F2761" s="7"/>
      <c r="G2761" s="7"/>
      <c r="H2761" s="7"/>
      <c r="I2761" s="7"/>
      <c r="J2761" s="7"/>
      <c r="M2761" s="7"/>
      <c r="N2761" s="7"/>
      <c r="P2761" s="126"/>
    </row>
    <row r="2762" spans="1:16" ht="15.75" customHeight="1">
      <c r="A2762" s="126"/>
      <c r="B2762" s="7"/>
      <c r="C2762" s="7"/>
      <c r="E2762" s="7"/>
      <c r="F2762" s="7"/>
      <c r="G2762" s="7"/>
      <c r="H2762" s="7"/>
      <c r="I2762" s="7"/>
      <c r="J2762" s="7"/>
      <c r="M2762" s="7"/>
      <c r="N2762" s="7"/>
      <c r="O2762" s="126"/>
      <c r="P2762" s="126"/>
    </row>
    <row r="2763" spans="1:16" ht="15.75" customHeight="1">
      <c r="A2763" s="126"/>
      <c r="B2763" s="7"/>
      <c r="C2763" s="7"/>
      <c r="E2763" s="7"/>
      <c r="F2763" s="7"/>
      <c r="G2763" s="7"/>
      <c r="H2763" s="7"/>
      <c r="I2763" s="7"/>
      <c r="J2763" s="7"/>
      <c r="M2763" s="7"/>
      <c r="N2763" s="7"/>
      <c r="O2763" s="126"/>
      <c r="P2763" s="126"/>
    </row>
    <row r="2764" spans="1:16" ht="15.75" customHeight="1">
      <c r="A2764" s="126"/>
      <c r="B2764" s="7"/>
      <c r="C2764" s="7"/>
      <c r="E2764" s="7"/>
      <c r="F2764" s="7"/>
      <c r="G2764" s="7"/>
      <c r="H2764" s="7"/>
      <c r="I2764" s="7"/>
      <c r="M2764" s="7"/>
      <c r="N2764" s="7"/>
      <c r="P2764" s="126"/>
    </row>
    <row r="2765" spans="1:16" ht="15.75" customHeight="1">
      <c r="A2765" s="126"/>
      <c r="B2765" s="7"/>
      <c r="C2765" s="7"/>
      <c r="E2765" s="7"/>
      <c r="F2765" s="7"/>
      <c r="G2765" s="7"/>
      <c r="H2765" s="7"/>
      <c r="I2765" s="7"/>
      <c r="M2765" s="7"/>
      <c r="N2765" s="7"/>
      <c r="P2765" s="126"/>
    </row>
    <row r="2766" spans="1:16" ht="15.75" customHeight="1">
      <c r="A2766" s="126"/>
      <c r="B2766" s="7"/>
      <c r="C2766" s="7"/>
      <c r="E2766" s="7"/>
      <c r="F2766" s="7"/>
      <c r="G2766" s="7"/>
      <c r="H2766" s="7"/>
      <c r="I2766" s="7"/>
      <c r="M2766" s="7"/>
      <c r="N2766" s="7"/>
      <c r="P2766" s="126"/>
    </row>
    <row r="2767" spans="1:16" ht="15.75" customHeight="1">
      <c r="A2767" s="126"/>
      <c r="B2767" s="7"/>
      <c r="C2767" s="7"/>
      <c r="E2767" s="7"/>
      <c r="F2767" s="7"/>
      <c r="G2767" s="7"/>
      <c r="H2767" s="7"/>
      <c r="I2767" s="7"/>
      <c r="J2767" s="7"/>
      <c r="M2767" s="7"/>
      <c r="N2767" s="7"/>
      <c r="P2767" s="126"/>
    </row>
    <row r="2768" spans="1:16" ht="15.75" customHeight="1">
      <c r="A2768" s="126"/>
      <c r="B2768" s="7"/>
      <c r="C2768" s="7"/>
      <c r="E2768" s="7"/>
      <c r="F2768" s="7"/>
      <c r="G2768" s="7"/>
      <c r="H2768" s="7"/>
      <c r="I2768" s="7"/>
      <c r="M2768" s="7"/>
      <c r="N2768" s="7"/>
      <c r="P2768" s="126"/>
    </row>
    <row r="2769" spans="1:16" ht="15.75" customHeight="1">
      <c r="A2769" s="126"/>
      <c r="B2769" s="7"/>
      <c r="C2769" s="7"/>
      <c r="E2769" s="7"/>
      <c r="F2769" s="7"/>
      <c r="G2769" s="7"/>
      <c r="H2769" s="7"/>
      <c r="I2769" s="7"/>
      <c r="J2769" s="7"/>
      <c r="M2769" s="7"/>
      <c r="N2769" s="7"/>
      <c r="O2769" s="126"/>
      <c r="P2769" s="126"/>
    </row>
    <row r="2770" spans="1:16" ht="15.75" customHeight="1">
      <c r="A2770" s="126"/>
      <c r="B2770" s="7"/>
      <c r="C2770" s="7"/>
      <c r="E2770" s="7"/>
      <c r="F2770" s="7"/>
      <c r="G2770" s="7"/>
      <c r="H2770" s="7"/>
      <c r="I2770" s="7"/>
      <c r="J2770" s="7"/>
      <c r="M2770" s="7"/>
      <c r="N2770" s="7"/>
      <c r="P2770" s="126"/>
    </row>
    <row r="2771" spans="1:16" ht="15.75" customHeight="1">
      <c r="A2771" s="126"/>
      <c r="B2771" s="7"/>
      <c r="C2771" s="7"/>
      <c r="E2771" s="7"/>
      <c r="F2771" s="7"/>
      <c r="G2771" s="7"/>
      <c r="H2771" s="7"/>
      <c r="I2771" s="7"/>
      <c r="J2771" s="7"/>
      <c r="M2771" s="7"/>
      <c r="N2771" s="7"/>
      <c r="O2771" s="126"/>
      <c r="P2771" s="126"/>
    </row>
    <row r="2772" spans="1:16" ht="15.75" customHeight="1">
      <c r="A2772" s="126"/>
      <c r="B2772" s="7"/>
      <c r="C2772" s="7"/>
      <c r="E2772" s="7"/>
      <c r="F2772" s="7"/>
      <c r="G2772" s="7"/>
      <c r="H2772" s="7"/>
      <c r="I2772" s="7"/>
      <c r="J2772" s="7"/>
      <c r="M2772" s="7"/>
      <c r="N2772" s="7"/>
      <c r="O2772" s="126"/>
      <c r="P2772" s="126"/>
    </row>
    <row r="2773" spans="1:16" ht="15.75" customHeight="1">
      <c r="A2773" s="126"/>
      <c r="B2773" s="7"/>
      <c r="C2773" s="7"/>
      <c r="E2773" s="7"/>
      <c r="F2773" s="7"/>
      <c r="G2773" s="7"/>
      <c r="H2773" s="7"/>
      <c r="I2773" s="7"/>
      <c r="M2773" s="7"/>
      <c r="N2773" s="7"/>
      <c r="P2773" s="126"/>
    </row>
    <row r="2774" spans="1:16" ht="15.75" customHeight="1">
      <c r="A2774" s="126"/>
      <c r="B2774" s="7"/>
      <c r="C2774" s="7"/>
      <c r="E2774" s="7"/>
      <c r="F2774" s="7"/>
      <c r="G2774" s="7"/>
      <c r="H2774" s="7"/>
      <c r="I2774" s="7"/>
      <c r="M2774" s="7"/>
      <c r="N2774" s="7"/>
      <c r="P2774" s="126"/>
    </row>
    <row r="2775" spans="1:16" ht="15.75" customHeight="1">
      <c r="A2775" s="126"/>
      <c r="B2775" s="7"/>
      <c r="C2775" s="7"/>
      <c r="E2775" s="7"/>
      <c r="F2775" s="7"/>
      <c r="G2775" s="7"/>
      <c r="H2775" s="7"/>
      <c r="I2775" s="7"/>
      <c r="M2775" s="7"/>
      <c r="N2775" s="7"/>
      <c r="P2775" s="126"/>
    </row>
    <row r="2776" spans="1:16" ht="15.75" customHeight="1">
      <c r="A2776" s="126"/>
      <c r="B2776" s="7"/>
      <c r="C2776" s="7"/>
      <c r="E2776" s="7"/>
      <c r="F2776" s="7"/>
      <c r="G2776" s="7"/>
      <c r="H2776" s="7"/>
      <c r="I2776" s="7"/>
      <c r="J2776" s="7"/>
      <c r="M2776" s="7"/>
      <c r="N2776" s="7"/>
      <c r="P2776" s="126"/>
    </row>
    <row r="2777" spans="1:16" ht="15.75" customHeight="1">
      <c r="A2777" s="126"/>
      <c r="B2777" s="7"/>
      <c r="C2777" s="7"/>
      <c r="E2777" s="7"/>
      <c r="F2777" s="7"/>
      <c r="G2777" s="7"/>
      <c r="H2777" s="7"/>
      <c r="I2777" s="7"/>
      <c r="M2777" s="7"/>
      <c r="N2777" s="7"/>
      <c r="P2777" s="126"/>
    </row>
    <row r="2778" spans="1:16" ht="15.75" customHeight="1">
      <c r="A2778" s="126"/>
      <c r="B2778" s="7"/>
      <c r="C2778" s="7"/>
      <c r="E2778" s="7"/>
      <c r="F2778" s="7"/>
      <c r="G2778" s="7"/>
      <c r="H2778" s="7"/>
      <c r="I2778" s="7"/>
      <c r="J2778" s="7"/>
      <c r="M2778" s="7"/>
      <c r="N2778" s="7"/>
      <c r="O2778" s="126"/>
      <c r="P2778" s="126"/>
    </row>
    <row r="2779" spans="1:16" ht="15.75" customHeight="1">
      <c r="A2779" s="126"/>
      <c r="B2779" s="7"/>
      <c r="C2779" s="7"/>
      <c r="E2779" s="7"/>
      <c r="F2779" s="7"/>
      <c r="G2779" s="7"/>
      <c r="H2779" s="7"/>
      <c r="I2779" s="7"/>
      <c r="J2779" s="7"/>
      <c r="M2779" s="7"/>
      <c r="N2779" s="7"/>
      <c r="P2779" s="126"/>
    </row>
    <row r="2780" spans="1:16" ht="15.75" customHeight="1">
      <c r="A2780" s="126"/>
      <c r="B2780" s="7"/>
      <c r="C2780" s="7"/>
      <c r="E2780" s="7"/>
      <c r="F2780" s="7"/>
      <c r="G2780" s="7"/>
      <c r="H2780" s="7"/>
      <c r="I2780" s="7"/>
      <c r="J2780" s="7"/>
      <c r="M2780" s="7"/>
      <c r="N2780" s="7"/>
      <c r="O2780" s="126"/>
      <c r="P2780" s="126"/>
    </row>
    <row r="2781" spans="1:16" ht="15.75" customHeight="1">
      <c r="A2781" s="126"/>
      <c r="B2781" s="7"/>
      <c r="C2781" s="7"/>
      <c r="E2781" s="7"/>
      <c r="F2781" s="7"/>
      <c r="G2781" s="7"/>
      <c r="H2781" s="7"/>
      <c r="I2781" s="7"/>
      <c r="J2781" s="7"/>
      <c r="M2781" s="7"/>
      <c r="N2781" s="7"/>
      <c r="O2781" s="126"/>
      <c r="P2781" s="126"/>
    </row>
    <row r="2782" spans="1:16" ht="15.75" customHeight="1">
      <c r="A2782" s="126"/>
      <c r="B2782" s="7"/>
      <c r="C2782" s="7"/>
      <c r="E2782" s="7"/>
      <c r="F2782" s="7"/>
      <c r="G2782" s="7"/>
      <c r="H2782" s="7"/>
      <c r="I2782" s="7"/>
      <c r="M2782" s="7"/>
      <c r="N2782" s="7"/>
      <c r="P2782" s="126"/>
    </row>
    <row r="2783" spans="1:16" ht="15.75" customHeight="1">
      <c r="A2783" s="126"/>
      <c r="B2783" s="7"/>
      <c r="C2783" s="7"/>
      <c r="E2783" s="7"/>
      <c r="F2783" s="7"/>
      <c r="G2783" s="7"/>
      <c r="H2783" s="7"/>
      <c r="I2783" s="7"/>
      <c r="M2783" s="7"/>
      <c r="N2783" s="7"/>
      <c r="P2783" s="126"/>
    </row>
    <row r="2784" spans="1:16" ht="15.75" customHeight="1">
      <c r="A2784" s="126"/>
      <c r="B2784" s="7"/>
      <c r="C2784" s="7"/>
      <c r="E2784" s="7"/>
      <c r="F2784" s="7"/>
      <c r="G2784" s="7"/>
      <c r="H2784" s="7"/>
      <c r="I2784" s="7"/>
      <c r="M2784" s="7"/>
      <c r="N2784" s="7"/>
      <c r="P2784" s="126"/>
    </row>
    <row r="2785" spans="1:16" ht="15.75" customHeight="1">
      <c r="A2785" s="126"/>
      <c r="B2785" s="7"/>
      <c r="C2785" s="7"/>
      <c r="E2785" s="7"/>
      <c r="F2785" s="7"/>
      <c r="G2785" s="7"/>
      <c r="H2785" s="7"/>
      <c r="I2785" s="7"/>
      <c r="J2785" s="7"/>
      <c r="M2785" s="7"/>
      <c r="N2785" s="7"/>
      <c r="P2785" s="126"/>
    </row>
    <row r="2786" spans="1:16" ht="15.75" customHeight="1">
      <c r="A2786" s="126"/>
      <c r="B2786" s="7"/>
      <c r="C2786" s="7"/>
      <c r="E2786" s="7"/>
      <c r="F2786" s="7"/>
      <c r="G2786" s="7"/>
      <c r="H2786" s="7"/>
      <c r="I2786" s="7"/>
      <c r="M2786" s="7"/>
      <c r="N2786" s="7"/>
      <c r="P2786" s="126"/>
    </row>
    <row r="2787" spans="1:16" ht="15.75" customHeight="1">
      <c r="A2787" s="126"/>
      <c r="B2787" s="7"/>
      <c r="C2787" s="7"/>
      <c r="E2787" s="7"/>
      <c r="F2787" s="7"/>
      <c r="G2787" s="7"/>
      <c r="H2787" s="7"/>
      <c r="I2787" s="7"/>
      <c r="J2787" s="7"/>
      <c r="M2787" s="7"/>
      <c r="N2787" s="7"/>
      <c r="O2787" s="126"/>
      <c r="P2787" s="126"/>
    </row>
    <row r="2788" spans="1:16" ht="15.75" customHeight="1">
      <c r="A2788" s="126"/>
      <c r="B2788" s="7"/>
      <c r="C2788" s="7"/>
      <c r="E2788" s="7"/>
      <c r="F2788" s="7"/>
      <c r="G2788" s="7"/>
      <c r="H2788" s="7"/>
      <c r="I2788" s="7"/>
      <c r="J2788" s="7"/>
      <c r="M2788" s="7"/>
      <c r="N2788" s="7"/>
      <c r="P2788" s="126"/>
    </row>
    <row r="2789" spans="1:16" ht="15.75" customHeight="1">
      <c r="A2789" s="126"/>
      <c r="B2789" s="7"/>
      <c r="C2789" s="7"/>
      <c r="E2789" s="7"/>
      <c r="F2789" s="7"/>
      <c r="G2789" s="7"/>
      <c r="H2789" s="7"/>
      <c r="I2789" s="7"/>
      <c r="J2789" s="7"/>
      <c r="M2789" s="7"/>
      <c r="N2789" s="7"/>
      <c r="O2789" s="126"/>
      <c r="P2789" s="126"/>
    </row>
    <row r="2790" spans="1:16" ht="15.75" customHeight="1">
      <c r="A2790" s="126"/>
      <c r="B2790" s="7"/>
      <c r="C2790" s="7"/>
      <c r="E2790" s="7"/>
      <c r="F2790" s="7"/>
      <c r="G2790" s="7"/>
      <c r="H2790" s="7"/>
      <c r="I2790" s="7"/>
      <c r="J2790" s="7"/>
      <c r="M2790" s="7"/>
      <c r="N2790" s="7"/>
      <c r="O2790" s="126"/>
      <c r="P2790" s="126"/>
    </row>
    <row r="2791" spans="1:16" ht="15.75" customHeight="1">
      <c r="A2791" s="126"/>
      <c r="B2791" s="7"/>
      <c r="C2791" s="7"/>
      <c r="E2791" s="7"/>
      <c r="F2791" s="7"/>
      <c r="G2791" s="7"/>
      <c r="H2791" s="7"/>
      <c r="I2791" s="7"/>
      <c r="M2791" s="7"/>
      <c r="N2791" s="7"/>
      <c r="P2791" s="126"/>
    </row>
    <row r="2792" spans="1:16" ht="15.75" customHeight="1">
      <c r="A2792" s="126"/>
      <c r="B2792" s="7"/>
      <c r="C2792" s="7"/>
      <c r="E2792" s="7"/>
      <c r="F2792" s="7"/>
      <c r="G2792" s="7"/>
      <c r="H2792" s="7"/>
      <c r="I2792" s="7"/>
      <c r="M2792" s="7"/>
      <c r="N2792" s="7"/>
      <c r="P2792" s="126"/>
    </row>
    <row r="2793" spans="1:16" ht="15.75" customHeight="1">
      <c r="A2793" s="126"/>
      <c r="B2793" s="7"/>
      <c r="C2793" s="7"/>
      <c r="E2793" s="7"/>
      <c r="F2793" s="7"/>
      <c r="G2793" s="7"/>
      <c r="H2793" s="7"/>
      <c r="I2793" s="7"/>
      <c r="M2793" s="7"/>
      <c r="N2793" s="7"/>
      <c r="P2793" s="126"/>
    </row>
    <row r="2794" spans="1:16" ht="15.75" customHeight="1">
      <c r="A2794" s="126"/>
      <c r="B2794" s="7"/>
      <c r="C2794" s="7"/>
      <c r="E2794" s="7"/>
      <c r="F2794" s="7"/>
      <c r="G2794" s="7"/>
      <c r="H2794" s="7"/>
      <c r="I2794" s="7"/>
      <c r="J2794" s="7"/>
      <c r="M2794" s="7"/>
      <c r="N2794" s="7"/>
      <c r="P2794" s="126"/>
    </row>
    <row r="2795" spans="1:16" ht="15.75" customHeight="1">
      <c r="A2795" s="126"/>
      <c r="B2795" s="7"/>
      <c r="C2795" s="7"/>
      <c r="E2795" s="7"/>
      <c r="F2795" s="7"/>
      <c r="G2795" s="7"/>
      <c r="H2795" s="7"/>
      <c r="I2795" s="7"/>
      <c r="M2795" s="7"/>
      <c r="N2795" s="7"/>
      <c r="P2795" s="126"/>
    </row>
    <row r="2796" spans="1:16" ht="15.75" customHeight="1">
      <c r="A2796" s="126"/>
      <c r="B2796" s="7"/>
      <c r="C2796" s="7"/>
      <c r="E2796" s="7"/>
      <c r="F2796" s="7"/>
      <c r="G2796" s="7"/>
      <c r="H2796" s="7"/>
      <c r="I2796" s="7"/>
      <c r="J2796" s="7"/>
      <c r="M2796" s="7"/>
      <c r="N2796" s="7"/>
      <c r="O2796" s="126"/>
      <c r="P2796" s="126"/>
    </row>
    <row r="2797" spans="1:16" ht="15.75" customHeight="1">
      <c r="A2797" s="126"/>
      <c r="B2797" s="7"/>
      <c r="C2797" s="7"/>
      <c r="E2797" s="7"/>
      <c r="F2797" s="7"/>
      <c r="G2797" s="7"/>
      <c r="H2797" s="7"/>
      <c r="I2797" s="7"/>
      <c r="J2797" s="7"/>
      <c r="M2797" s="7"/>
      <c r="N2797" s="7"/>
      <c r="P2797" s="126"/>
    </row>
    <row r="2798" spans="1:16" ht="15.75" customHeight="1">
      <c r="A2798" s="126"/>
      <c r="B2798" s="7"/>
      <c r="C2798" s="7"/>
      <c r="E2798" s="7"/>
      <c r="F2798" s="7"/>
      <c r="G2798" s="7"/>
      <c r="H2798" s="7"/>
      <c r="I2798" s="7"/>
      <c r="J2798" s="7"/>
      <c r="M2798" s="7"/>
      <c r="N2798" s="7"/>
      <c r="O2798" s="126"/>
      <c r="P2798" s="126"/>
    </row>
    <row r="2799" spans="1:16" ht="15.75" customHeight="1">
      <c r="A2799" s="126"/>
      <c r="B2799" s="7"/>
      <c r="C2799" s="7"/>
      <c r="E2799" s="7"/>
      <c r="F2799" s="7"/>
      <c r="G2799" s="7"/>
      <c r="H2799" s="7"/>
      <c r="I2799" s="7"/>
      <c r="J2799" s="7"/>
      <c r="M2799" s="7"/>
      <c r="N2799" s="7"/>
      <c r="O2799" s="126"/>
      <c r="P2799" s="126"/>
    </row>
    <row r="2800" spans="1:16" ht="15.75" customHeight="1">
      <c r="A2800" s="126"/>
      <c r="B2800" s="7"/>
      <c r="C2800" s="7"/>
      <c r="E2800" s="7"/>
      <c r="F2800" s="7"/>
      <c r="G2800" s="7"/>
      <c r="H2800" s="7"/>
      <c r="I2800" s="7"/>
      <c r="M2800" s="7"/>
      <c r="N2800" s="7"/>
      <c r="P2800" s="126"/>
    </row>
    <row r="2801" spans="1:16" ht="15.75" customHeight="1">
      <c r="A2801" s="126"/>
      <c r="B2801" s="7"/>
      <c r="C2801" s="7"/>
      <c r="E2801" s="7"/>
      <c r="F2801" s="7"/>
      <c r="G2801" s="7"/>
      <c r="H2801" s="7"/>
      <c r="I2801" s="7"/>
      <c r="M2801" s="7"/>
      <c r="N2801" s="7"/>
      <c r="P2801" s="126"/>
    </row>
    <row r="2802" spans="1:16" ht="15.75" customHeight="1">
      <c r="A2802" s="126"/>
      <c r="B2802" s="7"/>
      <c r="C2802" s="7"/>
      <c r="E2802" s="7"/>
      <c r="F2802" s="7"/>
      <c r="G2802" s="7"/>
      <c r="H2802" s="7"/>
      <c r="I2802" s="7"/>
      <c r="M2802" s="7"/>
      <c r="N2802" s="7"/>
      <c r="P2802" s="126"/>
    </row>
    <row r="2803" spans="1:16" ht="15.75" customHeight="1">
      <c r="A2803" s="126"/>
      <c r="B2803" s="7"/>
      <c r="C2803" s="7"/>
      <c r="E2803" s="7"/>
      <c r="F2803" s="7"/>
      <c r="G2803" s="7"/>
      <c r="H2803" s="7"/>
      <c r="I2803" s="7"/>
      <c r="J2803" s="7"/>
      <c r="M2803" s="7"/>
      <c r="N2803" s="7"/>
      <c r="P2803" s="126"/>
    </row>
    <row r="2804" spans="1:16" ht="15.75" customHeight="1">
      <c r="A2804" s="126"/>
      <c r="B2804" s="7"/>
      <c r="C2804" s="7"/>
      <c r="E2804" s="7"/>
      <c r="F2804" s="7"/>
      <c r="G2804" s="7"/>
      <c r="H2804" s="7"/>
      <c r="I2804" s="7"/>
      <c r="M2804" s="7"/>
      <c r="N2804" s="7"/>
      <c r="P2804" s="126"/>
    </row>
    <row r="2805" spans="1:16" ht="15.75" customHeight="1">
      <c r="A2805" s="126"/>
      <c r="B2805" s="7"/>
      <c r="C2805" s="7"/>
      <c r="E2805" s="7"/>
      <c r="F2805" s="7"/>
      <c r="G2805" s="7"/>
      <c r="H2805" s="7"/>
      <c r="I2805" s="7"/>
      <c r="J2805" s="7"/>
      <c r="M2805" s="7"/>
      <c r="N2805" s="7"/>
      <c r="O2805" s="126"/>
      <c r="P2805" s="126"/>
    </row>
    <row r="2806" spans="1:16" ht="15.75" customHeight="1">
      <c r="A2806" s="126"/>
      <c r="B2806" s="7"/>
      <c r="C2806" s="7"/>
      <c r="E2806" s="7"/>
      <c r="F2806" s="7"/>
      <c r="G2806" s="7"/>
      <c r="H2806" s="7"/>
      <c r="I2806" s="7"/>
      <c r="J2806" s="7"/>
      <c r="M2806" s="7"/>
      <c r="N2806" s="7"/>
      <c r="P2806" s="126"/>
    </row>
    <row r="2807" spans="1:16" ht="15.75" customHeight="1">
      <c r="A2807" s="126"/>
      <c r="B2807" s="7"/>
      <c r="C2807" s="7"/>
      <c r="E2807" s="7"/>
      <c r="F2807" s="7"/>
      <c r="G2807" s="7"/>
      <c r="H2807" s="7"/>
      <c r="I2807" s="7"/>
      <c r="J2807" s="7"/>
      <c r="M2807" s="7"/>
      <c r="N2807" s="7"/>
      <c r="O2807" s="126"/>
      <c r="P2807" s="126"/>
    </row>
    <row r="2808" spans="1:16" ht="15.75" customHeight="1">
      <c r="A2808" s="126"/>
      <c r="B2808" s="7"/>
      <c r="C2808" s="7"/>
      <c r="E2808" s="7"/>
      <c r="F2808" s="7"/>
      <c r="G2808" s="7"/>
      <c r="H2808" s="7"/>
      <c r="I2808" s="7"/>
      <c r="J2808" s="7"/>
      <c r="M2808" s="7"/>
      <c r="N2808" s="7"/>
      <c r="O2808" s="126"/>
      <c r="P2808" s="126"/>
    </row>
    <row r="2809" spans="1:16" ht="15.75" customHeight="1">
      <c r="A2809" s="126"/>
      <c r="B2809" s="7"/>
      <c r="C2809" s="7"/>
      <c r="E2809" s="7"/>
      <c r="F2809" s="7"/>
      <c r="G2809" s="7"/>
      <c r="H2809" s="7"/>
      <c r="I2809" s="7"/>
      <c r="M2809" s="7"/>
      <c r="N2809" s="7"/>
      <c r="P2809" s="126"/>
    </row>
    <row r="2810" spans="1:16" ht="15.75" customHeight="1">
      <c r="A2810" s="126"/>
      <c r="B2810" s="7"/>
      <c r="C2810" s="7"/>
      <c r="E2810" s="7"/>
      <c r="F2810" s="7"/>
      <c r="G2810" s="7"/>
      <c r="H2810" s="7"/>
      <c r="I2810" s="7"/>
      <c r="M2810" s="7"/>
      <c r="N2810" s="7"/>
      <c r="P2810" s="126"/>
    </row>
    <row r="2811" spans="1:16" ht="15.75" customHeight="1">
      <c r="A2811" s="126"/>
      <c r="B2811" s="7"/>
      <c r="C2811" s="7"/>
      <c r="E2811" s="7"/>
      <c r="F2811" s="7"/>
      <c r="G2811" s="7"/>
      <c r="H2811" s="7"/>
      <c r="I2811" s="7"/>
      <c r="M2811" s="7"/>
      <c r="N2811" s="7"/>
      <c r="P2811" s="126"/>
    </row>
    <row r="2812" spans="1:16" ht="15.75" customHeight="1">
      <c r="A2812" s="126"/>
      <c r="B2812" s="7"/>
      <c r="C2812" s="7"/>
      <c r="E2812" s="7"/>
      <c r="F2812" s="7"/>
      <c r="G2812" s="7"/>
      <c r="H2812" s="7"/>
      <c r="I2812" s="7"/>
      <c r="J2812" s="7"/>
      <c r="M2812" s="7"/>
      <c r="N2812" s="7"/>
      <c r="P2812" s="126"/>
    </row>
    <row r="2813" spans="1:16" ht="15.75" customHeight="1">
      <c r="A2813" s="126"/>
      <c r="B2813" s="7"/>
      <c r="C2813" s="7"/>
      <c r="E2813" s="7"/>
      <c r="F2813" s="7"/>
      <c r="G2813" s="7"/>
      <c r="H2813" s="7"/>
      <c r="I2813" s="7"/>
      <c r="M2813" s="7"/>
      <c r="N2813" s="7"/>
      <c r="P2813" s="126"/>
    </row>
    <row r="2814" spans="1:16" ht="15.75" customHeight="1">
      <c r="A2814" s="126"/>
      <c r="B2814" s="7"/>
      <c r="C2814" s="7"/>
      <c r="E2814" s="7"/>
      <c r="F2814" s="7"/>
      <c r="G2814" s="7"/>
      <c r="H2814" s="7"/>
      <c r="I2814" s="7"/>
      <c r="J2814" s="7"/>
      <c r="M2814" s="7"/>
      <c r="N2814" s="7"/>
      <c r="O2814" s="126"/>
      <c r="P2814" s="126"/>
    </row>
    <row r="2815" spans="1:16" ht="15.75" customHeight="1">
      <c r="A2815" s="126"/>
      <c r="B2815" s="7"/>
      <c r="C2815" s="7"/>
      <c r="E2815" s="7"/>
      <c r="F2815" s="7"/>
      <c r="G2815" s="7"/>
      <c r="H2815" s="7"/>
      <c r="I2815" s="7"/>
      <c r="J2815" s="7"/>
      <c r="M2815" s="7"/>
      <c r="N2815" s="7"/>
      <c r="P2815" s="126"/>
    </row>
    <row r="2816" spans="1:16" ht="15.75" customHeight="1">
      <c r="A2816" s="126"/>
      <c r="B2816" s="7"/>
      <c r="C2816" s="7"/>
      <c r="E2816" s="7"/>
      <c r="F2816" s="7"/>
      <c r="G2816" s="7"/>
      <c r="H2816" s="7"/>
      <c r="I2816" s="7"/>
      <c r="J2816" s="7"/>
      <c r="M2816" s="7"/>
      <c r="N2816" s="7"/>
      <c r="O2816" s="126"/>
      <c r="P2816" s="126"/>
    </row>
    <row r="2817" spans="1:16" ht="15.75" customHeight="1">
      <c r="A2817" s="126"/>
      <c r="B2817" s="7"/>
      <c r="C2817" s="7"/>
      <c r="E2817" s="7"/>
      <c r="F2817" s="7"/>
      <c r="G2817" s="7"/>
      <c r="H2817" s="7"/>
      <c r="I2817" s="7"/>
      <c r="J2817" s="7"/>
      <c r="M2817" s="7"/>
      <c r="N2817" s="7"/>
      <c r="O2817" s="126"/>
      <c r="P2817" s="126"/>
    </row>
    <row r="2818" spans="1:16" ht="15.75" customHeight="1">
      <c r="A2818" s="126"/>
      <c r="B2818" s="7"/>
      <c r="C2818" s="7"/>
      <c r="E2818" s="7"/>
      <c r="F2818" s="7"/>
      <c r="G2818" s="7"/>
      <c r="H2818" s="7"/>
      <c r="I2818" s="7"/>
      <c r="M2818" s="7"/>
      <c r="N2818" s="7"/>
      <c r="P2818" s="126"/>
    </row>
    <row r="2819" spans="1:16" ht="15.75" customHeight="1">
      <c r="A2819" s="126"/>
      <c r="B2819" s="7"/>
      <c r="C2819" s="7"/>
      <c r="E2819" s="7"/>
      <c r="F2819" s="7"/>
      <c r="G2819" s="7"/>
      <c r="H2819" s="7"/>
      <c r="I2819" s="7"/>
      <c r="M2819" s="7"/>
      <c r="N2819" s="7"/>
      <c r="P2819" s="126"/>
    </row>
    <row r="2820" spans="1:16" ht="15.75" customHeight="1">
      <c r="A2820" s="126"/>
      <c r="B2820" s="7"/>
      <c r="C2820" s="7"/>
      <c r="E2820" s="7"/>
      <c r="F2820" s="7"/>
      <c r="G2820" s="7"/>
      <c r="H2820" s="7"/>
      <c r="I2820" s="7"/>
      <c r="M2820" s="7"/>
      <c r="N2820" s="7"/>
      <c r="P2820" s="126"/>
    </row>
    <row r="2821" spans="1:16" ht="15.75" customHeight="1">
      <c r="A2821" s="126"/>
      <c r="B2821" s="7"/>
      <c r="C2821" s="7"/>
      <c r="E2821" s="7"/>
      <c r="F2821" s="7"/>
      <c r="G2821" s="7"/>
      <c r="H2821" s="7"/>
      <c r="I2821" s="7"/>
      <c r="J2821" s="7"/>
      <c r="M2821" s="7"/>
      <c r="N2821" s="7"/>
      <c r="P2821" s="126"/>
    </row>
    <row r="2822" spans="1:16" ht="15.75" customHeight="1">
      <c r="A2822" s="126"/>
      <c r="B2822" s="7"/>
      <c r="C2822" s="7"/>
      <c r="E2822" s="7"/>
      <c r="F2822" s="7"/>
      <c r="G2822" s="7"/>
      <c r="H2822" s="7"/>
      <c r="I2822" s="7"/>
      <c r="M2822" s="7"/>
      <c r="N2822" s="7"/>
      <c r="P2822" s="126"/>
    </row>
    <row r="2823" spans="1:16" ht="15.75" customHeight="1">
      <c r="A2823" s="126"/>
      <c r="B2823" s="7"/>
      <c r="C2823" s="7"/>
      <c r="E2823" s="7"/>
      <c r="F2823" s="7"/>
      <c r="G2823" s="7"/>
      <c r="H2823" s="7"/>
      <c r="I2823" s="7"/>
      <c r="J2823" s="7"/>
      <c r="M2823" s="7"/>
      <c r="N2823" s="7"/>
      <c r="O2823" s="126"/>
      <c r="P2823" s="126"/>
    </row>
    <row r="2824" spans="1:16" ht="15.75" customHeight="1">
      <c r="A2824" s="126"/>
      <c r="B2824" s="7"/>
      <c r="C2824" s="7"/>
      <c r="E2824" s="7"/>
      <c r="F2824" s="7"/>
      <c r="G2824" s="7"/>
      <c r="H2824" s="7"/>
      <c r="I2824" s="7"/>
      <c r="J2824" s="7"/>
      <c r="M2824" s="7"/>
      <c r="N2824" s="7"/>
      <c r="P2824" s="126"/>
    </row>
    <row r="2825" spans="1:16" ht="15.75" customHeight="1">
      <c r="A2825" s="126"/>
      <c r="B2825" s="7"/>
      <c r="C2825" s="7"/>
      <c r="E2825" s="7"/>
      <c r="F2825" s="7"/>
      <c r="G2825" s="7"/>
      <c r="H2825" s="7"/>
      <c r="I2825" s="7"/>
      <c r="J2825" s="7"/>
      <c r="M2825" s="7"/>
      <c r="N2825" s="7"/>
      <c r="O2825" s="126"/>
      <c r="P2825" s="126"/>
    </row>
    <row r="2826" spans="1:16" ht="15.75" customHeight="1">
      <c r="A2826" s="126"/>
      <c r="B2826" s="7"/>
      <c r="C2826" s="7"/>
      <c r="E2826" s="7"/>
      <c r="F2826" s="7"/>
      <c r="G2826" s="7"/>
      <c r="H2826" s="7"/>
      <c r="I2826" s="7"/>
      <c r="J2826" s="7"/>
      <c r="M2826" s="7"/>
      <c r="N2826" s="7"/>
      <c r="O2826" s="126"/>
      <c r="P2826" s="126"/>
    </row>
    <row r="2827" spans="1:16" ht="15.75" customHeight="1">
      <c r="A2827" s="126"/>
      <c r="B2827" s="7"/>
      <c r="C2827" s="7"/>
      <c r="E2827" s="7"/>
      <c r="F2827" s="7"/>
      <c r="G2827" s="7"/>
      <c r="H2827" s="7"/>
      <c r="I2827" s="7"/>
      <c r="M2827" s="7"/>
      <c r="N2827" s="7"/>
      <c r="P2827" s="126"/>
    </row>
    <row r="2828" spans="1:16" ht="15.75" customHeight="1">
      <c r="A2828" s="126"/>
      <c r="B2828" s="7"/>
      <c r="C2828" s="7"/>
      <c r="E2828" s="7"/>
      <c r="F2828" s="7"/>
      <c r="G2828" s="7"/>
      <c r="H2828" s="7"/>
      <c r="I2828" s="7"/>
      <c r="M2828" s="7"/>
      <c r="N2828" s="7"/>
      <c r="P2828" s="126"/>
    </row>
    <row r="2829" spans="1:16" ht="15.75" customHeight="1">
      <c r="A2829" s="126"/>
      <c r="B2829" s="7"/>
      <c r="C2829" s="7"/>
      <c r="E2829" s="7"/>
      <c r="F2829" s="7"/>
      <c r="G2829" s="7"/>
      <c r="H2829" s="7"/>
      <c r="I2829" s="7"/>
      <c r="M2829" s="7"/>
      <c r="N2829" s="7"/>
      <c r="P2829" s="126"/>
    </row>
    <row r="2830" spans="1:16" ht="15.75" customHeight="1">
      <c r="A2830" s="126"/>
      <c r="B2830" s="7"/>
      <c r="C2830" s="7"/>
      <c r="E2830" s="7"/>
      <c r="F2830" s="7"/>
      <c r="G2830" s="7"/>
      <c r="H2830" s="7"/>
      <c r="I2830" s="7"/>
      <c r="J2830" s="7"/>
      <c r="M2830" s="7"/>
      <c r="N2830" s="7"/>
      <c r="P2830" s="126"/>
    </row>
    <row r="2831" spans="1:16" ht="15.75" customHeight="1">
      <c r="A2831" s="126"/>
      <c r="B2831" s="7"/>
      <c r="C2831" s="7"/>
      <c r="E2831" s="7"/>
      <c r="F2831" s="7"/>
      <c r="G2831" s="7"/>
      <c r="H2831" s="7"/>
      <c r="I2831" s="7"/>
      <c r="M2831" s="7"/>
      <c r="N2831" s="7"/>
      <c r="P2831" s="126"/>
    </row>
    <row r="2832" spans="1:16" ht="15.75" customHeight="1">
      <c r="A2832" s="126"/>
      <c r="B2832" s="7"/>
      <c r="C2832" s="7"/>
      <c r="E2832" s="7"/>
      <c r="F2832" s="7"/>
      <c r="G2832" s="7"/>
      <c r="H2832" s="7"/>
      <c r="I2832" s="7"/>
      <c r="J2832" s="7"/>
      <c r="M2832" s="7"/>
      <c r="N2832" s="7"/>
      <c r="O2832" s="126"/>
      <c r="P2832" s="126"/>
    </row>
    <row r="2833" spans="1:16" ht="15.75" customHeight="1">
      <c r="A2833" s="126"/>
      <c r="B2833" s="7"/>
      <c r="C2833" s="7"/>
      <c r="E2833" s="7"/>
      <c r="F2833" s="7"/>
      <c r="G2833" s="7"/>
      <c r="H2833" s="7"/>
      <c r="I2833" s="7"/>
      <c r="J2833" s="7"/>
      <c r="M2833" s="7"/>
      <c r="N2833" s="7"/>
      <c r="P2833" s="126"/>
    </row>
    <row r="2834" spans="1:16" ht="15.75" customHeight="1">
      <c r="A2834" s="126"/>
      <c r="B2834" s="7"/>
      <c r="C2834" s="7"/>
      <c r="E2834" s="7"/>
      <c r="F2834" s="7"/>
      <c r="G2834" s="7"/>
      <c r="H2834" s="7"/>
      <c r="I2834" s="7"/>
      <c r="J2834" s="7"/>
      <c r="M2834" s="7"/>
      <c r="N2834" s="7"/>
      <c r="O2834" s="126"/>
      <c r="P2834" s="126"/>
    </row>
    <row r="2835" spans="1:16" ht="15.75" customHeight="1">
      <c r="A2835" s="126"/>
      <c r="B2835" s="7"/>
      <c r="C2835" s="7"/>
      <c r="E2835" s="7"/>
      <c r="F2835" s="7"/>
      <c r="G2835" s="7"/>
      <c r="H2835" s="7"/>
      <c r="I2835" s="7"/>
      <c r="J2835" s="7"/>
      <c r="M2835" s="7"/>
      <c r="N2835" s="7"/>
      <c r="O2835" s="126"/>
      <c r="P2835" s="126"/>
    </row>
    <row r="2836" spans="1:16" ht="15.75" customHeight="1">
      <c r="A2836" s="126"/>
      <c r="B2836" s="7"/>
      <c r="C2836" s="7"/>
      <c r="E2836" s="7"/>
      <c r="F2836" s="7"/>
      <c r="G2836" s="7"/>
      <c r="H2836" s="7"/>
      <c r="I2836" s="7"/>
      <c r="M2836" s="7"/>
      <c r="N2836" s="7"/>
      <c r="P2836" s="126"/>
    </row>
    <row r="2837" spans="1:16" ht="15.75" customHeight="1">
      <c r="A2837" s="126"/>
      <c r="B2837" s="7"/>
      <c r="C2837" s="7"/>
      <c r="E2837" s="7"/>
      <c r="F2837" s="7"/>
      <c r="G2837" s="7"/>
      <c r="H2837" s="7"/>
      <c r="I2837" s="7"/>
      <c r="M2837" s="7"/>
      <c r="N2837" s="7"/>
      <c r="P2837" s="126"/>
    </row>
    <row r="2838" spans="1:16" ht="15.75" customHeight="1">
      <c r="A2838" s="126"/>
      <c r="B2838" s="7"/>
      <c r="C2838" s="7"/>
      <c r="E2838" s="7"/>
      <c r="F2838" s="7"/>
      <c r="G2838" s="7"/>
      <c r="H2838" s="7"/>
      <c r="I2838" s="7"/>
      <c r="M2838" s="7"/>
      <c r="N2838" s="7"/>
      <c r="P2838" s="126"/>
    </row>
    <row r="2839" spans="1:16" ht="15.75" customHeight="1">
      <c r="A2839" s="126"/>
      <c r="B2839" s="7"/>
      <c r="C2839" s="7"/>
      <c r="E2839" s="7"/>
      <c r="F2839" s="7"/>
      <c r="G2839" s="7"/>
      <c r="H2839" s="7"/>
      <c r="I2839" s="7"/>
      <c r="J2839" s="7"/>
      <c r="M2839" s="7"/>
      <c r="N2839" s="7"/>
      <c r="P2839" s="126"/>
    </row>
    <row r="2840" spans="1:16" ht="15.75" customHeight="1">
      <c r="A2840" s="126"/>
      <c r="B2840" s="7"/>
      <c r="C2840" s="7"/>
      <c r="E2840" s="7"/>
      <c r="F2840" s="7"/>
      <c r="G2840" s="7"/>
      <c r="H2840" s="7"/>
      <c r="I2840" s="7"/>
      <c r="M2840" s="7"/>
      <c r="N2840" s="7"/>
      <c r="P2840" s="126"/>
    </row>
    <row r="2841" spans="1:16" ht="15.75" customHeight="1">
      <c r="A2841" s="126"/>
      <c r="B2841" s="7"/>
      <c r="C2841" s="7"/>
      <c r="E2841" s="7"/>
      <c r="F2841" s="7"/>
      <c r="G2841" s="7"/>
      <c r="H2841" s="7"/>
      <c r="I2841" s="7"/>
      <c r="J2841" s="7"/>
      <c r="M2841" s="7"/>
      <c r="N2841" s="7"/>
      <c r="O2841" s="126"/>
      <c r="P2841" s="126"/>
    </row>
    <row r="2842" spans="1:16" ht="15.75" customHeight="1">
      <c r="A2842" s="126"/>
      <c r="B2842" s="7"/>
      <c r="C2842" s="7"/>
      <c r="E2842" s="7"/>
      <c r="F2842" s="7"/>
      <c r="G2842" s="7"/>
      <c r="H2842" s="7"/>
      <c r="I2842" s="7"/>
      <c r="J2842" s="7"/>
      <c r="M2842" s="7"/>
      <c r="N2842" s="7"/>
      <c r="P2842" s="126"/>
    </row>
    <row r="2843" spans="1:16" ht="15.75" customHeight="1">
      <c r="A2843" s="126"/>
      <c r="B2843" s="7"/>
      <c r="C2843" s="7"/>
      <c r="E2843" s="7"/>
      <c r="F2843" s="7"/>
      <c r="G2843" s="7"/>
      <c r="H2843" s="7"/>
      <c r="I2843" s="7"/>
      <c r="J2843" s="7"/>
      <c r="M2843" s="7"/>
      <c r="N2843" s="7"/>
      <c r="O2843" s="126"/>
      <c r="P2843" s="126"/>
    </row>
    <row r="2844" spans="1:16" ht="15.75" customHeight="1">
      <c r="A2844" s="126"/>
      <c r="B2844" s="7"/>
      <c r="C2844" s="7"/>
      <c r="E2844" s="7"/>
      <c r="F2844" s="7"/>
      <c r="G2844" s="7"/>
      <c r="H2844" s="7"/>
      <c r="I2844" s="7"/>
      <c r="J2844" s="7"/>
      <c r="M2844" s="7"/>
      <c r="N2844" s="7"/>
      <c r="O2844" s="126"/>
      <c r="P2844" s="126"/>
    </row>
    <row r="2845" spans="1:16" ht="15.75" customHeight="1">
      <c r="A2845" s="126"/>
      <c r="B2845" s="7"/>
      <c r="C2845" s="7"/>
      <c r="E2845" s="7"/>
      <c r="F2845" s="7"/>
      <c r="G2845" s="7"/>
      <c r="H2845" s="7"/>
      <c r="I2845" s="7"/>
      <c r="M2845" s="7"/>
      <c r="N2845" s="7"/>
      <c r="P2845" s="126"/>
    </row>
    <row r="2846" spans="1:16" ht="15.75" customHeight="1">
      <c r="A2846" s="126"/>
      <c r="B2846" s="7"/>
      <c r="C2846" s="7"/>
      <c r="E2846" s="7"/>
      <c r="F2846" s="7"/>
      <c r="G2846" s="7"/>
      <c r="H2846" s="7"/>
      <c r="I2846" s="7"/>
      <c r="M2846" s="7"/>
      <c r="N2846" s="7"/>
      <c r="P2846" s="126"/>
    </row>
    <row r="2847" spans="1:16" ht="15.75" customHeight="1">
      <c r="A2847" s="126"/>
      <c r="B2847" s="7"/>
      <c r="C2847" s="7"/>
      <c r="E2847" s="7"/>
      <c r="F2847" s="7"/>
      <c r="G2847" s="7"/>
      <c r="H2847" s="7"/>
      <c r="I2847" s="7"/>
      <c r="M2847" s="7"/>
      <c r="N2847" s="7"/>
      <c r="P2847" s="126"/>
    </row>
    <row r="2848" spans="1:16" ht="15.75" customHeight="1">
      <c r="A2848" s="126"/>
      <c r="B2848" s="7"/>
      <c r="C2848" s="7"/>
      <c r="E2848" s="7"/>
      <c r="F2848" s="7"/>
      <c r="G2848" s="7"/>
      <c r="H2848" s="7"/>
      <c r="I2848" s="7"/>
      <c r="J2848" s="7"/>
      <c r="M2848" s="7"/>
      <c r="N2848" s="7"/>
      <c r="P2848" s="126"/>
    </row>
    <row r="2849" spans="1:16" ht="15.75" customHeight="1">
      <c r="A2849" s="126"/>
      <c r="B2849" s="7"/>
      <c r="C2849" s="7"/>
      <c r="E2849" s="7"/>
      <c r="F2849" s="7"/>
      <c r="G2849" s="7"/>
      <c r="H2849" s="7"/>
      <c r="I2849" s="7"/>
      <c r="M2849" s="7"/>
      <c r="N2849" s="7"/>
      <c r="P2849" s="126"/>
    </row>
    <row r="2850" spans="1:16" ht="15.75" customHeight="1">
      <c r="A2850" s="126"/>
      <c r="B2850" s="7"/>
      <c r="C2850" s="7"/>
      <c r="E2850" s="7"/>
      <c r="F2850" s="7"/>
      <c r="G2850" s="7"/>
      <c r="H2850" s="7"/>
      <c r="I2850" s="7"/>
      <c r="J2850" s="7"/>
      <c r="M2850" s="7"/>
      <c r="N2850" s="7"/>
      <c r="O2850" s="126"/>
      <c r="P2850" s="126"/>
    </row>
    <row r="2851" spans="1:16" ht="15.75" customHeight="1">
      <c r="A2851" s="126"/>
      <c r="B2851" s="7"/>
      <c r="C2851" s="7"/>
      <c r="E2851" s="7"/>
      <c r="F2851" s="7"/>
      <c r="G2851" s="7"/>
      <c r="H2851" s="7"/>
      <c r="I2851" s="7"/>
      <c r="J2851" s="7"/>
      <c r="M2851" s="7"/>
      <c r="N2851" s="7"/>
      <c r="P2851" s="126"/>
    </row>
    <row r="2852" spans="1:16" ht="15.75" customHeight="1">
      <c r="A2852" s="126"/>
      <c r="B2852" s="7"/>
      <c r="C2852" s="7"/>
      <c r="E2852" s="7"/>
      <c r="F2852" s="7"/>
      <c r="G2852" s="7"/>
      <c r="H2852" s="7"/>
      <c r="I2852" s="7"/>
      <c r="J2852" s="7"/>
      <c r="M2852" s="7"/>
      <c r="N2852" s="7"/>
      <c r="O2852" s="126"/>
      <c r="P2852" s="126"/>
    </row>
    <row r="2853" spans="1:16" ht="15.75" customHeight="1">
      <c r="A2853" s="126"/>
      <c r="B2853" s="7"/>
      <c r="C2853" s="7"/>
      <c r="E2853" s="7"/>
      <c r="F2853" s="7"/>
      <c r="G2853" s="7"/>
      <c r="H2853" s="7"/>
      <c r="I2853" s="7"/>
      <c r="J2853" s="7"/>
      <c r="M2853" s="7"/>
      <c r="N2853" s="7"/>
      <c r="O2853" s="126"/>
      <c r="P2853" s="126"/>
    </row>
    <row r="2854" spans="1:16" ht="15.75" customHeight="1">
      <c r="A2854" s="126"/>
      <c r="B2854" s="7"/>
      <c r="C2854" s="7"/>
      <c r="E2854" s="7"/>
      <c r="F2854" s="7"/>
      <c r="G2854" s="7"/>
      <c r="H2854" s="7"/>
      <c r="I2854" s="7"/>
      <c r="M2854" s="7"/>
      <c r="N2854" s="7"/>
      <c r="P2854" s="126"/>
    </row>
    <row r="2855" spans="1:16" ht="15.75" customHeight="1">
      <c r="A2855" s="126"/>
      <c r="B2855" s="7"/>
      <c r="C2855" s="7"/>
      <c r="E2855" s="7"/>
      <c r="F2855" s="7"/>
      <c r="G2855" s="7"/>
      <c r="H2855" s="7"/>
      <c r="I2855" s="7"/>
      <c r="M2855" s="7"/>
      <c r="N2855" s="7"/>
      <c r="P2855" s="126"/>
    </row>
    <row r="2856" spans="1:16" ht="15.75" customHeight="1">
      <c r="A2856" s="126"/>
      <c r="B2856" s="7"/>
      <c r="C2856" s="7"/>
      <c r="E2856" s="7"/>
      <c r="F2856" s="7"/>
      <c r="G2856" s="7"/>
      <c r="H2856" s="7"/>
      <c r="I2856" s="7"/>
      <c r="M2856" s="7"/>
      <c r="N2856" s="7"/>
      <c r="P2856" s="126"/>
    </row>
    <row r="2857" spans="1:16" ht="15.75" customHeight="1">
      <c r="A2857" s="126"/>
      <c r="B2857" s="7"/>
      <c r="C2857" s="7"/>
      <c r="E2857" s="7"/>
      <c r="F2857" s="7"/>
      <c r="G2857" s="7"/>
      <c r="H2857" s="7"/>
      <c r="I2857" s="7"/>
      <c r="J2857" s="7"/>
      <c r="M2857" s="7"/>
      <c r="N2857" s="7"/>
      <c r="P2857" s="126"/>
    </row>
    <row r="2858" spans="1:16" ht="15.75" customHeight="1">
      <c r="A2858" s="126"/>
      <c r="B2858" s="7"/>
      <c r="C2858" s="7"/>
      <c r="E2858" s="7"/>
      <c r="F2858" s="7"/>
      <c r="G2858" s="7"/>
      <c r="H2858" s="7"/>
      <c r="I2858" s="7"/>
      <c r="M2858" s="7"/>
      <c r="N2858" s="7"/>
      <c r="P2858" s="126"/>
    </row>
    <row r="2859" spans="1:16" ht="15.75" customHeight="1">
      <c r="A2859" s="126"/>
      <c r="B2859" s="7"/>
      <c r="C2859" s="7"/>
      <c r="E2859" s="7"/>
      <c r="F2859" s="7"/>
      <c r="G2859" s="7"/>
      <c r="H2859" s="7"/>
      <c r="I2859" s="7"/>
      <c r="J2859" s="7"/>
      <c r="M2859" s="7"/>
      <c r="N2859" s="7"/>
      <c r="O2859" s="126"/>
      <c r="P2859" s="126"/>
    </row>
    <row r="2860" spans="1:16" ht="15.75" customHeight="1">
      <c r="A2860" s="126"/>
      <c r="B2860" s="7"/>
      <c r="C2860" s="7"/>
      <c r="E2860" s="7"/>
      <c r="F2860" s="7"/>
      <c r="G2860" s="7"/>
      <c r="H2860" s="7"/>
      <c r="I2860" s="7"/>
      <c r="J2860" s="7"/>
      <c r="M2860" s="7"/>
      <c r="N2860" s="7"/>
      <c r="P2860" s="126"/>
    </row>
    <row r="2861" spans="1:16" ht="15.75" customHeight="1">
      <c r="A2861" s="126"/>
      <c r="B2861" s="7"/>
      <c r="C2861" s="7"/>
      <c r="E2861" s="7"/>
      <c r="F2861" s="7"/>
      <c r="G2861" s="7"/>
      <c r="H2861" s="7"/>
      <c r="I2861" s="7"/>
      <c r="J2861" s="7"/>
      <c r="M2861" s="7"/>
      <c r="N2861" s="7"/>
      <c r="O2861" s="126"/>
      <c r="P2861" s="126"/>
    </row>
    <row r="2862" spans="1:16" ht="15.75" customHeight="1">
      <c r="A2862" s="126"/>
      <c r="B2862" s="7"/>
      <c r="C2862" s="7"/>
      <c r="E2862" s="7"/>
      <c r="F2862" s="7"/>
      <c r="G2862" s="7"/>
      <c r="H2862" s="7"/>
      <c r="I2862" s="7"/>
      <c r="J2862" s="7"/>
      <c r="M2862" s="7"/>
      <c r="N2862" s="7"/>
      <c r="O2862" s="126"/>
      <c r="P2862" s="126"/>
    </row>
    <row r="2863" spans="1:16" ht="15.75" customHeight="1">
      <c r="A2863" s="126"/>
      <c r="B2863" s="7"/>
      <c r="C2863" s="7"/>
      <c r="E2863" s="7"/>
      <c r="F2863" s="7"/>
      <c r="G2863" s="7"/>
      <c r="H2863" s="7"/>
      <c r="I2863" s="7"/>
      <c r="M2863" s="7"/>
      <c r="N2863" s="7"/>
      <c r="P2863" s="126"/>
    </row>
    <row r="2864" spans="1:16" ht="15.75" customHeight="1">
      <c r="A2864" s="126"/>
      <c r="B2864" s="7"/>
      <c r="C2864" s="7"/>
      <c r="E2864" s="7"/>
      <c r="F2864" s="7"/>
      <c r="G2864" s="7"/>
      <c r="H2864" s="7"/>
      <c r="I2864" s="7"/>
      <c r="M2864" s="7"/>
      <c r="N2864" s="7"/>
      <c r="P2864" s="126"/>
    </row>
    <row r="2865" spans="1:16" ht="15.75" customHeight="1">
      <c r="A2865" s="126"/>
      <c r="B2865" s="7"/>
      <c r="C2865" s="7"/>
      <c r="E2865" s="7"/>
      <c r="F2865" s="7"/>
      <c r="G2865" s="7"/>
      <c r="H2865" s="7"/>
      <c r="I2865" s="7"/>
      <c r="M2865" s="7"/>
      <c r="N2865" s="7"/>
      <c r="P2865" s="126"/>
    </row>
    <row r="2866" spans="1:16" ht="15.75" customHeight="1">
      <c r="A2866" s="126"/>
      <c r="B2866" s="7"/>
      <c r="C2866" s="7"/>
      <c r="E2866" s="7"/>
      <c r="F2866" s="7"/>
      <c r="G2866" s="7"/>
      <c r="H2866" s="7"/>
      <c r="I2866" s="7"/>
      <c r="J2866" s="7"/>
      <c r="M2866" s="7"/>
      <c r="N2866" s="7"/>
      <c r="P2866" s="126"/>
    </row>
    <row r="2867" spans="1:16" ht="15.75" customHeight="1">
      <c r="A2867" s="126"/>
      <c r="B2867" s="7"/>
      <c r="C2867" s="7"/>
      <c r="E2867" s="7"/>
      <c r="F2867" s="7"/>
      <c r="G2867" s="7"/>
      <c r="H2867" s="7"/>
      <c r="I2867" s="7"/>
      <c r="M2867" s="7"/>
      <c r="N2867" s="7"/>
      <c r="P2867" s="126"/>
    </row>
    <row r="2868" spans="1:16" ht="15.75" customHeight="1">
      <c r="A2868" s="126"/>
      <c r="B2868" s="7"/>
      <c r="C2868" s="7"/>
      <c r="E2868" s="7"/>
      <c r="F2868" s="7"/>
      <c r="G2868" s="7"/>
      <c r="H2868" s="7"/>
      <c r="I2868" s="7"/>
      <c r="J2868" s="7"/>
      <c r="M2868" s="7"/>
      <c r="N2868" s="7"/>
      <c r="O2868" s="126"/>
      <c r="P2868" s="126"/>
    </row>
    <row r="2869" spans="1:16" ht="15.75" customHeight="1">
      <c r="A2869" s="126"/>
      <c r="B2869" s="7"/>
      <c r="C2869" s="7"/>
      <c r="E2869" s="7"/>
      <c r="F2869" s="7"/>
      <c r="G2869" s="7"/>
      <c r="H2869" s="7"/>
      <c r="I2869" s="7"/>
      <c r="J2869" s="7"/>
      <c r="M2869" s="7"/>
      <c r="N2869" s="7"/>
      <c r="P2869" s="126"/>
    </row>
    <row r="2870" spans="1:16" ht="15.75" customHeight="1">
      <c r="A2870" s="126"/>
      <c r="B2870" s="7"/>
      <c r="C2870" s="7"/>
      <c r="E2870" s="7"/>
      <c r="F2870" s="7"/>
      <c r="G2870" s="7"/>
      <c r="H2870" s="7"/>
      <c r="I2870" s="7"/>
      <c r="J2870" s="7"/>
      <c r="M2870" s="7"/>
      <c r="N2870" s="7"/>
      <c r="O2870" s="126"/>
      <c r="P2870" s="126"/>
    </row>
    <row r="2871" spans="1:16" ht="15.75" customHeight="1">
      <c r="A2871" s="126"/>
      <c r="B2871" s="7"/>
      <c r="C2871" s="7"/>
      <c r="E2871" s="7"/>
      <c r="F2871" s="7"/>
      <c r="G2871" s="7"/>
      <c r="H2871" s="7"/>
      <c r="I2871" s="7"/>
      <c r="J2871" s="7"/>
      <c r="M2871" s="7"/>
      <c r="N2871" s="7"/>
      <c r="O2871" s="126"/>
      <c r="P2871" s="126"/>
    </row>
    <row r="2872" spans="1:16" ht="15.75" customHeight="1">
      <c r="A2872" s="126"/>
      <c r="B2872" s="7"/>
      <c r="C2872" s="7"/>
      <c r="E2872" s="7"/>
      <c r="F2872" s="7"/>
      <c r="G2872" s="7"/>
      <c r="H2872" s="7"/>
      <c r="I2872" s="7"/>
      <c r="M2872" s="7"/>
      <c r="N2872" s="7"/>
      <c r="P2872" s="126"/>
    </row>
    <row r="2873" spans="1:16" ht="15.75" customHeight="1">
      <c r="A2873" s="126"/>
      <c r="B2873" s="7"/>
      <c r="C2873" s="7"/>
      <c r="E2873" s="7"/>
      <c r="F2873" s="7"/>
      <c r="G2873" s="7"/>
      <c r="H2873" s="7"/>
      <c r="I2873" s="7"/>
      <c r="M2873" s="7"/>
      <c r="N2873" s="7"/>
      <c r="P2873" s="126"/>
    </row>
    <row r="2874" spans="1:16" ht="15.75" customHeight="1">
      <c r="A2874" s="126"/>
      <c r="B2874" s="7"/>
      <c r="C2874" s="7"/>
      <c r="E2874" s="7"/>
      <c r="F2874" s="7"/>
      <c r="G2874" s="7"/>
      <c r="H2874" s="7"/>
      <c r="I2874" s="7"/>
      <c r="M2874" s="7"/>
      <c r="N2874" s="7"/>
      <c r="P2874" s="126"/>
    </row>
    <row r="2875" spans="1:16" ht="15.75" customHeight="1">
      <c r="A2875" s="126"/>
      <c r="B2875" s="7"/>
      <c r="C2875" s="7"/>
      <c r="E2875" s="7"/>
      <c r="F2875" s="7"/>
      <c r="G2875" s="7"/>
      <c r="H2875" s="7"/>
      <c r="I2875" s="7"/>
      <c r="J2875" s="7"/>
      <c r="M2875" s="7"/>
      <c r="N2875" s="7"/>
      <c r="P2875" s="126"/>
    </row>
    <row r="2876" spans="1:16" ht="15.75" customHeight="1">
      <c r="A2876" s="126"/>
      <c r="B2876" s="7"/>
      <c r="C2876" s="7"/>
      <c r="E2876" s="7"/>
      <c r="F2876" s="7"/>
      <c r="G2876" s="7"/>
      <c r="H2876" s="7"/>
      <c r="I2876" s="7"/>
      <c r="M2876" s="7"/>
      <c r="N2876" s="7"/>
      <c r="P2876" s="126"/>
    </row>
    <row r="2877" spans="1:16" ht="15.75" customHeight="1">
      <c r="A2877" s="126"/>
      <c r="B2877" s="7"/>
      <c r="C2877" s="7"/>
      <c r="E2877" s="7"/>
      <c r="F2877" s="7"/>
      <c r="G2877" s="7"/>
      <c r="H2877" s="7"/>
      <c r="I2877" s="7"/>
      <c r="J2877" s="7"/>
      <c r="M2877" s="7"/>
      <c r="N2877" s="7"/>
      <c r="O2877" s="126"/>
      <c r="P2877" s="126"/>
    </row>
    <row r="2878" spans="1:16" ht="15.75" customHeight="1">
      <c r="A2878" s="126"/>
      <c r="B2878" s="7"/>
      <c r="C2878" s="7"/>
      <c r="E2878" s="7"/>
      <c r="F2878" s="7"/>
      <c r="G2878" s="7"/>
      <c r="H2878" s="7"/>
      <c r="I2878" s="7"/>
      <c r="J2878" s="7"/>
      <c r="M2878" s="7"/>
      <c r="N2878" s="7"/>
      <c r="P2878" s="126"/>
    </row>
    <row r="2879" spans="1:16" ht="15.75" customHeight="1">
      <c r="A2879" s="126"/>
      <c r="B2879" s="7"/>
      <c r="C2879" s="7"/>
      <c r="E2879" s="7"/>
      <c r="F2879" s="7"/>
      <c r="G2879" s="7"/>
      <c r="H2879" s="7"/>
      <c r="I2879" s="7"/>
      <c r="J2879" s="7"/>
      <c r="M2879" s="7"/>
      <c r="N2879" s="7"/>
      <c r="O2879" s="126"/>
      <c r="P2879" s="126"/>
    </row>
    <row r="2880" spans="1:16" ht="15.75" customHeight="1">
      <c r="A2880" s="126"/>
      <c r="B2880" s="7"/>
      <c r="C2880" s="7"/>
      <c r="E2880" s="7"/>
      <c r="F2880" s="7"/>
      <c r="G2880" s="7"/>
      <c r="H2880" s="7"/>
      <c r="I2880" s="7"/>
      <c r="J2880" s="7"/>
      <c r="M2880" s="7"/>
      <c r="N2880" s="7"/>
      <c r="O2880" s="126"/>
      <c r="P2880" s="126"/>
    </row>
    <row r="2881" spans="1:16" ht="15.75" customHeight="1">
      <c r="A2881" s="126"/>
      <c r="B2881" s="7"/>
      <c r="C2881" s="7"/>
      <c r="E2881" s="7"/>
      <c r="F2881" s="7"/>
      <c r="G2881" s="7"/>
      <c r="H2881" s="7"/>
      <c r="I2881" s="7"/>
      <c r="M2881" s="7"/>
      <c r="N2881" s="7"/>
      <c r="P2881" s="126"/>
    </row>
    <row r="2882" spans="1:16" ht="15.75" customHeight="1">
      <c r="A2882" s="126"/>
      <c r="B2882" s="7"/>
      <c r="C2882" s="7"/>
      <c r="E2882" s="7"/>
      <c r="F2882" s="7"/>
      <c r="G2882" s="7"/>
      <c r="H2882" s="7"/>
      <c r="I2882" s="7"/>
      <c r="M2882" s="7"/>
      <c r="N2882" s="7"/>
      <c r="P2882" s="126"/>
    </row>
    <row r="2883" spans="1:16" ht="15.75" customHeight="1">
      <c r="A2883" s="126"/>
      <c r="B2883" s="7"/>
      <c r="C2883" s="7"/>
      <c r="E2883" s="7"/>
      <c r="F2883" s="7"/>
      <c r="G2883" s="7"/>
      <c r="H2883" s="7"/>
      <c r="I2883" s="7"/>
      <c r="M2883" s="7"/>
      <c r="N2883" s="7"/>
      <c r="P2883" s="126"/>
    </row>
    <row r="2884" spans="1:16" ht="15.75" customHeight="1">
      <c r="A2884" s="126"/>
      <c r="B2884" s="7"/>
      <c r="C2884" s="7"/>
      <c r="E2884" s="7"/>
      <c r="F2884" s="7"/>
      <c r="G2884" s="7"/>
      <c r="H2884" s="7"/>
      <c r="I2884" s="7"/>
      <c r="J2884" s="7"/>
      <c r="M2884" s="7"/>
      <c r="N2884" s="7"/>
      <c r="P2884" s="126"/>
    </row>
    <row r="2885" spans="1:16" ht="15.75" customHeight="1">
      <c r="A2885" s="126"/>
      <c r="B2885" s="7"/>
      <c r="C2885" s="7"/>
      <c r="E2885" s="7"/>
      <c r="F2885" s="7"/>
      <c r="G2885" s="7"/>
      <c r="H2885" s="7"/>
      <c r="I2885" s="7"/>
      <c r="M2885" s="7"/>
      <c r="N2885" s="7"/>
      <c r="P2885" s="126"/>
    </row>
    <row r="2886" spans="1:16" ht="15.75" customHeight="1">
      <c r="A2886" s="126"/>
      <c r="B2886" s="7"/>
      <c r="C2886" s="7"/>
      <c r="E2886" s="7"/>
      <c r="F2886" s="7"/>
      <c r="G2886" s="7"/>
      <c r="H2886" s="7"/>
      <c r="I2886" s="7"/>
      <c r="J2886" s="7"/>
      <c r="M2886" s="7"/>
      <c r="N2886" s="7"/>
      <c r="O2886" s="126"/>
      <c r="P2886" s="126"/>
    </row>
    <row r="2887" spans="1:16" ht="15.75" customHeight="1">
      <c r="A2887" s="126"/>
      <c r="B2887" s="7"/>
      <c r="C2887" s="7"/>
      <c r="E2887" s="7"/>
      <c r="F2887" s="7"/>
      <c r="G2887" s="7"/>
      <c r="H2887" s="7"/>
      <c r="I2887" s="7"/>
      <c r="J2887" s="7"/>
      <c r="M2887" s="7"/>
      <c r="N2887" s="7"/>
      <c r="P2887" s="126"/>
    </row>
    <row r="2888" spans="1:16" ht="15.75" customHeight="1">
      <c r="A2888" s="126"/>
      <c r="B2888" s="7"/>
      <c r="C2888" s="7"/>
      <c r="E2888" s="7"/>
      <c r="F2888" s="7"/>
      <c r="G2888" s="7"/>
      <c r="H2888" s="7"/>
      <c r="I2888" s="7"/>
      <c r="J2888" s="7"/>
      <c r="M2888" s="7"/>
      <c r="N2888" s="7"/>
      <c r="O2888" s="126"/>
      <c r="P2888" s="126"/>
    </row>
    <row r="2889" spans="1:16" ht="15.75" customHeight="1">
      <c r="A2889" s="126"/>
      <c r="B2889" s="7"/>
      <c r="C2889" s="7"/>
      <c r="E2889" s="7"/>
      <c r="F2889" s="7"/>
      <c r="G2889" s="7"/>
      <c r="H2889" s="7"/>
      <c r="I2889" s="7"/>
      <c r="J2889" s="7"/>
      <c r="M2889" s="7"/>
      <c r="N2889" s="7"/>
      <c r="O2889" s="126"/>
      <c r="P2889" s="126"/>
    </row>
    <row r="2890" spans="1:16" ht="15.75" customHeight="1">
      <c r="A2890" s="126"/>
      <c r="B2890" s="7"/>
      <c r="C2890" s="7"/>
      <c r="E2890" s="7"/>
      <c r="F2890" s="7"/>
      <c r="G2890" s="7"/>
      <c r="H2890" s="7"/>
      <c r="I2890" s="7"/>
      <c r="M2890" s="7"/>
      <c r="N2890" s="7"/>
      <c r="P2890" s="126"/>
    </row>
    <row r="2891" spans="1:16" ht="15.75" customHeight="1">
      <c r="A2891" s="126"/>
      <c r="B2891" s="7"/>
      <c r="C2891" s="7"/>
      <c r="E2891" s="7"/>
      <c r="F2891" s="7"/>
      <c r="G2891" s="7"/>
      <c r="H2891" s="7"/>
      <c r="I2891" s="7"/>
      <c r="M2891" s="7"/>
      <c r="N2891" s="7"/>
      <c r="P2891" s="126"/>
    </row>
    <row r="2892" spans="1:16" ht="15.75" customHeight="1">
      <c r="A2892" s="126"/>
      <c r="B2892" s="7"/>
      <c r="C2892" s="7"/>
      <c r="E2892" s="7"/>
      <c r="F2892" s="7"/>
      <c r="G2892" s="7"/>
      <c r="H2892" s="7"/>
      <c r="I2892" s="7"/>
      <c r="M2892" s="7"/>
      <c r="N2892" s="7"/>
      <c r="P2892" s="126"/>
    </row>
    <row r="2893" spans="1:16" ht="15.75" customHeight="1">
      <c r="A2893" s="126"/>
      <c r="B2893" s="7"/>
      <c r="C2893" s="7"/>
      <c r="E2893" s="7"/>
      <c r="F2893" s="7"/>
      <c r="G2893" s="7"/>
      <c r="H2893" s="7"/>
      <c r="I2893" s="7"/>
      <c r="J2893" s="7"/>
      <c r="M2893" s="7"/>
      <c r="N2893" s="7"/>
      <c r="P2893" s="126"/>
    </row>
    <row r="2894" spans="1:16" ht="15.75" customHeight="1">
      <c r="A2894" s="126"/>
      <c r="B2894" s="7"/>
      <c r="C2894" s="7"/>
      <c r="E2894" s="7"/>
      <c r="F2894" s="7"/>
      <c r="G2894" s="7"/>
      <c r="H2894" s="7"/>
      <c r="I2894" s="7"/>
      <c r="M2894" s="7"/>
      <c r="N2894" s="7"/>
      <c r="P2894" s="126"/>
    </row>
    <row r="2895" spans="1:16" ht="15.75" customHeight="1">
      <c r="A2895" s="126"/>
      <c r="B2895" s="7"/>
      <c r="C2895" s="7"/>
      <c r="E2895" s="7"/>
      <c r="F2895" s="7"/>
      <c r="G2895" s="7"/>
      <c r="H2895" s="7"/>
      <c r="I2895" s="7"/>
      <c r="J2895" s="7"/>
      <c r="M2895" s="7"/>
      <c r="N2895" s="7"/>
      <c r="O2895" s="126"/>
      <c r="P2895" s="126"/>
    </row>
    <row r="2896" spans="1:16" ht="15.75" customHeight="1">
      <c r="A2896" s="126"/>
      <c r="B2896" s="7"/>
      <c r="C2896" s="7"/>
      <c r="E2896" s="7"/>
      <c r="F2896" s="7"/>
      <c r="G2896" s="7"/>
      <c r="H2896" s="7"/>
      <c r="I2896" s="7"/>
      <c r="J2896" s="7"/>
      <c r="M2896" s="7"/>
      <c r="N2896" s="7"/>
      <c r="P2896" s="126"/>
    </row>
    <row r="2897" spans="1:16" ht="15.75" customHeight="1">
      <c r="A2897" s="126"/>
      <c r="B2897" s="7"/>
      <c r="C2897" s="7"/>
      <c r="E2897" s="7"/>
      <c r="F2897" s="7"/>
      <c r="G2897" s="7"/>
      <c r="H2897" s="7"/>
      <c r="I2897" s="7"/>
      <c r="J2897" s="7"/>
      <c r="M2897" s="7"/>
      <c r="N2897" s="7"/>
      <c r="O2897" s="126"/>
      <c r="P2897" s="126"/>
    </row>
    <row r="2898" spans="1:16" ht="15.75" customHeight="1">
      <c r="A2898" s="126"/>
      <c r="B2898" s="7"/>
      <c r="C2898" s="7"/>
      <c r="E2898" s="7"/>
      <c r="F2898" s="7"/>
      <c r="G2898" s="7"/>
      <c r="H2898" s="7"/>
      <c r="I2898" s="7"/>
      <c r="J2898" s="7"/>
      <c r="M2898" s="7"/>
      <c r="N2898" s="7"/>
      <c r="O2898" s="126"/>
      <c r="P2898" s="126"/>
    </row>
    <row r="2899" spans="1:16" ht="15.75" customHeight="1">
      <c r="A2899" s="126"/>
      <c r="B2899" s="7"/>
      <c r="C2899" s="7"/>
      <c r="E2899" s="7"/>
      <c r="F2899" s="7"/>
      <c r="G2899" s="7"/>
      <c r="H2899" s="7"/>
      <c r="I2899" s="7"/>
      <c r="M2899" s="7"/>
      <c r="N2899" s="7"/>
      <c r="P2899" s="126"/>
    </row>
    <row r="2900" spans="1:16" ht="15.75" customHeight="1">
      <c r="A2900" s="126"/>
      <c r="B2900" s="7"/>
      <c r="C2900" s="7"/>
      <c r="E2900" s="7"/>
      <c r="F2900" s="7"/>
      <c r="G2900" s="7"/>
      <c r="H2900" s="7"/>
      <c r="I2900" s="7"/>
      <c r="M2900" s="7"/>
      <c r="N2900" s="7"/>
      <c r="P2900" s="126"/>
    </row>
    <row r="2901" spans="1:16" ht="15.75" customHeight="1">
      <c r="A2901" s="126"/>
      <c r="B2901" s="7"/>
      <c r="C2901" s="7"/>
      <c r="E2901" s="7"/>
      <c r="F2901" s="7"/>
      <c r="G2901" s="7"/>
      <c r="H2901" s="7"/>
      <c r="I2901" s="7"/>
      <c r="M2901" s="7"/>
      <c r="N2901" s="7"/>
      <c r="P2901" s="126"/>
    </row>
    <row r="2902" spans="1:16" ht="15.75" customHeight="1">
      <c r="A2902" s="126"/>
      <c r="B2902" s="7"/>
      <c r="C2902" s="7"/>
      <c r="E2902" s="7"/>
      <c r="F2902" s="7"/>
      <c r="G2902" s="7"/>
      <c r="H2902" s="7"/>
      <c r="I2902" s="7"/>
      <c r="J2902" s="7"/>
      <c r="M2902" s="7"/>
      <c r="N2902" s="7"/>
      <c r="P2902" s="126"/>
    </row>
    <row r="2903" spans="1:16" ht="15.75" customHeight="1">
      <c r="A2903" s="126"/>
      <c r="B2903" s="7"/>
      <c r="C2903" s="7"/>
      <c r="E2903" s="7"/>
      <c r="F2903" s="7"/>
      <c r="G2903" s="7"/>
      <c r="H2903" s="7"/>
      <c r="I2903" s="7"/>
      <c r="M2903" s="7"/>
      <c r="N2903" s="7"/>
      <c r="P2903" s="126"/>
    </row>
    <row r="2904" spans="1:16" ht="15.75" customHeight="1">
      <c r="A2904" s="126"/>
      <c r="B2904" s="7"/>
      <c r="C2904" s="7"/>
      <c r="E2904" s="7"/>
      <c r="F2904" s="7"/>
      <c r="G2904" s="7"/>
      <c r="H2904" s="7"/>
      <c r="I2904" s="7"/>
      <c r="J2904" s="7"/>
      <c r="M2904" s="7"/>
      <c r="N2904" s="7"/>
      <c r="O2904" s="126"/>
      <c r="P2904" s="126"/>
    </row>
    <row r="2905" spans="1:16" ht="15.75" customHeight="1">
      <c r="A2905" s="126"/>
      <c r="B2905" s="7"/>
      <c r="C2905" s="7"/>
      <c r="E2905" s="7"/>
      <c r="F2905" s="7"/>
      <c r="G2905" s="7"/>
      <c r="H2905" s="7"/>
      <c r="I2905" s="7"/>
      <c r="J2905" s="7"/>
      <c r="M2905" s="7"/>
      <c r="N2905" s="7"/>
      <c r="P2905" s="126"/>
    </row>
    <row r="2906" spans="1:16" ht="15.75" customHeight="1">
      <c r="A2906" s="126"/>
      <c r="B2906" s="7"/>
      <c r="C2906" s="7"/>
      <c r="E2906" s="7"/>
      <c r="F2906" s="7"/>
      <c r="G2906" s="7"/>
      <c r="H2906" s="7"/>
      <c r="I2906" s="7"/>
      <c r="J2906" s="7"/>
      <c r="M2906" s="7"/>
      <c r="N2906" s="7"/>
      <c r="O2906" s="126"/>
      <c r="P2906" s="126"/>
    </row>
    <row r="2907" spans="1:16" ht="15.75" customHeight="1">
      <c r="A2907" s="126"/>
      <c r="B2907" s="7"/>
      <c r="C2907" s="7"/>
      <c r="E2907" s="7"/>
      <c r="F2907" s="7"/>
      <c r="G2907" s="7"/>
      <c r="H2907" s="7"/>
      <c r="I2907" s="7"/>
      <c r="J2907" s="7"/>
      <c r="M2907" s="7"/>
      <c r="N2907" s="7"/>
      <c r="O2907" s="126"/>
      <c r="P2907" s="126"/>
    </row>
    <row r="2908" spans="1:16" ht="15.75" customHeight="1">
      <c r="A2908" s="126"/>
      <c r="B2908" s="7"/>
      <c r="C2908" s="7"/>
      <c r="E2908" s="7"/>
      <c r="F2908" s="7"/>
      <c r="G2908" s="7"/>
      <c r="H2908" s="7"/>
      <c r="I2908" s="7"/>
      <c r="M2908" s="7"/>
      <c r="N2908" s="7"/>
      <c r="P2908" s="126"/>
    </row>
    <row r="2909" spans="1:16" ht="15.75" customHeight="1">
      <c r="A2909" s="126"/>
      <c r="B2909" s="7"/>
      <c r="C2909" s="7"/>
      <c r="E2909" s="7"/>
      <c r="F2909" s="7"/>
      <c r="G2909" s="7"/>
      <c r="H2909" s="7"/>
      <c r="I2909" s="7"/>
      <c r="M2909" s="7"/>
      <c r="N2909" s="7"/>
      <c r="P2909" s="126"/>
    </row>
    <row r="2910" spans="1:16" ht="15.75" customHeight="1">
      <c r="A2910" s="126"/>
      <c r="B2910" s="7"/>
      <c r="C2910" s="7"/>
      <c r="E2910" s="7"/>
      <c r="F2910" s="7"/>
      <c r="G2910" s="7"/>
      <c r="H2910" s="7"/>
      <c r="I2910" s="7"/>
      <c r="M2910" s="7"/>
      <c r="N2910" s="7"/>
      <c r="P2910" s="126"/>
    </row>
    <row r="2911" spans="1:16" ht="15.75" customHeight="1">
      <c r="A2911" s="126"/>
      <c r="B2911" s="7"/>
      <c r="C2911" s="7"/>
      <c r="E2911" s="7"/>
      <c r="F2911" s="7"/>
      <c r="G2911" s="7"/>
      <c r="H2911" s="7"/>
      <c r="I2911" s="7"/>
      <c r="J2911" s="7"/>
      <c r="M2911" s="7"/>
      <c r="N2911" s="7"/>
      <c r="P2911" s="126"/>
    </row>
    <row r="2912" spans="1:16" ht="15.75" customHeight="1">
      <c r="A2912" s="126"/>
      <c r="B2912" s="7"/>
      <c r="C2912" s="7"/>
      <c r="E2912" s="7"/>
      <c r="F2912" s="7"/>
      <c r="G2912" s="7"/>
      <c r="H2912" s="7"/>
      <c r="I2912" s="7"/>
      <c r="M2912" s="7"/>
      <c r="N2912" s="7"/>
      <c r="P2912" s="126"/>
    </row>
    <row r="2913" spans="1:16" ht="15.75" customHeight="1">
      <c r="A2913" s="126"/>
      <c r="B2913" s="7"/>
      <c r="C2913" s="7"/>
      <c r="E2913" s="7"/>
      <c r="F2913" s="7"/>
      <c r="G2913" s="7"/>
      <c r="H2913" s="7"/>
      <c r="I2913" s="7"/>
      <c r="J2913" s="7"/>
      <c r="M2913" s="7"/>
      <c r="N2913" s="7"/>
      <c r="O2913" s="126"/>
      <c r="P2913" s="126"/>
    </row>
    <row r="2914" spans="1:16" ht="15.75" customHeight="1">
      <c r="A2914" s="126"/>
      <c r="B2914" s="7"/>
      <c r="C2914" s="7"/>
      <c r="E2914" s="7"/>
      <c r="F2914" s="7"/>
      <c r="G2914" s="7"/>
      <c r="H2914" s="7"/>
      <c r="I2914" s="7"/>
      <c r="J2914" s="7"/>
      <c r="M2914" s="7"/>
      <c r="N2914" s="7"/>
      <c r="P2914" s="126"/>
    </row>
    <row r="2915" spans="1:16" ht="15.75" customHeight="1">
      <c r="A2915" s="126"/>
      <c r="B2915" s="7"/>
      <c r="C2915" s="7"/>
      <c r="E2915" s="7"/>
      <c r="F2915" s="7"/>
      <c r="G2915" s="7"/>
      <c r="H2915" s="7"/>
      <c r="I2915" s="7"/>
      <c r="J2915" s="7"/>
      <c r="M2915" s="7"/>
      <c r="N2915" s="7"/>
      <c r="O2915" s="126"/>
      <c r="P2915" s="126"/>
    </row>
    <row r="2916" spans="1:16" ht="15.75" customHeight="1">
      <c r="A2916" s="126"/>
      <c r="B2916" s="7"/>
      <c r="C2916" s="7"/>
      <c r="E2916" s="7"/>
      <c r="F2916" s="7"/>
      <c r="G2916" s="7"/>
      <c r="H2916" s="7"/>
      <c r="I2916" s="7"/>
      <c r="J2916" s="7"/>
      <c r="M2916" s="7"/>
      <c r="N2916" s="7"/>
      <c r="O2916" s="126"/>
      <c r="P2916" s="126"/>
    </row>
    <row r="2917" spans="1:16" ht="15.75" customHeight="1">
      <c r="A2917" s="126"/>
      <c r="B2917" s="7"/>
      <c r="C2917" s="7"/>
      <c r="E2917" s="7"/>
      <c r="F2917" s="7"/>
      <c r="G2917" s="7"/>
      <c r="H2917" s="7"/>
      <c r="I2917" s="7"/>
      <c r="M2917" s="7"/>
      <c r="N2917" s="7"/>
      <c r="P2917" s="126"/>
    </row>
    <row r="2918" spans="1:16" ht="15.75" customHeight="1">
      <c r="A2918" s="126"/>
      <c r="B2918" s="7"/>
      <c r="C2918" s="7"/>
      <c r="E2918" s="7"/>
      <c r="F2918" s="7"/>
      <c r="G2918" s="7"/>
      <c r="H2918" s="7"/>
      <c r="I2918" s="7"/>
      <c r="M2918" s="7"/>
      <c r="N2918" s="7"/>
      <c r="P2918" s="126"/>
    </row>
    <row r="2919" spans="1:16" ht="15.75" customHeight="1">
      <c r="A2919" s="126"/>
      <c r="B2919" s="7"/>
      <c r="C2919" s="7"/>
      <c r="E2919" s="7"/>
      <c r="F2919" s="7"/>
      <c r="G2919" s="7"/>
      <c r="H2919" s="7"/>
      <c r="I2919" s="7"/>
      <c r="M2919" s="7"/>
      <c r="N2919" s="7"/>
      <c r="P2919" s="126"/>
    </row>
    <row r="2920" spans="1:16" ht="15.75" customHeight="1">
      <c r="A2920" s="126"/>
      <c r="B2920" s="7"/>
      <c r="C2920" s="7"/>
      <c r="E2920" s="7"/>
      <c r="F2920" s="7"/>
      <c r="G2920" s="7"/>
      <c r="H2920" s="7"/>
      <c r="I2920" s="7"/>
      <c r="J2920" s="7"/>
      <c r="M2920" s="7"/>
      <c r="N2920" s="7"/>
      <c r="P2920" s="126"/>
    </row>
    <row r="2921" spans="1:16" ht="15.75" customHeight="1">
      <c r="A2921" s="126"/>
      <c r="B2921" s="7"/>
      <c r="C2921" s="7"/>
      <c r="E2921" s="7"/>
      <c r="F2921" s="7"/>
      <c r="G2921" s="7"/>
      <c r="H2921" s="7"/>
      <c r="I2921" s="7"/>
      <c r="M2921" s="7"/>
      <c r="N2921" s="7"/>
      <c r="P2921" s="126"/>
    </row>
    <row r="2922" spans="1:16" ht="15.75" customHeight="1">
      <c r="A2922" s="126"/>
      <c r="B2922" s="7"/>
      <c r="C2922" s="7"/>
      <c r="E2922" s="7"/>
      <c r="F2922" s="7"/>
      <c r="G2922" s="7"/>
      <c r="H2922" s="7"/>
      <c r="I2922" s="7"/>
      <c r="J2922" s="7"/>
      <c r="M2922" s="7"/>
      <c r="N2922" s="7"/>
      <c r="O2922" s="126"/>
      <c r="P2922" s="126"/>
    </row>
    <row r="2923" spans="1:16" ht="15.75" customHeight="1">
      <c r="A2923" s="126"/>
      <c r="B2923" s="7"/>
      <c r="C2923" s="7"/>
      <c r="E2923" s="7"/>
      <c r="F2923" s="7"/>
      <c r="G2923" s="7"/>
      <c r="H2923" s="7"/>
      <c r="I2923" s="7"/>
      <c r="J2923" s="7"/>
      <c r="M2923" s="7"/>
      <c r="N2923" s="7"/>
      <c r="P2923" s="126"/>
    </row>
    <row r="2924" spans="1:16" ht="15.75" customHeight="1">
      <c r="A2924" s="126"/>
      <c r="B2924" s="7"/>
      <c r="C2924" s="7"/>
      <c r="E2924" s="7"/>
      <c r="F2924" s="7"/>
      <c r="G2924" s="7"/>
      <c r="H2924" s="7"/>
      <c r="I2924" s="7"/>
      <c r="J2924" s="7"/>
      <c r="M2924" s="7"/>
      <c r="N2924" s="7"/>
      <c r="O2924" s="126"/>
      <c r="P2924" s="126"/>
    </row>
    <row r="2925" spans="1:16" ht="15.75" customHeight="1">
      <c r="A2925" s="126"/>
      <c r="B2925" s="7"/>
      <c r="C2925" s="7"/>
      <c r="E2925" s="7"/>
      <c r="F2925" s="7"/>
      <c r="G2925" s="7"/>
      <c r="H2925" s="7"/>
      <c r="I2925" s="7"/>
      <c r="J2925" s="7"/>
      <c r="M2925" s="7"/>
      <c r="N2925" s="7"/>
      <c r="O2925" s="126"/>
      <c r="P2925" s="126"/>
    </row>
    <row r="2926" spans="1:16" ht="15.75" customHeight="1">
      <c r="A2926" s="126"/>
      <c r="B2926" s="7"/>
      <c r="C2926" s="7"/>
      <c r="E2926" s="7"/>
      <c r="F2926" s="7"/>
      <c r="G2926" s="7"/>
      <c r="H2926" s="7"/>
      <c r="I2926" s="7"/>
      <c r="M2926" s="7"/>
      <c r="N2926" s="7"/>
      <c r="P2926" s="126"/>
    </row>
    <row r="2927" spans="1:16" ht="15.75" customHeight="1">
      <c r="A2927" s="126"/>
      <c r="B2927" s="7"/>
      <c r="C2927" s="7"/>
      <c r="E2927" s="7"/>
      <c r="F2927" s="7"/>
      <c r="G2927" s="7"/>
      <c r="H2927" s="7"/>
      <c r="I2927" s="7"/>
      <c r="M2927" s="7"/>
      <c r="N2927" s="7"/>
      <c r="P2927" s="126"/>
    </row>
    <row r="2928" spans="1:16" ht="15.75" customHeight="1">
      <c r="A2928" s="126"/>
      <c r="B2928" s="7"/>
      <c r="C2928" s="7"/>
      <c r="E2928" s="7"/>
      <c r="F2928" s="7"/>
      <c r="G2928" s="7"/>
      <c r="H2928" s="7"/>
      <c r="I2928" s="7"/>
      <c r="M2928" s="7"/>
      <c r="N2928" s="7"/>
      <c r="P2928" s="126"/>
    </row>
    <row r="2929" spans="1:16" ht="15.75" customHeight="1">
      <c r="A2929" s="126"/>
      <c r="B2929" s="7"/>
      <c r="C2929" s="7"/>
      <c r="E2929" s="7"/>
      <c r="F2929" s="7"/>
      <c r="G2929" s="7"/>
      <c r="H2929" s="7"/>
      <c r="I2929" s="7"/>
      <c r="J2929" s="7"/>
      <c r="M2929" s="7"/>
      <c r="N2929" s="7"/>
      <c r="P2929" s="126"/>
    </row>
    <row r="2930" spans="1:16" ht="15.75" customHeight="1">
      <c r="A2930" s="126"/>
      <c r="B2930" s="7"/>
      <c r="C2930" s="7"/>
      <c r="E2930" s="7"/>
      <c r="F2930" s="7"/>
      <c r="G2930" s="7"/>
      <c r="H2930" s="7"/>
      <c r="I2930" s="7"/>
      <c r="M2930" s="7"/>
      <c r="N2930" s="7"/>
      <c r="P2930" s="126"/>
    </row>
    <row r="2931" spans="1:16" ht="15.75" customHeight="1">
      <c r="A2931" s="126"/>
      <c r="B2931" s="7"/>
      <c r="C2931" s="7"/>
      <c r="E2931" s="7"/>
      <c r="F2931" s="7"/>
      <c r="G2931" s="7"/>
      <c r="H2931" s="7"/>
      <c r="I2931" s="7"/>
      <c r="J2931" s="7"/>
      <c r="M2931" s="7"/>
      <c r="N2931" s="7"/>
      <c r="O2931" s="126"/>
      <c r="P2931" s="126"/>
    </row>
    <row r="2932" spans="1:16" ht="15.75" customHeight="1">
      <c r="A2932" s="126"/>
      <c r="B2932" s="7"/>
      <c r="C2932" s="7"/>
      <c r="E2932" s="7"/>
      <c r="F2932" s="7"/>
      <c r="G2932" s="7"/>
      <c r="H2932" s="7"/>
      <c r="I2932" s="7"/>
      <c r="J2932" s="7"/>
      <c r="M2932" s="7"/>
      <c r="N2932" s="7"/>
      <c r="P2932" s="126"/>
    </row>
    <row r="2933" spans="1:16" ht="15.75" customHeight="1">
      <c r="A2933" s="126"/>
      <c r="B2933" s="7"/>
      <c r="C2933" s="7"/>
      <c r="E2933" s="7"/>
      <c r="F2933" s="7"/>
      <c r="G2933" s="7"/>
      <c r="H2933" s="7"/>
      <c r="I2933" s="7"/>
      <c r="J2933" s="7"/>
      <c r="M2933" s="7"/>
      <c r="N2933" s="7"/>
      <c r="O2933" s="126"/>
      <c r="P2933" s="126"/>
    </row>
    <row r="2934" spans="1:16" ht="15.75" customHeight="1">
      <c r="A2934" s="126"/>
      <c r="B2934" s="7"/>
      <c r="C2934" s="7"/>
      <c r="E2934" s="7"/>
      <c r="F2934" s="7"/>
      <c r="G2934" s="7"/>
      <c r="H2934" s="7"/>
      <c r="I2934" s="7"/>
      <c r="J2934" s="7"/>
      <c r="M2934" s="7"/>
      <c r="N2934" s="7"/>
      <c r="O2934" s="126"/>
      <c r="P2934" s="126"/>
    </row>
    <row r="2935" spans="1:16" ht="15.75" customHeight="1">
      <c r="A2935" s="126"/>
      <c r="B2935" s="7"/>
      <c r="C2935" s="7"/>
      <c r="E2935" s="7"/>
      <c r="F2935" s="7"/>
      <c r="G2935" s="7"/>
      <c r="H2935" s="7"/>
      <c r="I2935" s="7"/>
      <c r="M2935" s="7"/>
      <c r="N2935" s="7"/>
      <c r="P2935" s="126"/>
    </row>
    <row r="2936" spans="1:16" ht="15.75" customHeight="1">
      <c r="A2936" s="126"/>
      <c r="B2936" s="7"/>
      <c r="C2936" s="7"/>
      <c r="E2936" s="7"/>
      <c r="F2936" s="7"/>
      <c r="G2936" s="7"/>
      <c r="H2936" s="7"/>
      <c r="I2936" s="7"/>
      <c r="M2936" s="7"/>
      <c r="N2936" s="7"/>
      <c r="P2936" s="126"/>
    </row>
    <row r="2937" spans="1:16" ht="15.75" customHeight="1">
      <c r="A2937" s="126"/>
      <c r="B2937" s="7"/>
      <c r="C2937" s="7"/>
      <c r="E2937" s="7"/>
      <c r="F2937" s="7"/>
      <c r="G2937" s="7"/>
      <c r="H2937" s="7"/>
      <c r="I2937" s="7"/>
      <c r="M2937" s="7"/>
      <c r="N2937" s="7"/>
      <c r="P2937" s="126"/>
    </row>
    <row r="2938" spans="1:16" ht="15.75" customHeight="1">
      <c r="A2938" s="126"/>
      <c r="B2938" s="7"/>
      <c r="C2938" s="7"/>
      <c r="E2938" s="7"/>
      <c r="F2938" s="7"/>
      <c r="G2938" s="7"/>
      <c r="H2938" s="7"/>
      <c r="I2938" s="7"/>
      <c r="J2938" s="7"/>
      <c r="M2938" s="7"/>
      <c r="N2938" s="7"/>
      <c r="P2938" s="126"/>
    </row>
    <row r="2939" spans="1:16" ht="15.75" customHeight="1">
      <c r="A2939" s="126"/>
      <c r="B2939" s="7"/>
      <c r="C2939" s="7"/>
      <c r="E2939" s="7"/>
      <c r="F2939" s="7"/>
      <c r="G2939" s="7"/>
      <c r="H2939" s="7"/>
      <c r="I2939" s="7"/>
      <c r="M2939" s="7"/>
      <c r="N2939" s="7"/>
      <c r="P2939" s="126"/>
    </row>
    <row r="2940" spans="1:16" ht="15.75" customHeight="1">
      <c r="A2940" s="126"/>
      <c r="B2940" s="7"/>
      <c r="C2940" s="7"/>
      <c r="E2940" s="7"/>
      <c r="F2940" s="7"/>
      <c r="G2940" s="7"/>
      <c r="H2940" s="7"/>
      <c r="I2940" s="7"/>
      <c r="J2940" s="7"/>
      <c r="M2940" s="7"/>
      <c r="N2940" s="7"/>
      <c r="O2940" s="126"/>
      <c r="P2940" s="126"/>
    </row>
    <row r="2941" spans="1:16" ht="15.75" customHeight="1">
      <c r="A2941" s="126"/>
      <c r="B2941" s="7"/>
      <c r="C2941" s="7"/>
      <c r="E2941" s="7"/>
      <c r="F2941" s="7"/>
      <c r="G2941" s="7"/>
      <c r="H2941" s="7"/>
      <c r="I2941" s="7"/>
      <c r="J2941" s="7"/>
      <c r="M2941" s="7"/>
      <c r="N2941" s="7"/>
      <c r="P2941" s="126"/>
    </row>
    <row r="2942" spans="1:16" ht="15.75" customHeight="1">
      <c r="A2942" s="126"/>
      <c r="B2942" s="7"/>
      <c r="C2942" s="7"/>
      <c r="E2942" s="7"/>
      <c r="F2942" s="7"/>
      <c r="G2942" s="7"/>
      <c r="H2942" s="7"/>
      <c r="I2942" s="7"/>
      <c r="J2942" s="7"/>
      <c r="M2942" s="7"/>
      <c r="N2942" s="7"/>
      <c r="O2942" s="126"/>
      <c r="P2942" s="126"/>
    </row>
    <row r="2943" spans="1:16" ht="15.75" customHeight="1">
      <c r="A2943" s="126"/>
      <c r="B2943" s="7"/>
      <c r="C2943" s="7"/>
      <c r="E2943" s="7"/>
      <c r="F2943" s="7"/>
      <c r="G2943" s="7"/>
      <c r="H2943" s="7"/>
      <c r="I2943" s="7"/>
      <c r="J2943" s="7"/>
      <c r="M2943" s="7"/>
      <c r="N2943" s="7"/>
      <c r="O2943" s="126"/>
      <c r="P2943" s="126"/>
    </row>
    <row r="2944" spans="1:16" ht="15.75" customHeight="1">
      <c r="A2944" s="126"/>
      <c r="B2944" s="7"/>
      <c r="C2944" s="7"/>
      <c r="E2944" s="7"/>
      <c r="F2944" s="7"/>
      <c r="G2944" s="7"/>
      <c r="H2944" s="7"/>
      <c r="I2944" s="7"/>
      <c r="M2944" s="7"/>
      <c r="N2944" s="7"/>
      <c r="P2944" s="126"/>
    </row>
    <row r="2945" spans="1:16" ht="15.75" customHeight="1">
      <c r="A2945" s="126"/>
      <c r="B2945" s="7"/>
      <c r="C2945" s="7"/>
      <c r="E2945" s="7"/>
      <c r="F2945" s="7"/>
      <c r="G2945" s="7"/>
      <c r="H2945" s="7"/>
      <c r="I2945" s="7"/>
      <c r="M2945" s="7"/>
      <c r="N2945" s="7"/>
      <c r="P2945" s="126"/>
    </row>
    <row r="2946" spans="1:16" ht="15.75" customHeight="1">
      <c r="A2946" s="126"/>
      <c r="B2946" s="7"/>
      <c r="C2946" s="7"/>
      <c r="E2946" s="7"/>
      <c r="F2946" s="7"/>
      <c r="G2946" s="7"/>
      <c r="H2946" s="7"/>
      <c r="I2946" s="7"/>
      <c r="M2946" s="7"/>
      <c r="N2946" s="7"/>
      <c r="P2946" s="126"/>
    </row>
    <row r="2947" spans="1:16" ht="15.75" customHeight="1">
      <c r="A2947" s="126"/>
      <c r="B2947" s="7"/>
      <c r="C2947" s="7"/>
      <c r="E2947" s="7"/>
      <c r="F2947" s="7"/>
      <c r="G2947" s="7"/>
      <c r="H2947" s="7"/>
      <c r="I2947" s="7"/>
      <c r="J2947" s="7"/>
      <c r="M2947" s="7"/>
      <c r="N2947" s="7"/>
      <c r="P2947" s="126"/>
    </row>
    <row r="2948" spans="1:16" ht="15.75" customHeight="1">
      <c r="A2948" s="126"/>
      <c r="B2948" s="7"/>
      <c r="C2948" s="7"/>
      <c r="E2948" s="7"/>
      <c r="F2948" s="7"/>
      <c r="G2948" s="7"/>
      <c r="H2948" s="7"/>
      <c r="I2948" s="7"/>
      <c r="M2948" s="7"/>
      <c r="N2948" s="7"/>
      <c r="P2948" s="126"/>
    </row>
    <row r="2949" spans="1:16" ht="15.75" customHeight="1">
      <c r="A2949" s="126"/>
      <c r="B2949" s="7"/>
      <c r="C2949" s="7"/>
      <c r="E2949" s="7"/>
      <c r="F2949" s="7"/>
      <c r="G2949" s="7"/>
      <c r="H2949" s="7"/>
      <c r="I2949" s="7"/>
      <c r="J2949" s="7"/>
      <c r="M2949" s="7"/>
      <c r="N2949" s="7"/>
      <c r="P2949" s="126"/>
    </row>
    <row r="2950" spans="1:16" ht="15.75" customHeight="1">
      <c r="A2950" s="126"/>
      <c r="B2950" s="7"/>
      <c r="C2950" s="7"/>
      <c r="E2950" s="7"/>
      <c r="F2950" s="7"/>
      <c r="G2950" s="7"/>
      <c r="H2950" s="7"/>
      <c r="I2950" s="7"/>
      <c r="J2950" s="7"/>
      <c r="M2950" s="7"/>
      <c r="N2950" s="7"/>
      <c r="P2950" s="126"/>
    </row>
    <row r="2951" spans="1:16" ht="15.75" customHeight="1">
      <c r="A2951" s="126"/>
      <c r="B2951" s="7"/>
      <c r="C2951" s="7"/>
      <c r="E2951" s="7"/>
      <c r="F2951" s="7"/>
      <c r="G2951" s="7"/>
      <c r="H2951" s="7"/>
      <c r="I2951" s="7"/>
      <c r="J2951" s="7"/>
      <c r="M2951" s="7"/>
      <c r="N2951" s="7"/>
      <c r="O2951" s="126"/>
      <c r="P2951" s="126"/>
    </row>
    <row r="2952" spans="1:16" ht="15.75" customHeight="1">
      <c r="A2952" s="126"/>
      <c r="B2952" s="7"/>
      <c r="C2952" s="7"/>
      <c r="E2952" s="7"/>
      <c r="F2952" s="7"/>
      <c r="G2952" s="7"/>
      <c r="H2952" s="7"/>
      <c r="I2952" s="7"/>
      <c r="J2952" s="7"/>
      <c r="M2952" s="7"/>
      <c r="N2952" s="7"/>
      <c r="O2952" s="126"/>
      <c r="P2952" s="126"/>
    </row>
    <row r="2953" spans="1:16" ht="15.75" customHeight="1">
      <c r="A2953" s="126"/>
      <c r="B2953" s="7"/>
      <c r="C2953" s="7"/>
      <c r="E2953" s="7"/>
      <c r="F2953" s="7"/>
      <c r="G2953" s="7"/>
      <c r="H2953" s="7"/>
      <c r="I2953" s="7"/>
      <c r="M2953" s="7"/>
      <c r="N2953" s="7"/>
      <c r="P2953" s="126"/>
    </row>
    <row r="2954" spans="1:16" ht="15.75" customHeight="1">
      <c r="A2954" s="126"/>
      <c r="B2954" s="7"/>
      <c r="C2954" s="7"/>
      <c r="E2954" s="7"/>
      <c r="F2954" s="7"/>
      <c r="G2954" s="7"/>
      <c r="H2954" s="7"/>
      <c r="I2954" s="7"/>
      <c r="M2954" s="7"/>
      <c r="N2954" s="7"/>
      <c r="P2954" s="126"/>
    </row>
    <row r="2955" spans="1:16" ht="15.75" customHeight="1">
      <c r="A2955" s="126"/>
      <c r="B2955" s="7"/>
      <c r="C2955" s="7"/>
      <c r="E2955" s="7"/>
      <c r="F2955" s="7"/>
      <c r="G2955" s="7"/>
      <c r="H2955" s="7"/>
      <c r="I2955" s="7"/>
      <c r="M2955" s="7"/>
      <c r="N2955" s="7"/>
      <c r="P2955" s="126"/>
    </row>
    <row r="2956" spans="1:16" ht="15.75" customHeight="1">
      <c r="A2956" s="126"/>
      <c r="B2956" s="7"/>
      <c r="C2956" s="7"/>
      <c r="E2956" s="7"/>
      <c r="F2956" s="7"/>
      <c r="G2956" s="7"/>
      <c r="H2956" s="7"/>
      <c r="I2956" s="7"/>
      <c r="J2956" s="7"/>
      <c r="M2956" s="7"/>
      <c r="N2956" s="7"/>
      <c r="P2956" s="126"/>
    </row>
    <row r="2957" spans="1:16" ht="15.75" customHeight="1">
      <c r="A2957" s="126"/>
      <c r="B2957" s="7"/>
      <c r="C2957" s="7"/>
      <c r="E2957" s="7"/>
      <c r="F2957" s="7"/>
      <c r="G2957" s="7"/>
      <c r="H2957" s="7"/>
      <c r="I2957" s="7"/>
      <c r="M2957" s="7"/>
      <c r="N2957" s="7"/>
      <c r="P2957" s="126"/>
    </row>
    <row r="2958" spans="1:16" ht="15.75" customHeight="1">
      <c r="A2958" s="126"/>
      <c r="B2958" s="7"/>
      <c r="C2958" s="7"/>
      <c r="E2958" s="7"/>
      <c r="F2958" s="7"/>
      <c r="G2958" s="7"/>
      <c r="H2958" s="7"/>
      <c r="I2958" s="7"/>
      <c r="J2958" s="7"/>
      <c r="M2958" s="7"/>
      <c r="N2958" s="7"/>
      <c r="O2958" s="126"/>
      <c r="P2958" s="126"/>
    </row>
    <row r="2959" spans="1:16" ht="15.75" customHeight="1">
      <c r="A2959" s="126"/>
      <c r="B2959" s="7"/>
      <c r="C2959" s="7"/>
      <c r="E2959" s="7"/>
      <c r="F2959" s="7"/>
      <c r="G2959" s="7"/>
      <c r="H2959" s="7"/>
      <c r="I2959" s="7"/>
      <c r="J2959" s="7"/>
      <c r="M2959" s="7"/>
      <c r="N2959" s="7"/>
      <c r="P2959" s="126"/>
    </row>
    <row r="2960" spans="1:16" ht="15.75" customHeight="1">
      <c r="A2960" s="126"/>
      <c r="B2960" s="7"/>
      <c r="C2960" s="7"/>
      <c r="E2960" s="7"/>
      <c r="F2960" s="7"/>
      <c r="G2960" s="7"/>
      <c r="H2960" s="7"/>
      <c r="I2960" s="7"/>
      <c r="J2960" s="7"/>
      <c r="M2960" s="7"/>
      <c r="N2960" s="7"/>
      <c r="O2960" s="126"/>
      <c r="P2960" s="126"/>
    </row>
    <row r="2961" spans="1:16" ht="15.75" customHeight="1">
      <c r="A2961" s="126"/>
      <c r="B2961" s="7"/>
      <c r="C2961" s="7"/>
      <c r="E2961" s="7"/>
      <c r="F2961" s="7"/>
      <c r="G2961" s="7"/>
      <c r="H2961" s="7"/>
      <c r="I2961" s="7"/>
      <c r="J2961" s="7"/>
      <c r="M2961" s="7"/>
      <c r="N2961" s="7"/>
      <c r="O2961" s="126"/>
      <c r="P2961" s="126"/>
    </row>
    <row r="2962" spans="1:16" ht="15.75" customHeight="1">
      <c r="A2962" s="126"/>
      <c r="B2962" s="7"/>
      <c r="C2962" s="7"/>
      <c r="E2962" s="7"/>
      <c r="F2962" s="7"/>
      <c r="G2962" s="7"/>
      <c r="H2962" s="7"/>
      <c r="I2962" s="7"/>
      <c r="M2962" s="7"/>
      <c r="N2962" s="7"/>
      <c r="P2962" s="126"/>
    </row>
    <row r="2963" spans="1:16" ht="15.75" customHeight="1">
      <c r="A2963" s="126"/>
      <c r="B2963" s="7"/>
      <c r="C2963" s="7"/>
      <c r="E2963" s="7"/>
      <c r="F2963" s="7"/>
      <c r="G2963" s="7"/>
      <c r="H2963" s="7"/>
      <c r="I2963" s="7"/>
      <c r="M2963" s="7"/>
      <c r="N2963" s="7"/>
      <c r="P2963" s="126"/>
    </row>
    <row r="2964" spans="1:16" ht="15.75" customHeight="1">
      <c r="A2964" s="126"/>
      <c r="B2964" s="7"/>
      <c r="C2964" s="7"/>
      <c r="E2964" s="7"/>
      <c r="F2964" s="7"/>
      <c r="G2964" s="7"/>
      <c r="H2964" s="7"/>
      <c r="I2964" s="7"/>
      <c r="M2964" s="7"/>
      <c r="N2964" s="7"/>
      <c r="P2964" s="126"/>
    </row>
    <row r="2965" spans="1:16" ht="15.75" customHeight="1">
      <c r="A2965" s="126"/>
      <c r="B2965" s="7"/>
      <c r="C2965" s="7"/>
      <c r="E2965" s="7"/>
      <c r="F2965" s="7"/>
      <c r="G2965" s="7"/>
      <c r="H2965" s="7"/>
      <c r="I2965" s="7"/>
      <c r="J2965" s="7"/>
      <c r="M2965" s="7"/>
      <c r="N2965" s="7"/>
      <c r="P2965" s="126"/>
    </row>
    <row r="2966" spans="1:16" ht="15.75" customHeight="1">
      <c r="A2966" s="126"/>
      <c r="B2966" s="7"/>
      <c r="C2966" s="7"/>
      <c r="E2966" s="7"/>
      <c r="F2966" s="7"/>
      <c r="G2966" s="7"/>
      <c r="H2966" s="7"/>
      <c r="I2966" s="7"/>
      <c r="M2966" s="7"/>
      <c r="N2966" s="7"/>
      <c r="P2966" s="126"/>
    </row>
    <row r="2967" spans="1:16" ht="15.75" customHeight="1">
      <c r="A2967" s="126"/>
      <c r="B2967" s="7"/>
      <c r="C2967" s="7"/>
      <c r="E2967" s="7"/>
      <c r="F2967" s="7"/>
      <c r="G2967" s="7"/>
      <c r="H2967" s="7"/>
      <c r="I2967" s="7"/>
      <c r="J2967" s="7"/>
      <c r="M2967" s="7"/>
      <c r="N2967" s="7"/>
      <c r="O2967" s="126"/>
      <c r="P2967" s="126"/>
    </row>
    <row r="2968" spans="1:16" ht="15.75" customHeight="1">
      <c r="A2968" s="126"/>
      <c r="B2968" s="7"/>
      <c r="C2968" s="7"/>
      <c r="E2968" s="7"/>
      <c r="F2968" s="7"/>
      <c r="G2968" s="7"/>
      <c r="H2968" s="7"/>
      <c r="I2968" s="7"/>
      <c r="J2968" s="7"/>
      <c r="M2968" s="7"/>
      <c r="N2968" s="7"/>
      <c r="P2968" s="126"/>
    </row>
    <row r="2969" spans="1:16" ht="15.75" customHeight="1">
      <c r="A2969" s="126"/>
      <c r="B2969" s="7"/>
      <c r="C2969" s="7"/>
      <c r="E2969" s="7"/>
      <c r="F2969" s="7"/>
      <c r="G2969" s="7"/>
      <c r="H2969" s="7"/>
      <c r="I2969" s="7"/>
      <c r="J2969" s="7"/>
      <c r="M2969" s="7"/>
      <c r="N2969" s="7"/>
      <c r="O2969" s="126"/>
      <c r="P2969" s="126"/>
    </row>
    <row r="2970" spans="1:16" ht="15.75" customHeight="1">
      <c r="A2970" s="126"/>
      <c r="B2970" s="7"/>
      <c r="C2970" s="7"/>
      <c r="E2970" s="7"/>
      <c r="F2970" s="7"/>
      <c r="G2970" s="7"/>
      <c r="H2970" s="7"/>
      <c r="I2970" s="7"/>
      <c r="J2970" s="7"/>
      <c r="M2970" s="7"/>
      <c r="N2970" s="7"/>
      <c r="O2970" s="126"/>
      <c r="P2970" s="126"/>
    </row>
    <row r="2971" spans="1:16" ht="15.75" customHeight="1">
      <c r="A2971" s="126"/>
      <c r="B2971" s="7"/>
      <c r="C2971" s="7"/>
      <c r="E2971" s="7"/>
      <c r="F2971" s="7"/>
      <c r="G2971" s="7"/>
      <c r="H2971" s="7"/>
      <c r="I2971" s="7"/>
      <c r="M2971" s="7"/>
      <c r="N2971" s="7"/>
      <c r="P2971" s="126"/>
    </row>
    <row r="2972" spans="1:16" ht="15.75" customHeight="1">
      <c r="A2972" s="126"/>
      <c r="B2972" s="7"/>
      <c r="C2972" s="7"/>
      <c r="E2972" s="7"/>
      <c r="F2972" s="7"/>
      <c r="G2972" s="7"/>
      <c r="H2972" s="7"/>
      <c r="I2972" s="7"/>
      <c r="M2972" s="7"/>
      <c r="N2972" s="7"/>
      <c r="P2972" s="126"/>
    </row>
    <row r="2973" spans="1:16" ht="15.75" customHeight="1">
      <c r="A2973" s="126"/>
      <c r="B2973" s="7"/>
      <c r="C2973" s="7"/>
      <c r="E2973" s="7"/>
      <c r="F2973" s="7"/>
      <c r="G2973" s="7"/>
      <c r="H2973" s="7"/>
      <c r="I2973" s="7"/>
      <c r="M2973" s="7"/>
      <c r="N2973" s="7"/>
      <c r="P2973" s="126"/>
    </row>
    <row r="2974" spans="1:16" ht="15.75" customHeight="1">
      <c r="A2974" s="126"/>
      <c r="B2974" s="7"/>
      <c r="C2974" s="7"/>
      <c r="E2974" s="7"/>
      <c r="F2974" s="7"/>
      <c r="G2974" s="7"/>
      <c r="H2974" s="7"/>
      <c r="I2974" s="7"/>
      <c r="J2974" s="7"/>
      <c r="M2974" s="7"/>
      <c r="N2974" s="7"/>
      <c r="P2974" s="126"/>
    </row>
    <row r="2975" spans="1:16" ht="15.75" customHeight="1">
      <c r="A2975" s="126"/>
      <c r="B2975" s="7"/>
      <c r="C2975" s="7"/>
      <c r="E2975" s="7"/>
      <c r="F2975" s="7"/>
      <c r="G2975" s="7"/>
      <c r="H2975" s="7"/>
      <c r="I2975" s="7"/>
      <c r="M2975" s="7"/>
      <c r="N2975" s="7"/>
      <c r="P2975" s="126"/>
    </row>
    <row r="2976" spans="1:16" ht="15.75" customHeight="1">
      <c r="A2976" s="126"/>
      <c r="B2976" s="7"/>
      <c r="C2976" s="7"/>
      <c r="E2976" s="7"/>
      <c r="F2976" s="7"/>
      <c r="G2976" s="7"/>
      <c r="H2976" s="7"/>
      <c r="I2976" s="7"/>
      <c r="J2976" s="7"/>
      <c r="M2976" s="7"/>
      <c r="N2976" s="7"/>
      <c r="P2976" s="126"/>
    </row>
    <row r="2977" spans="1:16" ht="15.75" customHeight="1">
      <c r="A2977" s="126"/>
      <c r="B2977" s="7"/>
      <c r="C2977" s="7"/>
      <c r="E2977" s="7"/>
      <c r="F2977" s="7"/>
      <c r="G2977" s="7"/>
      <c r="H2977" s="7"/>
      <c r="I2977" s="7"/>
      <c r="J2977" s="7"/>
      <c r="M2977" s="7"/>
      <c r="N2977" s="7"/>
      <c r="P2977" s="126"/>
    </row>
    <row r="2978" spans="1:16" ht="15.75" customHeight="1">
      <c r="A2978" s="126"/>
      <c r="B2978" s="7"/>
      <c r="C2978" s="7"/>
      <c r="E2978" s="7"/>
      <c r="F2978" s="7"/>
      <c r="G2978" s="7"/>
      <c r="H2978" s="7"/>
      <c r="I2978" s="7"/>
      <c r="J2978" s="7"/>
      <c r="M2978" s="7"/>
      <c r="N2978" s="7"/>
      <c r="O2978" s="126"/>
      <c r="P2978" s="126"/>
    </row>
    <row r="2979" spans="1:16" ht="15.75" customHeight="1">
      <c r="A2979" s="126"/>
      <c r="B2979" s="7"/>
      <c r="C2979" s="7"/>
      <c r="E2979" s="7"/>
      <c r="F2979" s="7"/>
      <c r="G2979" s="7"/>
      <c r="H2979" s="7"/>
      <c r="I2979" s="7"/>
      <c r="J2979" s="7"/>
      <c r="M2979" s="7"/>
      <c r="N2979" s="7"/>
      <c r="O2979" s="126"/>
      <c r="P2979" s="126"/>
    </row>
    <row r="2980" spans="1:16" ht="15.75" customHeight="1">
      <c r="A2980" s="126"/>
      <c r="B2980" s="7"/>
      <c r="C2980" s="7"/>
      <c r="E2980" s="7"/>
      <c r="F2980" s="7"/>
      <c r="G2980" s="7"/>
      <c r="H2980" s="7"/>
      <c r="I2980" s="7"/>
      <c r="M2980" s="7"/>
      <c r="N2980" s="7"/>
      <c r="P2980" s="126"/>
    </row>
    <row r="2981" spans="1:16" ht="15.75" customHeight="1">
      <c r="A2981" s="126"/>
      <c r="B2981" s="7"/>
      <c r="C2981" s="7"/>
      <c r="E2981" s="7"/>
      <c r="F2981" s="7"/>
      <c r="G2981" s="7"/>
      <c r="H2981" s="7"/>
      <c r="I2981" s="7"/>
      <c r="M2981" s="7"/>
      <c r="N2981" s="7"/>
      <c r="P2981" s="126"/>
    </row>
    <row r="2982" spans="1:16" ht="15.75" customHeight="1">
      <c r="A2982" s="126"/>
      <c r="B2982" s="7"/>
      <c r="C2982" s="7"/>
      <c r="E2982" s="7"/>
      <c r="F2982" s="7"/>
      <c r="G2982" s="7"/>
      <c r="H2982" s="7"/>
      <c r="I2982" s="7"/>
      <c r="M2982" s="7"/>
      <c r="N2982" s="7"/>
      <c r="P2982" s="126"/>
    </row>
    <row r="2983" spans="1:16" ht="15.75" customHeight="1">
      <c r="A2983" s="126"/>
      <c r="B2983" s="7"/>
      <c r="C2983" s="7"/>
      <c r="E2983" s="7"/>
      <c r="F2983" s="7"/>
      <c r="G2983" s="7"/>
      <c r="H2983" s="7"/>
      <c r="I2983" s="7"/>
      <c r="J2983" s="7"/>
      <c r="M2983" s="7"/>
      <c r="N2983" s="7"/>
      <c r="P2983" s="126"/>
    </row>
    <row r="2984" spans="1:16" ht="15.75" customHeight="1">
      <c r="A2984" s="126"/>
      <c r="B2984" s="7"/>
      <c r="C2984" s="7"/>
      <c r="E2984" s="7"/>
      <c r="F2984" s="7"/>
      <c r="G2984" s="7"/>
      <c r="H2984" s="7"/>
      <c r="I2984" s="7"/>
      <c r="M2984" s="7"/>
      <c r="N2984" s="7"/>
      <c r="P2984" s="126"/>
    </row>
    <row r="2985" spans="1:16" ht="15.75" customHeight="1">
      <c r="A2985" s="126"/>
      <c r="B2985" s="7"/>
      <c r="C2985" s="7"/>
      <c r="E2985" s="7"/>
      <c r="F2985" s="7"/>
      <c r="G2985" s="7"/>
      <c r="H2985" s="7"/>
      <c r="I2985" s="7"/>
      <c r="J2985" s="7"/>
      <c r="M2985" s="7"/>
      <c r="N2985" s="7"/>
      <c r="P2985" s="126"/>
    </row>
    <row r="2986" spans="1:16" ht="15.75" customHeight="1">
      <c r="A2986" s="126"/>
      <c r="B2986" s="7"/>
      <c r="C2986" s="7"/>
      <c r="E2986" s="7"/>
      <c r="F2986" s="7"/>
      <c r="G2986" s="7"/>
      <c r="H2986" s="7"/>
      <c r="I2986" s="7"/>
      <c r="J2986" s="7"/>
      <c r="M2986" s="7"/>
      <c r="N2986" s="7"/>
      <c r="P2986" s="126"/>
    </row>
    <row r="2987" spans="1:16" ht="15.75" customHeight="1">
      <c r="A2987" s="126"/>
      <c r="B2987" s="7"/>
      <c r="C2987" s="7"/>
      <c r="E2987" s="7"/>
      <c r="F2987" s="7"/>
      <c r="G2987" s="7"/>
      <c r="H2987" s="7"/>
      <c r="I2987" s="7"/>
      <c r="J2987" s="7"/>
      <c r="M2987" s="7"/>
      <c r="N2987" s="7"/>
      <c r="P2987" s="126"/>
    </row>
    <row r="2988" spans="1:16" ht="15.75" customHeight="1">
      <c r="A2988" s="126"/>
      <c r="B2988" s="7"/>
      <c r="C2988" s="7"/>
      <c r="E2988" s="7"/>
      <c r="F2988" s="7"/>
      <c r="G2988" s="7"/>
      <c r="H2988" s="7"/>
      <c r="I2988" s="7"/>
      <c r="J2988" s="7"/>
      <c r="M2988" s="7"/>
      <c r="N2988" s="7"/>
      <c r="P2988" s="126"/>
    </row>
    <row r="2989" spans="1:16" ht="15.75" customHeight="1">
      <c r="A2989" s="126"/>
      <c r="B2989" s="7"/>
      <c r="C2989" s="7"/>
      <c r="E2989" s="7"/>
      <c r="F2989" s="7"/>
      <c r="G2989" s="7"/>
      <c r="H2989" s="7"/>
      <c r="I2989" s="7"/>
      <c r="M2989" s="7"/>
      <c r="N2989" s="7"/>
      <c r="P2989" s="126"/>
    </row>
    <row r="2990" spans="1:16" ht="15.75" customHeight="1">
      <c r="A2990" s="126"/>
      <c r="B2990" s="7"/>
      <c r="C2990" s="7"/>
      <c r="E2990" s="7"/>
      <c r="F2990" s="7"/>
      <c r="G2990" s="7"/>
      <c r="H2990" s="7"/>
      <c r="I2990" s="7"/>
      <c r="M2990" s="7"/>
      <c r="N2990" s="7"/>
      <c r="P2990" s="126"/>
    </row>
    <row r="2991" spans="1:16" ht="15.75" customHeight="1">
      <c r="A2991" s="126"/>
      <c r="B2991" s="7"/>
      <c r="C2991" s="7"/>
      <c r="E2991" s="7"/>
      <c r="F2991" s="7"/>
      <c r="G2991" s="7"/>
      <c r="H2991" s="7"/>
      <c r="I2991" s="7"/>
      <c r="M2991" s="7"/>
      <c r="N2991" s="7"/>
      <c r="P2991" s="126"/>
    </row>
    <row r="2992" spans="1:16" ht="15.75" customHeight="1">
      <c r="A2992" s="126"/>
      <c r="B2992" s="7"/>
      <c r="C2992" s="7"/>
      <c r="E2992" s="7"/>
      <c r="F2992" s="7"/>
      <c r="G2992" s="7"/>
      <c r="H2992" s="7"/>
      <c r="I2992" s="7"/>
      <c r="J2992" s="7"/>
      <c r="M2992" s="7"/>
      <c r="N2992" s="7"/>
      <c r="P2992" s="126"/>
    </row>
    <row r="2993" spans="1:16" ht="15.75" customHeight="1">
      <c r="A2993" s="126"/>
      <c r="B2993" s="7"/>
      <c r="C2993" s="7"/>
      <c r="E2993" s="7"/>
      <c r="F2993" s="7"/>
      <c r="G2993" s="7"/>
      <c r="H2993" s="7"/>
      <c r="I2993" s="7"/>
      <c r="M2993" s="7"/>
      <c r="N2993" s="7"/>
      <c r="P2993" s="126"/>
    </row>
    <row r="2994" spans="1:16" ht="15.75" customHeight="1">
      <c r="A2994" s="126"/>
      <c r="B2994" s="7"/>
      <c r="C2994" s="7"/>
      <c r="E2994" s="7"/>
      <c r="F2994" s="7"/>
      <c r="G2994" s="7"/>
      <c r="H2994" s="7"/>
      <c r="I2994" s="7"/>
      <c r="J2994" s="7"/>
      <c r="M2994" s="7"/>
      <c r="N2994" s="7"/>
      <c r="P2994" s="126"/>
    </row>
    <row r="2995" spans="1:16" ht="15.75" customHeight="1">
      <c r="A2995" s="126"/>
      <c r="B2995" s="7"/>
      <c r="C2995" s="7"/>
      <c r="E2995" s="7"/>
      <c r="F2995" s="7"/>
      <c r="G2995" s="7"/>
      <c r="H2995" s="7"/>
      <c r="I2995" s="7"/>
      <c r="J2995" s="7"/>
      <c r="M2995" s="7"/>
      <c r="N2995" s="7"/>
      <c r="P2995" s="126"/>
    </row>
    <row r="2996" spans="1:16" ht="15.75" customHeight="1">
      <c r="A2996" s="126"/>
      <c r="B2996" s="7"/>
      <c r="C2996" s="7"/>
      <c r="E2996" s="7"/>
      <c r="F2996" s="7"/>
      <c r="G2996" s="7"/>
      <c r="H2996" s="7"/>
      <c r="I2996" s="7"/>
      <c r="J2996" s="7"/>
      <c r="M2996" s="7"/>
      <c r="N2996" s="7"/>
      <c r="P2996" s="126"/>
    </row>
    <row r="2997" spans="1:16" ht="15.75" customHeight="1">
      <c r="A2997" s="126"/>
      <c r="B2997" s="7"/>
      <c r="C2997" s="7"/>
      <c r="E2997" s="7"/>
      <c r="F2997" s="7"/>
      <c r="G2997" s="7"/>
      <c r="H2997" s="7"/>
      <c r="I2997" s="7"/>
      <c r="J2997" s="7"/>
      <c r="M2997" s="7"/>
      <c r="N2997" s="7"/>
      <c r="P2997" s="126"/>
    </row>
    <row r="2998" spans="1:16" ht="15.75" customHeight="1">
      <c r="A2998" s="126"/>
      <c r="B2998" s="7"/>
      <c r="C2998" s="7"/>
      <c r="E2998" s="7"/>
      <c r="F2998" s="7"/>
      <c r="G2998" s="7"/>
      <c r="H2998" s="7"/>
      <c r="I2998" s="7"/>
      <c r="M2998" s="7"/>
      <c r="N2998" s="7"/>
      <c r="P2998" s="12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J294"/>
  <sheetViews>
    <sheetView workbookViewId="0"/>
  </sheetViews>
  <sheetFormatPr baseColWidth="10" defaultColWidth="12.6640625" defaultRowHeight="15.75" customHeight="1"/>
  <cols>
    <col min="1" max="1" width="21.83203125" customWidth="1"/>
    <col min="3" max="3" width="23.33203125" customWidth="1"/>
    <col min="4" max="4" width="27.83203125" hidden="1" customWidth="1"/>
    <col min="5" max="5" width="27.83203125" customWidth="1"/>
    <col min="7" max="7" width="32.1640625" customWidth="1"/>
    <col min="12" max="12" width="35.1640625" customWidth="1"/>
  </cols>
  <sheetData>
    <row r="1" spans="1:36" ht="15.75" customHeight="1">
      <c r="A1" s="48"/>
      <c r="B1" s="48"/>
      <c r="C1" s="48" t="s">
        <v>1222</v>
      </c>
      <c r="D1" s="48"/>
      <c r="E1" s="48" t="s">
        <v>1223</v>
      </c>
      <c r="F1" s="48" t="s">
        <v>1224</v>
      </c>
      <c r="G1" s="48" t="s">
        <v>1225</v>
      </c>
      <c r="H1" s="48" t="s">
        <v>1226</v>
      </c>
      <c r="I1" s="48" t="s">
        <v>1227</v>
      </c>
      <c r="J1" s="48" t="s">
        <v>1228</v>
      </c>
      <c r="K1" s="48" t="s">
        <v>1229</v>
      </c>
      <c r="L1" s="48" t="s">
        <v>1230</v>
      </c>
      <c r="M1" s="48" t="s">
        <v>1231</v>
      </c>
      <c r="N1" s="48" t="s">
        <v>1232</v>
      </c>
      <c r="O1" s="48" t="s">
        <v>1233</v>
      </c>
      <c r="P1" s="48" t="s">
        <v>1234</v>
      </c>
      <c r="Q1" s="48" t="s">
        <v>1235</v>
      </c>
      <c r="R1" s="48" t="s">
        <v>1236</v>
      </c>
      <c r="S1" s="48" t="s">
        <v>1237</v>
      </c>
      <c r="T1" s="48" t="s">
        <v>1238</v>
      </c>
      <c r="U1" s="48" t="s">
        <v>1239</v>
      </c>
      <c r="V1" s="48" t="s">
        <v>1240</v>
      </c>
      <c r="W1" s="48" t="s">
        <v>1241</v>
      </c>
      <c r="X1" s="48" t="s">
        <v>1242</v>
      </c>
      <c r="Y1" s="48" t="s">
        <v>1243</v>
      </c>
      <c r="Z1" s="48" t="s">
        <v>1244</v>
      </c>
      <c r="AA1" s="48" t="s">
        <v>1245</v>
      </c>
      <c r="AB1" s="48" t="s">
        <v>1246</v>
      </c>
      <c r="AC1" s="48" t="s">
        <v>1247</v>
      </c>
      <c r="AD1" s="48" t="s">
        <v>1248</v>
      </c>
      <c r="AE1" s="48" t="s">
        <v>1249</v>
      </c>
      <c r="AF1" s="48" t="s">
        <v>1250</v>
      </c>
      <c r="AG1" s="48" t="s">
        <v>1251</v>
      </c>
      <c r="AH1" s="48" t="s">
        <v>1252</v>
      </c>
      <c r="AI1" s="48" t="s">
        <v>1253</v>
      </c>
      <c r="AJ1" s="48"/>
    </row>
    <row r="2" spans="1:36" ht="15.75" customHeight="1">
      <c r="A2" s="48" t="b">
        <v>1</v>
      </c>
      <c r="B2" s="127" t="e">
        <f t="array" ref="B2">_xlfn.XLOOKUP(E2,#REF!,#REF!)</f>
        <v>#REF!</v>
      </c>
      <c r="C2" s="48" t="s">
        <v>1192</v>
      </c>
      <c r="D2" s="48"/>
      <c r="E2" s="48" t="s">
        <v>228</v>
      </c>
      <c r="F2" s="127">
        <v>46206.703472222202</v>
      </c>
      <c r="G2" s="48" t="s">
        <v>1254</v>
      </c>
      <c r="H2" s="48" t="s">
        <v>1255</v>
      </c>
      <c r="I2" s="48" t="s">
        <v>1256</v>
      </c>
      <c r="J2" s="153" t="s">
        <v>1257</v>
      </c>
      <c r="K2" s="154"/>
      <c r="L2" s="48" t="s">
        <v>1258</v>
      </c>
      <c r="M2" s="48" t="s">
        <v>1259</v>
      </c>
      <c r="N2" s="48" t="s">
        <v>1260</v>
      </c>
      <c r="O2" s="48">
        <v>2</v>
      </c>
      <c r="P2" s="48">
        <v>2</v>
      </c>
      <c r="Q2" s="48">
        <v>3</v>
      </c>
      <c r="R2" s="48">
        <v>2</v>
      </c>
      <c r="S2" s="48">
        <v>2</v>
      </c>
      <c r="T2" s="48">
        <v>2</v>
      </c>
      <c r="U2" s="48">
        <v>2</v>
      </c>
      <c r="V2" s="48">
        <v>2</v>
      </c>
      <c r="W2" s="48">
        <v>4</v>
      </c>
      <c r="X2" s="48">
        <v>4</v>
      </c>
      <c r="Y2" s="48">
        <v>4</v>
      </c>
      <c r="Z2" s="48">
        <v>4</v>
      </c>
      <c r="AA2" s="48">
        <v>3</v>
      </c>
      <c r="AB2" s="48">
        <v>4</v>
      </c>
      <c r="AC2" s="48">
        <v>4</v>
      </c>
      <c r="AD2" s="48">
        <v>3</v>
      </c>
      <c r="AE2" s="48" t="s">
        <v>1261</v>
      </c>
      <c r="AF2" s="48" t="s">
        <v>1262</v>
      </c>
      <c r="AG2" s="48" t="s">
        <v>1263</v>
      </c>
      <c r="AH2" s="48" t="s">
        <v>1264</v>
      </c>
      <c r="AI2" s="48" t="s">
        <v>1265</v>
      </c>
      <c r="AJ2" s="48"/>
    </row>
    <row r="3" spans="1:36" ht="15.75" customHeight="1">
      <c r="A3" s="48" t="b">
        <v>1</v>
      </c>
      <c r="B3" s="127" t="e">
        <f t="array" ref="B3">_xlfn.XLOOKUP(E3,#REF!,#REF!)</f>
        <v>#REF!</v>
      </c>
      <c r="C3" s="48" t="s">
        <v>1174</v>
      </c>
      <c r="D3" s="48"/>
      <c r="E3" s="48" t="s">
        <v>163</v>
      </c>
      <c r="F3" s="127">
        <v>46206.7097222222</v>
      </c>
      <c r="G3" s="48" t="s">
        <v>1266</v>
      </c>
      <c r="H3" s="48" t="s">
        <v>1267</v>
      </c>
      <c r="I3" s="48" t="s">
        <v>1256</v>
      </c>
      <c r="J3" s="153" t="s">
        <v>1268</v>
      </c>
      <c r="K3" s="154"/>
      <c r="L3" s="48" t="s">
        <v>1269</v>
      </c>
      <c r="M3" s="48" t="s">
        <v>1259</v>
      </c>
      <c r="N3" s="48" t="s">
        <v>1270</v>
      </c>
      <c r="O3" s="48">
        <v>2</v>
      </c>
      <c r="P3" s="48">
        <v>1</v>
      </c>
      <c r="Q3" s="48">
        <v>4</v>
      </c>
      <c r="R3" s="48">
        <v>3</v>
      </c>
      <c r="S3" s="48">
        <v>4</v>
      </c>
      <c r="T3" s="48">
        <v>4</v>
      </c>
      <c r="U3" s="48">
        <v>1</v>
      </c>
      <c r="V3" s="48">
        <v>2</v>
      </c>
      <c r="W3" s="48">
        <v>2</v>
      </c>
      <c r="X3" s="48">
        <v>2</v>
      </c>
      <c r="Y3" s="48">
        <v>2</v>
      </c>
      <c r="Z3" s="48">
        <v>3</v>
      </c>
      <c r="AA3" s="48">
        <v>2</v>
      </c>
      <c r="AB3" s="48">
        <v>1</v>
      </c>
      <c r="AC3" s="48">
        <v>2</v>
      </c>
      <c r="AD3" s="48">
        <v>2</v>
      </c>
      <c r="AE3" s="48" t="s">
        <v>1261</v>
      </c>
      <c r="AF3" s="48" t="s">
        <v>1271</v>
      </c>
      <c r="AG3" s="48" t="s">
        <v>1272</v>
      </c>
      <c r="AH3" s="48" t="s">
        <v>1273</v>
      </c>
      <c r="AI3" s="48" t="s">
        <v>1274</v>
      </c>
      <c r="AJ3" s="48"/>
    </row>
    <row r="4" spans="1:36" ht="15.75" customHeight="1">
      <c r="A4" s="48" t="b">
        <v>1</v>
      </c>
      <c r="B4" s="127" t="e">
        <f t="array" ref="B4">_xlfn.XLOOKUP(E4,#REF!,#REF!)</f>
        <v>#REF!</v>
      </c>
      <c r="C4" s="48" t="s">
        <v>1116</v>
      </c>
      <c r="D4" s="48"/>
      <c r="E4" s="48" t="s">
        <v>238</v>
      </c>
      <c r="F4" s="127">
        <v>46206.7097222222</v>
      </c>
      <c r="G4" s="48" t="s">
        <v>1275</v>
      </c>
      <c r="H4" s="48" t="s">
        <v>1276</v>
      </c>
      <c r="I4" s="48" t="s">
        <v>1277</v>
      </c>
      <c r="J4" s="153" t="s">
        <v>1278</v>
      </c>
      <c r="K4" s="154"/>
      <c r="L4" s="48" t="s">
        <v>1279</v>
      </c>
      <c r="M4" s="48" t="s">
        <v>1259</v>
      </c>
      <c r="N4" s="48" t="s">
        <v>1280</v>
      </c>
      <c r="O4" s="48">
        <v>2</v>
      </c>
      <c r="P4" s="48">
        <v>3</v>
      </c>
      <c r="Q4" s="48">
        <v>3</v>
      </c>
      <c r="R4" s="48">
        <v>3</v>
      </c>
      <c r="S4" s="48">
        <v>3</v>
      </c>
      <c r="T4" s="48">
        <v>3</v>
      </c>
      <c r="U4" s="48">
        <v>3</v>
      </c>
      <c r="V4" s="48">
        <v>3</v>
      </c>
      <c r="W4" s="48">
        <v>3</v>
      </c>
      <c r="X4" s="48">
        <v>3</v>
      </c>
      <c r="Y4" s="48">
        <v>2</v>
      </c>
      <c r="Z4" s="48">
        <v>3</v>
      </c>
      <c r="AA4" s="48">
        <v>3</v>
      </c>
      <c r="AB4" s="48">
        <v>3</v>
      </c>
      <c r="AC4" s="48">
        <v>2</v>
      </c>
      <c r="AD4" s="48">
        <v>2</v>
      </c>
      <c r="AE4" s="48" t="s">
        <v>1261</v>
      </c>
      <c r="AF4" s="48" t="s">
        <v>1281</v>
      </c>
      <c r="AG4" s="48" t="s">
        <v>1282</v>
      </c>
      <c r="AH4" s="48" t="s">
        <v>1283</v>
      </c>
      <c r="AI4" s="48" t="s">
        <v>1284</v>
      </c>
      <c r="AJ4" s="48"/>
    </row>
    <row r="5" spans="1:36" ht="15.75" customHeight="1">
      <c r="A5" s="48" t="b">
        <v>1</v>
      </c>
      <c r="B5" s="127" t="e">
        <f t="array" ref="B5">_xlfn.XLOOKUP(E5,#REF!,#REF!)</f>
        <v>#REF!</v>
      </c>
      <c r="C5" s="48" t="s">
        <v>1285</v>
      </c>
      <c r="D5" s="48"/>
      <c r="E5" s="48" t="s">
        <v>756</v>
      </c>
      <c r="F5" s="127">
        <v>46206.711111111101</v>
      </c>
      <c r="G5" s="48" t="s">
        <v>1286</v>
      </c>
      <c r="H5" s="48" t="s">
        <v>1276</v>
      </c>
      <c r="I5" s="48" t="s">
        <v>1256</v>
      </c>
      <c r="J5" s="153" t="s">
        <v>1287</v>
      </c>
      <c r="K5" s="154"/>
      <c r="L5" s="48" t="s">
        <v>1258</v>
      </c>
      <c r="M5" s="48" t="s">
        <v>1259</v>
      </c>
      <c r="N5" s="48" t="s">
        <v>1288</v>
      </c>
      <c r="O5" s="48">
        <v>2</v>
      </c>
      <c r="P5" s="48">
        <v>2</v>
      </c>
      <c r="Q5" s="48">
        <v>3</v>
      </c>
      <c r="R5" s="48">
        <v>3</v>
      </c>
      <c r="S5" s="48">
        <v>2</v>
      </c>
      <c r="T5" s="48">
        <v>1</v>
      </c>
      <c r="U5" s="48">
        <v>3</v>
      </c>
      <c r="V5" s="48">
        <v>2</v>
      </c>
      <c r="W5" s="48">
        <v>3</v>
      </c>
      <c r="X5" s="48">
        <v>4</v>
      </c>
      <c r="Y5" s="48">
        <v>4</v>
      </c>
      <c r="Z5" s="48">
        <v>4</v>
      </c>
      <c r="AA5" s="48">
        <v>4</v>
      </c>
      <c r="AB5" s="48">
        <v>4</v>
      </c>
      <c r="AC5" s="48">
        <v>4</v>
      </c>
      <c r="AD5" s="48">
        <v>3</v>
      </c>
      <c r="AE5" s="48" t="s">
        <v>1261</v>
      </c>
      <c r="AF5" s="48" t="s">
        <v>1289</v>
      </c>
      <c r="AG5" s="48" t="s">
        <v>1282</v>
      </c>
      <c r="AH5" s="48" t="s">
        <v>1290</v>
      </c>
      <c r="AI5" s="48" t="s">
        <v>1291</v>
      </c>
      <c r="AJ5" s="48"/>
    </row>
    <row r="6" spans="1:36" ht="15.75" customHeight="1">
      <c r="A6" s="48" t="b">
        <v>1</v>
      </c>
      <c r="B6" s="127" t="e">
        <f t="array" ref="B6">_xlfn.XLOOKUP(E6,#REF!,#REF!)</f>
        <v>#REF!</v>
      </c>
      <c r="C6" s="48" t="s">
        <v>1124</v>
      </c>
      <c r="D6" s="48"/>
      <c r="E6" s="48" t="s">
        <v>615</v>
      </c>
      <c r="F6" s="127">
        <v>46206.711805555598</v>
      </c>
      <c r="G6" s="48" t="s">
        <v>1292</v>
      </c>
      <c r="H6" s="48" t="s">
        <v>1276</v>
      </c>
      <c r="I6" s="48" t="s">
        <v>1277</v>
      </c>
      <c r="J6" s="153" t="s">
        <v>1293</v>
      </c>
      <c r="K6" s="154"/>
      <c r="L6" s="48" t="s">
        <v>1279</v>
      </c>
      <c r="M6" s="48" t="s">
        <v>1294</v>
      </c>
      <c r="N6" s="48" t="s">
        <v>1280</v>
      </c>
      <c r="O6" s="48">
        <v>0</v>
      </c>
      <c r="P6" s="48">
        <v>2</v>
      </c>
      <c r="Q6" s="48">
        <v>1</v>
      </c>
      <c r="R6" s="48">
        <v>0</v>
      </c>
      <c r="S6" s="48">
        <v>0</v>
      </c>
      <c r="T6" s="48">
        <v>0</v>
      </c>
      <c r="U6" s="48">
        <v>0</v>
      </c>
      <c r="V6" s="48">
        <v>1</v>
      </c>
      <c r="W6" s="48">
        <v>3</v>
      </c>
      <c r="X6" s="48">
        <v>3</v>
      </c>
      <c r="Y6" s="48">
        <v>3</v>
      </c>
      <c r="Z6" s="48">
        <v>2</v>
      </c>
      <c r="AA6" s="48">
        <v>1</v>
      </c>
      <c r="AB6" s="48">
        <v>0</v>
      </c>
      <c r="AC6" s="48">
        <v>0</v>
      </c>
      <c r="AD6" s="48">
        <v>1</v>
      </c>
      <c r="AE6" s="48" t="s">
        <v>1295</v>
      </c>
      <c r="AF6" s="48" t="s">
        <v>1262</v>
      </c>
      <c r="AG6" s="48" t="s">
        <v>1272</v>
      </c>
      <c r="AH6" s="48" t="s">
        <v>1296</v>
      </c>
      <c r="AI6" s="48" t="s">
        <v>1297</v>
      </c>
      <c r="AJ6" s="48"/>
    </row>
    <row r="7" spans="1:36" ht="15.75" customHeight="1">
      <c r="A7" s="48" t="b">
        <v>1</v>
      </c>
      <c r="B7" s="127" t="e">
        <f t="array" ref="B7">_xlfn.XLOOKUP(E7,#REF!,#REF!)</f>
        <v>#REF!</v>
      </c>
      <c r="C7" s="48" t="s">
        <v>935</v>
      </c>
      <c r="D7" s="48"/>
      <c r="E7" s="48" t="s">
        <v>626</v>
      </c>
      <c r="F7" s="127">
        <v>46206.711805555598</v>
      </c>
      <c r="G7" s="48" t="s">
        <v>1298</v>
      </c>
      <c r="H7" s="48" t="s">
        <v>1255</v>
      </c>
      <c r="I7" s="48" t="s">
        <v>1299</v>
      </c>
      <c r="J7" s="153" t="s">
        <v>1257</v>
      </c>
      <c r="K7" s="154"/>
      <c r="L7" s="48" t="s">
        <v>1269</v>
      </c>
      <c r="M7" s="48" t="s">
        <v>1259</v>
      </c>
      <c r="N7" s="48" t="s">
        <v>1288</v>
      </c>
      <c r="O7" s="48">
        <v>2</v>
      </c>
      <c r="P7" s="48">
        <v>1</v>
      </c>
      <c r="Q7" s="48">
        <v>4</v>
      </c>
      <c r="R7" s="48">
        <v>3</v>
      </c>
      <c r="S7" s="48">
        <v>1</v>
      </c>
      <c r="T7" s="48">
        <v>1</v>
      </c>
      <c r="U7" s="48">
        <v>2</v>
      </c>
      <c r="V7" s="48">
        <v>2</v>
      </c>
      <c r="W7" s="48">
        <v>2</v>
      </c>
      <c r="X7" s="48">
        <v>2</v>
      </c>
      <c r="Y7" s="48">
        <v>2</v>
      </c>
      <c r="Z7" s="48">
        <v>2</v>
      </c>
      <c r="AA7" s="48">
        <v>2</v>
      </c>
      <c r="AB7" s="48">
        <v>2</v>
      </c>
      <c r="AC7" s="48">
        <v>2</v>
      </c>
      <c r="AD7" s="48">
        <v>2</v>
      </c>
      <c r="AE7" s="48" t="s">
        <v>1300</v>
      </c>
      <c r="AF7" s="48" t="s">
        <v>1301</v>
      </c>
      <c r="AG7" s="48" t="s">
        <v>1272</v>
      </c>
      <c r="AH7" s="48" t="s">
        <v>1302</v>
      </c>
      <c r="AI7" s="48" t="s">
        <v>1298</v>
      </c>
      <c r="AJ7" s="48"/>
    </row>
    <row r="8" spans="1:36" ht="15.75" customHeight="1">
      <c r="A8" s="48" t="b">
        <v>1</v>
      </c>
      <c r="B8" s="127" t="e">
        <f t="array" ref="B8">_xlfn.XLOOKUP(E8,#REF!,#REF!)</f>
        <v>#REF!</v>
      </c>
      <c r="C8" s="48" t="s">
        <v>1075</v>
      </c>
      <c r="D8" s="48"/>
      <c r="E8" s="48" t="s">
        <v>347</v>
      </c>
      <c r="F8" s="127">
        <v>46206.714583333298</v>
      </c>
      <c r="G8" s="48" t="s">
        <v>1303</v>
      </c>
      <c r="H8" s="48" t="s">
        <v>1276</v>
      </c>
      <c r="I8" s="48" t="s">
        <v>1256</v>
      </c>
      <c r="J8" s="153" t="s">
        <v>1278</v>
      </c>
      <c r="K8" s="154"/>
      <c r="L8" s="48" t="s">
        <v>1269</v>
      </c>
      <c r="M8" s="48" t="s">
        <v>1259</v>
      </c>
      <c r="N8" s="48" t="s">
        <v>1270</v>
      </c>
      <c r="O8" s="48">
        <v>2</v>
      </c>
      <c r="P8" s="48">
        <v>1</v>
      </c>
      <c r="Q8" s="48">
        <v>2</v>
      </c>
      <c r="R8" s="48">
        <v>4</v>
      </c>
      <c r="S8" s="48">
        <v>2</v>
      </c>
      <c r="T8" s="48">
        <v>1</v>
      </c>
      <c r="U8" s="48">
        <v>2</v>
      </c>
      <c r="V8" s="48">
        <v>2</v>
      </c>
      <c r="W8" s="48">
        <v>2</v>
      </c>
      <c r="X8" s="48">
        <v>2</v>
      </c>
      <c r="Y8" s="48">
        <v>2</v>
      </c>
      <c r="Z8" s="48">
        <v>2</v>
      </c>
      <c r="AA8" s="48">
        <v>2</v>
      </c>
      <c r="AB8" s="48">
        <v>2</v>
      </c>
      <c r="AC8" s="48">
        <v>3</v>
      </c>
      <c r="AD8" s="48">
        <v>2</v>
      </c>
      <c r="AE8" s="48" t="s">
        <v>1300</v>
      </c>
      <c r="AF8" s="48" t="s">
        <v>1262</v>
      </c>
      <c r="AG8" s="48" t="s">
        <v>1272</v>
      </c>
      <c r="AH8" s="48" t="s">
        <v>1304</v>
      </c>
      <c r="AI8" s="48" t="s">
        <v>1305</v>
      </c>
      <c r="AJ8" s="48"/>
    </row>
    <row r="9" spans="1:36" ht="15.75" customHeight="1">
      <c r="A9" s="48" t="b">
        <v>1</v>
      </c>
      <c r="B9" s="127" t="e">
        <f t="array" ref="B9">_xlfn.XLOOKUP(E9,#REF!,#REF!)</f>
        <v>#REF!</v>
      </c>
      <c r="C9" s="48" t="s">
        <v>1149</v>
      </c>
      <c r="D9" s="48"/>
      <c r="E9" s="48" t="s">
        <v>620</v>
      </c>
      <c r="F9" s="127">
        <v>46206.715972222199</v>
      </c>
      <c r="G9" s="48" t="s">
        <v>1306</v>
      </c>
      <c r="H9" s="48" t="s">
        <v>1267</v>
      </c>
      <c r="I9" s="48" t="s">
        <v>1277</v>
      </c>
      <c r="J9" s="153" t="s">
        <v>1268</v>
      </c>
      <c r="K9" s="154"/>
      <c r="L9" s="48" t="s">
        <v>1258</v>
      </c>
      <c r="M9" s="48" t="s">
        <v>1294</v>
      </c>
      <c r="N9" s="48" t="s">
        <v>1288</v>
      </c>
      <c r="O9" s="48">
        <v>2</v>
      </c>
      <c r="P9" s="48">
        <v>1</v>
      </c>
      <c r="Q9" s="48">
        <v>1</v>
      </c>
      <c r="R9" s="48">
        <v>0</v>
      </c>
      <c r="S9" s="48">
        <v>0</v>
      </c>
      <c r="T9" s="48">
        <v>0</v>
      </c>
      <c r="U9" s="48">
        <v>0</v>
      </c>
      <c r="V9" s="48">
        <v>0</v>
      </c>
      <c r="W9" s="48">
        <v>2</v>
      </c>
      <c r="X9" s="48">
        <v>2</v>
      </c>
      <c r="Y9" s="48">
        <v>1</v>
      </c>
      <c r="Z9" s="48">
        <v>0</v>
      </c>
      <c r="AA9" s="48">
        <v>2</v>
      </c>
      <c r="AB9" s="48">
        <v>0</v>
      </c>
      <c r="AC9" s="48">
        <v>0</v>
      </c>
      <c r="AD9" s="48">
        <v>1</v>
      </c>
      <c r="AE9" s="48" t="s">
        <v>1307</v>
      </c>
      <c r="AF9" s="48" t="s">
        <v>1308</v>
      </c>
      <c r="AG9" s="48" t="s">
        <v>1272</v>
      </c>
      <c r="AH9" s="48" t="s">
        <v>1309</v>
      </c>
      <c r="AI9" s="48" t="s">
        <v>1310</v>
      </c>
      <c r="AJ9" s="48"/>
    </row>
    <row r="10" spans="1:36" ht="15.75" customHeight="1">
      <c r="A10" s="48" t="b">
        <v>1</v>
      </c>
      <c r="B10" s="127" t="e">
        <f t="array" ref="B10">_xlfn.XLOOKUP(E10,#REF!,#REF!)</f>
        <v>#REF!</v>
      </c>
      <c r="C10" s="48" t="s">
        <v>1204</v>
      </c>
      <c r="D10" s="48"/>
      <c r="E10" s="48" t="s">
        <v>796</v>
      </c>
      <c r="F10" s="127">
        <v>46206.719444444403</v>
      </c>
      <c r="G10" s="48" t="s">
        <v>1311</v>
      </c>
      <c r="H10" s="48" t="s">
        <v>1267</v>
      </c>
      <c r="I10" s="48" t="s">
        <v>1256</v>
      </c>
      <c r="J10" s="153" t="s">
        <v>1257</v>
      </c>
      <c r="K10" s="154"/>
      <c r="L10" s="48" t="s">
        <v>1269</v>
      </c>
      <c r="M10" s="48" t="s">
        <v>1259</v>
      </c>
      <c r="N10" s="48" t="s">
        <v>1260</v>
      </c>
      <c r="O10" s="48">
        <v>1</v>
      </c>
      <c r="P10" s="48">
        <v>1</v>
      </c>
      <c r="Q10" s="48">
        <v>0</v>
      </c>
      <c r="R10" s="48">
        <v>2</v>
      </c>
      <c r="S10" s="48">
        <v>2</v>
      </c>
      <c r="T10" s="48">
        <v>0</v>
      </c>
      <c r="U10" s="48">
        <v>1</v>
      </c>
      <c r="V10" s="48">
        <v>1</v>
      </c>
      <c r="W10" s="48">
        <v>3</v>
      </c>
      <c r="X10" s="48">
        <v>3</v>
      </c>
      <c r="Y10" s="48">
        <v>3</v>
      </c>
      <c r="Z10" s="48">
        <v>4</v>
      </c>
      <c r="AA10" s="48">
        <v>3</v>
      </c>
      <c r="AB10" s="48">
        <v>3</v>
      </c>
      <c r="AC10" s="48">
        <v>3</v>
      </c>
      <c r="AD10" s="48">
        <v>3</v>
      </c>
      <c r="AE10" s="48" t="s">
        <v>1261</v>
      </c>
      <c r="AF10" s="48" t="s">
        <v>1312</v>
      </c>
      <c r="AG10" s="48" t="s">
        <v>1263</v>
      </c>
      <c r="AH10" s="48" t="s">
        <v>1313</v>
      </c>
      <c r="AI10" s="48" t="s">
        <v>875</v>
      </c>
      <c r="AJ10" s="48"/>
    </row>
    <row r="11" spans="1:36" ht="15.75" customHeight="1">
      <c r="A11" s="48" t="b">
        <v>1</v>
      </c>
      <c r="B11" s="127" t="e">
        <f t="array" ref="B11">_xlfn.XLOOKUP(E11,#REF!,#REF!)</f>
        <v>#REF!</v>
      </c>
      <c r="C11" s="48" t="s">
        <v>1123</v>
      </c>
      <c r="D11" s="48"/>
      <c r="E11" s="48" t="s">
        <v>385</v>
      </c>
      <c r="F11" s="127">
        <v>46206.722916666702</v>
      </c>
      <c r="G11" s="48" t="s">
        <v>1314</v>
      </c>
      <c r="H11" s="48" t="s">
        <v>1276</v>
      </c>
      <c r="I11" s="48" t="s">
        <v>1256</v>
      </c>
      <c r="J11" s="153" t="s">
        <v>1315</v>
      </c>
      <c r="K11" s="154"/>
      <c r="L11" s="48" t="s">
        <v>1269</v>
      </c>
      <c r="M11" s="48" t="s">
        <v>1259</v>
      </c>
      <c r="N11" s="48" t="s">
        <v>1270</v>
      </c>
      <c r="O11" s="48">
        <v>4</v>
      </c>
      <c r="P11" s="48">
        <v>1</v>
      </c>
      <c r="Q11" s="48">
        <v>3</v>
      </c>
      <c r="R11" s="48">
        <v>1</v>
      </c>
      <c r="S11" s="48">
        <v>1</v>
      </c>
      <c r="T11" s="48">
        <v>0</v>
      </c>
      <c r="U11" s="48">
        <v>1</v>
      </c>
      <c r="V11" s="48">
        <v>2</v>
      </c>
      <c r="W11" s="48">
        <v>4</v>
      </c>
      <c r="X11" s="48">
        <v>4</v>
      </c>
      <c r="Y11" s="48">
        <v>3</v>
      </c>
      <c r="Z11" s="48">
        <v>4</v>
      </c>
      <c r="AA11" s="48">
        <v>4</v>
      </c>
      <c r="AB11" s="48">
        <v>2</v>
      </c>
      <c r="AC11" s="48">
        <v>1</v>
      </c>
      <c r="AD11" s="48">
        <v>1</v>
      </c>
      <c r="AE11" s="48" t="s">
        <v>1261</v>
      </c>
      <c r="AF11" s="48" t="s">
        <v>1312</v>
      </c>
      <c r="AG11" s="48" t="s">
        <v>1272</v>
      </c>
      <c r="AH11" s="48" t="s">
        <v>1316</v>
      </c>
      <c r="AI11" s="48" t="s">
        <v>1317</v>
      </c>
      <c r="AJ11" s="48"/>
    </row>
    <row r="12" spans="1:36" ht="15.75" customHeight="1">
      <c r="A12" s="48" t="b">
        <v>1</v>
      </c>
      <c r="B12" s="127" t="e">
        <f t="array" ref="B12">_xlfn.XLOOKUP(E12,#REF!,#REF!)</f>
        <v>#REF!</v>
      </c>
      <c r="C12" s="48" t="s">
        <v>959</v>
      </c>
      <c r="D12" s="48"/>
      <c r="E12" s="48" t="s">
        <v>387</v>
      </c>
      <c r="F12" s="127">
        <v>46206.722916666702</v>
      </c>
      <c r="G12" s="48" t="s">
        <v>1318</v>
      </c>
      <c r="H12" s="48" t="s">
        <v>1276</v>
      </c>
      <c r="I12" s="48" t="s">
        <v>1256</v>
      </c>
      <c r="J12" s="153" t="s">
        <v>1319</v>
      </c>
      <c r="K12" s="154"/>
      <c r="L12" s="48" t="s">
        <v>1269</v>
      </c>
      <c r="M12" s="48" t="s">
        <v>1259</v>
      </c>
      <c r="N12" s="48" t="s">
        <v>1260</v>
      </c>
      <c r="O12" s="48">
        <v>3</v>
      </c>
      <c r="P12" s="48">
        <v>3</v>
      </c>
      <c r="Q12" s="48">
        <v>3</v>
      </c>
      <c r="R12" s="48">
        <v>3</v>
      </c>
      <c r="S12" s="48">
        <v>2</v>
      </c>
      <c r="T12" s="48">
        <v>1</v>
      </c>
      <c r="U12" s="48">
        <v>1</v>
      </c>
      <c r="V12" s="48">
        <v>1</v>
      </c>
      <c r="W12" s="48">
        <v>3</v>
      </c>
      <c r="X12" s="48">
        <v>3</v>
      </c>
      <c r="Y12" s="48">
        <v>4</v>
      </c>
      <c r="Z12" s="48">
        <v>3</v>
      </c>
      <c r="AA12" s="48">
        <v>3</v>
      </c>
      <c r="AB12" s="48">
        <v>4</v>
      </c>
      <c r="AC12" s="48">
        <v>3</v>
      </c>
      <c r="AD12" s="48">
        <v>3</v>
      </c>
      <c r="AE12" s="48" t="s">
        <v>1261</v>
      </c>
      <c r="AF12" s="48" t="s">
        <v>1320</v>
      </c>
      <c r="AG12" s="48" t="s">
        <v>1272</v>
      </c>
      <c r="AH12" s="48" t="s">
        <v>1321</v>
      </c>
      <c r="AI12" s="48" t="s">
        <v>1322</v>
      </c>
      <c r="AJ12" s="48"/>
    </row>
    <row r="13" spans="1:36" ht="15.75" customHeight="1">
      <c r="A13" s="48" t="b">
        <v>1</v>
      </c>
      <c r="B13" s="127" t="e">
        <f t="array" ref="B13">_xlfn.XLOOKUP(E13,#REF!,#REF!)</f>
        <v>#REF!</v>
      </c>
      <c r="C13" s="48" t="s">
        <v>1038</v>
      </c>
      <c r="D13" s="48"/>
      <c r="E13" s="48" t="s">
        <v>366</v>
      </c>
      <c r="F13" s="127">
        <v>46206.724999999999</v>
      </c>
      <c r="G13" s="48" t="s">
        <v>1323</v>
      </c>
      <c r="H13" s="48" t="s">
        <v>1276</v>
      </c>
      <c r="I13" s="48" t="s">
        <v>1277</v>
      </c>
      <c r="J13" s="153" t="s">
        <v>1293</v>
      </c>
      <c r="K13" s="154"/>
      <c r="L13" s="48" t="s">
        <v>1279</v>
      </c>
      <c r="M13" s="48" t="s">
        <v>1294</v>
      </c>
      <c r="N13" s="48" t="s">
        <v>1280</v>
      </c>
      <c r="O13" s="48">
        <v>0</v>
      </c>
      <c r="P13" s="48">
        <v>0</v>
      </c>
      <c r="Q13" s="48">
        <v>1</v>
      </c>
      <c r="R13" s="48">
        <v>0</v>
      </c>
      <c r="S13" s="48">
        <v>1</v>
      </c>
      <c r="T13" s="48">
        <v>0</v>
      </c>
      <c r="U13" s="48">
        <v>0</v>
      </c>
      <c r="V13" s="48">
        <v>2</v>
      </c>
      <c r="W13" s="48">
        <v>2</v>
      </c>
      <c r="X13" s="48">
        <v>2</v>
      </c>
      <c r="Y13" s="48">
        <v>0</v>
      </c>
      <c r="Z13" s="48">
        <v>1</v>
      </c>
      <c r="AA13" s="48">
        <v>2</v>
      </c>
      <c r="AB13" s="48">
        <v>1</v>
      </c>
      <c r="AC13" s="48">
        <v>0</v>
      </c>
      <c r="AD13" s="48">
        <v>0</v>
      </c>
      <c r="AE13" s="48" t="s">
        <v>1307</v>
      </c>
      <c r="AF13" s="48" t="s">
        <v>1301</v>
      </c>
      <c r="AG13" s="48" t="s">
        <v>1272</v>
      </c>
      <c r="AH13" s="48" t="s">
        <v>1324</v>
      </c>
      <c r="AI13" s="48" t="s">
        <v>1265</v>
      </c>
      <c r="AJ13" s="48"/>
    </row>
    <row r="14" spans="1:36" ht="15.75" customHeight="1">
      <c r="A14" s="48" t="b">
        <v>1</v>
      </c>
      <c r="B14" s="127" t="e">
        <f t="array" ref="B14">_xlfn.XLOOKUP(E14,#REF!,#REF!)</f>
        <v>#REF!</v>
      </c>
      <c r="C14" s="48" t="s">
        <v>1157</v>
      </c>
      <c r="D14" s="48"/>
      <c r="E14" s="48" t="s">
        <v>411</v>
      </c>
      <c r="F14" s="127">
        <v>46206.725694444402</v>
      </c>
      <c r="G14" s="48" t="s">
        <v>1325</v>
      </c>
      <c r="H14" s="48" t="s">
        <v>1267</v>
      </c>
      <c r="I14" s="48" t="s">
        <v>1256</v>
      </c>
      <c r="J14" s="153" t="s">
        <v>1326</v>
      </c>
      <c r="K14" s="154"/>
      <c r="L14" s="48" t="s">
        <v>1269</v>
      </c>
      <c r="M14" s="48" t="s">
        <v>1259</v>
      </c>
      <c r="N14" s="48" t="s">
        <v>1270</v>
      </c>
      <c r="O14" s="48">
        <v>4</v>
      </c>
      <c r="P14" s="48">
        <v>1</v>
      </c>
      <c r="Q14" s="48">
        <v>3</v>
      </c>
      <c r="R14" s="48">
        <v>3</v>
      </c>
      <c r="S14" s="48">
        <v>1</v>
      </c>
      <c r="T14" s="48">
        <v>0</v>
      </c>
      <c r="U14" s="48">
        <v>2</v>
      </c>
      <c r="V14" s="48">
        <v>2</v>
      </c>
      <c r="W14" s="48">
        <v>4</v>
      </c>
      <c r="X14" s="48">
        <v>4</v>
      </c>
      <c r="Y14" s="48">
        <v>4</v>
      </c>
      <c r="Z14" s="48">
        <v>3</v>
      </c>
      <c r="AA14" s="48">
        <v>1</v>
      </c>
      <c r="AB14" s="48">
        <v>1</v>
      </c>
      <c r="AC14" s="48">
        <v>2</v>
      </c>
      <c r="AD14" s="48">
        <v>2</v>
      </c>
      <c r="AE14" s="48" t="s">
        <v>1261</v>
      </c>
      <c r="AF14" s="48" t="s">
        <v>1289</v>
      </c>
      <c r="AG14" s="48" t="s">
        <v>1272</v>
      </c>
      <c r="AH14" s="48" t="s">
        <v>1327</v>
      </c>
      <c r="AI14" s="48" t="s">
        <v>1328</v>
      </c>
      <c r="AJ14" s="48"/>
    </row>
    <row r="15" spans="1:36" ht="15.75" customHeight="1">
      <c r="A15" s="48" t="b">
        <v>1</v>
      </c>
      <c r="B15" s="127" t="e">
        <f t="array" ref="B15">_xlfn.XLOOKUP(E15,#REF!,#REF!)</f>
        <v>#REF!</v>
      </c>
      <c r="C15" s="48" t="s">
        <v>1002</v>
      </c>
      <c r="D15" s="48"/>
      <c r="E15" s="48" t="s">
        <v>787</v>
      </c>
      <c r="F15" s="127">
        <v>46206.7319444444</v>
      </c>
      <c r="G15" s="48" t="s">
        <v>1329</v>
      </c>
      <c r="H15" s="48" t="s">
        <v>1255</v>
      </c>
      <c r="I15" s="48" t="s">
        <v>1256</v>
      </c>
      <c r="J15" s="153" t="s">
        <v>1257</v>
      </c>
      <c r="K15" s="154"/>
      <c r="L15" s="48" t="s">
        <v>1269</v>
      </c>
      <c r="M15" s="48" t="s">
        <v>1259</v>
      </c>
      <c r="N15" s="48" t="s">
        <v>1270</v>
      </c>
      <c r="O15" s="48">
        <v>3</v>
      </c>
      <c r="P15" s="48">
        <v>3</v>
      </c>
      <c r="Q15" s="48">
        <v>2</v>
      </c>
      <c r="R15" s="48">
        <v>3</v>
      </c>
      <c r="S15" s="48">
        <v>4</v>
      </c>
      <c r="T15" s="48">
        <v>3</v>
      </c>
      <c r="U15" s="48">
        <v>3</v>
      </c>
      <c r="V15" s="48">
        <v>3</v>
      </c>
      <c r="W15" s="48">
        <v>4</v>
      </c>
      <c r="X15" s="48">
        <v>3</v>
      </c>
      <c r="Y15" s="48">
        <v>4</v>
      </c>
      <c r="Z15" s="48">
        <v>4</v>
      </c>
      <c r="AA15" s="48">
        <v>3</v>
      </c>
      <c r="AB15" s="48">
        <v>4</v>
      </c>
      <c r="AC15" s="48">
        <v>3</v>
      </c>
      <c r="AD15" s="48">
        <v>3</v>
      </c>
      <c r="AE15" s="48" t="s">
        <v>1261</v>
      </c>
      <c r="AF15" s="48" t="s">
        <v>1330</v>
      </c>
      <c r="AG15" s="48" t="s">
        <v>1282</v>
      </c>
      <c r="AH15" s="48" t="s">
        <v>1331</v>
      </c>
      <c r="AI15" s="48" t="s">
        <v>1332</v>
      </c>
      <c r="AJ15" s="48"/>
    </row>
    <row r="16" spans="1:36" ht="15.75" customHeight="1">
      <c r="A16" s="48" t="b">
        <v>1</v>
      </c>
      <c r="B16" s="127" t="e">
        <f t="array" ref="B16">_xlfn.XLOOKUP(E16,#REF!,#REF!)</f>
        <v>#REF!</v>
      </c>
      <c r="C16" s="48" t="s">
        <v>924</v>
      </c>
      <c r="D16" s="48"/>
      <c r="E16" s="48" t="s">
        <v>405</v>
      </c>
      <c r="F16" s="127">
        <v>46206.738888888904</v>
      </c>
      <c r="G16" s="48" t="s">
        <v>1333</v>
      </c>
      <c r="H16" s="48" t="s">
        <v>1267</v>
      </c>
      <c r="I16" s="48" t="s">
        <v>1334</v>
      </c>
      <c r="J16" s="153" t="s">
        <v>1335</v>
      </c>
      <c r="K16" s="154"/>
      <c r="L16" s="48" t="s">
        <v>1279</v>
      </c>
      <c r="M16" s="48" t="s">
        <v>1259</v>
      </c>
      <c r="N16" s="48" t="s">
        <v>1280</v>
      </c>
      <c r="O16" s="48">
        <v>4</v>
      </c>
      <c r="P16" s="48">
        <v>3</v>
      </c>
      <c r="Q16" s="48">
        <v>3</v>
      </c>
      <c r="R16" s="48">
        <v>2</v>
      </c>
      <c r="S16" s="48">
        <v>2</v>
      </c>
      <c r="T16" s="48">
        <v>2</v>
      </c>
      <c r="U16" s="48">
        <v>2</v>
      </c>
      <c r="V16" s="48">
        <v>2</v>
      </c>
      <c r="W16" s="48">
        <v>4</v>
      </c>
      <c r="X16" s="48">
        <v>3</v>
      </c>
      <c r="Y16" s="48">
        <v>3</v>
      </c>
      <c r="Z16" s="48">
        <v>3</v>
      </c>
      <c r="AA16" s="48">
        <v>3</v>
      </c>
      <c r="AB16" s="48">
        <v>3</v>
      </c>
      <c r="AC16" s="48">
        <v>3</v>
      </c>
      <c r="AD16" s="48">
        <v>2</v>
      </c>
      <c r="AE16" s="48" t="s">
        <v>1261</v>
      </c>
      <c r="AF16" s="48" t="s">
        <v>1312</v>
      </c>
      <c r="AG16" s="48" t="s">
        <v>1272</v>
      </c>
      <c r="AH16" s="48" t="s">
        <v>1336</v>
      </c>
      <c r="AI16" s="48" t="s">
        <v>1337</v>
      </c>
      <c r="AJ16" s="48"/>
    </row>
    <row r="17" spans="1:36" ht="15.75" customHeight="1">
      <c r="A17" s="48" t="b">
        <v>1</v>
      </c>
      <c r="B17" s="127" t="e">
        <f t="array" ref="B17">_xlfn.XLOOKUP(E17,#REF!,#REF!)</f>
        <v>#REF!</v>
      </c>
      <c r="C17" s="48" t="s">
        <v>1121</v>
      </c>
      <c r="D17" s="48"/>
      <c r="E17" s="48" t="s">
        <v>678</v>
      </c>
      <c r="F17" s="127">
        <v>46206.7409722222</v>
      </c>
      <c r="G17" s="48" t="s">
        <v>1338</v>
      </c>
      <c r="H17" s="48" t="s">
        <v>1267</v>
      </c>
      <c r="I17" s="48" t="s">
        <v>1277</v>
      </c>
      <c r="J17" s="153" t="s">
        <v>1339</v>
      </c>
      <c r="K17" s="154"/>
      <c r="L17" s="48" t="s">
        <v>1279</v>
      </c>
      <c r="M17" s="48" t="s">
        <v>1259</v>
      </c>
      <c r="N17" s="48" t="s">
        <v>1260</v>
      </c>
      <c r="O17" s="48">
        <v>3</v>
      </c>
      <c r="P17" s="48">
        <v>2</v>
      </c>
      <c r="Q17" s="48">
        <v>2</v>
      </c>
      <c r="R17" s="48">
        <v>2</v>
      </c>
      <c r="S17" s="48">
        <v>0</v>
      </c>
      <c r="T17" s="48">
        <v>0</v>
      </c>
      <c r="U17" s="48">
        <v>1</v>
      </c>
      <c r="V17" s="48">
        <v>1</v>
      </c>
      <c r="W17" s="48">
        <v>3</v>
      </c>
      <c r="X17" s="48">
        <v>3</v>
      </c>
      <c r="Y17" s="48">
        <v>2</v>
      </c>
      <c r="Z17" s="48">
        <v>2</v>
      </c>
      <c r="AA17" s="48">
        <v>2</v>
      </c>
      <c r="AB17" s="48">
        <v>1</v>
      </c>
      <c r="AC17" s="48">
        <v>4</v>
      </c>
      <c r="AD17" s="48">
        <v>2</v>
      </c>
      <c r="AE17" s="48" t="s">
        <v>1300</v>
      </c>
      <c r="AF17" s="48" t="s">
        <v>1262</v>
      </c>
      <c r="AG17" s="48" t="s">
        <v>1272</v>
      </c>
      <c r="AH17" s="48" t="s">
        <v>1340</v>
      </c>
      <c r="AI17" s="48" t="s">
        <v>1338</v>
      </c>
      <c r="AJ17" s="48"/>
    </row>
    <row r="18" spans="1:36" ht="15.75" customHeight="1">
      <c r="A18" s="48" t="b">
        <v>1</v>
      </c>
      <c r="B18" s="127" t="e">
        <f t="array" ref="B18">_xlfn.XLOOKUP(E18,#REF!,#REF!)</f>
        <v>#REF!</v>
      </c>
      <c r="C18" s="48" t="s">
        <v>1139</v>
      </c>
      <c r="D18" s="48"/>
      <c r="E18" s="48" t="s">
        <v>442</v>
      </c>
      <c r="F18" s="127">
        <v>46206.742361111101</v>
      </c>
      <c r="G18" s="48" t="s">
        <v>1341</v>
      </c>
      <c r="H18" s="48" t="s">
        <v>1267</v>
      </c>
      <c r="I18" s="48" t="s">
        <v>1299</v>
      </c>
      <c r="J18" s="153" t="s">
        <v>1342</v>
      </c>
      <c r="K18" s="154"/>
      <c r="L18" s="48" t="s">
        <v>1258</v>
      </c>
      <c r="M18" s="48" t="s">
        <v>1259</v>
      </c>
      <c r="N18" s="48" t="s">
        <v>1260</v>
      </c>
      <c r="O18" s="48">
        <v>1</v>
      </c>
      <c r="P18" s="48">
        <v>2</v>
      </c>
      <c r="Q18" s="48">
        <v>2</v>
      </c>
      <c r="R18" s="48">
        <v>3</v>
      </c>
      <c r="S18" s="48">
        <v>2</v>
      </c>
      <c r="T18" s="48">
        <v>0</v>
      </c>
      <c r="U18" s="48">
        <v>2</v>
      </c>
      <c r="V18" s="48">
        <v>2</v>
      </c>
      <c r="W18" s="48">
        <v>3</v>
      </c>
      <c r="X18" s="48">
        <v>3</v>
      </c>
      <c r="Y18" s="48">
        <v>3</v>
      </c>
      <c r="Z18" s="48">
        <v>2</v>
      </c>
      <c r="AA18" s="48">
        <v>3</v>
      </c>
      <c r="AB18" s="48">
        <v>3</v>
      </c>
      <c r="AC18" s="48">
        <v>2</v>
      </c>
      <c r="AD18" s="48">
        <v>4</v>
      </c>
      <c r="AE18" s="48" t="s">
        <v>1300</v>
      </c>
      <c r="AF18" s="48" t="s">
        <v>1343</v>
      </c>
      <c r="AG18" s="48" t="s">
        <v>1272</v>
      </c>
      <c r="AH18" s="48" t="s">
        <v>1344</v>
      </c>
      <c r="AI18" s="48" t="s">
        <v>1345</v>
      </c>
      <c r="AJ18" s="48"/>
    </row>
    <row r="19" spans="1:36" ht="15.75" customHeight="1">
      <c r="A19" s="48" t="b">
        <v>1</v>
      </c>
      <c r="B19" s="127" t="e">
        <f t="array" ref="B19">_xlfn.XLOOKUP(E19,#REF!,#REF!)</f>
        <v>#REF!</v>
      </c>
      <c r="C19" s="48" t="s">
        <v>932</v>
      </c>
      <c r="D19" s="48"/>
      <c r="E19" s="48" t="s">
        <v>377</v>
      </c>
      <c r="F19" s="127">
        <v>46206.743750000001</v>
      </c>
      <c r="G19" s="48" t="s">
        <v>1346</v>
      </c>
      <c r="H19" s="48" t="s">
        <v>1255</v>
      </c>
      <c r="I19" s="48" t="s">
        <v>1277</v>
      </c>
      <c r="J19" s="153" t="s">
        <v>1268</v>
      </c>
      <c r="K19" s="154"/>
      <c r="L19" s="48" t="s">
        <v>1258</v>
      </c>
      <c r="M19" s="48" t="s">
        <v>1294</v>
      </c>
      <c r="N19" s="48" t="s">
        <v>1280</v>
      </c>
      <c r="O19" s="48">
        <v>1</v>
      </c>
      <c r="P19" s="48">
        <v>1</v>
      </c>
      <c r="Q19" s="48">
        <v>2</v>
      </c>
      <c r="R19" s="48">
        <v>2</v>
      </c>
      <c r="S19" s="48">
        <v>2</v>
      </c>
      <c r="T19" s="48">
        <v>1</v>
      </c>
      <c r="U19" s="48">
        <v>2</v>
      </c>
      <c r="V19" s="48">
        <v>1</v>
      </c>
      <c r="W19" s="48">
        <v>3</v>
      </c>
      <c r="X19" s="48">
        <v>3</v>
      </c>
      <c r="Y19" s="48">
        <v>2</v>
      </c>
      <c r="Z19" s="48">
        <v>2</v>
      </c>
      <c r="AA19" s="48">
        <v>0</v>
      </c>
      <c r="AB19" s="48">
        <v>1</v>
      </c>
      <c r="AC19" s="48">
        <v>2</v>
      </c>
      <c r="AD19" s="48">
        <v>1</v>
      </c>
      <c r="AE19" s="48" t="s">
        <v>1300</v>
      </c>
      <c r="AF19" s="48" t="s">
        <v>1347</v>
      </c>
      <c r="AG19" s="48" t="s">
        <v>1263</v>
      </c>
      <c r="AH19" s="48" t="s">
        <v>1348</v>
      </c>
      <c r="AI19" s="48" t="s">
        <v>1349</v>
      </c>
      <c r="AJ19" s="48"/>
    </row>
    <row r="20" spans="1:36" ht="15.75" customHeight="1">
      <c r="A20" s="48" t="b">
        <v>1</v>
      </c>
      <c r="B20" s="127" t="e">
        <f t="array" ref="B20">_xlfn.XLOOKUP(E20,#REF!,#REF!)</f>
        <v>#REF!</v>
      </c>
      <c r="C20" s="48" t="s">
        <v>1008</v>
      </c>
      <c r="D20" s="48"/>
      <c r="E20" s="48" t="s">
        <v>428</v>
      </c>
      <c r="F20" s="127">
        <v>46206.747222222199</v>
      </c>
      <c r="G20" s="48" t="s">
        <v>1350</v>
      </c>
      <c r="H20" s="48" t="s">
        <v>1276</v>
      </c>
      <c r="I20" s="48" t="s">
        <v>1256</v>
      </c>
      <c r="J20" s="153" t="s">
        <v>1293</v>
      </c>
      <c r="K20" s="154"/>
      <c r="L20" s="48" t="s">
        <v>1269</v>
      </c>
      <c r="M20" s="48" t="s">
        <v>1259</v>
      </c>
      <c r="N20" s="48" t="s">
        <v>1260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3</v>
      </c>
      <c r="X20" s="48">
        <v>3</v>
      </c>
      <c r="Y20" s="48">
        <v>3</v>
      </c>
      <c r="Z20" s="48">
        <v>3</v>
      </c>
      <c r="AA20" s="48">
        <v>2</v>
      </c>
      <c r="AB20" s="48">
        <v>0</v>
      </c>
      <c r="AC20" s="48">
        <v>2</v>
      </c>
      <c r="AD20" s="48">
        <v>2</v>
      </c>
      <c r="AE20" s="48" t="s">
        <v>1300</v>
      </c>
      <c r="AF20" s="48" t="s">
        <v>1312</v>
      </c>
      <c r="AG20" s="48" t="s">
        <v>1272</v>
      </c>
      <c r="AH20" s="48" t="s">
        <v>1351</v>
      </c>
      <c r="AI20" s="48" t="s">
        <v>1352</v>
      </c>
      <c r="AJ20" s="48"/>
    </row>
    <row r="21" spans="1:36" ht="15.75" customHeight="1">
      <c r="A21" s="48" t="b">
        <v>1</v>
      </c>
      <c r="B21" s="127" t="e">
        <f t="array" ref="B21">_xlfn.XLOOKUP(E21,#REF!,#REF!)</f>
        <v>#REF!</v>
      </c>
      <c r="C21" s="48" t="s">
        <v>900</v>
      </c>
      <c r="D21" s="48"/>
      <c r="E21" s="48" t="s">
        <v>433</v>
      </c>
      <c r="F21" s="127">
        <v>46206.747916666704</v>
      </c>
      <c r="G21" s="48" t="s">
        <v>1353</v>
      </c>
      <c r="H21" s="48" t="s">
        <v>1255</v>
      </c>
      <c r="I21" s="48" t="s">
        <v>1277</v>
      </c>
      <c r="J21" s="153" t="s">
        <v>1268</v>
      </c>
      <c r="K21" s="154"/>
      <c r="L21" s="48" t="s">
        <v>1279</v>
      </c>
      <c r="M21" s="48" t="s">
        <v>1294</v>
      </c>
      <c r="N21" s="48" t="s">
        <v>1288</v>
      </c>
      <c r="O21" s="48">
        <v>4</v>
      </c>
      <c r="P21" s="48">
        <v>3</v>
      </c>
      <c r="Q21" s="48">
        <v>2</v>
      </c>
      <c r="R21" s="48">
        <v>2</v>
      </c>
      <c r="S21" s="48">
        <v>0</v>
      </c>
      <c r="T21" s="48">
        <v>0</v>
      </c>
      <c r="U21" s="48">
        <v>4</v>
      </c>
      <c r="V21" s="48">
        <v>4</v>
      </c>
      <c r="W21" s="48">
        <v>4</v>
      </c>
      <c r="X21" s="48">
        <v>4</v>
      </c>
      <c r="Y21" s="48">
        <v>0</v>
      </c>
      <c r="Z21" s="48">
        <v>1</v>
      </c>
      <c r="AA21" s="48">
        <v>1</v>
      </c>
      <c r="AB21" s="48">
        <v>4</v>
      </c>
      <c r="AC21" s="48">
        <v>4</v>
      </c>
      <c r="AD21" s="48">
        <v>2</v>
      </c>
      <c r="AE21" s="48" t="s">
        <v>1300</v>
      </c>
      <c r="AF21" s="48" t="s">
        <v>1312</v>
      </c>
      <c r="AG21" s="48" t="s">
        <v>1282</v>
      </c>
      <c r="AH21" s="48" t="s">
        <v>1354</v>
      </c>
      <c r="AI21" s="48" t="s">
        <v>1291</v>
      </c>
      <c r="AJ21" s="48"/>
    </row>
    <row r="22" spans="1:36" ht="15.75" customHeight="1">
      <c r="A22" s="48" t="b">
        <v>1</v>
      </c>
      <c r="B22" s="127" t="e">
        <f t="array" ref="B22">_xlfn.XLOOKUP(E22,#REF!,#REF!)</f>
        <v>#REF!</v>
      </c>
      <c r="C22" s="48" t="s">
        <v>950</v>
      </c>
      <c r="D22" s="48"/>
      <c r="E22" s="48" t="s">
        <v>393</v>
      </c>
      <c r="F22" s="127">
        <v>46206.754861111098</v>
      </c>
      <c r="G22" s="48" t="s">
        <v>1355</v>
      </c>
      <c r="H22" s="48" t="s">
        <v>1276</v>
      </c>
      <c r="I22" s="48" t="s">
        <v>1256</v>
      </c>
      <c r="J22" s="153" t="s">
        <v>1356</v>
      </c>
      <c r="K22" s="154"/>
      <c r="L22" s="48" t="s">
        <v>1269</v>
      </c>
      <c r="M22" s="48" t="s">
        <v>1357</v>
      </c>
      <c r="N22" s="48" t="s">
        <v>1270</v>
      </c>
      <c r="O22" s="48">
        <v>0</v>
      </c>
      <c r="P22" s="48">
        <v>0</v>
      </c>
      <c r="Q22" s="48">
        <v>1</v>
      </c>
      <c r="R22" s="48">
        <v>1</v>
      </c>
      <c r="S22" s="48">
        <v>1</v>
      </c>
      <c r="T22" s="48">
        <v>1</v>
      </c>
      <c r="U22" s="48">
        <v>1</v>
      </c>
      <c r="V22" s="48">
        <v>3</v>
      </c>
      <c r="W22" s="48">
        <v>4</v>
      </c>
      <c r="X22" s="48">
        <v>4</v>
      </c>
      <c r="Y22" s="48">
        <v>4</v>
      </c>
      <c r="Z22" s="48">
        <v>4</v>
      </c>
      <c r="AA22" s="48">
        <v>2</v>
      </c>
      <c r="AB22" s="48">
        <v>3</v>
      </c>
      <c r="AC22" s="48">
        <v>4</v>
      </c>
      <c r="AD22" s="48">
        <v>3</v>
      </c>
      <c r="AE22" s="48" t="s">
        <v>1261</v>
      </c>
      <c r="AF22" s="48" t="s">
        <v>1289</v>
      </c>
      <c r="AG22" s="48" t="s">
        <v>1263</v>
      </c>
      <c r="AH22" s="48" t="s">
        <v>1358</v>
      </c>
      <c r="AI22" s="48" t="s">
        <v>1359</v>
      </c>
      <c r="AJ22" s="48"/>
    </row>
    <row r="23" spans="1:36" ht="15.75" customHeight="1">
      <c r="A23" s="48" t="b">
        <v>1</v>
      </c>
      <c r="B23" s="127" t="e">
        <f t="array" ref="B23">_xlfn.XLOOKUP(E23,#REF!,#REF!)</f>
        <v>#REF!</v>
      </c>
      <c r="C23" s="48" t="s">
        <v>1014</v>
      </c>
      <c r="D23" s="48"/>
      <c r="E23" s="48" t="s">
        <v>91</v>
      </c>
      <c r="F23" s="127">
        <v>46206.760416666701</v>
      </c>
      <c r="G23" s="48" t="s">
        <v>1360</v>
      </c>
      <c r="H23" s="48" t="s">
        <v>1267</v>
      </c>
      <c r="I23" s="48" t="s">
        <v>1299</v>
      </c>
      <c r="J23" s="153" t="s">
        <v>1361</v>
      </c>
      <c r="K23" s="154"/>
      <c r="L23" s="48" t="s">
        <v>1269</v>
      </c>
      <c r="M23" s="48" t="s">
        <v>1259</v>
      </c>
      <c r="N23" s="48" t="s">
        <v>1280</v>
      </c>
      <c r="O23" s="48">
        <v>2</v>
      </c>
      <c r="P23" s="48">
        <v>4</v>
      </c>
      <c r="Q23" s="48">
        <v>4</v>
      </c>
      <c r="R23" s="48">
        <v>3</v>
      </c>
      <c r="S23" s="48">
        <v>4</v>
      </c>
      <c r="T23" s="48">
        <v>4</v>
      </c>
      <c r="U23" s="48">
        <v>4</v>
      </c>
      <c r="V23" s="48">
        <v>3</v>
      </c>
      <c r="W23" s="48">
        <v>1</v>
      </c>
      <c r="X23" s="48">
        <v>0</v>
      </c>
      <c r="Y23" s="48">
        <v>1</v>
      </c>
      <c r="Z23" s="48">
        <v>2</v>
      </c>
      <c r="AA23" s="48">
        <v>2</v>
      </c>
      <c r="AB23" s="48">
        <v>0</v>
      </c>
      <c r="AC23" s="48">
        <v>1</v>
      </c>
      <c r="AD23" s="48">
        <v>4</v>
      </c>
      <c r="AE23" s="48" t="s">
        <v>1261</v>
      </c>
      <c r="AF23" s="48" t="s">
        <v>1362</v>
      </c>
      <c r="AG23" s="48" t="s">
        <v>1363</v>
      </c>
      <c r="AH23" s="48" t="s">
        <v>1364</v>
      </c>
      <c r="AI23" s="48" t="s">
        <v>1360</v>
      </c>
      <c r="AJ23" s="48"/>
    </row>
    <row r="24" spans="1:36" ht="15.75" customHeight="1">
      <c r="A24" s="48" t="b">
        <v>1</v>
      </c>
      <c r="B24" s="127" t="e">
        <f t="array" ref="B24">_xlfn.XLOOKUP(E24,#REF!,#REF!)</f>
        <v>#REF!</v>
      </c>
      <c r="C24" s="48" t="s">
        <v>1065</v>
      </c>
      <c r="D24" s="48"/>
      <c r="E24" s="48" t="s">
        <v>531</v>
      </c>
      <c r="F24" s="127">
        <v>46206.765277777798</v>
      </c>
      <c r="G24" s="48" t="s">
        <v>1365</v>
      </c>
      <c r="H24" s="48" t="s">
        <v>1276</v>
      </c>
      <c r="I24" s="48" t="s">
        <v>1299</v>
      </c>
      <c r="J24" s="153" t="s">
        <v>1366</v>
      </c>
      <c r="K24" s="154"/>
      <c r="L24" s="48" t="s">
        <v>1258</v>
      </c>
      <c r="M24" s="48" t="s">
        <v>1259</v>
      </c>
      <c r="N24" s="48" t="s">
        <v>1260</v>
      </c>
      <c r="O24" s="48">
        <v>3</v>
      </c>
      <c r="P24" s="48">
        <v>2</v>
      </c>
      <c r="Q24" s="48">
        <v>4</v>
      </c>
      <c r="R24" s="48">
        <v>4</v>
      </c>
      <c r="S24" s="48">
        <v>2</v>
      </c>
      <c r="T24" s="48">
        <v>2</v>
      </c>
      <c r="U24" s="48">
        <v>1</v>
      </c>
      <c r="V24" s="48">
        <v>3</v>
      </c>
      <c r="W24" s="48">
        <v>3</v>
      </c>
      <c r="X24" s="48">
        <v>4</v>
      </c>
      <c r="Y24" s="48">
        <v>4</v>
      </c>
      <c r="Z24" s="48">
        <v>3</v>
      </c>
      <c r="AA24" s="48">
        <v>3</v>
      </c>
      <c r="AB24" s="48">
        <v>3</v>
      </c>
      <c r="AC24" s="48">
        <v>3</v>
      </c>
      <c r="AD24" s="48">
        <v>3</v>
      </c>
      <c r="AE24" s="48" t="s">
        <v>1261</v>
      </c>
      <c r="AF24" s="48" t="s">
        <v>1367</v>
      </c>
      <c r="AG24" s="48" t="s">
        <v>1272</v>
      </c>
      <c r="AH24" s="48" t="s">
        <v>1368</v>
      </c>
      <c r="AI24" s="48" t="s">
        <v>1369</v>
      </c>
      <c r="AJ24" s="48"/>
    </row>
    <row r="25" spans="1:36" ht="15.75" customHeight="1">
      <c r="A25" s="48" t="b">
        <v>1</v>
      </c>
      <c r="B25" s="127" t="e">
        <f t="array" ref="B25">_xlfn.XLOOKUP(E25,#REF!,#REF!)</f>
        <v>#REF!</v>
      </c>
      <c r="C25" s="48" t="s">
        <v>1152</v>
      </c>
      <c r="D25" s="48"/>
      <c r="E25" s="48" t="s">
        <v>497</v>
      </c>
      <c r="F25" s="127">
        <v>46206.770138888904</v>
      </c>
      <c r="G25" s="48" t="s">
        <v>1370</v>
      </c>
      <c r="H25" s="48" t="s">
        <v>1267</v>
      </c>
      <c r="I25" s="48" t="s">
        <v>1299</v>
      </c>
      <c r="J25" s="153" t="s">
        <v>1335</v>
      </c>
      <c r="K25" s="154"/>
      <c r="L25" s="48" t="s">
        <v>1258</v>
      </c>
      <c r="M25" s="48" t="s">
        <v>1259</v>
      </c>
      <c r="N25" s="48" t="s">
        <v>1288</v>
      </c>
      <c r="O25" s="48">
        <v>4</v>
      </c>
      <c r="P25" s="48">
        <v>1</v>
      </c>
      <c r="Q25" s="48">
        <v>1</v>
      </c>
      <c r="R25" s="48">
        <v>1</v>
      </c>
      <c r="S25" s="48">
        <v>1</v>
      </c>
      <c r="T25" s="48">
        <v>1</v>
      </c>
      <c r="U25" s="48">
        <v>1</v>
      </c>
      <c r="V25" s="48">
        <v>1</v>
      </c>
      <c r="W25" s="48">
        <v>3</v>
      </c>
      <c r="X25" s="48">
        <v>3</v>
      </c>
      <c r="Y25" s="48">
        <v>3</v>
      </c>
      <c r="Z25" s="48">
        <v>4</v>
      </c>
      <c r="AA25" s="48">
        <v>3</v>
      </c>
      <c r="AB25" s="48">
        <v>3</v>
      </c>
      <c r="AC25" s="48">
        <v>3</v>
      </c>
      <c r="AD25" s="48">
        <v>4</v>
      </c>
      <c r="AE25" s="48" t="s">
        <v>1261</v>
      </c>
      <c r="AF25" s="48" t="s">
        <v>1367</v>
      </c>
      <c r="AG25" s="48" t="s">
        <v>1272</v>
      </c>
      <c r="AH25" s="48" t="s">
        <v>1371</v>
      </c>
      <c r="AI25" s="48" t="s">
        <v>1372</v>
      </c>
      <c r="AJ25" s="48"/>
    </row>
    <row r="26" spans="1:36" ht="15.75" customHeight="1">
      <c r="A26" s="48" t="b">
        <v>1</v>
      </c>
      <c r="B26" s="127" t="e">
        <f t="array" ref="B26">_xlfn.XLOOKUP(E26,#REF!,#REF!)</f>
        <v>#REF!</v>
      </c>
      <c r="C26" s="48" t="s">
        <v>1094</v>
      </c>
      <c r="D26" s="48"/>
      <c r="E26" s="48" t="s">
        <v>752</v>
      </c>
      <c r="F26" s="127">
        <v>46206.778472222199</v>
      </c>
      <c r="G26" s="48" t="s">
        <v>1373</v>
      </c>
      <c r="H26" s="48" t="s">
        <v>1267</v>
      </c>
      <c r="I26" s="48" t="s">
        <v>1299</v>
      </c>
      <c r="J26" s="153" t="s">
        <v>1287</v>
      </c>
      <c r="K26" s="154"/>
      <c r="L26" s="48" t="s">
        <v>1258</v>
      </c>
      <c r="M26" s="48" t="s">
        <v>1259</v>
      </c>
      <c r="N26" s="48" t="s">
        <v>1280</v>
      </c>
      <c r="O26" s="48">
        <v>2</v>
      </c>
      <c r="P26" s="48">
        <v>1</v>
      </c>
      <c r="Q26" s="48">
        <v>1</v>
      </c>
      <c r="R26" s="48">
        <v>3</v>
      </c>
      <c r="S26" s="48">
        <v>2</v>
      </c>
      <c r="T26" s="48">
        <v>2</v>
      </c>
      <c r="U26" s="48">
        <v>4</v>
      </c>
      <c r="V26" s="48">
        <v>4</v>
      </c>
      <c r="W26" s="48">
        <v>3</v>
      </c>
      <c r="X26" s="48">
        <v>1</v>
      </c>
      <c r="Y26" s="48">
        <v>4</v>
      </c>
      <c r="Z26" s="48">
        <v>4</v>
      </c>
      <c r="AA26" s="48">
        <v>4</v>
      </c>
      <c r="AB26" s="48">
        <v>4</v>
      </c>
      <c r="AC26" s="48">
        <v>4</v>
      </c>
      <c r="AD26" s="48">
        <v>4</v>
      </c>
      <c r="AE26" s="48" t="s">
        <v>1261</v>
      </c>
      <c r="AF26" s="48" t="s">
        <v>1367</v>
      </c>
      <c r="AG26" s="48" t="s">
        <v>1282</v>
      </c>
      <c r="AH26" s="48" t="s">
        <v>1374</v>
      </c>
      <c r="AI26" s="48" t="s">
        <v>1291</v>
      </c>
      <c r="AJ26" s="48"/>
    </row>
    <row r="27" spans="1:36" ht="15.75" customHeight="1">
      <c r="A27" s="48" t="b">
        <v>1</v>
      </c>
      <c r="B27" s="127" t="e">
        <f t="array" ref="B27">_xlfn.XLOOKUP(E27,#REF!,#REF!)</f>
        <v>#REF!</v>
      </c>
      <c r="C27" s="48" t="s">
        <v>1020</v>
      </c>
      <c r="D27" s="48"/>
      <c r="E27" s="48" t="s">
        <v>546</v>
      </c>
      <c r="F27" s="127">
        <v>46206.784027777801</v>
      </c>
      <c r="G27" s="48" t="s">
        <v>1375</v>
      </c>
      <c r="H27" s="48" t="s">
        <v>1255</v>
      </c>
      <c r="I27" s="48" t="s">
        <v>1256</v>
      </c>
      <c r="J27" s="153" t="s">
        <v>1376</v>
      </c>
      <c r="K27" s="154"/>
      <c r="L27" s="48" t="s">
        <v>1269</v>
      </c>
      <c r="M27" s="48" t="s">
        <v>1259</v>
      </c>
      <c r="N27" s="48" t="s">
        <v>1270</v>
      </c>
      <c r="O27" s="48">
        <v>2</v>
      </c>
      <c r="P27" s="48">
        <v>2</v>
      </c>
      <c r="Q27" s="48">
        <v>3</v>
      </c>
      <c r="R27" s="48">
        <v>3</v>
      </c>
      <c r="S27" s="48">
        <v>1</v>
      </c>
      <c r="T27" s="48">
        <v>1</v>
      </c>
      <c r="U27" s="48">
        <v>1</v>
      </c>
      <c r="V27" s="48">
        <v>1</v>
      </c>
      <c r="W27" s="48">
        <v>3</v>
      </c>
      <c r="X27" s="48">
        <v>3</v>
      </c>
      <c r="Y27" s="48">
        <v>3</v>
      </c>
      <c r="Z27" s="48">
        <v>1</v>
      </c>
      <c r="AA27" s="48">
        <v>1</v>
      </c>
      <c r="AB27" s="48">
        <v>1</v>
      </c>
      <c r="AC27" s="48">
        <v>3</v>
      </c>
      <c r="AD27" s="48">
        <v>2</v>
      </c>
      <c r="AE27" s="48" t="s">
        <v>1300</v>
      </c>
      <c r="AF27" s="48" t="s">
        <v>1347</v>
      </c>
      <c r="AG27" s="48" t="s">
        <v>1282</v>
      </c>
      <c r="AH27" s="48" t="s">
        <v>1377</v>
      </c>
      <c r="AI27" s="48" t="s">
        <v>1378</v>
      </c>
      <c r="AJ27" s="48"/>
    </row>
    <row r="28" spans="1:36" ht="15.75" customHeight="1">
      <c r="A28" s="48" t="b">
        <v>1</v>
      </c>
      <c r="B28" s="127" t="e">
        <f t="array" ref="B28">_xlfn.XLOOKUP(E28,#REF!,#REF!)</f>
        <v>#REF!</v>
      </c>
      <c r="C28" s="48" t="s">
        <v>945</v>
      </c>
      <c r="D28" s="48"/>
      <c r="E28" s="48" t="s">
        <v>605</v>
      </c>
      <c r="F28" s="127">
        <v>46206.786111111098</v>
      </c>
      <c r="G28" s="48" t="s">
        <v>1379</v>
      </c>
      <c r="H28" s="48" t="s">
        <v>1255</v>
      </c>
      <c r="I28" s="48" t="s">
        <v>1256</v>
      </c>
      <c r="J28" s="153" t="s">
        <v>1380</v>
      </c>
      <c r="K28" s="154"/>
      <c r="L28" s="48" t="s">
        <v>1269</v>
      </c>
      <c r="M28" s="48" t="s">
        <v>1259</v>
      </c>
      <c r="N28" s="48" t="s">
        <v>1270</v>
      </c>
      <c r="O28" s="48">
        <v>3</v>
      </c>
      <c r="P28" s="48">
        <v>4</v>
      </c>
      <c r="Q28" s="48">
        <v>4</v>
      </c>
      <c r="R28" s="48">
        <v>4</v>
      </c>
      <c r="S28" s="48">
        <v>2</v>
      </c>
      <c r="T28" s="48">
        <v>3</v>
      </c>
      <c r="U28" s="48">
        <v>4</v>
      </c>
      <c r="V28" s="48">
        <v>4</v>
      </c>
      <c r="W28" s="48">
        <v>3</v>
      </c>
      <c r="X28" s="48">
        <v>3</v>
      </c>
      <c r="Y28" s="48">
        <v>4</v>
      </c>
      <c r="Z28" s="48">
        <v>4</v>
      </c>
      <c r="AA28" s="48">
        <v>3</v>
      </c>
      <c r="AB28" s="48">
        <v>4</v>
      </c>
      <c r="AC28" s="48">
        <v>4</v>
      </c>
      <c r="AD28" s="48">
        <v>4</v>
      </c>
      <c r="AE28" s="48" t="s">
        <v>1261</v>
      </c>
      <c r="AF28" s="48" t="s">
        <v>1381</v>
      </c>
      <c r="AG28" s="48" t="s">
        <v>1263</v>
      </c>
      <c r="AH28" s="48" t="s">
        <v>1382</v>
      </c>
      <c r="AI28" s="48" t="s">
        <v>1383</v>
      </c>
      <c r="AJ28" s="48"/>
    </row>
    <row r="29" spans="1:36" ht="15.75" customHeight="1">
      <c r="A29" s="48" t="b">
        <v>1</v>
      </c>
      <c r="B29" s="127" t="e">
        <f t="array" ref="B29">_xlfn.XLOOKUP(E29,#REF!,#REF!)</f>
        <v>#REF!</v>
      </c>
      <c r="C29" s="48" t="s">
        <v>954</v>
      </c>
      <c r="D29" s="48"/>
      <c r="E29" s="48" t="s">
        <v>421</v>
      </c>
      <c r="F29" s="127">
        <v>46206.786805555603</v>
      </c>
      <c r="G29" s="48" t="s">
        <v>1384</v>
      </c>
      <c r="H29" s="48" t="s">
        <v>1276</v>
      </c>
      <c r="I29" s="48" t="s">
        <v>1256</v>
      </c>
      <c r="J29" s="153" t="s">
        <v>1376</v>
      </c>
      <c r="K29" s="154"/>
      <c r="L29" s="48" t="s">
        <v>1269</v>
      </c>
      <c r="M29" s="48" t="s">
        <v>1259</v>
      </c>
      <c r="N29" s="48" t="s">
        <v>1260</v>
      </c>
      <c r="O29" s="48">
        <v>2</v>
      </c>
      <c r="P29" s="48">
        <v>3</v>
      </c>
      <c r="Q29" s="48">
        <v>3</v>
      </c>
      <c r="R29" s="48">
        <v>3</v>
      </c>
      <c r="S29" s="48">
        <v>1</v>
      </c>
      <c r="T29" s="48">
        <v>2</v>
      </c>
      <c r="U29" s="48">
        <v>2</v>
      </c>
      <c r="V29" s="48">
        <v>2</v>
      </c>
      <c r="W29" s="48">
        <v>3</v>
      </c>
      <c r="X29" s="48">
        <v>3</v>
      </c>
      <c r="Y29" s="48">
        <v>2</v>
      </c>
      <c r="Z29" s="48">
        <v>2</v>
      </c>
      <c r="AA29" s="48">
        <v>2</v>
      </c>
      <c r="AB29" s="48">
        <v>0</v>
      </c>
      <c r="AC29" s="48">
        <v>3</v>
      </c>
      <c r="AD29" s="48">
        <v>2</v>
      </c>
      <c r="AE29" s="48" t="s">
        <v>1300</v>
      </c>
      <c r="AF29" s="48" t="s">
        <v>1312</v>
      </c>
      <c r="AG29" s="48" t="s">
        <v>1272</v>
      </c>
      <c r="AH29" s="48" t="s">
        <v>1385</v>
      </c>
      <c r="AI29" s="48" t="s">
        <v>1386</v>
      </c>
      <c r="AJ29" s="48"/>
    </row>
    <row r="30" spans="1:36" ht="15.75" customHeight="1">
      <c r="A30" s="48" t="b">
        <v>1</v>
      </c>
      <c r="B30" s="127" t="e">
        <f t="array" ref="B30">_xlfn.XLOOKUP(E30,#REF!,#REF!)</f>
        <v>#REF!</v>
      </c>
      <c r="C30" s="48" t="s">
        <v>1011</v>
      </c>
      <c r="D30" s="48"/>
      <c r="E30" s="48" t="s">
        <v>391</v>
      </c>
      <c r="F30" s="127">
        <v>46206.7902777778</v>
      </c>
      <c r="G30" s="48" t="s">
        <v>1387</v>
      </c>
      <c r="H30" s="48" t="s">
        <v>1276</v>
      </c>
      <c r="I30" s="48" t="s">
        <v>1277</v>
      </c>
      <c r="J30" s="153" t="s">
        <v>1388</v>
      </c>
      <c r="K30" s="154"/>
      <c r="L30" s="48" t="s">
        <v>1279</v>
      </c>
      <c r="M30" s="48" t="s">
        <v>1294</v>
      </c>
      <c r="N30" s="48" t="s">
        <v>1280</v>
      </c>
      <c r="O30" s="48">
        <v>3</v>
      </c>
      <c r="P30" s="48">
        <v>3</v>
      </c>
      <c r="Q30" s="48">
        <v>3</v>
      </c>
      <c r="R30" s="48">
        <v>2</v>
      </c>
      <c r="S30" s="48">
        <v>3</v>
      </c>
      <c r="T30" s="48">
        <v>2</v>
      </c>
      <c r="U30" s="48">
        <v>2</v>
      </c>
      <c r="V30" s="48">
        <v>2</v>
      </c>
      <c r="W30" s="48">
        <v>2</v>
      </c>
      <c r="X30" s="48">
        <v>3</v>
      </c>
      <c r="Y30" s="48">
        <v>2</v>
      </c>
      <c r="Z30" s="48">
        <v>3</v>
      </c>
      <c r="AA30" s="48">
        <v>4</v>
      </c>
      <c r="AB30" s="48">
        <v>4</v>
      </c>
      <c r="AC30" s="48">
        <v>3</v>
      </c>
      <c r="AD30" s="48">
        <v>3</v>
      </c>
      <c r="AE30" s="48" t="s">
        <v>1261</v>
      </c>
      <c r="AF30" s="48" t="s">
        <v>1320</v>
      </c>
      <c r="AG30" s="48" t="s">
        <v>1272</v>
      </c>
      <c r="AH30" s="48" t="s">
        <v>1389</v>
      </c>
      <c r="AI30" s="48" t="s">
        <v>1390</v>
      </c>
      <c r="AJ30" s="48"/>
    </row>
    <row r="31" spans="1:36" ht="15.75" customHeight="1">
      <c r="A31" s="48" t="b">
        <v>1</v>
      </c>
      <c r="B31" s="127" t="e">
        <f t="array" ref="B31">_xlfn.XLOOKUP(E31,#REF!,#REF!)</f>
        <v>#REF!</v>
      </c>
      <c r="C31" s="48" t="s">
        <v>1029</v>
      </c>
      <c r="D31" s="48"/>
      <c r="E31" s="48" t="s">
        <v>168</v>
      </c>
      <c r="F31" s="127">
        <v>46206.809027777803</v>
      </c>
      <c r="G31" s="48" t="s">
        <v>1391</v>
      </c>
      <c r="H31" s="48" t="s">
        <v>1267</v>
      </c>
      <c r="I31" s="48" t="s">
        <v>1392</v>
      </c>
      <c r="J31" s="153" t="s">
        <v>1393</v>
      </c>
      <c r="K31" s="154"/>
      <c r="L31" s="48" t="s">
        <v>1269</v>
      </c>
      <c r="M31" s="48" t="s">
        <v>1357</v>
      </c>
      <c r="N31" s="48" t="s">
        <v>1270</v>
      </c>
      <c r="O31" s="48">
        <v>3</v>
      </c>
      <c r="P31" s="48">
        <v>3</v>
      </c>
      <c r="Q31" s="48">
        <v>3</v>
      </c>
      <c r="R31" s="48">
        <v>3</v>
      </c>
      <c r="S31" s="48">
        <v>3</v>
      </c>
      <c r="T31" s="48">
        <v>3</v>
      </c>
      <c r="U31" s="48">
        <v>4</v>
      </c>
      <c r="V31" s="48">
        <v>3</v>
      </c>
      <c r="W31" s="48">
        <v>4</v>
      </c>
      <c r="X31" s="48">
        <v>4</v>
      </c>
      <c r="Y31" s="48">
        <v>4</v>
      </c>
      <c r="Z31" s="48">
        <v>4</v>
      </c>
      <c r="AA31" s="48">
        <v>3</v>
      </c>
      <c r="AB31" s="48">
        <v>4</v>
      </c>
      <c r="AC31" s="48">
        <v>4</v>
      </c>
      <c r="AD31" s="48">
        <v>4</v>
      </c>
      <c r="AE31" s="48" t="s">
        <v>1261</v>
      </c>
      <c r="AF31" s="48" t="s">
        <v>1330</v>
      </c>
      <c r="AG31" s="48" t="s">
        <v>1272</v>
      </c>
      <c r="AH31" s="48" t="s">
        <v>1394</v>
      </c>
      <c r="AI31" s="48" t="s">
        <v>1395</v>
      </c>
      <c r="AJ31" s="48"/>
    </row>
    <row r="32" spans="1:36" ht="15.75" customHeight="1">
      <c r="A32" s="48" t="b">
        <v>1</v>
      </c>
      <c r="B32" s="127" t="e">
        <f t="array" ref="B32">_xlfn.XLOOKUP(E32,#REF!,#REF!)</f>
        <v>#REF!</v>
      </c>
      <c r="C32" s="48" t="s">
        <v>968</v>
      </c>
      <c r="D32" s="48"/>
      <c r="E32" s="48" t="s">
        <v>550</v>
      </c>
      <c r="F32" s="127">
        <v>46206.819444444402</v>
      </c>
      <c r="G32" s="48" t="s">
        <v>1396</v>
      </c>
      <c r="H32" s="48" t="s">
        <v>1276</v>
      </c>
      <c r="I32" s="48" t="s">
        <v>1256</v>
      </c>
      <c r="J32" s="153" t="s">
        <v>1380</v>
      </c>
      <c r="K32" s="154"/>
      <c r="L32" s="48" t="s">
        <v>1269</v>
      </c>
      <c r="M32" s="48" t="s">
        <v>1357</v>
      </c>
      <c r="N32" s="48" t="s">
        <v>1270</v>
      </c>
      <c r="O32" s="48">
        <v>0</v>
      </c>
      <c r="P32" s="48">
        <v>0</v>
      </c>
      <c r="Q32" s="48">
        <v>1</v>
      </c>
      <c r="R32" s="48">
        <v>1</v>
      </c>
      <c r="S32" s="48">
        <v>1</v>
      </c>
      <c r="T32" s="48">
        <v>0</v>
      </c>
      <c r="U32" s="48">
        <v>0</v>
      </c>
      <c r="V32" s="48">
        <v>1</v>
      </c>
      <c r="W32" s="48">
        <v>3</v>
      </c>
      <c r="X32" s="48">
        <v>3</v>
      </c>
      <c r="Y32" s="48">
        <v>2</v>
      </c>
      <c r="Z32" s="48">
        <v>1</v>
      </c>
      <c r="AA32" s="48">
        <v>0</v>
      </c>
      <c r="AB32" s="48">
        <v>1</v>
      </c>
      <c r="AC32" s="48">
        <v>4</v>
      </c>
      <c r="AD32" s="48">
        <v>2</v>
      </c>
      <c r="AE32" s="48" t="s">
        <v>1300</v>
      </c>
      <c r="AF32" s="48" t="s">
        <v>1397</v>
      </c>
      <c r="AG32" s="48" t="s">
        <v>1272</v>
      </c>
      <c r="AH32" s="48" t="s">
        <v>1398</v>
      </c>
      <c r="AI32" s="48" t="s">
        <v>1399</v>
      </c>
      <c r="AJ32" s="48"/>
    </row>
    <row r="33" spans="1:36" ht="15.75" customHeight="1">
      <c r="A33" s="48" t="b">
        <v>1</v>
      </c>
      <c r="B33" s="127" t="e">
        <f t="array" ref="B33">_xlfn.XLOOKUP(E33,#REF!,#REF!)</f>
        <v>#REF!</v>
      </c>
      <c r="C33" s="48" t="s">
        <v>940</v>
      </c>
      <c r="D33" s="48"/>
      <c r="E33" s="48" t="s">
        <v>510</v>
      </c>
      <c r="F33" s="127">
        <v>46206.822916666701</v>
      </c>
      <c r="G33" s="48" t="s">
        <v>1400</v>
      </c>
      <c r="H33" s="48" t="s">
        <v>1267</v>
      </c>
      <c r="I33" s="48" t="s">
        <v>1256</v>
      </c>
      <c r="J33" s="153" t="s">
        <v>1278</v>
      </c>
      <c r="K33" s="154"/>
      <c r="L33" s="48" t="s">
        <v>1269</v>
      </c>
      <c r="M33" s="48" t="s">
        <v>1259</v>
      </c>
      <c r="N33" s="48" t="s">
        <v>1270</v>
      </c>
      <c r="O33" s="48">
        <v>1</v>
      </c>
      <c r="P33" s="48">
        <v>1</v>
      </c>
      <c r="Q33" s="48">
        <v>3</v>
      </c>
      <c r="R33" s="48">
        <v>2</v>
      </c>
      <c r="S33" s="48">
        <v>2</v>
      </c>
      <c r="T33" s="48">
        <v>2</v>
      </c>
      <c r="U33" s="48">
        <v>2</v>
      </c>
      <c r="V33" s="48">
        <v>2</v>
      </c>
      <c r="W33" s="48">
        <v>4</v>
      </c>
      <c r="X33" s="48">
        <v>4</v>
      </c>
      <c r="Y33" s="48">
        <v>3</v>
      </c>
      <c r="Z33" s="48">
        <v>3</v>
      </c>
      <c r="AA33" s="48">
        <v>3</v>
      </c>
      <c r="AB33" s="48">
        <v>3</v>
      </c>
      <c r="AC33" s="48">
        <v>3</v>
      </c>
      <c r="AD33" s="48">
        <v>2</v>
      </c>
      <c r="AE33" s="48" t="s">
        <v>1300</v>
      </c>
      <c r="AF33" s="48" t="s">
        <v>1401</v>
      </c>
      <c r="AG33" s="48" t="s">
        <v>1272</v>
      </c>
      <c r="AH33" s="48" t="s">
        <v>1402</v>
      </c>
      <c r="AI33" s="48" t="s">
        <v>1403</v>
      </c>
      <c r="AJ33" s="48"/>
    </row>
    <row r="34" spans="1:36" ht="15.75" customHeight="1">
      <c r="A34" s="48" t="b">
        <v>1</v>
      </c>
      <c r="B34" s="127" t="e">
        <f t="array" ref="B34">_xlfn.XLOOKUP(E34,#REF!,#REF!)</f>
        <v>#REF!</v>
      </c>
      <c r="C34" s="48" t="s">
        <v>1000</v>
      </c>
      <c r="D34" s="48"/>
      <c r="E34" s="48" t="s">
        <v>375</v>
      </c>
      <c r="F34" s="127">
        <v>46206.828472222202</v>
      </c>
      <c r="G34" s="48" t="s">
        <v>1404</v>
      </c>
      <c r="H34" s="48" t="s">
        <v>1255</v>
      </c>
      <c r="I34" s="48" t="s">
        <v>1392</v>
      </c>
      <c r="J34" s="153" t="s">
        <v>1405</v>
      </c>
      <c r="K34" s="154"/>
      <c r="L34" s="48" t="s">
        <v>1269</v>
      </c>
      <c r="M34" s="48" t="s">
        <v>1259</v>
      </c>
      <c r="N34" s="48" t="s">
        <v>1270</v>
      </c>
      <c r="O34" s="48">
        <v>2</v>
      </c>
      <c r="P34" s="48">
        <v>1</v>
      </c>
      <c r="Q34" s="48">
        <v>4</v>
      </c>
      <c r="R34" s="48">
        <v>4</v>
      </c>
      <c r="S34" s="48">
        <v>3</v>
      </c>
      <c r="T34" s="48">
        <v>3</v>
      </c>
      <c r="U34" s="48">
        <v>2</v>
      </c>
      <c r="V34" s="48">
        <v>3</v>
      </c>
      <c r="W34" s="48">
        <v>4</v>
      </c>
      <c r="X34" s="48">
        <v>3</v>
      </c>
      <c r="Y34" s="48">
        <v>4</v>
      </c>
      <c r="Z34" s="48">
        <v>4</v>
      </c>
      <c r="AA34" s="48">
        <v>4</v>
      </c>
      <c r="AB34" s="48">
        <v>3</v>
      </c>
      <c r="AC34" s="48">
        <v>3</v>
      </c>
      <c r="AD34" s="48">
        <v>2</v>
      </c>
      <c r="AE34" s="48" t="s">
        <v>1261</v>
      </c>
      <c r="AF34" s="48" t="s">
        <v>1367</v>
      </c>
      <c r="AG34" s="48" t="s">
        <v>1272</v>
      </c>
      <c r="AH34" s="48" t="s">
        <v>1406</v>
      </c>
      <c r="AI34" s="48" t="s">
        <v>1407</v>
      </c>
      <c r="AJ34" s="48"/>
    </row>
    <row r="35" spans="1:36" ht="15.75" customHeight="1">
      <c r="A35" s="48" t="b">
        <v>1</v>
      </c>
      <c r="B35" s="127" t="e">
        <f t="array" ref="B35">_xlfn.XLOOKUP(E35,#REF!,#REF!)</f>
        <v>#REF!</v>
      </c>
      <c r="C35" s="48" t="s">
        <v>1207</v>
      </c>
      <c r="D35" s="48"/>
      <c r="E35" s="48" t="s">
        <v>158</v>
      </c>
      <c r="F35" s="127">
        <v>46206.829861111102</v>
      </c>
      <c r="G35" s="48" t="s">
        <v>1408</v>
      </c>
      <c r="H35" s="48" t="s">
        <v>1267</v>
      </c>
      <c r="I35" s="48" t="s">
        <v>1256</v>
      </c>
      <c r="J35" s="153" t="s">
        <v>1356</v>
      </c>
      <c r="K35" s="154"/>
      <c r="L35" s="48" t="s">
        <v>1269</v>
      </c>
      <c r="M35" s="48" t="s">
        <v>1259</v>
      </c>
      <c r="N35" s="48" t="s">
        <v>1260</v>
      </c>
      <c r="O35" s="48">
        <v>4</v>
      </c>
      <c r="P35" s="48">
        <v>4</v>
      </c>
      <c r="Q35" s="48">
        <v>4</v>
      </c>
      <c r="R35" s="48">
        <v>4</v>
      </c>
      <c r="S35" s="48">
        <v>1</v>
      </c>
      <c r="T35" s="48">
        <v>1</v>
      </c>
      <c r="U35" s="48">
        <v>3</v>
      </c>
      <c r="V35" s="48">
        <v>3</v>
      </c>
      <c r="W35" s="48">
        <v>4</v>
      </c>
      <c r="X35" s="48">
        <v>4</v>
      </c>
      <c r="Y35" s="48">
        <v>4</v>
      </c>
      <c r="Z35" s="48">
        <v>4</v>
      </c>
      <c r="AA35" s="48">
        <v>2</v>
      </c>
      <c r="AB35" s="48">
        <v>2</v>
      </c>
      <c r="AC35" s="48">
        <v>4</v>
      </c>
      <c r="AD35" s="48">
        <v>4</v>
      </c>
      <c r="AE35" s="48" t="s">
        <v>1300</v>
      </c>
      <c r="AF35" s="48" t="s">
        <v>1289</v>
      </c>
      <c r="AG35" s="48" t="s">
        <v>1272</v>
      </c>
      <c r="AH35" s="48" t="s">
        <v>1409</v>
      </c>
      <c r="AI35" s="48" t="s">
        <v>1410</v>
      </c>
      <c r="AJ35" s="48"/>
    </row>
    <row r="36" spans="1:36" ht="15.75" customHeight="1">
      <c r="A36" s="48" t="b">
        <v>1</v>
      </c>
      <c r="B36" s="127" t="e">
        <f t="array" ref="B36">_xlfn.XLOOKUP(E36,#REF!,#REF!)</f>
        <v>#REF!</v>
      </c>
      <c r="C36" s="48" t="s">
        <v>1206</v>
      </c>
      <c r="D36" s="48"/>
      <c r="E36" s="48" t="s">
        <v>745</v>
      </c>
      <c r="F36" s="127">
        <v>46206.8305555556</v>
      </c>
      <c r="G36" s="48" t="s">
        <v>1411</v>
      </c>
      <c r="H36" s="48" t="s">
        <v>1276</v>
      </c>
      <c r="I36" s="48" t="s">
        <v>1277</v>
      </c>
      <c r="J36" s="153" t="s">
        <v>1293</v>
      </c>
      <c r="K36" s="154"/>
      <c r="L36" s="48" t="s">
        <v>1279</v>
      </c>
      <c r="M36" s="48" t="s">
        <v>1294</v>
      </c>
      <c r="N36" s="48" t="s">
        <v>1280</v>
      </c>
      <c r="O36" s="48">
        <v>1</v>
      </c>
      <c r="P36" s="48">
        <v>1</v>
      </c>
      <c r="Q36" s="48">
        <v>3</v>
      </c>
      <c r="R36" s="48">
        <v>1</v>
      </c>
      <c r="S36" s="48">
        <v>1</v>
      </c>
      <c r="T36" s="48">
        <v>0</v>
      </c>
      <c r="U36" s="48">
        <v>3</v>
      </c>
      <c r="V36" s="48">
        <v>3</v>
      </c>
      <c r="W36" s="48">
        <v>3</v>
      </c>
      <c r="X36" s="48">
        <v>3</v>
      </c>
      <c r="Y36" s="48">
        <v>3</v>
      </c>
      <c r="Z36" s="48">
        <v>4</v>
      </c>
      <c r="AA36" s="48">
        <v>2</v>
      </c>
      <c r="AB36" s="48">
        <v>4</v>
      </c>
      <c r="AC36" s="48">
        <v>2</v>
      </c>
      <c r="AD36" s="48">
        <v>1</v>
      </c>
      <c r="AE36" s="48" t="s">
        <v>1261</v>
      </c>
      <c r="AF36" s="48" t="s">
        <v>1401</v>
      </c>
      <c r="AG36" s="48" t="s">
        <v>1263</v>
      </c>
      <c r="AH36" s="48" t="s">
        <v>1412</v>
      </c>
      <c r="AI36" s="48" t="s">
        <v>1413</v>
      </c>
      <c r="AJ36" s="48"/>
    </row>
    <row r="37" spans="1:36" ht="15.75" customHeight="1">
      <c r="A37" s="48" t="b">
        <v>1</v>
      </c>
      <c r="B37" s="127" t="e">
        <f t="array" ref="B37">_xlfn.XLOOKUP(E37,#REF!,#REF!)</f>
        <v>#REF!</v>
      </c>
      <c r="C37" s="48" t="s">
        <v>1101</v>
      </c>
      <c r="D37" s="48"/>
      <c r="E37" s="48" t="s">
        <v>308</v>
      </c>
      <c r="F37" s="127">
        <v>46206.85</v>
      </c>
      <c r="G37" s="48" t="s">
        <v>1414</v>
      </c>
      <c r="H37" s="48" t="s">
        <v>1276</v>
      </c>
      <c r="I37" s="48" t="s">
        <v>1277</v>
      </c>
      <c r="J37" s="153" t="s">
        <v>1268</v>
      </c>
      <c r="K37" s="154"/>
      <c r="L37" s="48" t="s">
        <v>1258</v>
      </c>
      <c r="M37" s="48" t="s">
        <v>1294</v>
      </c>
      <c r="N37" s="48" t="s">
        <v>1288</v>
      </c>
      <c r="O37" s="48">
        <v>0</v>
      </c>
      <c r="P37" s="48">
        <v>0</v>
      </c>
      <c r="Q37" s="48">
        <v>0</v>
      </c>
      <c r="R37" s="48">
        <v>0</v>
      </c>
      <c r="S37" s="48">
        <v>0</v>
      </c>
      <c r="T37" s="48">
        <v>2</v>
      </c>
      <c r="U37" s="48">
        <v>1</v>
      </c>
      <c r="V37" s="48">
        <v>1</v>
      </c>
      <c r="W37" s="48">
        <v>4</v>
      </c>
      <c r="X37" s="48">
        <v>4</v>
      </c>
      <c r="Y37" s="48">
        <v>4</v>
      </c>
      <c r="Z37" s="48">
        <v>0</v>
      </c>
      <c r="AA37" s="48">
        <v>4</v>
      </c>
      <c r="AB37" s="48">
        <v>0</v>
      </c>
      <c r="AC37" s="48">
        <v>0</v>
      </c>
      <c r="AD37" s="48">
        <v>2</v>
      </c>
      <c r="AE37" s="48" t="s">
        <v>1295</v>
      </c>
      <c r="AF37" s="48" t="s">
        <v>1262</v>
      </c>
      <c r="AG37" s="48" t="s">
        <v>1272</v>
      </c>
      <c r="AH37" s="48" t="s">
        <v>1415</v>
      </c>
      <c r="AI37" s="48" t="s">
        <v>1416</v>
      </c>
      <c r="AJ37" s="48"/>
    </row>
    <row r="38" spans="1:36" ht="15.75" customHeight="1">
      <c r="A38" s="48" t="b">
        <v>1</v>
      </c>
      <c r="B38" s="127" t="e">
        <f t="array" ref="B38">_xlfn.XLOOKUP(E38,#REF!,#REF!)</f>
        <v>#REF!</v>
      </c>
      <c r="C38" s="48" t="s">
        <v>934</v>
      </c>
      <c r="D38" s="48"/>
      <c r="E38" s="48" t="s">
        <v>624</v>
      </c>
      <c r="F38" s="127">
        <v>46206.854166666701</v>
      </c>
      <c r="G38" s="48" t="s">
        <v>1417</v>
      </c>
      <c r="H38" s="48" t="s">
        <v>1255</v>
      </c>
      <c r="I38" s="48" t="s">
        <v>1256</v>
      </c>
      <c r="J38" s="153" t="s">
        <v>1278</v>
      </c>
      <c r="K38" s="154"/>
      <c r="L38" s="48" t="s">
        <v>1269</v>
      </c>
      <c r="M38" s="48" t="s">
        <v>1259</v>
      </c>
      <c r="N38" s="48" t="s">
        <v>1270</v>
      </c>
      <c r="O38" s="48">
        <v>3</v>
      </c>
      <c r="P38" s="48">
        <v>4</v>
      </c>
      <c r="Q38" s="48">
        <v>3</v>
      </c>
      <c r="R38" s="48">
        <v>2</v>
      </c>
      <c r="S38" s="48">
        <v>2</v>
      </c>
      <c r="T38" s="48">
        <v>2</v>
      </c>
      <c r="U38" s="48">
        <v>3</v>
      </c>
      <c r="V38" s="48">
        <v>2</v>
      </c>
      <c r="W38" s="48">
        <v>2</v>
      </c>
      <c r="X38" s="48">
        <v>3</v>
      </c>
      <c r="Y38" s="48">
        <v>3</v>
      </c>
      <c r="Z38" s="48">
        <v>4</v>
      </c>
      <c r="AA38" s="48">
        <v>4</v>
      </c>
      <c r="AB38" s="48">
        <v>3</v>
      </c>
      <c r="AC38" s="48">
        <v>3</v>
      </c>
      <c r="AD38" s="48">
        <v>3</v>
      </c>
      <c r="AE38" s="48" t="s">
        <v>1261</v>
      </c>
      <c r="AF38" s="48" t="s">
        <v>1362</v>
      </c>
      <c r="AG38" s="48" t="s">
        <v>1263</v>
      </c>
      <c r="AH38" s="48" t="s">
        <v>1418</v>
      </c>
      <c r="AI38" s="48" t="s">
        <v>1419</v>
      </c>
      <c r="AJ38" s="48"/>
    </row>
    <row r="39" spans="1:36" ht="15.75" customHeight="1">
      <c r="A39" s="48" t="b">
        <v>1</v>
      </c>
      <c r="B39" s="127" t="e">
        <f t="array" ref="B39">_xlfn.XLOOKUP(E39,#REF!,#REF!)</f>
        <v>#REF!</v>
      </c>
      <c r="C39" s="48" t="s">
        <v>1173</v>
      </c>
      <c r="D39" s="48"/>
      <c r="E39" s="48" t="s">
        <v>353</v>
      </c>
      <c r="F39" s="127">
        <v>46206.858333333301</v>
      </c>
      <c r="G39" s="48" t="s">
        <v>1420</v>
      </c>
      <c r="H39" s="48" t="s">
        <v>1276</v>
      </c>
      <c r="I39" s="48" t="s">
        <v>1299</v>
      </c>
      <c r="J39" s="153" t="s">
        <v>1421</v>
      </c>
      <c r="K39" s="154"/>
      <c r="L39" s="48" t="s">
        <v>1258</v>
      </c>
      <c r="M39" s="48" t="s">
        <v>1259</v>
      </c>
      <c r="N39" s="48" t="s">
        <v>1260</v>
      </c>
      <c r="O39" s="48">
        <v>4</v>
      </c>
      <c r="P39" s="48">
        <v>4</v>
      </c>
      <c r="Q39" s="48">
        <v>4</v>
      </c>
      <c r="R39" s="48">
        <v>4</v>
      </c>
      <c r="S39" s="48">
        <v>4</v>
      </c>
      <c r="T39" s="48">
        <v>1</v>
      </c>
      <c r="U39" s="48">
        <v>2</v>
      </c>
      <c r="V39" s="48">
        <v>3</v>
      </c>
      <c r="W39" s="48">
        <v>3</v>
      </c>
      <c r="X39" s="48">
        <v>3</v>
      </c>
      <c r="Y39" s="48">
        <v>4</v>
      </c>
      <c r="Z39" s="48">
        <v>4</v>
      </c>
      <c r="AA39" s="48">
        <v>4</v>
      </c>
      <c r="AB39" s="48">
        <v>4</v>
      </c>
      <c r="AC39" s="48">
        <v>4</v>
      </c>
      <c r="AD39" s="48">
        <v>4</v>
      </c>
      <c r="AE39" s="48" t="s">
        <v>1300</v>
      </c>
      <c r="AF39" s="48" t="s">
        <v>1320</v>
      </c>
      <c r="AG39" s="48" t="s">
        <v>1272</v>
      </c>
      <c r="AH39" s="48" t="s">
        <v>1422</v>
      </c>
      <c r="AI39" s="48" t="s">
        <v>1423</v>
      </c>
      <c r="AJ39" s="48"/>
    </row>
    <row r="40" spans="1:36" ht="15.75" customHeight="1">
      <c r="A40" s="48" t="b">
        <v>1</v>
      </c>
      <c r="B40" s="127" t="e">
        <f t="array" ref="B40">_xlfn.XLOOKUP(E40,#REF!,#REF!)</f>
        <v>#REF!</v>
      </c>
      <c r="C40" s="48" t="s">
        <v>898</v>
      </c>
      <c r="D40" s="48"/>
      <c r="E40" s="48" t="s">
        <v>522</v>
      </c>
      <c r="F40" s="127">
        <v>46206.867361111101</v>
      </c>
      <c r="G40" s="48" t="s">
        <v>1424</v>
      </c>
      <c r="H40" s="48" t="s">
        <v>1276</v>
      </c>
      <c r="I40" s="48" t="s">
        <v>1256</v>
      </c>
      <c r="J40" s="153" t="s">
        <v>1356</v>
      </c>
      <c r="K40" s="154"/>
      <c r="L40" s="48" t="s">
        <v>1269</v>
      </c>
      <c r="M40" s="48" t="s">
        <v>1259</v>
      </c>
      <c r="N40" s="48" t="s">
        <v>1270</v>
      </c>
      <c r="O40" s="48">
        <v>1</v>
      </c>
      <c r="P40" s="48">
        <v>2</v>
      </c>
      <c r="Q40" s="48">
        <v>2</v>
      </c>
      <c r="R40" s="48">
        <v>1</v>
      </c>
      <c r="S40" s="48">
        <v>2</v>
      </c>
      <c r="T40" s="48">
        <v>0</v>
      </c>
      <c r="U40" s="48">
        <v>1</v>
      </c>
      <c r="V40" s="48">
        <v>1</v>
      </c>
      <c r="W40" s="48">
        <v>3</v>
      </c>
      <c r="X40" s="48">
        <v>3</v>
      </c>
      <c r="Y40" s="48">
        <v>1</v>
      </c>
      <c r="Z40" s="48">
        <v>2</v>
      </c>
      <c r="AA40" s="48">
        <v>2</v>
      </c>
      <c r="AB40" s="48">
        <v>2</v>
      </c>
      <c r="AC40" s="48">
        <v>2</v>
      </c>
      <c r="AD40" s="48">
        <v>0</v>
      </c>
      <c r="AE40" s="48" t="s">
        <v>1261</v>
      </c>
      <c r="AF40" s="48" t="s">
        <v>1262</v>
      </c>
      <c r="AG40" s="48" t="s">
        <v>1272</v>
      </c>
      <c r="AH40" s="48" t="s">
        <v>1425</v>
      </c>
      <c r="AI40" s="48" t="s">
        <v>1426</v>
      </c>
      <c r="AJ40" s="48"/>
    </row>
    <row r="41" spans="1:36" ht="15.75" customHeight="1">
      <c r="A41" s="48" t="b">
        <v>1</v>
      </c>
      <c r="B41" s="127" t="e">
        <f t="array" ref="B41">_xlfn.XLOOKUP(E41,#REF!,#REF!)</f>
        <v>#REF!</v>
      </c>
      <c r="C41" s="48" t="s">
        <v>1146</v>
      </c>
      <c r="D41" s="48"/>
      <c r="E41" s="48" t="s">
        <v>512</v>
      </c>
      <c r="F41" s="127">
        <v>46206.869444444397</v>
      </c>
      <c r="G41" s="48" t="s">
        <v>1305</v>
      </c>
      <c r="H41" s="48" t="s">
        <v>1276</v>
      </c>
      <c r="I41" s="48" t="s">
        <v>1299</v>
      </c>
      <c r="J41" s="153" t="s">
        <v>1257</v>
      </c>
      <c r="K41" s="154"/>
      <c r="L41" s="48" t="s">
        <v>1269</v>
      </c>
      <c r="M41" s="48" t="s">
        <v>1294</v>
      </c>
      <c r="N41" s="48" t="s">
        <v>1260</v>
      </c>
      <c r="O41" s="48">
        <v>0</v>
      </c>
      <c r="P41" s="48">
        <v>2</v>
      </c>
      <c r="Q41" s="48">
        <v>3</v>
      </c>
      <c r="R41" s="48">
        <v>4</v>
      </c>
      <c r="S41" s="48">
        <v>3</v>
      </c>
      <c r="T41" s="48">
        <v>2</v>
      </c>
      <c r="U41" s="48">
        <v>3</v>
      </c>
      <c r="V41" s="48">
        <v>4</v>
      </c>
      <c r="W41" s="48">
        <v>3</v>
      </c>
      <c r="X41" s="48">
        <v>4</v>
      </c>
      <c r="Y41" s="48">
        <v>2</v>
      </c>
      <c r="Z41" s="48">
        <v>2</v>
      </c>
      <c r="AA41" s="48">
        <v>2</v>
      </c>
      <c r="AB41" s="48">
        <v>2</v>
      </c>
      <c r="AC41" s="48">
        <v>2</v>
      </c>
      <c r="AD41" s="48">
        <v>2</v>
      </c>
      <c r="AE41" s="48" t="s">
        <v>1300</v>
      </c>
      <c r="AF41" s="48" t="s">
        <v>1308</v>
      </c>
      <c r="AG41" s="48" t="s">
        <v>1272</v>
      </c>
      <c r="AH41" s="48" t="s">
        <v>1427</v>
      </c>
      <c r="AI41" s="48" t="s">
        <v>1428</v>
      </c>
      <c r="AJ41" s="48"/>
    </row>
    <row r="42" spans="1:36" ht="15.75" customHeight="1">
      <c r="A42" s="48" t="b">
        <v>1</v>
      </c>
      <c r="B42" s="127" t="e">
        <f t="array" ref="B42">_xlfn.XLOOKUP(E42,#REF!,#REF!)</f>
        <v>#REF!</v>
      </c>
      <c r="C42" s="48" t="s">
        <v>972</v>
      </c>
      <c r="D42" s="48"/>
      <c r="E42" s="48" t="s">
        <v>403</v>
      </c>
      <c r="F42" s="127">
        <v>46206.870833333298</v>
      </c>
      <c r="G42" s="48" t="s">
        <v>1429</v>
      </c>
      <c r="H42" s="48" t="s">
        <v>1276</v>
      </c>
      <c r="I42" s="48" t="s">
        <v>1256</v>
      </c>
      <c r="J42" s="153" t="s">
        <v>1430</v>
      </c>
      <c r="K42" s="154"/>
      <c r="L42" s="48" t="s">
        <v>1269</v>
      </c>
      <c r="M42" s="48" t="s">
        <v>1259</v>
      </c>
      <c r="N42" s="48" t="s">
        <v>1270</v>
      </c>
      <c r="O42" s="48">
        <v>1</v>
      </c>
      <c r="P42" s="48">
        <v>3</v>
      </c>
      <c r="Q42" s="48">
        <v>2</v>
      </c>
      <c r="R42" s="48">
        <v>1</v>
      </c>
      <c r="S42" s="48">
        <v>1</v>
      </c>
      <c r="T42" s="48">
        <v>0</v>
      </c>
      <c r="U42" s="48">
        <v>1</v>
      </c>
      <c r="V42" s="48">
        <v>1</v>
      </c>
      <c r="W42" s="48">
        <v>3</v>
      </c>
      <c r="X42" s="48">
        <v>3</v>
      </c>
      <c r="Y42" s="48">
        <v>3</v>
      </c>
      <c r="Z42" s="48">
        <v>2</v>
      </c>
      <c r="AA42" s="48">
        <v>1</v>
      </c>
      <c r="AB42" s="48">
        <v>2</v>
      </c>
      <c r="AC42" s="48">
        <v>2</v>
      </c>
      <c r="AD42" s="48">
        <v>2</v>
      </c>
      <c r="AE42" s="48" t="s">
        <v>1300</v>
      </c>
      <c r="AF42" s="48" t="s">
        <v>1289</v>
      </c>
      <c r="AG42" s="48" t="s">
        <v>1272</v>
      </c>
      <c r="AH42" s="48" t="s">
        <v>1431</v>
      </c>
      <c r="AI42" s="48" t="s">
        <v>1432</v>
      </c>
      <c r="AJ42" s="48"/>
    </row>
    <row r="43" spans="1:36" ht="15.75" customHeight="1">
      <c r="A43" s="48" t="b">
        <v>1</v>
      </c>
      <c r="B43" s="127" t="e">
        <f t="array" ref="B43">_xlfn.XLOOKUP(E43,#REF!,#REF!)</f>
        <v>#REF!</v>
      </c>
      <c r="C43" s="48" t="s">
        <v>1129</v>
      </c>
      <c r="D43" s="48"/>
      <c r="E43" s="48" t="s">
        <v>651</v>
      </c>
      <c r="F43" s="127">
        <v>46206.870833333298</v>
      </c>
      <c r="G43" s="48" t="s">
        <v>1433</v>
      </c>
      <c r="H43" s="48" t="s">
        <v>1267</v>
      </c>
      <c r="I43" s="48" t="s">
        <v>1256</v>
      </c>
      <c r="J43" s="153" t="s">
        <v>1315</v>
      </c>
      <c r="K43" s="154"/>
      <c r="L43" s="48" t="s">
        <v>1269</v>
      </c>
      <c r="M43" s="48" t="s">
        <v>1259</v>
      </c>
      <c r="N43" s="48" t="s">
        <v>1270</v>
      </c>
      <c r="O43" s="48">
        <v>2</v>
      </c>
      <c r="P43" s="48">
        <v>1</v>
      </c>
      <c r="Q43" s="48">
        <v>2</v>
      </c>
      <c r="R43" s="48">
        <v>2</v>
      </c>
      <c r="S43" s="48">
        <v>1</v>
      </c>
      <c r="T43" s="48">
        <v>1</v>
      </c>
      <c r="U43" s="48">
        <v>1</v>
      </c>
      <c r="V43" s="48">
        <v>2</v>
      </c>
      <c r="W43" s="48">
        <v>4</v>
      </c>
      <c r="X43" s="48">
        <v>3</v>
      </c>
      <c r="Y43" s="48">
        <v>3</v>
      </c>
      <c r="Z43" s="48">
        <v>4</v>
      </c>
      <c r="AA43" s="48">
        <v>3</v>
      </c>
      <c r="AB43" s="48">
        <v>3</v>
      </c>
      <c r="AC43" s="48">
        <v>3</v>
      </c>
      <c r="AD43" s="48">
        <v>3</v>
      </c>
      <c r="AE43" s="48" t="s">
        <v>1261</v>
      </c>
      <c r="AF43" s="48" t="s">
        <v>1434</v>
      </c>
      <c r="AG43" s="48" t="s">
        <v>1272</v>
      </c>
      <c r="AH43" s="48" t="s">
        <v>1435</v>
      </c>
      <c r="AI43" s="48" t="s">
        <v>1436</v>
      </c>
      <c r="AJ43" s="48"/>
    </row>
    <row r="44" spans="1:36" ht="15.75" customHeight="1">
      <c r="A44" s="48" t="b">
        <v>1</v>
      </c>
      <c r="B44" s="127" t="e">
        <f t="array" ref="B44">_xlfn.XLOOKUP(E44,#REF!,#REF!)</f>
        <v>#REF!</v>
      </c>
      <c r="C44" s="48" t="s">
        <v>1058</v>
      </c>
      <c r="D44" s="48"/>
      <c r="E44" s="48" t="s">
        <v>681</v>
      </c>
      <c r="F44" s="127">
        <v>46206.875694444403</v>
      </c>
      <c r="G44" s="48" t="s">
        <v>1437</v>
      </c>
      <c r="H44" s="48" t="s">
        <v>1276</v>
      </c>
      <c r="I44" s="48" t="s">
        <v>1256</v>
      </c>
      <c r="J44" s="153" t="s">
        <v>1438</v>
      </c>
      <c r="K44" s="154"/>
      <c r="L44" s="48" t="s">
        <v>1258</v>
      </c>
      <c r="M44" s="48" t="s">
        <v>1294</v>
      </c>
      <c r="N44" s="48" t="s">
        <v>1288</v>
      </c>
      <c r="O44" s="48">
        <v>1</v>
      </c>
      <c r="P44" s="48">
        <v>1</v>
      </c>
      <c r="Q44" s="48">
        <v>3</v>
      </c>
      <c r="R44" s="48">
        <v>3</v>
      </c>
      <c r="S44" s="48">
        <v>3</v>
      </c>
      <c r="T44" s="48">
        <v>1</v>
      </c>
      <c r="U44" s="48">
        <v>1</v>
      </c>
      <c r="V44" s="48">
        <v>1</v>
      </c>
      <c r="W44" s="48">
        <v>4</v>
      </c>
      <c r="X44" s="48">
        <v>4</v>
      </c>
      <c r="Y44" s="48">
        <v>3</v>
      </c>
      <c r="Z44" s="48">
        <v>3</v>
      </c>
      <c r="AA44" s="48">
        <v>1</v>
      </c>
      <c r="AB44" s="48">
        <v>2</v>
      </c>
      <c r="AC44" s="48">
        <v>2</v>
      </c>
      <c r="AD44" s="48">
        <v>1</v>
      </c>
      <c r="AE44" s="48" t="s">
        <v>1300</v>
      </c>
      <c r="AF44" s="48" t="s">
        <v>1439</v>
      </c>
      <c r="AG44" s="48" t="s">
        <v>1272</v>
      </c>
      <c r="AH44" s="48" t="s">
        <v>1440</v>
      </c>
      <c r="AI44" s="48" t="s">
        <v>1441</v>
      </c>
      <c r="AJ44" s="48"/>
    </row>
    <row r="45" spans="1:36" ht="15.75" customHeight="1">
      <c r="A45" s="48" t="b">
        <v>1</v>
      </c>
      <c r="B45" s="127" t="e">
        <f t="array" ref="B45">_xlfn.XLOOKUP(E45,#REF!,#REF!)</f>
        <v>#REF!</v>
      </c>
      <c r="C45" s="48" t="s">
        <v>1199</v>
      </c>
      <c r="D45" s="48"/>
      <c r="E45" s="48" t="s">
        <v>234</v>
      </c>
      <c r="F45" s="127">
        <v>46206.879166666702</v>
      </c>
      <c r="G45" s="48" t="s">
        <v>1442</v>
      </c>
      <c r="H45" s="48" t="s">
        <v>1276</v>
      </c>
      <c r="I45" s="48" t="s">
        <v>1299</v>
      </c>
      <c r="J45" s="153" t="s">
        <v>1380</v>
      </c>
      <c r="K45" s="154"/>
      <c r="L45" s="48" t="s">
        <v>1269</v>
      </c>
      <c r="M45" s="48" t="s">
        <v>1259</v>
      </c>
      <c r="N45" s="48" t="s">
        <v>1260</v>
      </c>
      <c r="O45" s="48">
        <v>1</v>
      </c>
      <c r="P45" s="48">
        <v>0</v>
      </c>
      <c r="Q45" s="48">
        <v>1</v>
      </c>
      <c r="R45" s="48">
        <v>0</v>
      </c>
      <c r="S45" s="48">
        <v>1</v>
      </c>
      <c r="T45" s="48">
        <v>0</v>
      </c>
      <c r="U45" s="48">
        <v>0</v>
      </c>
      <c r="V45" s="48">
        <v>0</v>
      </c>
      <c r="W45" s="48">
        <v>3</v>
      </c>
      <c r="X45" s="48">
        <v>3</v>
      </c>
      <c r="Y45" s="48">
        <v>2</v>
      </c>
      <c r="Z45" s="48">
        <v>2</v>
      </c>
      <c r="AA45" s="48">
        <v>2</v>
      </c>
      <c r="AB45" s="48">
        <v>0</v>
      </c>
      <c r="AC45" s="48">
        <v>0</v>
      </c>
      <c r="AD45" s="48">
        <v>0</v>
      </c>
      <c r="AE45" s="48" t="s">
        <v>1295</v>
      </c>
      <c r="AF45" s="48" t="s">
        <v>1262</v>
      </c>
      <c r="AG45" s="48" t="s">
        <v>1272</v>
      </c>
      <c r="AH45" s="48" t="s">
        <v>1443</v>
      </c>
      <c r="AI45" s="48" t="s">
        <v>1444</v>
      </c>
      <c r="AJ45" s="48"/>
    </row>
    <row r="46" spans="1:36" ht="15.75" customHeight="1">
      <c r="A46" s="48" t="b">
        <v>1</v>
      </c>
      <c r="B46" s="127" t="e">
        <f t="array" ref="B46">_xlfn.XLOOKUP(E46,#REF!,#REF!)</f>
        <v>#REF!</v>
      </c>
      <c r="C46" s="48" t="s">
        <v>931</v>
      </c>
      <c r="D46" s="48"/>
      <c r="E46" s="48" t="s">
        <v>435</v>
      </c>
      <c r="F46" s="127">
        <v>46206.893750000003</v>
      </c>
      <c r="G46" s="48" t="s">
        <v>1445</v>
      </c>
      <c r="H46" s="48" t="s">
        <v>1255</v>
      </c>
      <c r="I46" s="48" t="s">
        <v>1334</v>
      </c>
      <c r="J46" s="153" t="s">
        <v>1268</v>
      </c>
      <c r="K46" s="154"/>
      <c r="L46" s="48" t="s">
        <v>1258</v>
      </c>
      <c r="M46" s="48" t="s">
        <v>1294</v>
      </c>
      <c r="N46" s="48" t="s">
        <v>1288</v>
      </c>
      <c r="O46" s="48">
        <v>1</v>
      </c>
      <c r="P46" s="48">
        <v>0</v>
      </c>
      <c r="Q46" s="48">
        <v>0</v>
      </c>
      <c r="R46" s="48">
        <v>0</v>
      </c>
      <c r="S46" s="48">
        <v>0</v>
      </c>
      <c r="T46" s="48">
        <v>0</v>
      </c>
      <c r="U46" s="48">
        <v>0</v>
      </c>
      <c r="V46" s="48">
        <v>0</v>
      </c>
      <c r="W46" s="48">
        <v>3</v>
      </c>
      <c r="X46" s="48">
        <v>3</v>
      </c>
      <c r="Y46" s="48">
        <v>2</v>
      </c>
      <c r="Z46" s="48">
        <v>3</v>
      </c>
      <c r="AA46" s="48">
        <v>1</v>
      </c>
      <c r="AB46" s="48">
        <v>0</v>
      </c>
      <c r="AC46" s="48">
        <v>1</v>
      </c>
      <c r="AD46" s="48">
        <v>1</v>
      </c>
      <c r="AE46" s="48" t="s">
        <v>1300</v>
      </c>
      <c r="AF46" s="48" t="s">
        <v>1262</v>
      </c>
      <c r="AG46" s="48" t="s">
        <v>1272</v>
      </c>
      <c r="AH46" s="48" t="s">
        <v>1446</v>
      </c>
      <c r="AI46" s="48" t="s">
        <v>1447</v>
      </c>
      <c r="AJ46" s="48"/>
    </row>
    <row r="47" spans="1:36" ht="15.75" customHeight="1">
      <c r="A47" s="48" t="b">
        <v>1</v>
      </c>
      <c r="B47" s="127" t="e">
        <f t="array" ref="B47">_xlfn.XLOOKUP(E47,#REF!,#REF!)</f>
        <v>#REF!</v>
      </c>
      <c r="C47" s="48" t="s">
        <v>1078</v>
      </c>
      <c r="D47" s="48"/>
      <c r="E47" s="48" t="s">
        <v>785</v>
      </c>
      <c r="F47" s="127">
        <v>46206.902777777803</v>
      </c>
      <c r="G47" s="48" t="s">
        <v>1448</v>
      </c>
      <c r="H47" s="48" t="s">
        <v>1276</v>
      </c>
      <c r="I47" s="48" t="s">
        <v>1277</v>
      </c>
      <c r="J47" s="153" t="s">
        <v>1268</v>
      </c>
      <c r="K47" s="154"/>
      <c r="L47" s="48" t="s">
        <v>1279</v>
      </c>
      <c r="M47" s="48" t="s">
        <v>1294</v>
      </c>
      <c r="N47" s="48" t="s">
        <v>1280</v>
      </c>
      <c r="O47" s="48">
        <v>3</v>
      </c>
      <c r="P47" s="48">
        <v>3</v>
      </c>
      <c r="Q47" s="48">
        <v>4</v>
      </c>
      <c r="R47" s="48">
        <v>3</v>
      </c>
      <c r="S47" s="48">
        <v>3</v>
      </c>
      <c r="T47" s="48">
        <v>2</v>
      </c>
      <c r="U47" s="48">
        <v>3</v>
      </c>
      <c r="V47" s="48">
        <v>4</v>
      </c>
      <c r="W47" s="48">
        <v>4</v>
      </c>
      <c r="X47" s="48">
        <v>4</v>
      </c>
      <c r="Y47" s="48">
        <v>4</v>
      </c>
      <c r="Z47" s="48">
        <v>2</v>
      </c>
      <c r="AA47" s="48">
        <v>3</v>
      </c>
      <c r="AB47" s="48">
        <v>4</v>
      </c>
      <c r="AC47" s="48">
        <v>2</v>
      </c>
      <c r="AD47" s="48">
        <v>2</v>
      </c>
      <c r="AE47" s="48" t="s">
        <v>1261</v>
      </c>
      <c r="AF47" s="48" t="s">
        <v>1308</v>
      </c>
      <c r="AG47" s="48" t="s">
        <v>1282</v>
      </c>
      <c r="AH47" s="48" t="s">
        <v>1449</v>
      </c>
      <c r="AI47" s="48" t="s">
        <v>1291</v>
      </c>
      <c r="AJ47" s="48"/>
    </row>
    <row r="48" spans="1:36" ht="15.75" customHeight="1">
      <c r="A48" s="48" t="b">
        <v>1</v>
      </c>
      <c r="B48" s="127" t="e">
        <f t="array" ref="B48">_xlfn.XLOOKUP(E48,#REF!,#REF!)</f>
        <v>#REF!</v>
      </c>
      <c r="C48" s="48" t="s">
        <v>1133</v>
      </c>
      <c r="D48" s="48"/>
      <c r="E48" s="48" t="s">
        <v>246</v>
      </c>
      <c r="F48" s="127">
        <v>46206.916666666701</v>
      </c>
      <c r="G48" s="48" t="s">
        <v>1450</v>
      </c>
      <c r="H48" s="48" t="s">
        <v>1267</v>
      </c>
      <c r="I48" s="48" t="s">
        <v>1277</v>
      </c>
      <c r="J48" s="153" t="s">
        <v>1361</v>
      </c>
      <c r="K48" s="154"/>
      <c r="L48" s="48" t="s">
        <v>1258</v>
      </c>
      <c r="M48" s="48" t="s">
        <v>1259</v>
      </c>
      <c r="N48" s="48" t="s">
        <v>1260</v>
      </c>
      <c r="O48" s="48">
        <v>2</v>
      </c>
      <c r="P48" s="48">
        <v>2</v>
      </c>
      <c r="Q48" s="48">
        <v>4</v>
      </c>
      <c r="R48" s="48">
        <v>4</v>
      </c>
      <c r="S48" s="48">
        <v>4</v>
      </c>
      <c r="T48" s="48">
        <v>2</v>
      </c>
      <c r="U48" s="48">
        <v>3</v>
      </c>
      <c r="V48" s="48">
        <v>2</v>
      </c>
      <c r="W48" s="48">
        <v>3</v>
      </c>
      <c r="X48" s="48">
        <v>3</v>
      </c>
      <c r="Y48" s="48">
        <v>4</v>
      </c>
      <c r="Z48" s="48">
        <v>3</v>
      </c>
      <c r="AA48" s="48">
        <v>3</v>
      </c>
      <c r="AB48" s="48">
        <v>4</v>
      </c>
      <c r="AC48" s="48">
        <v>4</v>
      </c>
      <c r="AD48" s="48">
        <v>4</v>
      </c>
      <c r="AE48" s="48" t="s">
        <v>1261</v>
      </c>
      <c r="AF48" s="48" t="s">
        <v>1362</v>
      </c>
      <c r="AG48" s="48" t="s">
        <v>1282</v>
      </c>
      <c r="AH48" s="48" t="s">
        <v>1451</v>
      </c>
      <c r="AI48" s="48" t="s">
        <v>1452</v>
      </c>
      <c r="AJ48" s="48"/>
    </row>
    <row r="49" spans="1:36" ht="15.75" customHeight="1">
      <c r="A49" s="48" t="b">
        <v>1</v>
      </c>
      <c r="B49" s="127" t="e">
        <f t="array" ref="B49">_xlfn.XLOOKUP(E49,#REF!,#REF!)</f>
        <v>#REF!</v>
      </c>
      <c r="C49" s="48" t="s">
        <v>1183</v>
      </c>
      <c r="D49" s="48"/>
      <c r="E49" s="48" t="s">
        <v>278</v>
      </c>
      <c r="F49" s="127">
        <v>46206.920138888898</v>
      </c>
      <c r="G49" s="48" t="s">
        <v>1453</v>
      </c>
      <c r="H49" s="48" t="s">
        <v>1267</v>
      </c>
      <c r="I49" s="48" t="s">
        <v>1277</v>
      </c>
      <c r="J49" s="153" t="s">
        <v>1454</v>
      </c>
      <c r="K49" s="154"/>
      <c r="L49" s="48" t="s">
        <v>1279</v>
      </c>
      <c r="M49" s="48" t="s">
        <v>1294</v>
      </c>
      <c r="N49" s="48" t="s">
        <v>1280</v>
      </c>
      <c r="O49" s="48">
        <v>4</v>
      </c>
      <c r="P49" s="48">
        <v>4</v>
      </c>
      <c r="Q49" s="48">
        <v>4</v>
      </c>
      <c r="R49" s="48">
        <v>3</v>
      </c>
      <c r="S49" s="48">
        <v>4</v>
      </c>
      <c r="T49" s="48">
        <v>3</v>
      </c>
      <c r="U49" s="48">
        <v>3</v>
      </c>
      <c r="V49" s="48">
        <v>3</v>
      </c>
      <c r="W49" s="48">
        <v>1</v>
      </c>
      <c r="X49" s="48">
        <v>0</v>
      </c>
      <c r="Y49" s="48">
        <v>2</v>
      </c>
      <c r="Z49" s="48">
        <v>2</v>
      </c>
      <c r="AA49" s="48">
        <v>0</v>
      </c>
      <c r="AB49" s="48">
        <v>0</v>
      </c>
      <c r="AC49" s="48">
        <v>0</v>
      </c>
      <c r="AD49" s="48">
        <v>0</v>
      </c>
      <c r="AE49" s="48" t="s">
        <v>1307</v>
      </c>
      <c r="AF49" s="48" t="s">
        <v>1301</v>
      </c>
      <c r="AG49" s="48" t="s">
        <v>1282</v>
      </c>
      <c r="AH49" s="48" t="s">
        <v>1455</v>
      </c>
      <c r="AI49" s="48" t="s">
        <v>1456</v>
      </c>
      <c r="AJ49" s="48"/>
    </row>
    <row r="50" spans="1:36" ht="15.75" customHeight="1">
      <c r="A50" s="48" t="b">
        <v>1</v>
      </c>
      <c r="B50" s="127" t="e">
        <f t="array" ref="B50">_xlfn.XLOOKUP(E50,#REF!,#REF!)</f>
        <v>#REF!</v>
      </c>
      <c r="C50" s="48" t="s">
        <v>892</v>
      </c>
      <c r="D50" s="48"/>
      <c r="E50" s="48" t="s">
        <v>207</v>
      </c>
      <c r="F50" s="127">
        <v>46206.921527777798</v>
      </c>
      <c r="G50" s="48" t="s">
        <v>1457</v>
      </c>
      <c r="H50" s="48" t="s">
        <v>1267</v>
      </c>
      <c r="I50" s="48" t="s">
        <v>1277</v>
      </c>
      <c r="J50" s="153" t="s">
        <v>1458</v>
      </c>
      <c r="K50" s="154"/>
      <c r="L50" s="48" t="s">
        <v>1279</v>
      </c>
      <c r="M50" s="48" t="s">
        <v>1259</v>
      </c>
      <c r="N50" s="48" t="s">
        <v>1280</v>
      </c>
      <c r="O50" s="48">
        <v>3</v>
      </c>
      <c r="P50" s="48">
        <v>2</v>
      </c>
      <c r="Q50" s="48">
        <v>4</v>
      </c>
      <c r="R50" s="48">
        <v>4</v>
      </c>
      <c r="S50" s="48">
        <v>4</v>
      </c>
      <c r="T50" s="48">
        <v>4</v>
      </c>
      <c r="U50" s="48">
        <v>4</v>
      </c>
      <c r="V50" s="48">
        <v>2</v>
      </c>
      <c r="W50" s="48">
        <v>0</v>
      </c>
      <c r="X50" s="48">
        <v>1</v>
      </c>
      <c r="Y50" s="48">
        <v>3</v>
      </c>
      <c r="Z50" s="48">
        <v>3</v>
      </c>
      <c r="AA50" s="48">
        <v>1</v>
      </c>
      <c r="AB50" s="48">
        <v>4</v>
      </c>
      <c r="AC50" s="48">
        <v>2</v>
      </c>
      <c r="AD50" s="48">
        <v>4</v>
      </c>
      <c r="AE50" s="48" t="s">
        <v>1261</v>
      </c>
      <c r="AF50" s="48" t="s">
        <v>1362</v>
      </c>
      <c r="AG50" s="48" t="s">
        <v>1363</v>
      </c>
      <c r="AH50" s="48" t="s">
        <v>1459</v>
      </c>
      <c r="AI50" s="48" t="s">
        <v>1460</v>
      </c>
      <c r="AJ50" s="48"/>
    </row>
    <row r="51" spans="1:36" ht="15.75" customHeight="1">
      <c r="A51" s="48" t="b">
        <v>1</v>
      </c>
      <c r="B51" s="127" t="e">
        <f t="array" ref="B51">_xlfn.XLOOKUP(E51,#REF!,#REF!)</f>
        <v>#REF!</v>
      </c>
      <c r="C51" s="48" t="s">
        <v>930</v>
      </c>
      <c r="D51" s="48"/>
      <c r="E51" s="48" t="s">
        <v>670</v>
      </c>
      <c r="F51" s="127">
        <v>46206.925694444399</v>
      </c>
      <c r="G51" s="48" t="s">
        <v>1461</v>
      </c>
      <c r="H51" s="48" t="s">
        <v>1255</v>
      </c>
      <c r="I51" s="48" t="s">
        <v>1299</v>
      </c>
      <c r="J51" s="153" t="s">
        <v>1388</v>
      </c>
      <c r="K51" s="154"/>
      <c r="L51" s="48" t="s">
        <v>1279</v>
      </c>
      <c r="M51" s="48" t="s">
        <v>1259</v>
      </c>
      <c r="N51" s="48" t="s">
        <v>1288</v>
      </c>
      <c r="O51" s="48">
        <v>2</v>
      </c>
      <c r="P51" s="48">
        <v>2</v>
      </c>
      <c r="Q51" s="48">
        <v>4</v>
      </c>
      <c r="R51" s="48">
        <v>4</v>
      </c>
      <c r="S51" s="48">
        <v>4</v>
      </c>
      <c r="T51" s="48">
        <v>1</v>
      </c>
      <c r="U51" s="48">
        <v>2</v>
      </c>
      <c r="V51" s="48">
        <v>3</v>
      </c>
      <c r="W51" s="48">
        <v>3</v>
      </c>
      <c r="X51" s="48">
        <v>3</v>
      </c>
      <c r="Y51" s="48">
        <v>4</v>
      </c>
      <c r="Z51" s="48">
        <v>4</v>
      </c>
      <c r="AA51" s="48">
        <v>3</v>
      </c>
      <c r="AB51" s="48">
        <v>3</v>
      </c>
      <c r="AC51" s="48">
        <v>2</v>
      </c>
      <c r="AD51" s="48">
        <v>4</v>
      </c>
      <c r="AE51" s="48" t="s">
        <v>1261</v>
      </c>
      <c r="AF51" s="48" t="s">
        <v>1320</v>
      </c>
      <c r="AG51" s="48" t="s">
        <v>1272</v>
      </c>
      <c r="AH51" s="48" t="s">
        <v>1462</v>
      </c>
      <c r="AI51" s="48" t="s">
        <v>1463</v>
      </c>
      <c r="AJ51" s="48"/>
    </row>
    <row r="52" spans="1:36" ht="15.75" customHeight="1">
      <c r="A52" s="48" t="b">
        <v>1</v>
      </c>
      <c r="B52" s="127" t="e">
        <f t="array" ref="B52">_xlfn.XLOOKUP(E52,#REF!,#REF!)</f>
        <v>#REF!</v>
      </c>
      <c r="C52" s="48" t="s">
        <v>1025</v>
      </c>
      <c r="D52" s="48"/>
      <c r="E52" s="48" t="s">
        <v>466</v>
      </c>
      <c r="F52" s="127">
        <v>46206.927083333299</v>
      </c>
      <c r="G52" s="48" t="s">
        <v>1464</v>
      </c>
      <c r="H52" s="48" t="s">
        <v>1276</v>
      </c>
      <c r="I52" s="48" t="s">
        <v>1299</v>
      </c>
      <c r="J52" s="153" t="s">
        <v>1278</v>
      </c>
      <c r="K52" s="154"/>
      <c r="L52" s="48" t="s">
        <v>1258</v>
      </c>
      <c r="M52" s="48" t="s">
        <v>1259</v>
      </c>
      <c r="N52" s="48" t="s">
        <v>1260</v>
      </c>
      <c r="O52" s="48">
        <v>2</v>
      </c>
      <c r="P52" s="48">
        <v>2</v>
      </c>
      <c r="Q52" s="48">
        <v>3</v>
      </c>
      <c r="R52" s="48">
        <v>3</v>
      </c>
      <c r="S52" s="48">
        <v>3</v>
      </c>
      <c r="T52" s="48">
        <v>3</v>
      </c>
      <c r="U52" s="48">
        <v>3</v>
      </c>
      <c r="V52" s="48">
        <v>3</v>
      </c>
      <c r="W52" s="48">
        <v>2</v>
      </c>
      <c r="X52" s="48">
        <v>2</v>
      </c>
      <c r="Y52" s="48">
        <v>2</v>
      </c>
      <c r="Z52" s="48">
        <v>3</v>
      </c>
      <c r="AA52" s="48">
        <v>4</v>
      </c>
      <c r="AB52" s="48">
        <v>2</v>
      </c>
      <c r="AC52" s="48">
        <v>4</v>
      </c>
      <c r="AD52" s="48">
        <v>3</v>
      </c>
      <c r="AE52" s="48" t="s">
        <v>1300</v>
      </c>
      <c r="AF52" s="48" t="s">
        <v>1367</v>
      </c>
      <c r="AG52" s="48" t="s">
        <v>1272</v>
      </c>
      <c r="AH52" s="48" t="s">
        <v>1465</v>
      </c>
      <c r="AI52" s="48" t="s">
        <v>1466</v>
      </c>
      <c r="AJ52" s="48"/>
    </row>
    <row r="53" spans="1:36" ht="15.75" customHeight="1">
      <c r="A53" s="48" t="b">
        <v>1</v>
      </c>
      <c r="B53" s="127" t="e">
        <f t="array" ref="B53">_xlfn.XLOOKUP(E53,#REF!,#REF!)</f>
        <v>#REF!</v>
      </c>
      <c r="C53" s="48" t="s">
        <v>1040</v>
      </c>
      <c r="D53" s="48"/>
      <c r="E53" s="48" t="s">
        <v>195</v>
      </c>
      <c r="F53" s="127">
        <v>46206.933333333298</v>
      </c>
      <c r="G53" s="48" t="s">
        <v>1467</v>
      </c>
      <c r="H53" s="48" t="s">
        <v>1276</v>
      </c>
      <c r="I53" s="48" t="s">
        <v>1299</v>
      </c>
      <c r="J53" s="153" t="s">
        <v>1366</v>
      </c>
      <c r="K53" s="154"/>
      <c r="L53" s="48" t="s">
        <v>1258</v>
      </c>
      <c r="M53" s="48" t="s">
        <v>1357</v>
      </c>
      <c r="N53" s="48" t="s">
        <v>1260</v>
      </c>
      <c r="O53" s="48">
        <v>3</v>
      </c>
      <c r="P53" s="48">
        <v>3</v>
      </c>
      <c r="Q53" s="48">
        <v>4</v>
      </c>
      <c r="R53" s="48">
        <v>4</v>
      </c>
      <c r="S53" s="48">
        <v>3</v>
      </c>
      <c r="T53" s="48">
        <v>3</v>
      </c>
      <c r="U53" s="48">
        <v>4</v>
      </c>
      <c r="V53" s="48">
        <v>4</v>
      </c>
      <c r="W53" s="48">
        <v>3</v>
      </c>
      <c r="X53" s="48">
        <v>3</v>
      </c>
      <c r="Y53" s="48">
        <v>3</v>
      </c>
      <c r="Z53" s="48">
        <v>3</v>
      </c>
      <c r="AA53" s="48">
        <v>2</v>
      </c>
      <c r="AB53" s="48">
        <v>2</v>
      </c>
      <c r="AC53" s="48">
        <v>2</v>
      </c>
      <c r="AD53" s="48">
        <v>2</v>
      </c>
      <c r="AE53" s="48" t="s">
        <v>1300</v>
      </c>
      <c r="AF53" s="48" t="s">
        <v>1367</v>
      </c>
      <c r="AG53" s="48" t="s">
        <v>1272</v>
      </c>
      <c r="AH53" s="48" t="s">
        <v>1468</v>
      </c>
      <c r="AI53" s="48" t="s">
        <v>1469</v>
      </c>
      <c r="AJ53" s="48"/>
    </row>
    <row r="54" spans="1:36" ht="15.75" customHeight="1">
      <c r="A54" s="48" t="b">
        <v>1</v>
      </c>
      <c r="B54" s="127" t="e">
        <f t="array" ref="B54">_xlfn.XLOOKUP(E54,#REF!,#REF!)</f>
        <v>#REF!</v>
      </c>
      <c r="C54" s="48" t="s">
        <v>1164</v>
      </c>
      <c r="D54" s="48"/>
      <c r="E54" s="48" t="s">
        <v>148</v>
      </c>
      <c r="F54" s="127">
        <v>46206.939583333296</v>
      </c>
      <c r="G54" s="48" t="s">
        <v>1470</v>
      </c>
      <c r="H54" s="48" t="s">
        <v>1255</v>
      </c>
      <c r="I54" s="48" t="s">
        <v>1299</v>
      </c>
      <c r="J54" s="153" t="s">
        <v>1342</v>
      </c>
      <c r="K54" s="154"/>
      <c r="L54" s="48" t="s">
        <v>1279</v>
      </c>
      <c r="M54" s="48" t="s">
        <v>1259</v>
      </c>
      <c r="N54" s="48" t="s">
        <v>1260</v>
      </c>
      <c r="O54" s="48">
        <v>3</v>
      </c>
      <c r="P54" s="48">
        <v>2</v>
      </c>
      <c r="Q54" s="48">
        <v>3</v>
      </c>
      <c r="R54" s="48">
        <v>4</v>
      </c>
      <c r="S54" s="48">
        <v>2</v>
      </c>
      <c r="T54" s="48">
        <v>2</v>
      </c>
      <c r="U54" s="48">
        <v>3</v>
      </c>
      <c r="V54" s="48">
        <v>3</v>
      </c>
      <c r="W54" s="48">
        <v>4</v>
      </c>
      <c r="X54" s="48">
        <v>4</v>
      </c>
      <c r="Y54" s="48">
        <v>4</v>
      </c>
      <c r="Z54" s="48">
        <v>4</v>
      </c>
      <c r="AA54" s="48">
        <v>4</v>
      </c>
      <c r="AB54" s="48">
        <v>2</v>
      </c>
      <c r="AC54" s="48">
        <v>2</v>
      </c>
      <c r="AD54" s="48">
        <v>3</v>
      </c>
      <c r="AE54" s="48" t="s">
        <v>1261</v>
      </c>
      <c r="AF54" s="48" t="s">
        <v>1347</v>
      </c>
      <c r="AG54" s="48" t="s">
        <v>1272</v>
      </c>
      <c r="AH54" s="48" t="s">
        <v>1471</v>
      </c>
      <c r="AI54" s="48" t="s">
        <v>1472</v>
      </c>
      <c r="AJ54" s="48"/>
    </row>
    <row r="55" spans="1:36" ht="15.75" customHeight="1">
      <c r="A55" s="48" t="b">
        <v>1</v>
      </c>
      <c r="B55" s="127" t="e">
        <f t="array" ref="B55">_xlfn.XLOOKUP(E55,#REF!,#REF!)</f>
        <v>#REF!</v>
      </c>
      <c r="C55" s="48" t="s">
        <v>1189</v>
      </c>
      <c r="D55" s="48"/>
      <c r="E55" s="48" t="s">
        <v>357</v>
      </c>
      <c r="F55" s="127">
        <v>46206.956944444399</v>
      </c>
      <c r="G55" s="48" t="s">
        <v>1473</v>
      </c>
      <c r="H55" s="48" t="s">
        <v>1276</v>
      </c>
      <c r="I55" s="48" t="s">
        <v>1392</v>
      </c>
      <c r="J55" s="153" t="s">
        <v>1474</v>
      </c>
      <c r="K55" s="154"/>
      <c r="L55" s="48" t="s">
        <v>1269</v>
      </c>
      <c r="M55" s="48" t="s">
        <v>1259</v>
      </c>
      <c r="N55" s="48" t="s">
        <v>1270</v>
      </c>
      <c r="O55" s="48">
        <v>3</v>
      </c>
      <c r="P55" s="48">
        <v>2</v>
      </c>
      <c r="Q55" s="48">
        <v>2</v>
      </c>
      <c r="R55" s="48">
        <v>3</v>
      </c>
      <c r="S55" s="48">
        <v>2</v>
      </c>
      <c r="T55" s="48">
        <v>1</v>
      </c>
      <c r="U55" s="48">
        <v>1</v>
      </c>
      <c r="V55" s="48">
        <v>3</v>
      </c>
      <c r="W55" s="48">
        <v>4</v>
      </c>
      <c r="X55" s="48">
        <v>4</v>
      </c>
      <c r="Y55" s="48">
        <v>4</v>
      </c>
      <c r="Z55" s="48">
        <v>4</v>
      </c>
      <c r="AA55" s="48">
        <v>3</v>
      </c>
      <c r="AB55" s="48">
        <v>4</v>
      </c>
      <c r="AC55" s="48">
        <v>4</v>
      </c>
      <c r="AD55" s="48">
        <v>4</v>
      </c>
      <c r="AE55" s="48" t="s">
        <v>1261</v>
      </c>
      <c r="AF55" s="48" t="s">
        <v>1343</v>
      </c>
      <c r="AG55" s="48" t="s">
        <v>1272</v>
      </c>
      <c r="AH55" s="48" t="s">
        <v>1475</v>
      </c>
      <c r="AI55" s="48" t="s">
        <v>1476</v>
      </c>
      <c r="AJ55" s="48"/>
    </row>
    <row r="56" spans="1:36" ht="15.75" customHeight="1">
      <c r="A56" s="48" t="b">
        <v>1</v>
      </c>
      <c r="B56" s="127" t="e">
        <f t="array" ref="B56">_xlfn.XLOOKUP(E56,#REF!,#REF!)</f>
        <v>#REF!</v>
      </c>
      <c r="C56" s="48" t="s">
        <v>1003</v>
      </c>
      <c r="D56" s="48"/>
      <c r="E56" s="48" t="s">
        <v>560</v>
      </c>
      <c r="F56" s="127">
        <v>46206.962500000001</v>
      </c>
      <c r="G56" s="48" t="s">
        <v>1305</v>
      </c>
      <c r="H56" s="48" t="s">
        <v>1267</v>
      </c>
      <c r="I56" s="48" t="s">
        <v>1299</v>
      </c>
      <c r="J56" s="153" t="s">
        <v>1388</v>
      </c>
      <c r="K56" s="154"/>
      <c r="L56" s="48" t="s">
        <v>1269</v>
      </c>
      <c r="M56" s="48" t="s">
        <v>1259</v>
      </c>
      <c r="N56" s="48" t="s">
        <v>1270</v>
      </c>
      <c r="O56" s="48">
        <v>2</v>
      </c>
      <c r="P56" s="48">
        <v>2</v>
      </c>
      <c r="Q56" s="48">
        <v>2</v>
      </c>
      <c r="R56" s="48">
        <v>2</v>
      </c>
      <c r="S56" s="48">
        <v>2</v>
      </c>
      <c r="T56" s="48">
        <v>2</v>
      </c>
      <c r="U56" s="48">
        <v>3</v>
      </c>
      <c r="V56" s="48">
        <v>3</v>
      </c>
      <c r="W56" s="48">
        <v>3</v>
      </c>
      <c r="X56" s="48">
        <v>3</v>
      </c>
      <c r="Y56" s="48">
        <v>3</v>
      </c>
      <c r="Z56" s="48">
        <v>4</v>
      </c>
      <c r="AA56" s="48">
        <v>2</v>
      </c>
      <c r="AB56" s="48">
        <v>3</v>
      </c>
      <c r="AC56" s="48">
        <v>4</v>
      </c>
      <c r="AD56" s="48">
        <v>4</v>
      </c>
      <c r="AE56" s="48" t="s">
        <v>1261</v>
      </c>
      <c r="AF56" s="48" t="s">
        <v>1308</v>
      </c>
      <c r="AG56" s="48" t="s">
        <v>1272</v>
      </c>
      <c r="AH56" s="48" t="s">
        <v>1477</v>
      </c>
      <c r="AI56" s="48" t="s">
        <v>1478</v>
      </c>
      <c r="AJ56" s="48"/>
    </row>
    <row r="57" spans="1:36" ht="15.75" customHeight="1">
      <c r="A57" s="48" t="b">
        <v>1</v>
      </c>
      <c r="B57" s="127" t="e">
        <f t="array" ref="B57">_xlfn.XLOOKUP(E57,#REF!,#REF!)</f>
        <v>#REF!</v>
      </c>
      <c r="C57" s="48" t="s">
        <v>1013</v>
      </c>
      <c r="D57" s="48"/>
      <c r="E57" s="48" t="s">
        <v>701</v>
      </c>
      <c r="F57" s="127">
        <v>46206.981249999997</v>
      </c>
      <c r="G57" s="48" t="s">
        <v>1479</v>
      </c>
      <c r="H57" s="48" t="s">
        <v>1276</v>
      </c>
      <c r="I57" s="48" t="s">
        <v>1277</v>
      </c>
      <c r="J57" s="153" t="s">
        <v>1326</v>
      </c>
      <c r="K57" s="154"/>
      <c r="L57" s="48" t="s">
        <v>1269</v>
      </c>
      <c r="M57" s="48" t="s">
        <v>1259</v>
      </c>
      <c r="N57" s="48" t="s">
        <v>1280</v>
      </c>
      <c r="O57" s="48">
        <v>2</v>
      </c>
      <c r="P57" s="48">
        <v>4</v>
      </c>
      <c r="Q57" s="48">
        <v>4</v>
      </c>
      <c r="R57" s="48">
        <v>4</v>
      </c>
      <c r="S57" s="48">
        <v>2</v>
      </c>
      <c r="T57" s="48">
        <v>1</v>
      </c>
      <c r="U57" s="48">
        <v>2</v>
      </c>
      <c r="V57" s="48">
        <v>3</v>
      </c>
      <c r="W57" s="48">
        <v>1</v>
      </c>
      <c r="X57" s="48">
        <v>2</v>
      </c>
      <c r="Y57" s="48">
        <v>3</v>
      </c>
      <c r="Z57" s="48">
        <v>3</v>
      </c>
      <c r="AA57" s="48">
        <v>1</v>
      </c>
      <c r="AB57" s="48">
        <v>0</v>
      </c>
      <c r="AC57" s="48">
        <v>2</v>
      </c>
      <c r="AD57" s="48">
        <v>3</v>
      </c>
      <c r="AE57" s="48" t="s">
        <v>1300</v>
      </c>
      <c r="AF57" s="48" t="s">
        <v>1271</v>
      </c>
      <c r="AG57" s="48" t="s">
        <v>1363</v>
      </c>
      <c r="AH57" s="48" t="s">
        <v>1480</v>
      </c>
      <c r="AI57" s="48" t="s">
        <v>875</v>
      </c>
      <c r="AJ57" s="48"/>
    </row>
    <row r="58" spans="1:36" ht="15.75" customHeight="1">
      <c r="A58" s="48" t="b">
        <v>1</v>
      </c>
      <c r="B58" s="127" t="e">
        <f t="array" ref="B58">_xlfn.XLOOKUP(E58,#REF!,#REF!)</f>
        <v>#REF!</v>
      </c>
      <c r="C58" s="48" t="s">
        <v>1150</v>
      </c>
      <c r="D58" s="48"/>
      <c r="E58" s="48" t="s">
        <v>804</v>
      </c>
      <c r="F58" s="127">
        <v>46206.995138888902</v>
      </c>
      <c r="G58" s="48" t="s">
        <v>1481</v>
      </c>
      <c r="H58" s="48" t="s">
        <v>1276</v>
      </c>
      <c r="I58" s="48" t="s">
        <v>1299</v>
      </c>
      <c r="J58" s="153" t="s">
        <v>1454</v>
      </c>
      <c r="K58" s="154"/>
      <c r="L58" s="48" t="s">
        <v>1279</v>
      </c>
      <c r="M58" s="48" t="s">
        <v>1294</v>
      </c>
      <c r="N58" s="48" t="s">
        <v>1280</v>
      </c>
      <c r="O58" s="48">
        <v>1</v>
      </c>
      <c r="P58" s="48">
        <v>1</v>
      </c>
      <c r="Q58" s="48">
        <v>3</v>
      </c>
      <c r="R58" s="48">
        <v>2</v>
      </c>
      <c r="S58" s="48">
        <v>1</v>
      </c>
      <c r="T58" s="48">
        <v>1</v>
      </c>
      <c r="U58" s="48">
        <v>1</v>
      </c>
      <c r="V58" s="48">
        <v>1</v>
      </c>
      <c r="W58" s="48">
        <v>2</v>
      </c>
      <c r="X58" s="48">
        <v>2</v>
      </c>
      <c r="Y58" s="48">
        <v>1</v>
      </c>
      <c r="Z58" s="48">
        <v>3</v>
      </c>
      <c r="AA58" s="48">
        <v>1</v>
      </c>
      <c r="AB58" s="48">
        <v>1</v>
      </c>
      <c r="AC58" s="48">
        <v>2</v>
      </c>
      <c r="AD58" s="48">
        <v>1</v>
      </c>
      <c r="AE58" s="48" t="s">
        <v>1261</v>
      </c>
      <c r="AF58" s="48" t="s">
        <v>1262</v>
      </c>
      <c r="AG58" s="48" t="s">
        <v>1272</v>
      </c>
      <c r="AH58" s="48" t="s">
        <v>1482</v>
      </c>
      <c r="AI58" s="48" t="s">
        <v>1481</v>
      </c>
      <c r="AJ58" s="48"/>
    </row>
    <row r="59" spans="1:36" ht="15.75" customHeight="1">
      <c r="A59" s="48" t="b">
        <v>1</v>
      </c>
      <c r="B59" s="127" t="e">
        <f t="array" ref="B59">_xlfn.XLOOKUP(E59,#REF!,#REF!)</f>
        <v>#REF!</v>
      </c>
      <c r="C59" s="48" t="s">
        <v>903</v>
      </c>
      <c r="D59" s="48"/>
      <c r="E59" s="48" t="s">
        <v>635</v>
      </c>
      <c r="F59" s="127">
        <v>46207.037499999999</v>
      </c>
      <c r="G59" s="48" t="s">
        <v>1365</v>
      </c>
      <c r="H59" s="48" t="s">
        <v>1267</v>
      </c>
      <c r="I59" s="48" t="s">
        <v>1256</v>
      </c>
      <c r="J59" s="153" t="s">
        <v>1361</v>
      </c>
      <c r="K59" s="154"/>
      <c r="L59" s="48" t="s">
        <v>1269</v>
      </c>
      <c r="M59" s="48" t="s">
        <v>1259</v>
      </c>
      <c r="N59" s="48" t="s">
        <v>1270</v>
      </c>
      <c r="O59" s="48">
        <v>2</v>
      </c>
      <c r="P59" s="48">
        <v>2</v>
      </c>
      <c r="Q59" s="48">
        <v>3</v>
      </c>
      <c r="R59" s="48">
        <v>3</v>
      </c>
      <c r="S59" s="48">
        <v>3</v>
      </c>
      <c r="T59" s="48">
        <v>2</v>
      </c>
      <c r="U59" s="48">
        <v>2</v>
      </c>
      <c r="V59" s="48">
        <v>3</v>
      </c>
      <c r="W59" s="48">
        <v>3</v>
      </c>
      <c r="X59" s="48">
        <v>3</v>
      </c>
      <c r="Y59" s="48">
        <v>3</v>
      </c>
      <c r="Z59" s="48">
        <v>3</v>
      </c>
      <c r="AA59" s="48">
        <v>3</v>
      </c>
      <c r="AB59" s="48">
        <v>2</v>
      </c>
      <c r="AC59" s="48">
        <v>3</v>
      </c>
      <c r="AD59" s="48">
        <v>2</v>
      </c>
      <c r="AE59" s="48" t="s">
        <v>1300</v>
      </c>
      <c r="AF59" s="48" t="s">
        <v>1362</v>
      </c>
      <c r="AG59" s="48" t="s">
        <v>1272</v>
      </c>
      <c r="AH59" s="48" t="s">
        <v>1483</v>
      </c>
      <c r="AI59" s="48" t="s">
        <v>1365</v>
      </c>
      <c r="AJ59" s="48"/>
    </row>
    <row r="60" spans="1:36" ht="15.75" customHeight="1">
      <c r="A60" s="48" t="b">
        <v>1</v>
      </c>
      <c r="B60" s="127" t="e">
        <f t="array" ref="B60">_xlfn.XLOOKUP(E60,#REF!,#REF!)</f>
        <v>#REF!</v>
      </c>
      <c r="C60" s="48" t="s">
        <v>949</v>
      </c>
      <c r="D60" s="48"/>
      <c r="E60" s="48" t="s">
        <v>150</v>
      </c>
      <c r="F60" s="127">
        <v>46207.466666666704</v>
      </c>
      <c r="G60" s="48" t="s">
        <v>1484</v>
      </c>
      <c r="H60" s="48" t="s">
        <v>1267</v>
      </c>
      <c r="I60" s="48" t="s">
        <v>1256</v>
      </c>
      <c r="J60" s="153" t="s">
        <v>1485</v>
      </c>
      <c r="K60" s="154"/>
      <c r="L60" s="48" t="s">
        <v>1269</v>
      </c>
      <c r="M60" s="48" t="s">
        <v>1259</v>
      </c>
      <c r="N60" s="48" t="s">
        <v>1270</v>
      </c>
      <c r="O60" s="48">
        <v>3</v>
      </c>
      <c r="P60" s="48">
        <v>3</v>
      </c>
      <c r="Q60" s="48">
        <v>4</v>
      </c>
      <c r="R60" s="48">
        <v>4</v>
      </c>
      <c r="S60" s="48">
        <v>3</v>
      </c>
      <c r="T60" s="48">
        <v>2</v>
      </c>
      <c r="U60" s="48">
        <v>2</v>
      </c>
      <c r="V60" s="48">
        <v>3</v>
      </c>
      <c r="W60" s="48">
        <v>4</v>
      </c>
      <c r="X60" s="48">
        <v>4</v>
      </c>
      <c r="Y60" s="48">
        <v>4</v>
      </c>
      <c r="Z60" s="48">
        <v>4</v>
      </c>
      <c r="AA60" s="48">
        <v>3</v>
      </c>
      <c r="AB60" s="48">
        <v>3</v>
      </c>
      <c r="AC60" s="48">
        <v>4</v>
      </c>
      <c r="AD60" s="48">
        <v>3</v>
      </c>
      <c r="AE60" s="48" t="s">
        <v>1261</v>
      </c>
      <c r="AF60" s="48" t="s">
        <v>1397</v>
      </c>
      <c r="AG60" s="48" t="s">
        <v>1272</v>
      </c>
      <c r="AH60" s="48" t="s">
        <v>1486</v>
      </c>
      <c r="AI60" s="48" t="s">
        <v>1487</v>
      </c>
      <c r="AJ60" s="48"/>
    </row>
    <row r="61" spans="1:36" ht="15.75" customHeight="1">
      <c r="A61" s="48" t="b">
        <v>1</v>
      </c>
      <c r="B61" s="127" t="e">
        <f t="array" ref="B61">_xlfn.XLOOKUP(E61,#REF!,#REF!)</f>
        <v>#REF!</v>
      </c>
      <c r="C61" s="48" t="s">
        <v>1100</v>
      </c>
      <c r="D61" s="48"/>
      <c r="E61" s="48" t="s">
        <v>173</v>
      </c>
      <c r="F61" s="127">
        <v>46207.466666666704</v>
      </c>
      <c r="G61" s="48" t="s">
        <v>1488</v>
      </c>
      <c r="H61" s="48" t="s">
        <v>1267</v>
      </c>
      <c r="I61" s="48" t="s">
        <v>1256</v>
      </c>
      <c r="J61" s="153" t="s">
        <v>1388</v>
      </c>
      <c r="K61" s="154"/>
      <c r="L61" s="48" t="s">
        <v>1269</v>
      </c>
      <c r="M61" s="48" t="s">
        <v>1259</v>
      </c>
      <c r="N61" s="48" t="s">
        <v>1270</v>
      </c>
      <c r="O61" s="48">
        <v>3</v>
      </c>
      <c r="P61" s="48">
        <v>2</v>
      </c>
      <c r="Q61" s="48">
        <v>4</v>
      </c>
      <c r="R61" s="48">
        <v>4</v>
      </c>
      <c r="S61" s="48">
        <v>3</v>
      </c>
      <c r="T61" s="48">
        <v>2</v>
      </c>
      <c r="U61" s="48">
        <v>2</v>
      </c>
      <c r="V61" s="48">
        <v>3</v>
      </c>
      <c r="W61" s="48">
        <v>3</v>
      </c>
      <c r="X61" s="48">
        <v>3</v>
      </c>
      <c r="Y61" s="48">
        <v>3</v>
      </c>
      <c r="Z61" s="48">
        <v>4</v>
      </c>
      <c r="AA61" s="48">
        <v>3</v>
      </c>
      <c r="AB61" s="48">
        <v>3</v>
      </c>
      <c r="AC61" s="48">
        <v>4</v>
      </c>
      <c r="AD61" s="48">
        <v>3</v>
      </c>
      <c r="AE61" s="48" t="s">
        <v>1261</v>
      </c>
      <c r="AF61" s="48" t="s">
        <v>1347</v>
      </c>
      <c r="AG61" s="48" t="s">
        <v>1282</v>
      </c>
      <c r="AH61" s="48" t="s">
        <v>1486</v>
      </c>
      <c r="AI61" s="48" t="s">
        <v>1489</v>
      </c>
      <c r="AJ61" s="48"/>
    </row>
    <row r="62" spans="1:36" ht="15.75" customHeight="1">
      <c r="A62" s="48" t="b">
        <v>1</v>
      </c>
      <c r="B62" s="127" t="e">
        <f t="array" ref="B62">_xlfn.XLOOKUP(E62,#REF!,#REF!)</f>
        <v>#REF!</v>
      </c>
      <c r="C62" s="48" t="s">
        <v>1136</v>
      </c>
      <c r="D62" s="48"/>
      <c r="E62" s="48" t="s">
        <v>179</v>
      </c>
      <c r="F62" s="127">
        <v>46207.469444444403</v>
      </c>
      <c r="G62" s="48" t="s">
        <v>1490</v>
      </c>
      <c r="H62" s="48" t="s">
        <v>1255</v>
      </c>
      <c r="I62" s="48" t="s">
        <v>1277</v>
      </c>
      <c r="J62" s="153" t="s">
        <v>1491</v>
      </c>
      <c r="K62" s="154"/>
      <c r="L62" s="48" t="s">
        <v>1269</v>
      </c>
      <c r="M62" s="48" t="s">
        <v>1259</v>
      </c>
      <c r="N62" s="48" t="s">
        <v>1260</v>
      </c>
      <c r="O62" s="48">
        <v>2</v>
      </c>
      <c r="P62" s="48">
        <v>3</v>
      </c>
      <c r="Q62" s="48">
        <v>4</v>
      </c>
      <c r="R62" s="48">
        <v>3</v>
      </c>
      <c r="S62" s="48">
        <v>2</v>
      </c>
      <c r="T62" s="48">
        <v>2</v>
      </c>
      <c r="U62" s="48">
        <v>3</v>
      </c>
      <c r="V62" s="48">
        <v>2</v>
      </c>
      <c r="W62" s="48">
        <v>4</v>
      </c>
      <c r="X62" s="48">
        <v>3</v>
      </c>
      <c r="Y62" s="48">
        <v>3</v>
      </c>
      <c r="Z62" s="48">
        <v>3</v>
      </c>
      <c r="AA62" s="48">
        <v>3</v>
      </c>
      <c r="AB62" s="48">
        <v>2</v>
      </c>
      <c r="AC62" s="48">
        <v>3</v>
      </c>
      <c r="AD62" s="48">
        <v>3</v>
      </c>
      <c r="AE62" s="48" t="s">
        <v>1300</v>
      </c>
      <c r="AF62" s="48" t="s">
        <v>1439</v>
      </c>
      <c r="AG62" s="48" t="s">
        <v>1282</v>
      </c>
      <c r="AH62" s="48" t="s">
        <v>1492</v>
      </c>
      <c r="AI62" s="48" t="s">
        <v>1493</v>
      </c>
      <c r="AJ62" s="48"/>
    </row>
    <row r="63" spans="1:36" ht="15.75" customHeight="1">
      <c r="A63" s="48" t="b">
        <v>1</v>
      </c>
      <c r="B63" s="127" t="e">
        <f t="array" ref="B63">_xlfn.XLOOKUP(E63,#REF!,#REF!)</f>
        <v>#REF!</v>
      </c>
      <c r="C63" s="48" t="s">
        <v>1090</v>
      </c>
      <c r="D63" s="48"/>
      <c r="E63" s="48" t="s">
        <v>444</v>
      </c>
      <c r="F63" s="127">
        <v>46207.480555555601</v>
      </c>
      <c r="G63" s="48" t="s">
        <v>1494</v>
      </c>
      <c r="H63" s="48" t="s">
        <v>1276</v>
      </c>
      <c r="I63" s="48" t="s">
        <v>1277</v>
      </c>
      <c r="J63" s="153" t="s">
        <v>1366</v>
      </c>
      <c r="K63" s="154"/>
      <c r="L63" s="48" t="s">
        <v>1258</v>
      </c>
      <c r="M63" s="48" t="s">
        <v>1259</v>
      </c>
      <c r="N63" s="48" t="s">
        <v>1270</v>
      </c>
      <c r="O63" s="48">
        <v>1</v>
      </c>
      <c r="P63" s="48">
        <v>1</v>
      </c>
      <c r="Q63" s="48">
        <v>1</v>
      </c>
      <c r="R63" s="48">
        <v>1</v>
      </c>
      <c r="S63" s="48">
        <v>0</v>
      </c>
      <c r="T63" s="48">
        <v>0</v>
      </c>
      <c r="U63" s="48">
        <v>0</v>
      </c>
      <c r="V63" s="48">
        <v>0</v>
      </c>
      <c r="W63" s="48">
        <v>3</v>
      </c>
      <c r="X63" s="48">
        <v>3</v>
      </c>
      <c r="Y63" s="48">
        <v>2</v>
      </c>
      <c r="Z63" s="48">
        <v>2</v>
      </c>
      <c r="AA63" s="48">
        <v>1</v>
      </c>
      <c r="AB63" s="48">
        <v>0</v>
      </c>
      <c r="AC63" s="48">
        <v>2</v>
      </c>
      <c r="AD63" s="48">
        <v>2</v>
      </c>
      <c r="AE63" s="48" t="s">
        <v>1295</v>
      </c>
      <c r="AF63" s="48" t="s">
        <v>1289</v>
      </c>
      <c r="AG63" s="48" t="s">
        <v>1272</v>
      </c>
      <c r="AH63" s="48" t="s">
        <v>1495</v>
      </c>
      <c r="AI63" s="48" t="s">
        <v>1496</v>
      </c>
      <c r="AJ63" s="48"/>
    </row>
    <row r="64" spans="1:36" ht="15.75" customHeight="1">
      <c r="A64" s="48" t="b">
        <v>1</v>
      </c>
      <c r="B64" s="127" t="e">
        <f t="array" ref="B64">_xlfn.XLOOKUP(E64,#REF!,#REF!)</f>
        <v>#REF!</v>
      </c>
      <c r="C64" s="48" t="s">
        <v>1190</v>
      </c>
      <c r="D64" s="48"/>
      <c r="E64" s="48" t="s">
        <v>362</v>
      </c>
      <c r="F64" s="127">
        <v>46207.481249999997</v>
      </c>
      <c r="G64" s="48" t="s">
        <v>1497</v>
      </c>
      <c r="H64" s="48" t="s">
        <v>1276</v>
      </c>
      <c r="I64" s="48" t="s">
        <v>1277</v>
      </c>
      <c r="J64" s="153" t="s">
        <v>1293</v>
      </c>
      <c r="K64" s="154"/>
      <c r="L64" s="48" t="s">
        <v>1258</v>
      </c>
      <c r="M64" s="48" t="s">
        <v>1294</v>
      </c>
      <c r="N64" s="48" t="s">
        <v>1288</v>
      </c>
      <c r="O64" s="48">
        <v>2</v>
      </c>
      <c r="P64" s="48">
        <v>2</v>
      </c>
      <c r="Q64" s="48">
        <v>2</v>
      </c>
      <c r="R64" s="48">
        <v>2</v>
      </c>
      <c r="S64" s="48">
        <v>3</v>
      </c>
      <c r="T64" s="48">
        <v>0</v>
      </c>
      <c r="U64" s="48">
        <v>0</v>
      </c>
      <c r="V64" s="48">
        <v>2</v>
      </c>
      <c r="W64" s="48">
        <v>3</v>
      </c>
      <c r="X64" s="48">
        <v>3</v>
      </c>
      <c r="Y64" s="48">
        <v>4</v>
      </c>
      <c r="Z64" s="48">
        <v>3</v>
      </c>
      <c r="AA64" s="48">
        <v>0</v>
      </c>
      <c r="AB64" s="48">
        <v>2</v>
      </c>
      <c r="AC64" s="48">
        <v>3</v>
      </c>
      <c r="AD64" s="48">
        <v>1</v>
      </c>
      <c r="AE64" s="48" t="s">
        <v>1300</v>
      </c>
      <c r="AF64" s="48" t="s">
        <v>1308</v>
      </c>
      <c r="AG64" s="48" t="s">
        <v>1272</v>
      </c>
      <c r="AH64" s="48" t="s">
        <v>1498</v>
      </c>
      <c r="AI64" s="48" t="s">
        <v>1499</v>
      </c>
      <c r="AJ64" s="48"/>
    </row>
    <row r="65" spans="1:36" ht="15.75" customHeight="1">
      <c r="A65" s="48" t="b">
        <v>1</v>
      </c>
      <c r="B65" s="127" t="e">
        <f t="array" ref="B65">_xlfn.XLOOKUP(E65,#REF!,#REF!)</f>
        <v>#REF!</v>
      </c>
      <c r="C65" s="48" t="s">
        <v>991</v>
      </c>
      <c r="D65" s="48"/>
      <c r="E65" s="48" t="s">
        <v>152</v>
      </c>
      <c r="F65" s="127">
        <v>46207.491666666698</v>
      </c>
      <c r="G65" s="48" t="s">
        <v>1378</v>
      </c>
      <c r="H65" s="48" t="s">
        <v>1267</v>
      </c>
      <c r="I65" s="48" t="s">
        <v>1256</v>
      </c>
      <c r="J65" s="153" t="s">
        <v>1421</v>
      </c>
      <c r="K65" s="154"/>
      <c r="L65" s="48" t="s">
        <v>1269</v>
      </c>
      <c r="M65" s="48" t="s">
        <v>1259</v>
      </c>
      <c r="N65" s="48" t="s">
        <v>1260</v>
      </c>
      <c r="O65" s="48">
        <v>2</v>
      </c>
      <c r="P65" s="48">
        <v>2</v>
      </c>
      <c r="Q65" s="48">
        <v>3</v>
      </c>
      <c r="R65" s="48">
        <v>3</v>
      </c>
      <c r="S65" s="48">
        <v>2</v>
      </c>
      <c r="T65" s="48">
        <v>1</v>
      </c>
      <c r="U65" s="48">
        <v>1</v>
      </c>
      <c r="V65" s="48">
        <v>2</v>
      </c>
      <c r="W65" s="48">
        <v>3</v>
      </c>
      <c r="X65" s="48">
        <v>3</v>
      </c>
      <c r="Y65" s="48">
        <v>3</v>
      </c>
      <c r="Z65" s="48">
        <v>2</v>
      </c>
      <c r="AA65" s="48">
        <v>1</v>
      </c>
      <c r="AB65" s="48">
        <v>2</v>
      </c>
      <c r="AC65" s="48">
        <v>3</v>
      </c>
      <c r="AD65" s="48">
        <v>2</v>
      </c>
      <c r="AE65" s="48" t="s">
        <v>1300</v>
      </c>
      <c r="AF65" s="48" t="s">
        <v>1397</v>
      </c>
      <c r="AG65" s="48" t="s">
        <v>1272</v>
      </c>
      <c r="AH65" s="48" t="s">
        <v>1500</v>
      </c>
      <c r="AI65" s="48" t="s">
        <v>1501</v>
      </c>
      <c r="AJ65" s="48"/>
    </row>
    <row r="66" spans="1:36" ht="15.75" customHeight="1">
      <c r="A66" s="48" t="b">
        <v>1</v>
      </c>
      <c r="B66" s="127" t="e">
        <f t="array" ref="B66">_xlfn.XLOOKUP(E66,#REF!,#REF!)</f>
        <v>#REF!</v>
      </c>
      <c r="C66" s="48" t="s">
        <v>941</v>
      </c>
      <c r="D66" s="48"/>
      <c r="E66" s="48" t="s">
        <v>793</v>
      </c>
      <c r="F66" s="127">
        <v>46207.491666666698</v>
      </c>
      <c r="G66" s="48" t="s">
        <v>1502</v>
      </c>
      <c r="H66" s="48" t="s">
        <v>1267</v>
      </c>
      <c r="I66" s="48" t="s">
        <v>1299</v>
      </c>
      <c r="J66" s="153" t="s">
        <v>1339</v>
      </c>
      <c r="K66" s="154"/>
      <c r="L66" s="48" t="s">
        <v>1258</v>
      </c>
      <c r="M66" s="48" t="s">
        <v>1259</v>
      </c>
      <c r="N66" s="48" t="s">
        <v>1288</v>
      </c>
      <c r="O66" s="48">
        <v>0</v>
      </c>
      <c r="P66" s="48">
        <v>3</v>
      </c>
      <c r="Q66" s="48">
        <v>0</v>
      </c>
      <c r="R66" s="48">
        <v>0</v>
      </c>
      <c r="S66" s="48">
        <v>0</v>
      </c>
      <c r="T66" s="48">
        <v>1</v>
      </c>
      <c r="U66" s="48">
        <v>1</v>
      </c>
      <c r="V66" s="48">
        <v>1</v>
      </c>
      <c r="W66" s="48">
        <v>3</v>
      </c>
      <c r="X66" s="48">
        <v>3</v>
      </c>
      <c r="Y66" s="48">
        <v>3</v>
      </c>
      <c r="Z66" s="48">
        <v>3</v>
      </c>
      <c r="AA66" s="48">
        <v>4</v>
      </c>
      <c r="AB66" s="48">
        <v>2</v>
      </c>
      <c r="AC66" s="48">
        <v>2</v>
      </c>
      <c r="AD66" s="48">
        <v>2</v>
      </c>
      <c r="AE66" s="48" t="s">
        <v>1300</v>
      </c>
      <c r="AF66" s="48" t="s">
        <v>1262</v>
      </c>
      <c r="AG66" s="48" t="s">
        <v>1272</v>
      </c>
      <c r="AH66" s="48" t="s">
        <v>1503</v>
      </c>
      <c r="AI66" s="48" t="s">
        <v>1504</v>
      </c>
      <c r="AJ66" s="48"/>
    </row>
    <row r="67" spans="1:36" ht="15.75" customHeight="1">
      <c r="A67" s="48" t="b">
        <v>1</v>
      </c>
      <c r="B67" s="127" t="e">
        <f t="array" ref="B67">_xlfn.XLOOKUP(E67,#REF!,#REF!)</f>
        <v>#REF!</v>
      </c>
      <c r="C67" s="48" t="s">
        <v>1128</v>
      </c>
      <c r="D67" s="48"/>
      <c r="E67" s="48" t="s">
        <v>774</v>
      </c>
      <c r="F67" s="127">
        <v>46207.492361111101</v>
      </c>
      <c r="G67" s="48" t="s">
        <v>1505</v>
      </c>
      <c r="H67" s="48" t="s">
        <v>1255</v>
      </c>
      <c r="I67" s="48" t="s">
        <v>1277</v>
      </c>
      <c r="J67" s="153" t="s">
        <v>1491</v>
      </c>
      <c r="K67" s="154"/>
      <c r="L67" s="48" t="s">
        <v>1258</v>
      </c>
      <c r="M67" s="48" t="s">
        <v>1259</v>
      </c>
      <c r="N67" s="48" t="s">
        <v>1260</v>
      </c>
      <c r="O67" s="48">
        <v>0</v>
      </c>
      <c r="P67" s="48">
        <v>1</v>
      </c>
      <c r="Q67" s="48">
        <v>2</v>
      </c>
      <c r="R67" s="48">
        <v>0</v>
      </c>
      <c r="S67" s="48">
        <v>0</v>
      </c>
      <c r="T67" s="48">
        <v>0</v>
      </c>
      <c r="U67" s="48">
        <v>0</v>
      </c>
      <c r="V67" s="48">
        <v>0</v>
      </c>
      <c r="W67" s="48">
        <v>4</v>
      </c>
      <c r="X67" s="48">
        <v>4</v>
      </c>
      <c r="Y67" s="48">
        <v>4</v>
      </c>
      <c r="Z67" s="48">
        <v>2</v>
      </c>
      <c r="AA67" s="48">
        <v>0</v>
      </c>
      <c r="AB67" s="48">
        <v>0</v>
      </c>
      <c r="AC67" s="48">
        <v>0</v>
      </c>
      <c r="AD67" s="48">
        <v>2</v>
      </c>
      <c r="AE67" s="48" t="s">
        <v>1295</v>
      </c>
      <c r="AF67" s="48" t="s">
        <v>1262</v>
      </c>
      <c r="AG67" s="48" t="s">
        <v>1272</v>
      </c>
      <c r="AH67" s="48" t="s">
        <v>1506</v>
      </c>
      <c r="AI67" s="48" t="s">
        <v>1505</v>
      </c>
      <c r="AJ67" s="48"/>
    </row>
    <row r="68" spans="1:36" ht="15.75" customHeight="1">
      <c r="A68" s="48" t="b">
        <v>1</v>
      </c>
      <c r="B68" s="127" t="e">
        <f t="array" ref="B68">_xlfn.XLOOKUP(E68,#REF!,#REF!)</f>
        <v>#REF!</v>
      </c>
      <c r="C68" s="48" t="s">
        <v>1197</v>
      </c>
      <c r="D68" s="48"/>
      <c r="E68" s="48" t="s">
        <v>736</v>
      </c>
      <c r="F68" s="127">
        <v>46207.493750000001</v>
      </c>
      <c r="G68" s="48" t="s">
        <v>1507</v>
      </c>
      <c r="H68" s="48" t="s">
        <v>1255</v>
      </c>
      <c r="I68" s="48" t="s">
        <v>1277</v>
      </c>
      <c r="J68" s="153" t="s">
        <v>1287</v>
      </c>
      <c r="K68" s="154"/>
      <c r="L68" s="48" t="s">
        <v>1279</v>
      </c>
      <c r="M68" s="48" t="s">
        <v>1294</v>
      </c>
      <c r="N68" s="48" t="s">
        <v>1280</v>
      </c>
      <c r="O68" s="48">
        <v>3</v>
      </c>
      <c r="P68" s="48">
        <v>2</v>
      </c>
      <c r="Q68" s="48">
        <v>3</v>
      </c>
      <c r="R68" s="48">
        <v>2</v>
      </c>
      <c r="S68" s="48">
        <v>4</v>
      </c>
      <c r="T68" s="48">
        <v>4</v>
      </c>
      <c r="U68" s="48">
        <v>1</v>
      </c>
      <c r="V68" s="48">
        <v>3</v>
      </c>
      <c r="W68" s="48">
        <v>0</v>
      </c>
      <c r="X68" s="48">
        <v>0</v>
      </c>
      <c r="Y68" s="48">
        <v>3</v>
      </c>
      <c r="Z68" s="48">
        <v>3</v>
      </c>
      <c r="AA68" s="48">
        <v>3</v>
      </c>
      <c r="AB68" s="48">
        <v>3</v>
      </c>
      <c r="AC68" s="48">
        <v>1</v>
      </c>
      <c r="AD68" s="48">
        <v>2</v>
      </c>
      <c r="AE68" s="48" t="s">
        <v>1261</v>
      </c>
      <c r="AF68" s="48" t="s">
        <v>1301</v>
      </c>
      <c r="AG68" s="48" t="s">
        <v>1363</v>
      </c>
      <c r="AH68" s="48" t="s">
        <v>1508</v>
      </c>
      <c r="AI68" s="48" t="s">
        <v>1509</v>
      </c>
      <c r="AJ68" s="48"/>
    </row>
    <row r="69" spans="1:36" ht="15.75" customHeight="1">
      <c r="A69" s="48" t="b">
        <v>1</v>
      </c>
      <c r="B69" s="127" t="e">
        <f t="array" ref="B69">_xlfn.XLOOKUP(E69,#REF!,#REF!)</f>
        <v>#REF!</v>
      </c>
      <c r="C69" s="48" t="s">
        <v>1151</v>
      </c>
      <c r="D69" s="48"/>
      <c r="E69" s="48" t="s">
        <v>181</v>
      </c>
      <c r="F69" s="127">
        <v>46207.503472222197</v>
      </c>
      <c r="G69" s="48" t="s">
        <v>1510</v>
      </c>
      <c r="H69" s="48" t="s">
        <v>1267</v>
      </c>
      <c r="I69" s="48" t="s">
        <v>1256</v>
      </c>
      <c r="J69" s="153" t="s">
        <v>1430</v>
      </c>
      <c r="K69" s="154"/>
      <c r="L69" s="48" t="s">
        <v>1269</v>
      </c>
      <c r="M69" s="48" t="s">
        <v>1259</v>
      </c>
      <c r="N69" s="48" t="s">
        <v>1270</v>
      </c>
      <c r="O69" s="48">
        <v>4</v>
      </c>
      <c r="P69" s="48">
        <v>3</v>
      </c>
      <c r="Q69" s="48">
        <v>2</v>
      </c>
      <c r="R69" s="48">
        <v>2</v>
      </c>
      <c r="S69" s="48">
        <v>2</v>
      </c>
      <c r="T69" s="48">
        <v>2</v>
      </c>
      <c r="U69" s="48">
        <v>2</v>
      </c>
      <c r="V69" s="48">
        <v>3</v>
      </c>
      <c r="W69" s="48">
        <v>4</v>
      </c>
      <c r="X69" s="48">
        <v>4</v>
      </c>
      <c r="Y69" s="48">
        <v>4</v>
      </c>
      <c r="Z69" s="48">
        <v>4</v>
      </c>
      <c r="AA69" s="48">
        <v>4</v>
      </c>
      <c r="AB69" s="48">
        <v>3</v>
      </c>
      <c r="AC69" s="48">
        <v>3</v>
      </c>
      <c r="AD69" s="48">
        <v>3</v>
      </c>
      <c r="AE69" s="48" t="s">
        <v>1261</v>
      </c>
      <c r="AF69" s="48" t="s">
        <v>1262</v>
      </c>
      <c r="AG69" s="48" t="s">
        <v>1272</v>
      </c>
      <c r="AH69" s="48" t="s">
        <v>1511</v>
      </c>
      <c r="AI69" s="48" t="s">
        <v>1512</v>
      </c>
      <c r="AJ69" s="48"/>
    </row>
    <row r="70" spans="1:36" ht="15.75" customHeight="1">
      <c r="A70" s="48" t="b">
        <v>1</v>
      </c>
      <c r="B70" s="127" t="e">
        <f t="array" ref="B70">_xlfn.XLOOKUP(E70,#REF!,#REF!)</f>
        <v>#REF!</v>
      </c>
      <c r="C70" s="48" t="s">
        <v>1112</v>
      </c>
      <c r="D70" s="48"/>
      <c r="E70" s="48" t="s">
        <v>684</v>
      </c>
      <c r="F70" s="127">
        <v>46207.504166666702</v>
      </c>
      <c r="G70" s="48" t="s">
        <v>1305</v>
      </c>
      <c r="H70" s="48" t="s">
        <v>1255</v>
      </c>
      <c r="I70" s="48" t="s">
        <v>1256</v>
      </c>
      <c r="J70" s="153" t="s">
        <v>1278</v>
      </c>
      <c r="K70" s="154"/>
      <c r="L70" s="48" t="s">
        <v>1258</v>
      </c>
      <c r="M70" s="48" t="s">
        <v>1259</v>
      </c>
      <c r="N70" s="48" t="s">
        <v>1288</v>
      </c>
      <c r="O70" s="48">
        <v>0</v>
      </c>
      <c r="P70" s="48">
        <v>3</v>
      </c>
      <c r="Q70" s="48">
        <v>3</v>
      </c>
      <c r="R70" s="48">
        <v>4</v>
      </c>
      <c r="S70" s="48">
        <v>4</v>
      </c>
      <c r="T70" s="48">
        <v>2</v>
      </c>
      <c r="U70" s="48">
        <v>1</v>
      </c>
      <c r="V70" s="48">
        <v>2</v>
      </c>
      <c r="W70" s="48">
        <v>4</v>
      </c>
      <c r="X70" s="48">
        <v>3</v>
      </c>
      <c r="Y70" s="48">
        <v>3</v>
      </c>
      <c r="Z70" s="48">
        <v>2</v>
      </c>
      <c r="AA70" s="48">
        <v>1</v>
      </c>
      <c r="AB70" s="48">
        <v>2</v>
      </c>
      <c r="AC70" s="48">
        <v>2</v>
      </c>
      <c r="AD70" s="48">
        <v>2</v>
      </c>
      <c r="AE70" s="48" t="s">
        <v>1300</v>
      </c>
      <c r="AF70" s="48" t="s">
        <v>1289</v>
      </c>
      <c r="AG70" s="48" t="s">
        <v>1272</v>
      </c>
      <c r="AH70" s="48" t="s">
        <v>1513</v>
      </c>
      <c r="AI70" s="48" t="s">
        <v>1305</v>
      </c>
      <c r="AJ70" s="48"/>
    </row>
    <row r="71" spans="1:36" ht="15.75" customHeight="1">
      <c r="A71" s="48" t="b">
        <v>1</v>
      </c>
      <c r="B71" s="127" t="e">
        <f t="array" ref="B71">_xlfn.XLOOKUP(E71,#REF!,#REF!)</f>
        <v>#REF!</v>
      </c>
      <c r="C71" s="48" t="s">
        <v>915</v>
      </c>
      <c r="D71" s="48"/>
      <c r="E71" s="48" t="s">
        <v>189</v>
      </c>
      <c r="F71" s="127">
        <v>46207.505555555603</v>
      </c>
      <c r="G71" s="48" t="s">
        <v>1514</v>
      </c>
      <c r="H71" s="48" t="s">
        <v>1267</v>
      </c>
      <c r="I71" s="48" t="s">
        <v>1299</v>
      </c>
      <c r="J71" s="153" t="s">
        <v>1257</v>
      </c>
      <c r="K71" s="154"/>
      <c r="L71" s="48" t="s">
        <v>1269</v>
      </c>
      <c r="M71" s="48" t="s">
        <v>1259</v>
      </c>
      <c r="N71" s="48" t="s">
        <v>1270</v>
      </c>
      <c r="O71" s="48">
        <v>4</v>
      </c>
      <c r="P71" s="48">
        <v>3</v>
      </c>
      <c r="Q71" s="48">
        <v>1</v>
      </c>
      <c r="R71" s="48">
        <v>1</v>
      </c>
      <c r="S71" s="48">
        <v>1</v>
      </c>
      <c r="T71" s="48">
        <v>1</v>
      </c>
      <c r="U71" s="48">
        <v>1</v>
      </c>
      <c r="V71" s="48">
        <v>1</v>
      </c>
      <c r="W71" s="48">
        <v>3</v>
      </c>
      <c r="X71" s="48">
        <v>3</v>
      </c>
      <c r="Y71" s="48">
        <v>3</v>
      </c>
      <c r="Z71" s="48">
        <v>3</v>
      </c>
      <c r="AA71" s="48">
        <v>3</v>
      </c>
      <c r="AB71" s="48">
        <v>3</v>
      </c>
      <c r="AC71" s="48">
        <v>3</v>
      </c>
      <c r="AD71" s="48">
        <v>3</v>
      </c>
      <c r="AE71" s="48" t="s">
        <v>1300</v>
      </c>
      <c r="AF71" s="48" t="s">
        <v>1343</v>
      </c>
      <c r="AG71" s="48" t="s">
        <v>1272</v>
      </c>
      <c r="AH71" s="48" t="s">
        <v>1515</v>
      </c>
      <c r="AI71" s="48" t="s">
        <v>1514</v>
      </c>
      <c r="AJ71" s="48"/>
    </row>
    <row r="72" spans="1:36" ht="15.75" customHeight="1">
      <c r="A72" s="48" t="b">
        <v>1</v>
      </c>
      <c r="B72" s="127" t="e">
        <f t="array" ref="B72">_xlfn.XLOOKUP(E72,#REF!,#REF!)</f>
        <v>#REF!</v>
      </c>
      <c r="C72" s="48" t="s">
        <v>927</v>
      </c>
      <c r="D72" s="48"/>
      <c r="E72" s="48" t="s">
        <v>224</v>
      </c>
      <c r="F72" s="127">
        <v>46207.506249999999</v>
      </c>
      <c r="G72" s="48" t="s">
        <v>1516</v>
      </c>
      <c r="H72" s="48" t="s">
        <v>1276</v>
      </c>
      <c r="I72" s="48" t="s">
        <v>1334</v>
      </c>
      <c r="J72" s="153" t="s">
        <v>1268</v>
      </c>
      <c r="K72" s="154"/>
      <c r="L72" s="48" t="s">
        <v>1279</v>
      </c>
      <c r="M72" s="48" t="s">
        <v>1294</v>
      </c>
      <c r="N72" s="48" t="s">
        <v>1280</v>
      </c>
      <c r="O72" s="48">
        <v>0</v>
      </c>
      <c r="P72" s="48">
        <v>0</v>
      </c>
      <c r="Q72" s="48">
        <v>2</v>
      </c>
      <c r="R72" s="48">
        <v>0</v>
      </c>
      <c r="S72" s="48">
        <v>0</v>
      </c>
      <c r="T72" s="48">
        <v>0</v>
      </c>
      <c r="U72" s="48">
        <v>1</v>
      </c>
      <c r="V72" s="48">
        <v>0</v>
      </c>
      <c r="W72" s="48">
        <v>1</v>
      </c>
      <c r="X72" s="48">
        <v>1</v>
      </c>
      <c r="Y72" s="48">
        <v>2</v>
      </c>
      <c r="Z72" s="48">
        <v>2</v>
      </c>
      <c r="AA72" s="48">
        <v>0</v>
      </c>
      <c r="AB72" s="48">
        <v>0</v>
      </c>
      <c r="AC72" s="48">
        <v>0</v>
      </c>
      <c r="AD72" s="48">
        <v>0</v>
      </c>
      <c r="AE72" s="48" t="s">
        <v>1300</v>
      </c>
      <c r="AF72" s="48" t="s">
        <v>1308</v>
      </c>
      <c r="AG72" s="48" t="s">
        <v>1263</v>
      </c>
      <c r="AH72" s="48" t="s">
        <v>1517</v>
      </c>
      <c r="AI72" s="48" t="s">
        <v>1265</v>
      </c>
      <c r="AJ72" s="48"/>
    </row>
    <row r="73" spans="1:36" ht="15.75" customHeight="1">
      <c r="A73" s="48" t="b">
        <v>1</v>
      </c>
      <c r="B73" s="127" t="e">
        <f t="array" ref="B73">_xlfn.XLOOKUP(E73,#REF!,#REF!)</f>
        <v>#REF!</v>
      </c>
      <c r="C73" s="48" t="s">
        <v>1052</v>
      </c>
      <c r="D73" s="48"/>
      <c r="E73" s="48" t="s">
        <v>642</v>
      </c>
      <c r="F73" s="127">
        <v>46207.511111111096</v>
      </c>
      <c r="G73" s="48" t="s">
        <v>1518</v>
      </c>
      <c r="H73" s="48" t="s">
        <v>1276</v>
      </c>
      <c r="I73" s="48" t="s">
        <v>1299</v>
      </c>
      <c r="J73" s="153" t="s">
        <v>1293</v>
      </c>
      <c r="K73" s="154"/>
      <c r="L73" s="48" t="s">
        <v>1258</v>
      </c>
      <c r="M73" s="48" t="s">
        <v>1294</v>
      </c>
      <c r="N73" s="48" t="s">
        <v>1288</v>
      </c>
      <c r="O73" s="48">
        <v>3</v>
      </c>
      <c r="P73" s="48">
        <v>1</v>
      </c>
      <c r="Q73" s="48">
        <v>2</v>
      </c>
      <c r="R73" s="48">
        <v>0</v>
      </c>
      <c r="S73" s="48">
        <v>0</v>
      </c>
      <c r="T73" s="48">
        <v>0</v>
      </c>
      <c r="U73" s="48">
        <v>0</v>
      </c>
      <c r="V73" s="48">
        <v>1</v>
      </c>
      <c r="W73" s="48">
        <v>3</v>
      </c>
      <c r="X73" s="48">
        <v>2</v>
      </c>
      <c r="Y73" s="48">
        <v>2</v>
      </c>
      <c r="Z73" s="48">
        <v>1</v>
      </c>
      <c r="AA73" s="48">
        <v>1</v>
      </c>
      <c r="AB73" s="48">
        <v>0</v>
      </c>
      <c r="AC73" s="48">
        <v>2</v>
      </c>
      <c r="AD73" s="48">
        <v>2</v>
      </c>
      <c r="AE73" s="48" t="s">
        <v>1295</v>
      </c>
      <c r="AF73" s="48" t="s">
        <v>1312</v>
      </c>
      <c r="AG73" s="48" t="s">
        <v>1263</v>
      </c>
      <c r="AH73" s="48" t="s">
        <v>1519</v>
      </c>
      <c r="AI73" s="48" t="s">
        <v>1291</v>
      </c>
      <c r="AJ73" s="48"/>
    </row>
    <row r="74" spans="1:36" ht="15.75" customHeight="1">
      <c r="A74" s="48" t="b">
        <v>1</v>
      </c>
      <c r="B74" s="127" t="e">
        <f t="array" ref="B74">_xlfn.XLOOKUP(E74,#REF!,#REF!)</f>
        <v>#REF!</v>
      </c>
      <c r="C74" s="48" t="s">
        <v>916</v>
      </c>
      <c r="D74" s="48"/>
      <c r="E74" s="48" t="s">
        <v>145</v>
      </c>
      <c r="F74" s="127">
        <v>46207.543055555601</v>
      </c>
      <c r="G74" s="48" t="s">
        <v>1520</v>
      </c>
      <c r="H74" s="48" t="s">
        <v>1255</v>
      </c>
      <c r="I74" s="48" t="s">
        <v>1256</v>
      </c>
      <c r="J74" s="153" t="s">
        <v>1521</v>
      </c>
      <c r="K74" s="154"/>
      <c r="L74" s="48" t="s">
        <v>1269</v>
      </c>
      <c r="M74" s="48" t="s">
        <v>1259</v>
      </c>
      <c r="N74" s="48" t="s">
        <v>1260</v>
      </c>
      <c r="O74" s="48">
        <v>2</v>
      </c>
      <c r="P74" s="48">
        <v>3</v>
      </c>
      <c r="Q74" s="48">
        <v>0</v>
      </c>
      <c r="R74" s="48">
        <v>1</v>
      </c>
      <c r="S74" s="48">
        <v>0</v>
      </c>
      <c r="T74" s="48">
        <v>0</v>
      </c>
      <c r="U74" s="48">
        <v>1</v>
      </c>
      <c r="V74" s="48">
        <v>0</v>
      </c>
      <c r="W74" s="48">
        <v>4</v>
      </c>
      <c r="X74" s="48">
        <v>3</v>
      </c>
      <c r="Y74" s="48">
        <v>2</v>
      </c>
      <c r="Z74" s="48">
        <v>2</v>
      </c>
      <c r="AA74" s="48">
        <v>3</v>
      </c>
      <c r="AB74" s="48">
        <v>2</v>
      </c>
      <c r="AC74" s="48">
        <v>1</v>
      </c>
      <c r="AD74" s="48">
        <v>2</v>
      </c>
      <c r="AE74" s="48" t="s">
        <v>1300</v>
      </c>
      <c r="AF74" s="48" t="s">
        <v>1308</v>
      </c>
      <c r="AG74" s="48" t="s">
        <v>1263</v>
      </c>
      <c r="AH74" s="48" t="s">
        <v>1522</v>
      </c>
      <c r="AI74" s="48" t="s">
        <v>1523</v>
      </c>
      <c r="AJ74" s="48"/>
    </row>
    <row r="75" spans="1:36" ht="15.75" customHeight="1">
      <c r="A75" s="48" t="b">
        <v>1</v>
      </c>
      <c r="B75" s="127" t="e">
        <f t="array" ref="B75">_xlfn.XLOOKUP(E75,#REF!,#REF!)</f>
        <v>#REF!</v>
      </c>
      <c r="C75" s="48" t="s">
        <v>1160</v>
      </c>
      <c r="D75" s="48"/>
      <c r="E75" s="48" t="s">
        <v>710</v>
      </c>
      <c r="F75" s="127">
        <v>46207.543055555601</v>
      </c>
      <c r="G75" s="48" t="s">
        <v>1524</v>
      </c>
      <c r="H75" s="48" t="s">
        <v>1267</v>
      </c>
      <c r="I75" s="48" t="s">
        <v>1334</v>
      </c>
      <c r="J75" s="153" t="s">
        <v>1525</v>
      </c>
      <c r="K75" s="154"/>
      <c r="L75" s="48" t="s">
        <v>1279</v>
      </c>
      <c r="M75" s="48" t="s">
        <v>1294</v>
      </c>
      <c r="N75" s="48" t="s">
        <v>1280</v>
      </c>
      <c r="O75" s="48">
        <v>1</v>
      </c>
      <c r="P75" s="48">
        <v>2</v>
      </c>
      <c r="Q75" s="48">
        <v>4</v>
      </c>
      <c r="R75" s="48">
        <v>4</v>
      </c>
      <c r="S75" s="48">
        <v>4</v>
      </c>
      <c r="T75" s="48">
        <v>4</v>
      </c>
      <c r="U75" s="48">
        <v>3</v>
      </c>
      <c r="V75" s="48">
        <v>4</v>
      </c>
      <c r="W75" s="48">
        <v>1</v>
      </c>
      <c r="X75" s="48">
        <v>0</v>
      </c>
      <c r="Y75" s="48">
        <v>3</v>
      </c>
      <c r="Z75" s="48">
        <v>3</v>
      </c>
      <c r="AA75" s="48">
        <v>3</v>
      </c>
      <c r="AB75" s="48">
        <v>4</v>
      </c>
      <c r="AC75" s="48">
        <v>1</v>
      </c>
      <c r="AD75" s="48">
        <v>2</v>
      </c>
      <c r="AE75" s="48" t="s">
        <v>1261</v>
      </c>
      <c r="AF75" s="48" t="s">
        <v>1367</v>
      </c>
      <c r="AG75" s="48" t="s">
        <v>1282</v>
      </c>
      <c r="AH75" s="48" t="s">
        <v>1526</v>
      </c>
      <c r="AI75" s="48" t="s">
        <v>1527</v>
      </c>
      <c r="AJ75" s="48"/>
    </row>
    <row r="76" spans="1:36" ht="15.75" customHeight="1">
      <c r="A76" s="48" t="b">
        <v>1</v>
      </c>
      <c r="B76" s="127" t="e">
        <f t="array" ref="B76">_xlfn.XLOOKUP(E76,#REF!,#REF!)</f>
        <v>#REF!</v>
      </c>
      <c r="C76" s="48" t="s">
        <v>1061</v>
      </c>
      <c r="D76" s="48"/>
      <c r="E76" s="48" t="s">
        <v>724</v>
      </c>
      <c r="F76" s="127">
        <v>46207.543749999997</v>
      </c>
      <c r="G76" s="48" t="s">
        <v>1528</v>
      </c>
      <c r="H76" s="48" t="s">
        <v>1276</v>
      </c>
      <c r="I76" s="48" t="s">
        <v>1392</v>
      </c>
      <c r="J76" s="48" t="s">
        <v>1380</v>
      </c>
      <c r="K76" s="48" t="s">
        <v>1265</v>
      </c>
      <c r="L76" s="48" t="s">
        <v>1269</v>
      </c>
      <c r="M76" s="48" t="s">
        <v>1259</v>
      </c>
      <c r="N76" s="48" t="s">
        <v>1270</v>
      </c>
      <c r="O76" s="48">
        <v>4</v>
      </c>
      <c r="P76" s="48">
        <v>3</v>
      </c>
      <c r="Q76" s="48">
        <v>4</v>
      </c>
      <c r="R76" s="48">
        <v>4</v>
      </c>
      <c r="S76" s="48">
        <v>4</v>
      </c>
      <c r="T76" s="48">
        <v>3</v>
      </c>
      <c r="U76" s="48">
        <v>4</v>
      </c>
      <c r="V76" s="48">
        <v>4</v>
      </c>
      <c r="W76" s="48">
        <v>4</v>
      </c>
      <c r="X76" s="48">
        <v>3</v>
      </c>
      <c r="Y76" s="48">
        <v>4</v>
      </c>
      <c r="Z76" s="48">
        <v>4</v>
      </c>
      <c r="AA76" s="48">
        <v>3</v>
      </c>
      <c r="AB76" s="48">
        <v>4</v>
      </c>
      <c r="AC76" s="48">
        <v>3</v>
      </c>
      <c r="AD76" s="48">
        <v>2</v>
      </c>
      <c r="AE76" s="48" t="s">
        <v>1261</v>
      </c>
      <c r="AF76" s="48" t="s">
        <v>1362</v>
      </c>
      <c r="AG76" s="48" t="s">
        <v>1272</v>
      </c>
      <c r="AH76" s="48" t="s">
        <v>1529</v>
      </c>
      <c r="AI76" s="48" t="s">
        <v>1530</v>
      </c>
      <c r="AJ76" s="48"/>
    </row>
    <row r="77" spans="1:36" ht="15.75" customHeight="1">
      <c r="A77" s="48" t="b">
        <v>1</v>
      </c>
      <c r="B77" s="127" t="e">
        <f t="array" ref="B77">_xlfn.XLOOKUP(E77,#REF!,#REF!)</f>
        <v>#REF!</v>
      </c>
      <c r="C77" s="48" t="s">
        <v>920</v>
      </c>
      <c r="D77" s="48"/>
      <c r="E77" s="48" t="s">
        <v>67</v>
      </c>
      <c r="F77" s="127">
        <v>46207.545833333301</v>
      </c>
      <c r="G77" s="48" t="s">
        <v>1531</v>
      </c>
      <c r="H77" s="48" t="s">
        <v>1267</v>
      </c>
      <c r="I77" s="48" t="s">
        <v>1334</v>
      </c>
      <c r="J77" s="153" t="s">
        <v>1366</v>
      </c>
      <c r="K77" s="154"/>
      <c r="L77" s="48" t="s">
        <v>1279</v>
      </c>
      <c r="M77" s="48" t="s">
        <v>1294</v>
      </c>
      <c r="N77" s="48" t="s">
        <v>1280</v>
      </c>
      <c r="O77" s="48">
        <v>2</v>
      </c>
      <c r="P77" s="48">
        <v>2</v>
      </c>
      <c r="Q77" s="48">
        <v>4</v>
      </c>
      <c r="R77" s="48">
        <v>4</v>
      </c>
      <c r="S77" s="48">
        <v>3</v>
      </c>
      <c r="T77" s="48">
        <v>2</v>
      </c>
      <c r="U77" s="48">
        <v>1</v>
      </c>
      <c r="V77" s="48">
        <v>4</v>
      </c>
      <c r="W77" s="48">
        <v>3</v>
      </c>
      <c r="X77" s="48">
        <v>3</v>
      </c>
      <c r="Y77" s="48">
        <v>2</v>
      </c>
      <c r="Z77" s="48">
        <v>4</v>
      </c>
      <c r="AA77" s="48">
        <v>4</v>
      </c>
      <c r="AB77" s="48">
        <v>2</v>
      </c>
      <c r="AC77" s="48">
        <v>4</v>
      </c>
      <c r="AD77" s="48">
        <v>4</v>
      </c>
      <c r="AE77" s="48" t="s">
        <v>1300</v>
      </c>
      <c r="AF77" s="48" t="s">
        <v>1381</v>
      </c>
      <c r="AG77" s="48" t="s">
        <v>1263</v>
      </c>
      <c r="AH77" s="48" t="s">
        <v>1532</v>
      </c>
      <c r="AI77" s="48" t="s">
        <v>1531</v>
      </c>
      <c r="AJ77" s="48"/>
    </row>
    <row r="78" spans="1:36" ht="15.75" customHeight="1">
      <c r="A78" s="48" t="b">
        <v>1</v>
      </c>
      <c r="B78" s="127" t="e">
        <f t="array" ref="B78">_xlfn.XLOOKUP(E78,#REF!,#REF!)</f>
        <v>#REF!</v>
      </c>
      <c r="C78" s="48" t="s">
        <v>918</v>
      </c>
      <c r="D78" s="48"/>
      <c r="E78" s="48" t="s">
        <v>155</v>
      </c>
      <c r="F78" s="127">
        <v>46207.5493055556</v>
      </c>
      <c r="G78" s="48" t="s">
        <v>1533</v>
      </c>
      <c r="H78" s="48" t="s">
        <v>1276</v>
      </c>
      <c r="I78" s="48" t="s">
        <v>1256</v>
      </c>
      <c r="J78" s="153" t="s">
        <v>1278</v>
      </c>
      <c r="K78" s="154"/>
      <c r="L78" s="48" t="s">
        <v>1269</v>
      </c>
      <c r="M78" s="48" t="s">
        <v>1259</v>
      </c>
      <c r="N78" s="48" t="s">
        <v>1260</v>
      </c>
      <c r="O78" s="48">
        <v>3</v>
      </c>
      <c r="P78" s="48">
        <v>3</v>
      </c>
      <c r="Q78" s="48">
        <v>1</v>
      </c>
      <c r="R78" s="48">
        <v>3</v>
      </c>
      <c r="S78" s="48">
        <v>1</v>
      </c>
      <c r="T78" s="48">
        <v>1</v>
      </c>
      <c r="U78" s="48">
        <v>1</v>
      </c>
      <c r="V78" s="48">
        <v>1</v>
      </c>
      <c r="W78" s="48">
        <v>3</v>
      </c>
      <c r="X78" s="48">
        <v>2</v>
      </c>
      <c r="Y78" s="48">
        <v>2</v>
      </c>
      <c r="Z78" s="48">
        <v>1</v>
      </c>
      <c r="AA78" s="48">
        <v>1</v>
      </c>
      <c r="AB78" s="48">
        <v>1</v>
      </c>
      <c r="AC78" s="48">
        <v>2</v>
      </c>
      <c r="AD78" s="48">
        <v>2</v>
      </c>
      <c r="AE78" s="48" t="s">
        <v>1295</v>
      </c>
      <c r="AF78" s="48" t="s">
        <v>1262</v>
      </c>
      <c r="AG78" s="48" t="s">
        <v>1272</v>
      </c>
      <c r="AH78" s="48" t="s">
        <v>1534</v>
      </c>
      <c r="AI78" s="48" t="s">
        <v>1535</v>
      </c>
      <c r="AJ78" s="48"/>
    </row>
    <row r="79" spans="1:36" ht="15.75" customHeight="1">
      <c r="A79" s="48" t="b">
        <v>1</v>
      </c>
      <c r="B79" s="127" t="e">
        <f t="array" ref="B79">_xlfn.XLOOKUP(E79,#REF!,#REF!)</f>
        <v>#REF!</v>
      </c>
      <c r="C79" s="48" t="s">
        <v>1148</v>
      </c>
      <c r="D79" s="48"/>
      <c r="E79" s="48" t="s">
        <v>355</v>
      </c>
      <c r="F79" s="127">
        <v>46207.563194444403</v>
      </c>
      <c r="G79" s="48" t="s">
        <v>1536</v>
      </c>
      <c r="H79" s="48" t="s">
        <v>1255</v>
      </c>
      <c r="I79" s="48" t="s">
        <v>1392</v>
      </c>
      <c r="J79" s="153" t="s">
        <v>1537</v>
      </c>
      <c r="K79" s="154"/>
      <c r="L79" s="48" t="s">
        <v>1269</v>
      </c>
      <c r="M79" s="48" t="s">
        <v>1357</v>
      </c>
      <c r="N79" s="48" t="s">
        <v>1270</v>
      </c>
      <c r="O79" s="48">
        <v>4</v>
      </c>
      <c r="P79" s="48">
        <v>4</v>
      </c>
      <c r="Q79" s="48">
        <v>4</v>
      </c>
      <c r="R79" s="48">
        <v>4</v>
      </c>
      <c r="S79" s="48">
        <v>4</v>
      </c>
      <c r="T79" s="48">
        <v>4</v>
      </c>
      <c r="U79" s="48">
        <v>4</v>
      </c>
      <c r="V79" s="48">
        <v>4</v>
      </c>
      <c r="W79" s="48">
        <v>3</v>
      </c>
      <c r="X79" s="48">
        <v>3</v>
      </c>
      <c r="Y79" s="48">
        <v>3</v>
      </c>
      <c r="Z79" s="48">
        <v>3</v>
      </c>
      <c r="AA79" s="48">
        <v>3</v>
      </c>
      <c r="AB79" s="48">
        <v>4</v>
      </c>
      <c r="AC79" s="48">
        <v>4</v>
      </c>
      <c r="AD79" s="48">
        <v>3</v>
      </c>
      <c r="AE79" s="48" t="s">
        <v>1261</v>
      </c>
      <c r="AF79" s="48" t="s">
        <v>1397</v>
      </c>
      <c r="AG79" s="48" t="s">
        <v>1272</v>
      </c>
      <c r="AH79" s="48" t="s">
        <v>1538</v>
      </c>
      <c r="AI79" s="48" t="s">
        <v>1539</v>
      </c>
      <c r="AJ79" s="48"/>
    </row>
    <row r="80" spans="1:36" ht="15.75" customHeight="1">
      <c r="A80" s="48" t="b">
        <v>1</v>
      </c>
      <c r="B80" s="127" t="e">
        <f t="array" ref="B80">_xlfn.XLOOKUP(E80,#REF!,#REF!)</f>
        <v>#REF!</v>
      </c>
      <c r="C80" s="48" t="s">
        <v>1072</v>
      </c>
      <c r="D80" s="48"/>
      <c r="E80" s="48" t="s">
        <v>807</v>
      </c>
      <c r="F80" s="127">
        <v>46207.570833333302</v>
      </c>
      <c r="G80" s="48" t="s">
        <v>1540</v>
      </c>
      <c r="H80" s="48" t="s">
        <v>1255</v>
      </c>
      <c r="I80" s="48" t="s">
        <v>1277</v>
      </c>
      <c r="J80" s="153" t="s">
        <v>1268</v>
      </c>
      <c r="K80" s="154"/>
      <c r="L80" s="48" t="s">
        <v>1279</v>
      </c>
      <c r="M80" s="48" t="s">
        <v>1294</v>
      </c>
      <c r="N80" s="48" t="s">
        <v>1280</v>
      </c>
      <c r="O80" s="48">
        <v>1</v>
      </c>
      <c r="P80" s="48">
        <v>0</v>
      </c>
      <c r="Q80" s="48">
        <v>1</v>
      </c>
      <c r="R80" s="48">
        <v>0</v>
      </c>
      <c r="S80" s="48">
        <v>0</v>
      </c>
      <c r="T80" s="48">
        <v>0</v>
      </c>
      <c r="U80" s="48">
        <v>1</v>
      </c>
      <c r="V80" s="48">
        <v>2</v>
      </c>
      <c r="W80" s="48">
        <v>2</v>
      </c>
      <c r="X80" s="48">
        <v>2</v>
      </c>
      <c r="Y80" s="48">
        <v>2</v>
      </c>
      <c r="Z80" s="48">
        <v>2</v>
      </c>
      <c r="AA80" s="48">
        <v>1</v>
      </c>
      <c r="AB80" s="48">
        <v>0</v>
      </c>
      <c r="AC80" s="48">
        <v>1</v>
      </c>
      <c r="AD80" s="48">
        <v>1</v>
      </c>
      <c r="AE80" s="48" t="s">
        <v>1300</v>
      </c>
      <c r="AF80" s="48" t="s">
        <v>1262</v>
      </c>
      <c r="AG80" s="48" t="s">
        <v>1363</v>
      </c>
      <c r="AH80" s="48" t="s">
        <v>1541</v>
      </c>
      <c r="AI80" s="48" t="s">
        <v>1542</v>
      </c>
      <c r="AJ80" s="48"/>
    </row>
    <row r="81" spans="1:36" ht="15.75" customHeight="1">
      <c r="A81" s="48" t="b">
        <v>1</v>
      </c>
      <c r="B81" s="127" t="e">
        <f t="array" ref="B81">_xlfn.XLOOKUP(E81,#REF!,#REF!)</f>
        <v>#REF!</v>
      </c>
      <c r="C81" s="48" t="s">
        <v>1143</v>
      </c>
      <c r="D81" s="48"/>
      <c r="E81" s="48" t="s">
        <v>317</v>
      </c>
      <c r="F81" s="127">
        <v>46207.581250000003</v>
      </c>
      <c r="G81" s="48" t="s">
        <v>1543</v>
      </c>
      <c r="H81" s="48" t="s">
        <v>1276</v>
      </c>
      <c r="I81" s="48" t="s">
        <v>1277</v>
      </c>
      <c r="J81" s="153" t="s">
        <v>1293</v>
      </c>
      <c r="K81" s="154"/>
      <c r="L81" s="48" t="s">
        <v>1258</v>
      </c>
      <c r="M81" s="48" t="s">
        <v>1259</v>
      </c>
      <c r="N81" s="48" t="s">
        <v>1280</v>
      </c>
      <c r="O81" s="48">
        <v>0</v>
      </c>
      <c r="P81" s="48">
        <v>0</v>
      </c>
      <c r="Q81" s="48">
        <v>2</v>
      </c>
      <c r="R81" s="48">
        <v>2</v>
      </c>
      <c r="S81" s="48">
        <v>1</v>
      </c>
      <c r="T81" s="48">
        <v>0</v>
      </c>
      <c r="U81" s="48">
        <v>0</v>
      </c>
      <c r="V81" s="48">
        <v>1</v>
      </c>
      <c r="W81" s="48">
        <v>2</v>
      </c>
      <c r="X81" s="48">
        <v>3</v>
      </c>
      <c r="Y81" s="48">
        <v>3</v>
      </c>
      <c r="Z81" s="48">
        <v>3</v>
      </c>
      <c r="AA81" s="48">
        <v>1</v>
      </c>
      <c r="AB81" s="48">
        <v>1</v>
      </c>
      <c r="AC81" s="48">
        <v>3</v>
      </c>
      <c r="AD81" s="48">
        <v>2</v>
      </c>
      <c r="AE81" s="48" t="s">
        <v>1300</v>
      </c>
      <c r="AF81" s="48" t="s">
        <v>1262</v>
      </c>
      <c r="AG81" s="48" t="s">
        <v>1272</v>
      </c>
      <c r="AH81" s="48" t="s">
        <v>1544</v>
      </c>
      <c r="AI81" s="48" t="s">
        <v>1545</v>
      </c>
      <c r="AJ81" s="48"/>
    </row>
    <row r="82" spans="1:36" ht="15.75" customHeight="1">
      <c r="A82" s="48" t="b">
        <v>1</v>
      </c>
      <c r="B82" s="127" t="e">
        <f t="array" ref="B82">_xlfn.XLOOKUP(E82,#REF!,#REF!)</f>
        <v>#REF!</v>
      </c>
      <c r="C82" s="48" t="s">
        <v>1109</v>
      </c>
      <c r="D82" s="48"/>
      <c r="E82" s="48" t="s">
        <v>83</v>
      </c>
      <c r="F82" s="127">
        <v>46207.581944444399</v>
      </c>
      <c r="G82" s="48" t="s">
        <v>1546</v>
      </c>
      <c r="H82" s="48" t="s">
        <v>1276</v>
      </c>
      <c r="I82" s="48" t="s">
        <v>1392</v>
      </c>
      <c r="J82" s="153" t="s">
        <v>1380</v>
      </c>
      <c r="K82" s="154"/>
      <c r="L82" s="48" t="s">
        <v>1269</v>
      </c>
      <c r="M82" s="48" t="s">
        <v>1357</v>
      </c>
      <c r="N82" s="48" t="s">
        <v>1270</v>
      </c>
      <c r="O82" s="48">
        <v>2</v>
      </c>
      <c r="P82" s="48">
        <v>3</v>
      </c>
      <c r="Q82" s="48">
        <v>2</v>
      </c>
      <c r="R82" s="48">
        <v>2</v>
      </c>
      <c r="S82" s="48">
        <v>3</v>
      </c>
      <c r="T82" s="48">
        <v>1</v>
      </c>
      <c r="U82" s="48">
        <v>2</v>
      </c>
      <c r="V82" s="48">
        <v>3</v>
      </c>
      <c r="W82" s="48">
        <v>4</v>
      </c>
      <c r="X82" s="48">
        <v>4</v>
      </c>
      <c r="Y82" s="48">
        <v>3</v>
      </c>
      <c r="Z82" s="48">
        <v>3</v>
      </c>
      <c r="AA82" s="48">
        <v>4</v>
      </c>
      <c r="AB82" s="48">
        <v>2</v>
      </c>
      <c r="AC82" s="48">
        <v>2</v>
      </c>
      <c r="AD82" s="48">
        <v>1</v>
      </c>
      <c r="AE82" s="48" t="s">
        <v>1300</v>
      </c>
      <c r="AF82" s="48" t="s">
        <v>1401</v>
      </c>
      <c r="AG82" s="48" t="s">
        <v>1272</v>
      </c>
      <c r="AH82" s="48" t="s">
        <v>1547</v>
      </c>
      <c r="AI82" s="48" t="s">
        <v>1548</v>
      </c>
      <c r="AJ82" s="48"/>
    </row>
    <row r="83" spans="1:36" ht="15.75" customHeight="1">
      <c r="A83" s="48" t="b">
        <v>1</v>
      </c>
      <c r="B83" s="127" t="e">
        <f t="array" ref="B83">_xlfn.XLOOKUP(E83,#REF!,#REF!)</f>
        <v>#REF!</v>
      </c>
      <c r="C83" s="48" t="s">
        <v>1168</v>
      </c>
      <c r="D83" s="48"/>
      <c r="E83" s="48" t="s">
        <v>381</v>
      </c>
      <c r="F83" s="127">
        <v>46207.581944444399</v>
      </c>
      <c r="G83" s="48" t="s">
        <v>1549</v>
      </c>
      <c r="H83" s="48" t="s">
        <v>1276</v>
      </c>
      <c r="I83" s="48" t="s">
        <v>1256</v>
      </c>
      <c r="J83" s="153" t="s">
        <v>1293</v>
      </c>
      <c r="K83" s="154"/>
      <c r="L83" s="48" t="s">
        <v>1269</v>
      </c>
      <c r="M83" s="48" t="s">
        <v>1259</v>
      </c>
      <c r="N83" s="48" t="s">
        <v>1270</v>
      </c>
      <c r="O83" s="48">
        <v>0</v>
      </c>
      <c r="P83" s="48">
        <v>0</v>
      </c>
      <c r="Q83" s="48">
        <v>2</v>
      </c>
      <c r="R83" s="48">
        <v>2</v>
      </c>
      <c r="S83" s="48">
        <v>0</v>
      </c>
      <c r="T83" s="48">
        <v>0</v>
      </c>
      <c r="U83" s="48">
        <v>0</v>
      </c>
      <c r="V83" s="48">
        <v>0</v>
      </c>
      <c r="W83" s="48">
        <v>4</v>
      </c>
      <c r="X83" s="48">
        <v>4</v>
      </c>
      <c r="Y83" s="48">
        <v>4</v>
      </c>
      <c r="Z83" s="48">
        <v>4</v>
      </c>
      <c r="AA83" s="48">
        <v>3</v>
      </c>
      <c r="AB83" s="48">
        <v>1</v>
      </c>
      <c r="AC83" s="48">
        <v>0</v>
      </c>
      <c r="AD83" s="48">
        <v>2</v>
      </c>
      <c r="AE83" s="48" t="s">
        <v>1295</v>
      </c>
      <c r="AF83" s="48" t="s">
        <v>1262</v>
      </c>
      <c r="AG83" s="48" t="s">
        <v>1272</v>
      </c>
      <c r="AH83" s="48" t="s">
        <v>1550</v>
      </c>
      <c r="AI83" s="48" t="s">
        <v>1551</v>
      </c>
      <c r="AJ83" s="48"/>
    </row>
    <row r="84" spans="1:36" ht="15.75" customHeight="1">
      <c r="A84" s="48" t="b">
        <v>1</v>
      </c>
      <c r="B84" s="127" t="e">
        <f t="array" ref="B84">_xlfn.XLOOKUP(E84,#REF!,#REF!)</f>
        <v>#REF!</v>
      </c>
      <c r="C84" s="48" t="s">
        <v>912</v>
      </c>
      <c r="D84" s="48"/>
      <c r="E84" s="48" t="s">
        <v>99</v>
      </c>
      <c r="F84" s="127">
        <v>46207.584027777797</v>
      </c>
      <c r="G84" s="48" t="s">
        <v>1552</v>
      </c>
      <c r="H84" s="48" t="s">
        <v>1276</v>
      </c>
      <c r="I84" s="48" t="s">
        <v>1256</v>
      </c>
      <c r="J84" s="153" t="s">
        <v>1380</v>
      </c>
      <c r="K84" s="154"/>
      <c r="L84" s="48" t="s">
        <v>1269</v>
      </c>
      <c r="M84" s="48" t="s">
        <v>1357</v>
      </c>
      <c r="N84" s="48" t="s">
        <v>1270</v>
      </c>
      <c r="O84" s="48">
        <v>2</v>
      </c>
      <c r="P84" s="48">
        <v>1</v>
      </c>
      <c r="Q84" s="48">
        <v>2</v>
      </c>
      <c r="R84" s="48">
        <v>2</v>
      </c>
      <c r="S84" s="48">
        <v>3</v>
      </c>
      <c r="T84" s="48">
        <v>1</v>
      </c>
      <c r="U84" s="48">
        <v>2</v>
      </c>
      <c r="V84" s="48">
        <v>3</v>
      </c>
      <c r="W84" s="48">
        <v>3</v>
      </c>
      <c r="X84" s="48">
        <v>3</v>
      </c>
      <c r="Y84" s="48">
        <v>3</v>
      </c>
      <c r="Z84" s="48">
        <v>3</v>
      </c>
      <c r="AA84" s="48">
        <v>3</v>
      </c>
      <c r="AB84" s="48">
        <v>2</v>
      </c>
      <c r="AC84" s="48">
        <v>2</v>
      </c>
      <c r="AD84" s="48">
        <v>1</v>
      </c>
      <c r="AE84" s="48" t="s">
        <v>1300</v>
      </c>
      <c r="AF84" s="48" t="s">
        <v>1271</v>
      </c>
      <c r="AG84" s="48" t="s">
        <v>1272</v>
      </c>
      <c r="AH84" s="48" t="s">
        <v>1553</v>
      </c>
      <c r="AI84" s="48" t="s">
        <v>1554</v>
      </c>
      <c r="AJ84" s="48"/>
    </row>
    <row r="85" spans="1:36" ht="15.75" customHeight="1">
      <c r="A85" s="48" t="b">
        <v>1</v>
      </c>
      <c r="B85" s="127" t="e">
        <f t="array" ref="B85">_xlfn.XLOOKUP(E85,#REF!,#REF!)</f>
        <v>#REF!</v>
      </c>
      <c r="C85" s="48" t="s">
        <v>1167</v>
      </c>
      <c r="D85" s="48"/>
      <c r="E85" s="48" t="s">
        <v>415</v>
      </c>
      <c r="F85" s="127">
        <v>46207.590277777803</v>
      </c>
      <c r="G85" s="48" t="s">
        <v>1555</v>
      </c>
      <c r="H85" s="48" t="s">
        <v>1276</v>
      </c>
      <c r="I85" s="48" t="s">
        <v>1299</v>
      </c>
      <c r="J85" s="153" t="s">
        <v>1474</v>
      </c>
      <c r="K85" s="154"/>
      <c r="L85" s="48" t="s">
        <v>1258</v>
      </c>
      <c r="M85" s="48" t="s">
        <v>1259</v>
      </c>
      <c r="N85" s="48" t="s">
        <v>1260</v>
      </c>
      <c r="O85" s="48">
        <v>4</v>
      </c>
      <c r="P85" s="48">
        <v>4</v>
      </c>
      <c r="Q85" s="48">
        <v>4</v>
      </c>
      <c r="R85" s="48">
        <v>4</v>
      </c>
      <c r="S85" s="48">
        <v>4</v>
      </c>
      <c r="T85" s="48">
        <v>4</v>
      </c>
      <c r="U85" s="48">
        <v>4</v>
      </c>
      <c r="V85" s="48">
        <v>4</v>
      </c>
      <c r="W85" s="48">
        <v>3</v>
      </c>
      <c r="X85" s="48">
        <v>3</v>
      </c>
      <c r="Y85" s="48">
        <v>4</v>
      </c>
      <c r="Z85" s="48">
        <v>3</v>
      </c>
      <c r="AA85" s="48">
        <v>3</v>
      </c>
      <c r="AB85" s="48">
        <v>2</v>
      </c>
      <c r="AC85" s="48">
        <v>2</v>
      </c>
      <c r="AD85" s="48">
        <v>2</v>
      </c>
      <c r="AE85" s="48" t="s">
        <v>1261</v>
      </c>
      <c r="AF85" s="48" t="s">
        <v>1439</v>
      </c>
      <c r="AG85" s="48" t="s">
        <v>1272</v>
      </c>
      <c r="AH85" s="48" t="s">
        <v>1556</v>
      </c>
      <c r="AI85" s="48" t="s">
        <v>1265</v>
      </c>
      <c r="AJ85" s="48"/>
    </row>
    <row r="86" spans="1:36" ht="15.75" customHeight="1">
      <c r="A86" s="48" t="b">
        <v>1</v>
      </c>
      <c r="B86" s="127" t="e">
        <f t="array" ref="B86">_xlfn.XLOOKUP(E86,#REF!,#REF!)</f>
        <v>#REF!</v>
      </c>
      <c r="C86" s="48" t="s">
        <v>1043</v>
      </c>
      <c r="D86" s="48"/>
      <c r="E86" s="48" t="s">
        <v>437</v>
      </c>
      <c r="F86" s="127">
        <v>46207.59375</v>
      </c>
      <c r="G86" s="48" t="s">
        <v>1557</v>
      </c>
      <c r="H86" s="48" t="s">
        <v>1276</v>
      </c>
      <c r="I86" s="48" t="s">
        <v>1299</v>
      </c>
      <c r="J86" s="153" t="s">
        <v>1430</v>
      </c>
      <c r="K86" s="154"/>
      <c r="L86" s="48" t="s">
        <v>1269</v>
      </c>
      <c r="M86" s="48" t="s">
        <v>1259</v>
      </c>
      <c r="N86" s="48" t="s">
        <v>1260</v>
      </c>
      <c r="O86" s="48">
        <v>0</v>
      </c>
      <c r="P86" s="48">
        <v>0</v>
      </c>
      <c r="Q86" s="48">
        <v>1</v>
      </c>
      <c r="R86" s="48">
        <v>1</v>
      </c>
      <c r="S86" s="48">
        <v>0</v>
      </c>
      <c r="T86" s="48">
        <v>0</v>
      </c>
      <c r="U86" s="48">
        <v>1</v>
      </c>
      <c r="V86" s="48">
        <v>1</v>
      </c>
      <c r="W86" s="48">
        <v>4</v>
      </c>
      <c r="X86" s="48">
        <v>4</v>
      </c>
      <c r="Y86" s="48">
        <v>3</v>
      </c>
      <c r="Z86" s="48">
        <v>4</v>
      </c>
      <c r="AA86" s="48">
        <v>2</v>
      </c>
      <c r="AB86" s="48">
        <v>2</v>
      </c>
      <c r="AC86" s="48">
        <v>3</v>
      </c>
      <c r="AD86" s="48">
        <v>1</v>
      </c>
      <c r="AE86" s="48" t="s">
        <v>1300</v>
      </c>
      <c r="AF86" s="48" t="s">
        <v>1312</v>
      </c>
      <c r="AG86" s="48" t="s">
        <v>1272</v>
      </c>
      <c r="AH86" s="48" t="s">
        <v>1558</v>
      </c>
      <c r="AI86" s="48" t="s">
        <v>1559</v>
      </c>
      <c r="AJ86" s="48"/>
    </row>
    <row r="87" spans="1:36" ht="15.75" customHeight="1">
      <c r="A87" s="48" t="b">
        <v>1</v>
      </c>
      <c r="B87" s="127" t="e">
        <f t="array" ref="B87">_xlfn.XLOOKUP(E87,#REF!,#REF!)</f>
        <v>#REF!</v>
      </c>
      <c r="C87" s="48" t="s">
        <v>1044</v>
      </c>
      <c r="D87" s="48"/>
      <c r="E87" s="48" t="s">
        <v>439</v>
      </c>
      <c r="F87" s="127">
        <v>46207.59375</v>
      </c>
      <c r="G87" s="48" t="s">
        <v>1560</v>
      </c>
      <c r="H87" s="48" t="s">
        <v>1276</v>
      </c>
      <c r="I87" s="48" t="s">
        <v>1299</v>
      </c>
      <c r="J87" s="153" t="s">
        <v>1430</v>
      </c>
      <c r="K87" s="154"/>
      <c r="L87" s="48" t="s">
        <v>1258</v>
      </c>
      <c r="M87" s="48" t="s">
        <v>1294</v>
      </c>
      <c r="N87" s="48" t="s">
        <v>1288</v>
      </c>
      <c r="O87" s="48">
        <v>0</v>
      </c>
      <c r="P87" s="48">
        <v>0</v>
      </c>
      <c r="Q87" s="48">
        <v>1</v>
      </c>
      <c r="R87" s="48">
        <v>1</v>
      </c>
      <c r="S87" s="48">
        <v>0</v>
      </c>
      <c r="T87" s="48">
        <v>0</v>
      </c>
      <c r="U87" s="48">
        <v>1</v>
      </c>
      <c r="V87" s="48">
        <v>1</v>
      </c>
      <c r="W87" s="48">
        <v>4</v>
      </c>
      <c r="X87" s="48">
        <v>4</v>
      </c>
      <c r="Y87" s="48">
        <v>1</v>
      </c>
      <c r="Z87" s="48">
        <v>2</v>
      </c>
      <c r="AA87" s="48">
        <v>1</v>
      </c>
      <c r="AB87" s="48">
        <v>2</v>
      </c>
      <c r="AC87" s="48">
        <v>3</v>
      </c>
      <c r="AD87" s="48">
        <v>1</v>
      </c>
      <c r="AE87" s="48" t="s">
        <v>1300</v>
      </c>
      <c r="AF87" s="48" t="s">
        <v>1262</v>
      </c>
      <c r="AG87" s="48" t="s">
        <v>1272</v>
      </c>
      <c r="AH87" s="48" t="s">
        <v>1561</v>
      </c>
      <c r="AI87" s="48" t="s">
        <v>1562</v>
      </c>
      <c r="AJ87" s="48"/>
    </row>
    <row r="88" spans="1:36" ht="15.75" customHeight="1">
      <c r="A88" s="48" t="b">
        <v>1</v>
      </c>
      <c r="B88" s="127" t="e">
        <f t="array" ref="B88">_xlfn.XLOOKUP(E88,#REF!,#REF!)</f>
        <v>#REF!</v>
      </c>
      <c r="C88" s="48" t="s">
        <v>1145</v>
      </c>
      <c r="D88" s="48"/>
      <c r="E88" s="48" t="s">
        <v>102</v>
      </c>
      <c r="F88" s="127">
        <v>46207.6</v>
      </c>
      <c r="G88" s="48" t="s">
        <v>1563</v>
      </c>
      <c r="H88" s="48" t="s">
        <v>1276</v>
      </c>
      <c r="I88" s="48" t="s">
        <v>1277</v>
      </c>
      <c r="J88" s="153" t="s">
        <v>1268</v>
      </c>
      <c r="K88" s="154"/>
      <c r="L88" s="48" t="s">
        <v>1279</v>
      </c>
      <c r="M88" s="48" t="s">
        <v>1259</v>
      </c>
      <c r="N88" s="48" t="s">
        <v>1280</v>
      </c>
      <c r="O88" s="48">
        <v>0</v>
      </c>
      <c r="P88" s="48">
        <v>0</v>
      </c>
      <c r="Q88" s="48">
        <v>0</v>
      </c>
      <c r="R88" s="48">
        <v>0</v>
      </c>
      <c r="S88" s="48">
        <v>0</v>
      </c>
      <c r="T88" s="48">
        <v>0</v>
      </c>
      <c r="U88" s="48">
        <v>1</v>
      </c>
      <c r="V88" s="48">
        <v>1</v>
      </c>
      <c r="W88" s="48">
        <v>3</v>
      </c>
      <c r="X88" s="48">
        <v>3</v>
      </c>
      <c r="Y88" s="48">
        <v>3</v>
      </c>
      <c r="Z88" s="48">
        <v>2</v>
      </c>
      <c r="AA88" s="48">
        <v>1</v>
      </c>
      <c r="AB88" s="48">
        <v>0</v>
      </c>
      <c r="AC88" s="48">
        <v>0</v>
      </c>
      <c r="AD88" s="48">
        <v>0</v>
      </c>
      <c r="AE88" s="48" t="s">
        <v>1307</v>
      </c>
      <c r="AF88" s="48" t="s">
        <v>1262</v>
      </c>
      <c r="AG88" s="48" t="s">
        <v>1272</v>
      </c>
      <c r="AH88" s="48" t="s">
        <v>1564</v>
      </c>
      <c r="AI88" s="48" t="s">
        <v>1265</v>
      </c>
      <c r="AJ88" s="48"/>
    </row>
    <row r="89" spans="1:36" ht="15.75" customHeight="1">
      <c r="A89" s="48" t="b">
        <v>1</v>
      </c>
      <c r="B89" s="127" t="e">
        <f t="array" ref="B89">_xlfn.XLOOKUP(E89,#REF!,#REF!)</f>
        <v>#REF!</v>
      </c>
      <c r="C89" s="48" t="s">
        <v>1059</v>
      </c>
      <c r="D89" s="48"/>
      <c r="E89" s="48" t="s">
        <v>742</v>
      </c>
      <c r="F89" s="127">
        <v>46207.603472222203</v>
      </c>
      <c r="G89" s="48" t="s">
        <v>1565</v>
      </c>
      <c r="H89" s="48" t="s">
        <v>1276</v>
      </c>
      <c r="I89" s="48" t="s">
        <v>1334</v>
      </c>
      <c r="J89" s="153" t="s">
        <v>1268</v>
      </c>
      <c r="K89" s="154"/>
      <c r="L89" s="48" t="s">
        <v>1279</v>
      </c>
      <c r="M89" s="48" t="s">
        <v>1294</v>
      </c>
      <c r="N89" s="48" t="s">
        <v>1280</v>
      </c>
      <c r="O89" s="48">
        <v>0</v>
      </c>
      <c r="P89" s="48">
        <v>0</v>
      </c>
      <c r="Q89" s="48">
        <v>2</v>
      </c>
      <c r="R89" s="48">
        <v>2</v>
      </c>
      <c r="S89" s="48">
        <v>0</v>
      </c>
      <c r="T89" s="48">
        <v>0</v>
      </c>
      <c r="U89" s="48">
        <v>0</v>
      </c>
      <c r="V89" s="48">
        <v>2</v>
      </c>
      <c r="W89" s="48">
        <v>2</v>
      </c>
      <c r="X89" s="48">
        <v>4</v>
      </c>
      <c r="Y89" s="48">
        <v>4</v>
      </c>
      <c r="Z89" s="48">
        <v>2</v>
      </c>
      <c r="AA89" s="48">
        <v>1</v>
      </c>
      <c r="AB89" s="48">
        <v>0</v>
      </c>
      <c r="AC89" s="48">
        <v>0</v>
      </c>
      <c r="AD89" s="48">
        <v>1</v>
      </c>
      <c r="AE89" s="48" t="s">
        <v>1300</v>
      </c>
      <c r="AF89" s="48" t="s">
        <v>1271</v>
      </c>
      <c r="AG89" s="48" t="s">
        <v>1282</v>
      </c>
      <c r="AH89" s="48" t="s">
        <v>1566</v>
      </c>
      <c r="AI89" s="48" t="s">
        <v>1567</v>
      </c>
      <c r="AJ89" s="48"/>
    </row>
    <row r="90" spans="1:36" ht="15.75" customHeight="1">
      <c r="A90" s="48" t="b">
        <v>1</v>
      </c>
      <c r="B90" s="127" t="e">
        <f t="array" ref="B90">_xlfn.XLOOKUP(E90,#REF!,#REF!)</f>
        <v>#REF!</v>
      </c>
      <c r="C90" s="48" t="s">
        <v>977</v>
      </c>
      <c r="D90" s="48"/>
      <c r="E90" s="48" t="s">
        <v>120</v>
      </c>
      <c r="F90" s="127">
        <v>46207.616666666698</v>
      </c>
      <c r="G90" s="48" t="s">
        <v>1568</v>
      </c>
      <c r="H90" s="48" t="s">
        <v>1267</v>
      </c>
      <c r="I90" s="48" t="s">
        <v>1299</v>
      </c>
      <c r="J90" s="153" t="s">
        <v>1356</v>
      </c>
      <c r="K90" s="154"/>
      <c r="L90" s="48" t="s">
        <v>1258</v>
      </c>
      <c r="M90" s="48" t="s">
        <v>1259</v>
      </c>
      <c r="N90" s="48" t="s">
        <v>1288</v>
      </c>
      <c r="O90" s="48">
        <v>4</v>
      </c>
      <c r="P90" s="48">
        <v>4</v>
      </c>
      <c r="Q90" s="48">
        <v>4</v>
      </c>
      <c r="R90" s="48">
        <v>4</v>
      </c>
      <c r="S90" s="48">
        <v>4</v>
      </c>
      <c r="T90" s="48">
        <v>4</v>
      </c>
      <c r="U90" s="48">
        <v>4</v>
      </c>
      <c r="V90" s="48">
        <v>4</v>
      </c>
      <c r="W90" s="48">
        <v>4</v>
      </c>
      <c r="X90" s="48">
        <v>4</v>
      </c>
      <c r="Y90" s="48">
        <v>4</v>
      </c>
      <c r="Z90" s="48">
        <v>4</v>
      </c>
      <c r="AA90" s="48">
        <v>3</v>
      </c>
      <c r="AB90" s="48">
        <v>4</v>
      </c>
      <c r="AC90" s="48">
        <v>3</v>
      </c>
      <c r="AD90" s="48">
        <v>4</v>
      </c>
      <c r="AE90" s="48" t="s">
        <v>1261</v>
      </c>
      <c r="AF90" s="48" t="s">
        <v>1569</v>
      </c>
      <c r="AG90" s="48" t="s">
        <v>1272</v>
      </c>
      <c r="AH90" s="48" t="s">
        <v>1570</v>
      </c>
      <c r="AI90" s="48" t="s">
        <v>1571</v>
      </c>
      <c r="AJ90" s="48"/>
    </row>
    <row r="91" spans="1:36" ht="15.75" customHeight="1">
      <c r="A91" s="48" t="b">
        <v>1</v>
      </c>
      <c r="B91" s="127" t="e">
        <f t="array" ref="B91">_xlfn.XLOOKUP(E91,#REF!,#REF!)</f>
        <v>#REF!</v>
      </c>
      <c r="C91" s="48" t="s">
        <v>951</v>
      </c>
      <c r="D91" s="48"/>
      <c r="E91" s="48" t="s">
        <v>480</v>
      </c>
      <c r="F91" s="127">
        <v>46207.637499999997</v>
      </c>
      <c r="G91" s="48" t="s">
        <v>1572</v>
      </c>
      <c r="H91" s="48" t="s">
        <v>1255</v>
      </c>
      <c r="I91" s="48" t="s">
        <v>1299</v>
      </c>
      <c r="J91" s="153" t="s">
        <v>1342</v>
      </c>
      <c r="K91" s="154"/>
      <c r="L91" s="48" t="s">
        <v>1269</v>
      </c>
      <c r="M91" s="48" t="s">
        <v>1259</v>
      </c>
      <c r="N91" s="48" t="s">
        <v>1270</v>
      </c>
      <c r="O91" s="48">
        <v>2</v>
      </c>
      <c r="P91" s="48">
        <v>3</v>
      </c>
      <c r="Q91" s="48">
        <v>3</v>
      </c>
      <c r="R91" s="48">
        <v>2</v>
      </c>
      <c r="S91" s="48">
        <v>2</v>
      </c>
      <c r="T91" s="48">
        <v>2</v>
      </c>
      <c r="U91" s="48">
        <v>2</v>
      </c>
      <c r="V91" s="48">
        <v>2</v>
      </c>
      <c r="W91" s="48">
        <v>3</v>
      </c>
      <c r="X91" s="48">
        <v>3</v>
      </c>
      <c r="Y91" s="48">
        <v>3</v>
      </c>
      <c r="Z91" s="48">
        <v>4</v>
      </c>
      <c r="AA91" s="48">
        <v>3</v>
      </c>
      <c r="AB91" s="48">
        <v>3</v>
      </c>
      <c r="AC91" s="48">
        <v>2</v>
      </c>
      <c r="AD91" s="48">
        <v>2</v>
      </c>
      <c r="AE91" s="48" t="s">
        <v>1261</v>
      </c>
      <c r="AF91" s="48" t="s">
        <v>1289</v>
      </c>
      <c r="AG91" s="48" t="s">
        <v>1272</v>
      </c>
      <c r="AH91" s="48" t="s">
        <v>1573</v>
      </c>
      <c r="AI91" s="48" t="s">
        <v>1574</v>
      </c>
      <c r="AJ91" s="48"/>
    </row>
    <row r="92" spans="1:36" ht="15.75" customHeight="1">
      <c r="A92" s="48" t="b">
        <v>1</v>
      </c>
      <c r="B92" s="127" t="e">
        <f t="array" ref="B92">_xlfn.XLOOKUP(E92,#REF!,#REF!)</f>
        <v>#REF!</v>
      </c>
      <c r="C92" s="48" t="s">
        <v>1126</v>
      </c>
      <c r="D92" s="48"/>
      <c r="E92" s="48" t="s">
        <v>372</v>
      </c>
      <c r="F92" s="127">
        <v>46207.65625</v>
      </c>
      <c r="G92" s="48" t="s">
        <v>1575</v>
      </c>
      <c r="H92" s="48" t="s">
        <v>1255</v>
      </c>
      <c r="I92" s="48" t="s">
        <v>1256</v>
      </c>
      <c r="J92" s="48" t="s">
        <v>1576</v>
      </c>
      <c r="K92" s="48" t="s">
        <v>1577</v>
      </c>
      <c r="L92" s="48" t="s">
        <v>1269</v>
      </c>
      <c r="M92" s="48" t="s">
        <v>1259</v>
      </c>
      <c r="N92" s="48" t="s">
        <v>1270</v>
      </c>
      <c r="O92" s="48">
        <v>2</v>
      </c>
      <c r="P92" s="48">
        <v>4</v>
      </c>
      <c r="Q92" s="48">
        <v>4</v>
      </c>
      <c r="R92" s="48">
        <v>2</v>
      </c>
      <c r="S92" s="48">
        <v>3</v>
      </c>
      <c r="T92" s="48">
        <v>2</v>
      </c>
      <c r="U92" s="48">
        <v>3</v>
      </c>
      <c r="V92" s="48">
        <v>2</v>
      </c>
      <c r="W92" s="48">
        <v>4</v>
      </c>
      <c r="X92" s="48">
        <v>4</v>
      </c>
      <c r="Y92" s="48">
        <v>3</v>
      </c>
      <c r="Z92" s="48">
        <v>3</v>
      </c>
      <c r="AA92" s="48">
        <v>3</v>
      </c>
      <c r="AB92" s="48">
        <v>2</v>
      </c>
      <c r="AC92" s="48">
        <v>3</v>
      </c>
      <c r="AD92" s="48">
        <v>3</v>
      </c>
      <c r="AE92" s="48" t="s">
        <v>1261</v>
      </c>
      <c r="AF92" s="48" t="s">
        <v>1362</v>
      </c>
      <c r="AG92" s="48" t="s">
        <v>1272</v>
      </c>
      <c r="AH92" s="48" t="s">
        <v>1578</v>
      </c>
      <c r="AI92" s="48" t="s">
        <v>1579</v>
      </c>
      <c r="AJ92" s="48"/>
    </row>
    <row r="93" spans="1:36" ht="15.75" customHeight="1">
      <c r="A93" s="48" t="b">
        <v>1</v>
      </c>
      <c r="B93" s="127" t="e">
        <f t="array" ref="B93">_xlfn.XLOOKUP(E93,#REF!,#REF!)</f>
        <v>#REF!</v>
      </c>
      <c r="C93" s="48" t="s">
        <v>1172</v>
      </c>
      <c r="D93" s="48"/>
      <c r="E93" s="48" t="s">
        <v>64</v>
      </c>
      <c r="F93" s="127">
        <v>46207.663888888899</v>
      </c>
      <c r="G93" s="48" t="s">
        <v>1580</v>
      </c>
      <c r="H93" s="48" t="s">
        <v>1276</v>
      </c>
      <c r="I93" s="48" t="s">
        <v>1277</v>
      </c>
      <c r="J93" s="153" t="s">
        <v>1421</v>
      </c>
      <c r="K93" s="154"/>
      <c r="L93" s="48" t="s">
        <v>1258</v>
      </c>
      <c r="M93" s="48" t="s">
        <v>1259</v>
      </c>
      <c r="N93" s="48" t="s">
        <v>1288</v>
      </c>
      <c r="O93" s="48">
        <v>2</v>
      </c>
      <c r="P93" s="48">
        <v>4</v>
      </c>
      <c r="Q93" s="48">
        <v>4</v>
      </c>
      <c r="R93" s="48">
        <v>3</v>
      </c>
      <c r="S93" s="48">
        <v>3</v>
      </c>
      <c r="T93" s="48">
        <v>1</v>
      </c>
      <c r="U93" s="48">
        <v>2</v>
      </c>
      <c r="V93" s="48">
        <v>3</v>
      </c>
      <c r="W93" s="48">
        <v>2</v>
      </c>
      <c r="X93" s="48">
        <v>2</v>
      </c>
      <c r="Y93" s="48">
        <v>4</v>
      </c>
      <c r="Z93" s="48">
        <v>3</v>
      </c>
      <c r="AA93" s="48">
        <v>4</v>
      </c>
      <c r="AB93" s="48">
        <v>4</v>
      </c>
      <c r="AC93" s="48">
        <v>3</v>
      </c>
      <c r="AD93" s="48">
        <v>3</v>
      </c>
      <c r="AE93" s="48" t="s">
        <v>1300</v>
      </c>
      <c r="AF93" s="48" t="s">
        <v>1281</v>
      </c>
      <c r="AG93" s="48" t="s">
        <v>1363</v>
      </c>
      <c r="AH93" s="48" t="s">
        <v>1581</v>
      </c>
      <c r="AI93" s="48" t="s">
        <v>1582</v>
      </c>
      <c r="AJ93" s="48"/>
    </row>
    <row r="94" spans="1:36" ht="15.75" customHeight="1">
      <c r="A94" s="48" t="b">
        <v>1</v>
      </c>
      <c r="B94" s="127" t="e">
        <f t="array" ref="B94">_xlfn.XLOOKUP(E94,#REF!,#REF!)</f>
        <v>#REF!</v>
      </c>
      <c r="C94" s="48" t="s">
        <v>1165</v>
      </c>
      <c r="D94" s="48"/>
      <c r="E94" s="48" t="s">
        <v>665</v>
      </c>
      <c r="F94" s="127">
        <v>46207.675694444399</v>
      </c>
      <c r="G94" s="48" t="s">
        <v>1583</v>
      </c>
      <c r="H94" s="48" t="s">
        <v>1276</v>
      </c>
      <c r="I94" s="48" t="s">
        <v>1256</v>
      </c>
      <c r="J94" s="153" t="s">
        <v>1584</v>
      </c>
      <c r="K94" s="154"/>
      <c r="L94" s="48" t="s">
        <v>1269</v>
      </c>
      <c r="M94" s="48" t="s">
        <v>1357</v>
      </c>
      <c r="N94" s="48" t="s">
        <v>1270</v>
      </c>
      <c r="O94" s="48">
        <v>4</v>
      </c>
      <c r="P94" s="48">
        <v>4</v>
      </c>
      <c r="Q94" s="48">
        <v>4</v>
      </c>
      <c r="R94" s="48">
        <v>4</v>
      </c>
      <c r="S94" s="48">
        <v>4</v>
      </c>
      <c r="T94" s="48">
        <v>4</v>
      </c>
      <c r="U94" s="48">
        <v>4</v>
      </c>
      <c r="V94" s="48">
        <v>4</v>
      </c>
      <c r="W94" s="48">
        <v>4</v>
      </c>
      <c r="X94" s="48">
        <v>4</v>
      </c>
      <c r="Y94" s="48">
        <v>4</v>
      </c>
      <c r="Z94" s="48">
        <v>4</v>
      </c>
      <c r="AA94" s="48">
        <v>4</v>
      </c>
      <c r="AB94" s="48">
        <v>4</v>
      </c>
      <c r="AC94" s="48">
        <v>4</v>
      </c>
      <c r="AD94" s="48">
        <v>4</v>
      </c>
      <c r="AE94" s="48" t="s">
        <v>1261</v>
      </c>
      <c r="AF94" s="48" t="s">
        <v>1585</v>
      </c>
      <c r="AG94" s="48" t="s">
        <v>1272</v>
      </c>
      <c r="AH94" s="48" t="s">
        <v>1586</v>
      </c>
      <c r="AI94" s="48" t="s">
        <v>1587</v>
      </c>
      <c r="AJ94" s="48"/>
    </row>
    <row r="95" spans="1:36" ht="15.75" customHeight="1">
      <c r="A95" s="48" t="b">
        <v>1</v>
      </c>
      <c r="B95" s="127" t="e">
        <f t="array" ref="B95">_xlfn.XLOOKUP(E95,#REF!,#REF!)</f>
        <v>#REF!</v>
      </c>
      <c r="C95" s="48" t="s">
        <v>1134</v>
      </c>
      <c r="D95" s="48"/>
      <c r="E95" s="48" t="s">
        <v>350</v>
      </c>
      <c r="F95" s="127">
        <v>46207.681250000001</v>
      </c>
      <c r="G95" s="48" t="s">
        <v>1588</v>
      </c>
      <c r="H95" s="48" t="s">
        <v>1276</v>
      </c>
      <c r="I95" s="48" t="s">
        <v>1277</v>
      </c>
      <c r="J95" s="153" t="s">
        <v>1278</v>
      </c>
      <c r="K95" s="154"/>
      <c r="L95" s="48" t="s">
        <v>1258</v>
      </c>
      <c r="M95" s="48" t="s">
        <v>1259</v>
      </c>
      <c r="N95" s="48" t="s">
        <v>1260</v>
      </c>
      <c r="O95" s="48">
        <v>3</v>
      </c>
      <c r="P95" s="48">
        <v>4</v>
      </c>
      <c r="Q95" s="48">
        <v>4</v>
      </c>
      <c r="R95" s="48">
        <v>3</v>
      </c>
      <c r="S95" s="48">
        <v>3</v>
      </c>
      <c r="T95" s="48">
        <v>3</v>
      </c>
      <c r="U95" s="48">
        <v>3</v>
      </c>
      <c r="V95" s="48">
        <v>2</v>
      </c>
      <c r="W95" s="48">
        <v>3</v>
      </c>
      <c r="X95" s="48">
        <v>2</v>
      </c>
      <c r="Y95" s="48">
        <v>2</v>
      </c>
      <c r="Z95" s="48">
        <v>3</v>
      </c>
      <c r="AA95" s="48">
        <v>2</v>
      </c>
      <c r="AB95" s="48">
        <v>4</v>
      </c>
      <c r="AC95" s="48">
        <v>3</v>
      </c>
      <c r="AD95" s="48">
        <v>2</v>
      </c>
      <c r="AE95" s="48" t="s">
        <v>1295</v>
      </c>
      <c r="AF95" s="48" t="s">
        <v>1308</v>
      </c>
      <c r="AG95" s="48" t="s">
        <v>1282</v>
      </c>
      <c r="AH95" s="48" t="s">
        <v>1589</v>
      </c>
      <c r="AI95" s="48" t="s">
        <v>1590</v>
      </c>
      <c r="AJ95" s="48"/>
    </row>
    <row r="96" spans="1:36" ht="15.75" customHeight="1">
      <c r="A96" s="48" t="b">
        <v>1</v>
      </c>
      <c r="B96" s="127" t="e">
        <f t="array" ref="B96">_xlfn.XLOOKUP(E96,#REF!,#REF!)</f>
        <v>#REF!</v>
      </c>
      <c r="C96" s="48" t="s">
        <v>1185</v>
      </c>
      <c r="D96" s="48"/>
      <c r="E96" s="48" t="s">
        <v>462</v>
      </c>
      <c r="F96" s="127">
        <v>46207.681944444397</v>
      </c>
      <c r="G96" s="48" t="s">
        <v>1591</v>
      </c>
      <c r="H96" s="48" t="s">
        <v>1255</v>
      </c>
      <c r="I96" s="48" t="s">
        <v>1277</v>
      </c>
      <c r="J96" s="153" t="s">
        <v>1268</v>
      </c>
      <c r="K96" s="154"/>
      <c r="L96" s="48" t="s">
        <v>1258</v>
      </c>
      <c r="M96" s="48" t="s">
        <v>1294</v>
      </c>
      <c r="N96" s="48" t="s">
        <v>1260</v>
      </c>
      <c r="O96" s="48">
        <v>3</v>
      </c>
      <c r="P96" s="48">
        <v>1</v>
      </c>
      <c r="Q96" s="48">
        <v>2</v>
      </c>
      <c r="R96" s="48">
        <v>3</v>
      </c>
      <c r="S96" s="48">
        <v>2</v>
      </c>
      <c r="T96" s="48">
        <v>2</v>
      </c>
      <c r="U96" s="48">
        <v>2</v>
      </c>
      <c r="V96" s="48">
        <v>3</v>
      </c>
      <c r="W96" s="48">
        <v>4</v>
      </c>
      <c r="X96" s="48">
        <v>4</v>
      </c>
      <c r="Y96" s="48">
        <v>4</v>
      </c>
      <c r="Z96" s="48">
        <v>4</v>
      </c>
      <c r="AA96" s="48">
        <v>4</v>
      </c>
      <c r="AB96" s="48">
        <v>3</v>
      </c>
      <c r="AC96" s="48">
        <v>2</v>
      </c>
      <c r="AD96" s="48">
        <v>2</v>
      </c>
      <c r="AE96" s="48" t="s">
        <v>1261</v>
      </c>
      <c r="AF96" s="48" t="s">
        <v>1381</v>
      </c>
      <c r="AG96" s="48" t="s">
        <v>1263</v>
      </c>
      <c r="AH96" s="48" t="s">
        <v>1592</v>
      </c>
      <c r="AI96" s="48" t="s">
        <v>1593</v>
      </c>
      <c r="AJ96" s="48"/>
    </row>
    <row r="97" spans="1:36" ht="15.75" customHeight="1">
      <c r="A97" s="48" t="b">
        <v>1</v>
      </c>
      <c r="B97" s="127" t="e">
        <f t="array" ref="B97">_xlfn.XLOOKUP(E97,#REF!,#REF!)</f>
        <v>#REF!</v>
      </c>
      <c r="C97" s="48" t="s">
        <v>989</v>
      </c>
      <c r="D97" s="48"/>
      <c r="E97" s="48" t="s">
        <v>216</v>
      </c>
      <c r="F97" s="127">
        <v>46207.712500000001</v>
      </c>
      <c r="G97" s="48" t="s">
        <v>1594</v>
      </c>
      <c r="H97" s="48" t="s">
        <v>1267</v>
      </c>
      <c r="I97" s="48" t="s">
        <v>1277</v>
      </c>
      <c r="J97" s="153" t="s">
        <v>1521</v>
      </c>
      <c r="K97" s="154"/>
      <c r="L97" s="48" t="s">
        <v>1258</v>
      </c>
      <c r="M97" s="48" t="s">
        <v>1294</v>
      </c>
      <c r="N97" s="48" t="s">
        <v>1280</v>
      </c>
      <c r="O97" s="48">
        <v>1</v>
      </c>
      <c r="P97" s="48">
        <v>1</v>
      </c>
      <c r="Q97" s="48">
        <v>3</v>
      </c>
      <c r="R97" s="48">
        <v>2</v>
      </c>
      <c r="S97" s="48">
        <v>3</v>
      </c>
      <c r="T97" s="48">
        <v>3</v>
      </c>
      <c r="U97" s="48">
        <v>2</v>
      </c>
      <c r="V97" s="48">
        <v>2</v>
      </c>
      <c r="W97" s="48">
        <v>1</v>
      </c>
      <c r="X97" s="48">
        <v>0</v>
      </c>
      <c r="Y97" s="48">
        <v>2</v>
      </c>
      <c r="Z97" s="48">
        <v>2</v>
      </c>
      <c r="AA97" s="48">
        <v>2</v>
      </c>
      <c r="AB97" s="48">
        <v>2</v>
      </c>
      <c r="AC97" s="48">
        <v>2</v>
      </c>
      <c r="AD97" s="48">
        <v>3</v>
      </c>
      <c r="AE97" s="48" t="s">
        <v>1261</v>
      </c>
      <c r="AF97" s="48" t="s">
        <v>1301</v>
      </c>
      <c r="AG97" s="48" t="s">
        <v>1282</v>
      </c>
      <c r="AH97" s="48" t="s">
        <v>1595</v>
      </c>
      <c r="AI97" s="48" t="s">
        <v>875</v>
      </c>
      <c r="AJ97" s="48"/>
    </row>
    <row r="98" spans="1:36" ht="15.75" customHeight="1">
      <c r="A98" s="48" t="b">
        <v>1</v>
      </c>
      <c r="B98" s="127" t="e">
        <f t="array" ref="B98">_xlfn.XLOOKUP(E98,#REF!,#REF!)</f>
        <v>#REF!</v>
      </c>
      <c r="C98" s="48" t="s">
        <v>1117</v>
      </c>
      <c r="D98" s="48"/>
      <c r="E98" s="48" t="s">
        <v>802</v>
      </c>
      <c r="F98" s="127">
        <v>46207.723611111098</v>
      </c>
      <c r="G98" s="48" t="s">
        <v>1596</v>
      </c>
      <c r="H98" s="48" t="s">
        <v>1255</v>
      </c>
      <c r="I98" s="48" t="s">
        <v>1334</v>
      </c>
      <c r="J98" s="153" t="s">
        <v>1268</v>
      </c>
      <c r="K98" s="154"/>
      <c r="L98" s="48" t="s">
        <v>1279</v>
      </c>
      <c r="M98" s="48" t="s">
        <v>1294</v>
      </c>
      <c r="N98" s="48" t="s">
        <v>1260</v>
      </c>
      <c r="O98" s="48">
        <v>2</v>
      </c>
      <c r="P98" s="48">
        <v>1</v>
      </c>
      <c r="Q98" s="48">
        <v>1</v>
      </c>
      <c r="R98" s="48">
        <v>0</v>
      </c>
      <c r="S98" s="48">
        <v>0</v>
      </c>
      <c r="T98" s="48">
        <v>0</v>
      </c>
      <c r="U98" s="48">
        <v>2</v>
      </c>
      <c r="V98" s="48">
        <v>0</v>
      </c>
      <c r="W98" s="48">
        <v>2</v>
      </c>
      <c r="X98" s="48">
        <v>2</v>
      </c>
      <c r="Y98" s="48">
        <v>1</v>
      </c>
      <c r="Z98" s="48">
        <v>0</v>
      </c>
      <c r="AA98" s="48">
        <v>1</v>
      </c>
      <c r="AB98" s="48">
        <v>2</v>
      </c>
      <c r="AC98" s="48">
        <v>1</v>
      </c>
      <c r="AD98" s="48">
        <v>0</v>
      </c>
      <c r="AE98" s="48" t="s">
        <v>1295</v>
      </c>
      <c r="AF98" s="48" t="s">
        <v>1397</v>
      </c>
      <c r="AG98" s="48" t="s">
        <v>1272</v>
      </c>
      <c r="AH98" s="48" t="s">
        <v>1597</v>
      </c>
      <c r="AI98" s="48" t="s">
        <v>1291</v>
      </c>
      <c r="AJ98" s="48"/>
    </row>
    <row r="99" spans="1:36" ht="15.75" customHeight="1">
      <c r="A99" s="48" t="b">
        <v>1</v>
      </c>
      <c r="B99" s="127" t="e">
        <f t="array" ref="B99">_xlfn.XLOOKUP(E99,#REF!,#REF!)</f>
        <v>#REF!</v>
      </c>
      <c r="C99" s="48" t="s">
        <v>1166</v>
      </c>
      <c r="D99" s="48"/>
      <c r="E99" s="48" t="s">
        <v>595</v>
      </c>
      <c r="F99" s="127">
        <v>46207.742361111101</v>
      </c>
      <c r="G99" s="48" t="s">
        <v>1598</v>
      </c>
      <c r="H99" s="48" t="s">
        <v>1267</v>
      </c>
      <c r="I99" s="48" t="s">
        <v>1256</v>
      </c>
      <c r="J99" s="153" t="s">
        <v>1491</v>
      </c>
      <c r="K99" s="154"/>
      <c r="L99" s="48" t="s">
        <v>1269</v>
      </c>
      <c r="M99" s="48" t="s">
        <v>1259</v>
      </c>
      <c r="N99" s="48" t="s">
        <v>1270</v>
      </c>
      <c r="O99" s="48">
        <v>4</v>
      </c>
      <c r="P99" s="48">
        <v>4</v>
      </c>
      <c r="Q99" s="48">
        <v>0</v>
      </c>
      <c r="R99" s="48">
        <v>0</v>
      </c>
      <c r="S99" s="48">
        <v>0</v>
      </c>
      <c r="T99" s="48">
        <v>0</v>
      </c>
      <c r="U99" s="48">
        <v>0</v>
      </c>
      <c r="V99" s="48">
        <v>0</v>
      </c>
      <c r="W99" s="48">
        <v>4</v>
      </c>
      <c r="X99" s="48">
        <v>4</v>
      </c>
      <c r="Y99" s="48">
        <v>4</v>
      </c>
      <c r="Z99" s="48">
        <v>4</v>
      </c>
      <c r="AA99" s="48">
        <v>4</v>
      </c>
      <c r="AB99" s="48">
        <v>4</v>
      </c>
      <c r="AC99" s="48">
        <v>4</v>
      </c>
      <c r="AD99" s="48">
        <v>4</v>
      </c>
      <c r="AE99" s="48" t="s">
        <v>1261</v>
      </c>
      <c r="AF99" s="48" t="s">
        <v>1312</v>
      </c>
      <c r="AG99" s="48" t="s">
        <v>1272</v>
      </c>
      <c r="AH99" s="48" t="s">
        <v>1599</v>
      </c>
      <c r="AI99" s="48" t="s">
        <v>1598</v>
      </c>
      <c r="AJ99" s="48"/>
    </row>
    <row r="100" spans="1:36" ht="15.75" customHeight="1">
      <c r="A100" s="48" t="b">
        <v>1</v>
      </c>
      <c r="B100" s="127" t="e">
        <f t="array" ref="B100">_xlfn.XLOOKUP(E100,#REF!,#REF!)</f>
        <v>#REF!</v>
      </c>
      <c r="C100" s="48" t="s">
        <v>1163</v>
      </c>
      <c r="D100" s="48"/>
      <c r="E100" s="48" t="s">
        <v>446</v>
      </c>
      <c r="F100" s="127">
        <v>46207.747222222199</v>
      </c>
      <c r="G100" s="48" t="s">
        <v>1600</v>
      </c>
      <c r="H100" s="48" t="s">
        <v>1276</v>
      </c>
      <c r="I100" s="48" t="s">
        <v>1256</v>
      </c>
      <c r="J100" s="153" t="s">
        <v>1293</v>
      </c>
      <c r="K100" s="154"/>
      <c r="L100" s="48" t="s">
        <v>1269</v>
      </c>
      <c r="M100" s="48" t="s">
        <v>1259</v>
      </c>
      <c r="N100" s="48" t="s">
        <v>1270</v>
      </c>
      <c r="O100" s="48">
        <v>0</v>
      </c>
      <c r="P100" s="48">
        <v>2</v>
      </c>
      <c r="Q100" s="48">
        <v>2</v>
      </c>
      <c r="R100" s="48">
        <v>1</v>
      </c>
      <c r="S100" s="48">
        <v>1</v>
      </c>
      <c r="T100" s="48">
        <v>1</v>
      </c>
      <c r="U100" s="48">
        <v>1</v>
      </c>
      <c r="V100" s="48">
        <v>1</v>
      </c>
      <c r="W100" s="48">
        <v>2</v>
      </c>
      <c r="X100" s="48">
        <v>2</v>
      </c>
      <c r="Y100" s="48">
        <v>1</v>
      </c>
      <c r="Z100" s="48">
        <v>1</v>
      </c>
      <c r="AA100" s="48">
        <v>0</v>
      </c>
      <c r="AB100" s="48">
        <v>1</v>
      </c>
      <c r="AC100" s="48">
        <v>4</v>
      </c>
      <c r="AD100" s="48">
        <v>1</v>
      </c>
      <c r="AE100" s="48" t="s">
        <v>1300</v>
      </c>
      <c r="AF100" s="48" t="s">
        <v>1262</v>
      </c>
      <c r="AG100" s="48" t="s">
        <v>1272</v>
      </c>
      <c r="AH100" s="48" t="s">
        <v>1601</v>
      </c>
      <c r="AI100" s="48" t="s">
        <v>1602</v>
      </c>
      <c r="AJ100" s="48"/>
    </row>
    <row r="101" spans="1:36" ht="15.75" customHeight="1">
      <c r="A101" s="48" t="b">
        <v>1</v>
      </c>
      <c r="B101" s="127" t="e">
        <f t="array" ref="B101">_xlfn.XLOOKUP(E101,#REF!,#REF!)</f>
        <v>#REF!</v>
      </c>
      <c r="C101" s="48" t="s">
        <v>926</v>
      </c>
      <c r="D101" s="48"/>
      <c r="E101" s="48" t="s">
        <v>413</v>
      </c>
      <c r="F101" s="127">
        <v>46207.748611111099</v>
      </c>
      <c r="G101" s="48" t="s">
        <v>1603</v>
      </c>
      <c r="H101" s="48" t="s">
        <v>1276</v>
      </c>
      <c r="I101" s="48" t="s">
        <v>1256</v>
      </c>
      <c r="J101" s="153" t="s">
        <v>1339</v>
      </c>
      <c r="K101" s="154"/>
      <c r="L101" s="48" t="s">
        <v>1258</v>
      </c>
      <c r="M101" s="48" t="s">
        <v>1259</v>
      </c>
      <c r="N101" s="48" t="s">
        <v>1260</v>
      </c>
      <c r="O101" s="48">
        <v>2</v>
      </c>
      <c r="P101" s="48">
        <v>2</v>
      </c>
      <c r="Q101" s="48">
        <v>2</v>
      </c>
      <c r="R101" s="48">
        <v>2</v>
      </c>
      <c r="S101" s="48">
        <v>3</v>
      </c>
      <c r="T101" s="48">
        <v>4</v>
      </c>
      <c r="U101" s="48">
        <v>2</v>
      </c>
      <c r="V101" s="48">
        <v>2</v>
      </c>
      <c r="W101" s="48">
        <v>3</v>
      </c>
      <c r="X101" s="48">
        <v>3</v>
      </c>
      <c r="Y101" s="48">
        <v>4</v>
      </c>
      <c r="Z101" s="48">
        <v>4</v>
      </c>
      <c r="AA101" s="48">
        <v>3</v>
      </c>
      <c r="AB101" s="48">
        <v>3</v>
      </c>
      <c r="AC101" s="48">
        <v>3</v>
      </c>
      <c r="AD101" s="48">
        <v>2</v>
      </c>
      <c r="AE101" s="48" t="s">
        <v>1261</v>
      </c>
      <c r="AF101" s="48" t="s">
        <v>1312</v>
      </c>
      <c r="AG101" s="48" t="s">
        <v>1263</v>
      </c>
      <c r="AH101" s="48" t="s">
        <v>1604</v>
      </c>
      <c r="AI101" s="48" t="s">
        <v>1605</v>
      </c>
      <c r="AJ101" s="48"/>
    </row>
    <row r="102" spans="1:36" ht="15.75" customHeight="1">
      <c r="A102" s="48" t="b">
        <v>1</v>
      </c>
      <c r="B102" s="127" t="e">
        <f t="array" ref="B102">_xlfn.XLOOKUP(E102,#REF!,#REF!)</f>
        <v>#REF!</v>
      </c>
      <c r="C102" s="48" t="s">
        <v>899</v>
      </c>
      <c r="D102" s="48"/>
      <c r="E102" s="48" t="s">
        <v>593</v>
      </c>
      <c r="F102" s="127">
        <v>46207.749305555597</v>
      </c>
      <c r="G102" s="48" t="s">
        <v>1606</v>
      </c>
      <c r="H102" s="48" t="s">
        <v>1267</v>
      </c>
      <c r="I102" s="48" t="s">
        <v>1256</v>
      </c>
      <c r="J102" s="153" t="s">
        <v>1491</v>
      </c>
      <c r="K102" s="154"/>
      <c r="L102" s="48" t="s">
        <v>1269</v>
      </c>
      <c r="M102" s="48" t="s">
        <v>1259</v>
      </c>
      <c r="N102" s="48" t="s">
        <v>1270</v>
      </c>
      <c r="O102" s="48">
        <v>4</v>
      </c>
      <c r="P102" s="48">
        <v>4</v>
      </c>
      <c r="Q102" s="48">
        <v>0</v>
      </c>
      <c r="R102" s="48">
        <v>0</v>
      </c>
      <c r="S102" s="48">
        <v>0</v>
      </c>
      <c r="T102" s="48">
        <v>0</v>
      </c>
      <c r="U102" s="48">
        <v>0</v>
      </c>
      <c r="V102" s="48">
        <v>0</v>
      </c>
      <c r="W102" s="48">
        <v>4</v>
      </c>
      <c r="X102" s="48">
        <v>4</v>
      </c>
      <c r="Y102" s="48">
        <v>4</v>
      </c>
      <c r="Z102" s="48">
        <v>4</v>
      </c>
      <c r="AA102" s="48">
        <v>4</v>
      </c>
      <c r="AB102" s="48">
        <v>4</v>
      </c>
      <c r="AC102" s="48">
        <v>4</v>
      </c>
      <c r="AD102" s="48">
        <v>4</v>
      </c>
      <c r="AE102" s="48" t="s">
        <v>1261</v>
      </c>
      <c r="AF102" s="48" t="s">
        <v>1312</v>
      </c>
      <c r="AG102" s="48" t="s">
        <v>1272</v>
      </c>
      <c r="AH102" s="48" t="s">
        <v>1607</v>
      </c>
      <c r="AI102" s="48" t="s">
        <v>1606</v>
      </c>
      <c r="AJ102" s="48"/>
    </row>
    <row r="103" spans="1:36" ht="15.75" customHeight="1">
      <c r="A103" s="48" t="b">
        <v>1</v>
      </c>
      <c r="B103" s="127" t="e">
        <f t="array" ref="B103">_xlfn.XLOOKUP(E103,#REF!,#REF!)</f>
        <v>#REF!</v>
      </c>
      <c r="C103" s="48" t="s">
        <v>990</v>
      </c>
      <c r="D103" s="48"/>
      <c r="E103" s="48" t="s">
        <v>587</v>
      </c>
      <c r="F103" s="127">
        <v>46207.755555555603</v>
      </c>
      <c r="G103" s="48" t="s">
        <v>1608</v>
      </c>
      <c r="H103" s="48" t="s">
        <v>1267</v>
      </c>
      <c r="I103" s="48" t="s">
        <v>1256</v>
      </c>
      <c r="J103" s="153" t="s">
        <v>1430</v>
      </c>
      <c r="K103" s="154"/>
      <c r="L103" s="48" t="s">
        <v>1269</v>
      </c>
      <c r="M103" s="48" t="s">
        <v>1259</v>
      </c>
      <c r="N103" s="48" t="s">
        <v>1270</v>
      </c>
      <c r="O103" s="48">
        <v>4</v>
      </c>
      <c r="P103" s="48">
        <v>3</v>
      </c>
      <c r="Q103" s="48">
        <v>2</v>
      </c>
      <c r="R103" s="48">
        <v>2</v>
      </c>
      <c r="S103" s="48">
        <v>1</v>
      </c>
      <c r="T103" s="48">
        <v>1</v>
      </c>
      <c r="U103" s="48">
        <v>1</v>
      </c>
      <c r="V103" s="48">
        <v>1</v>
      </c>
      <c r="W103" s="48">
        <v>3</v>
      </c>
      <c r="X103" s="48">
        <v>3</v>
      </c>
      <c r="Y103" s="48">
        <v>3</v>
      </c>
      <c r="Z103" s="48">
        <v>2</v>
      </c>
      <c r="AA103" s="48">
        <v>1</v>
      </c>
      <c r="AB103" s="48">
        <v>1</v>
      </c>
      <c r="AC103" s="48">
        <v>1</v>
      </c>
      <c r="AD103" s="48">
        <v>0</v>
      </c>
      <c r="AE103" s="48" t="s">
        <v>1261</v>
      </c>
      <c r="AF103" s="48" t="s">
        <v>1308</v>
      </c>
      <c r="AG103" s="48" t="s">
        <v>1272</v>
      </c>
      <c r="AH103" s="48" t="s">
        <v>1609</v>
      </c>
      <c r="AI103" s="48" t="s">
        <v>1608</v>
      </c>
      <c r="AJ103" s="48"/>
    </row>
    <row r="104" spans="1:36" ht="15.75" customHeight="1">
      <c r="A104" s="48" t="b">
        <v>1</v>
      </c>
      <c r="B104" s="127" t="e">
        <f t="array" ref="B104">_xlfn.XLOOKUP(E104,#REF!,#REF!)</f>
        <v>#REF!</v>
      </c>
      <c r="C104" s="48" t="s">
        <v>1140</v>
      </c>
      <c r="D104" s="48"/>
      <c r="E104" s="48" t="s">
        <v>454</v>
      </c>
      <c r="F104" s="127">
        <v>46207.757638888899</v>
      </c>
      <c r="G104" s="48" t="s">
        <v>1610</v>
      </c>
      <c r="H104" s="48" t="s">
        <v>1276</v>
      </c>
      <c r="I104" s="48" t="s">
        <v>1334</v>
      </c>
      <c r="J104" s="153" t="s">
        <v>1268</v>
      </c>
      <c r="K104" s="154"/>
      <c r="L104" s="48" t="s">
        <v>1258</v>
      </c>
      <c r="M104" s="48" t="s">
        <v>1294</v>
      </c>
      <c r="N104" s="48" t="s">
        <v>1280</v>
      </c>
      <c r="O104" s="48">
        <v>4</v>
      </c>
      <c r="P104" s="48">
        <v>4</v>
      </c>
      <c r="Q104" s="48">
        <v>2</v>
      </c>
      <c r="R104" s="48">
        <v>0</v>
      </c>
      <c r="S104" s="48">
        <v>4</v>
      </c>
      <c r="T104" s="48">
        <v>4</v>
      </c>
      <c r="U104" s="48">
        <v>1</v>
      </c>
      <c r="V104" s="48">
        <v>1</v>
      </c>
      <c r="W104" s="48">
        <v>4</v>
      </c>
      <c r="X104" s="48">
        <v>4</v>
      </c>
      <c r="Y104" s="48">
        <v>4</v>
      </c>
      <c r="Z104" s="48">
        <v>4</v>
      </c>
      <c r="AA104" s="48">
        <v>4</v>
      </c>
      <c r="AB104" s="48">
        <v>2</v>
      </c>
      <c r="AC104" s="48">
        <v>0</v>
      </c>
      <c r="AD104" s="48">
        <v>2</v>
      </c>
      <c r="AE104" s="48" t="s">
        <v>1261</v>
      </c>
      <c r="AF104" s="48" t="s">
        <v>1281</v>
      </c>
      <c r="AG104" s="48" t="s">
        <v>1272</v>
      </c>
      <c r="AH104" s="48" t="s">
        <v>1611</v>
      </c>
      <c r="AI104" s="48" t="s">
        <v>1611</v>
      </c>
      <c r="AJ104" s="48"/>
    </row>
    <row r="105" spans="1:36" ht="15.75" customHeight="1">
      <c r="A105" s="48" t="b">
        <v>1</v>
      </c>
      <c r="B105" s="127" t="e">
        <f t="array" ref="B105">_xlfn.XLOOKUP(E105,#REF!,#REF!)</f>
        <v>#REF!</v>
      </c>
      <c r="C105" s="48" t="s">
        <v>921</v>
      </c>
      <c r="D105" s="48"/>
      <c r="E105" s="48" t="s">
        <v>470</v>
      </c>
      <c r="F105" s="127">
        <v>46207.762499999997</v>
      </c>
      <c r="G105" s="48" t="s">
        <v>1612</v>
      </c>
      <c r="H105" s="48" t="s">
        <v>1267</v>
      </c>
      <c r="I105" s="48" t="s">
        <v>1277</v>
      </c>
      <c r="J105" s="153" t="s">
        <v>1491</v>
      </c>
      <c r="K105" s="154"/>
      <c r="L105" s="48" t="s">
        <v>1269</v>
      </c>
      <c r="M105" s="48" t="s">
        <v>1259</v>
      </c>
      <c r="N105" s="48" t="s">
        <v>1288</v>
      </c>
      <c r="O105" s="48">
        <v>4</v>
      </c>
      <c r="P105" s="48">
        <v>3</v>
      </c>
      <c r="Q105" s="48">
        <v>2</v>
      </c>
      <c r="R105" s="48">
        <v>1</v>
      </c>
      <c r="S105" s="48">
        <v>1</v>
      </c>
      <c r="T105" s="48">
        <v>0</v>
      </c>
      <c r="U105" s="48">
        <v>3</v>
      </c>
      <c r="V105" s="48">
        <v>1</v>
      </c>
      <c r="W105" s="48">
        <v>3</v>
      </c>
      <c r="X105" s="48">
        <v>3</v>
      </c>
      <c r="Y105" s="48">
        <v>2</v>
      </c>
      <c r="Z105" s="48">
        <v>2</v>
      </c>
      <c r="AA105" s="48">
        <v>1</v>
      </c>
      <c r="AB105" s="48">
        <v>3</v>
      </c>
      <c r="AC105" s="48">
        <v>3</v>
      </c>
      <c r="AD105" s="48">
        <v>3</v>
      </c>
      <c r="AE105" s="48" t="s">
        <v>1300</v>
      </c>
      <c r="AF105" s="48" t="s">
        <v>1289</v>
      </c>
      <c r="AG105" s="48" t="s">
        <v>1272</v>
      </c>
      <c r="AH105" s="48" t="s">
        <v>1613</v>
      </c>
      <c r="AI105" s="48" t="s">
        <v>1614</v>
      </c>
      <c r="AJ105" s="48"/>
    </row>
    <row r="106" spans="1:36" ht="15.75" customHeight="1">
      <c r="A106" s="48" t="b">
        <v>1</v>
      </c>
      <c r="B106" s="127" t="e">
        <f t="array" ref="B106">_xlfn.XLOOKUP(E106,#REF!,#REF!)</f>
        <v>#REF!</v>
      </c>
      <c r="C106" s="48" t="s">
        <v>983</v>
      </c>
      <c r="D106" s="48"/>
      <c r="E106" s="48" t="s">
        <v>668</v>
      </c>
      <c r="F106" s="127">
        <v>46207.7722222222</v>
      </c>
      <c r="G106" s="48" t="s">
        <v>1615</v>
      </c>
      <c r="H106" s="48" t="s">
        <v>1267</v>
      </c>
      <c r="I106" s="48" t="s">
        <v>1334</v>
      </c>
      <c r="J106" s="153" t="s">
        <v>1268</v>
      </c>
      <c r="K106" s="154"/>
      <c r="L106" s="48" t="s">
        <v>1279</v>
      </c>
      <c r="M106" s="48" t="s">
        <v>1294</v>
      </c>
      <c r="N106" s="48" t="s">
        <v>1280</v>
      </c>
      <c r="O106" s="48">
        <v>0</v>
      </c>
      <c r="P106" s="48">
        <v>0</v>
      </c>
      <c r="Q106" s="48">
        <v>1</v>
      </c>
      <c r="R106" s="48">
        <v>1</v>
      </c>
      <c r="S106" s="48">
        <v>0</v>
      </c>
      <c r="T106" s="48">
        <v>0</v>
      </c>
      <c r="U106" s="48">
        <v>0</v>
      </c>
      <c r="V106" s="48">
        <v>0</v>
      </c>
      <c r="W106" s="48">
        <v>4</v>
      </c>
      <c r="X106" s="48">
        <v>3</v>
      </c>
      <c r="Y106" s="48">
        <v>3</v>
      </c>
      <c r="Z106" s="48">
        <v>4</v>
      </c>
      <c r="AA106" s="48">
        <v>1</v>
      </c>
      <c r="AB106" s="48">
        <v>0</v>
      </c>
      <c r="AC106" s="48">
        <v>1</v>
      </c>
      <c r="AD106" s="48">
        <v>2</v>
      </c>
      <c r="AE106" s="48" t="s">
        <v>1261</v>
      </c>
      <c r="AF106" s="48" t="s">
        <v>1262</v>
      </c>
      <c r="AG106" s="48" t="s">
        <v>1263</v>
      </c>
      <c r="AH106" s="48" t="s">
        <v>1616</v>
      </c>
      <c r="AI106" s="48" t="s">
        <v>875</v>
      </c>
      <c r="AJ106" s="48"/>
    </row>
    <row r="107" spans="1:36" ht="15.75" customHeight="1">
      <c r="A107" s="48" t="b">
        <v>1</v>
      </c>
      <c r="B107" s="127" t="e">
        <f t="array" ref="B107">_xlfn.XLOOKUP(E107,#REF!,#REF!)</f>
        <v>#REF!</v>
      </c>
      <c r="C107" s="48" t="s">
        <v>1051</v>
      </c>
      <c r="D107" s="48"/>
      <c r="E107" s="48" t="s">
        <v>409</v>
      </c>
      <c r="F107" s="127">
        <v>46207.775694444397</v>
      </c>
      <c r="G107" s="48" t="s">
        <v>1617</v>
      </c>
      <c r="H107" s="48" t="s">
        <v>1255</v>
      </c>
      <c r="I107" s="48" t="s">
        <v>1256</v>
      </c>
      <c r="J107" s="153" t="s">
        <v>1421</v>
      </c>
      <c r="K107" s="154"/>
      <c r="L107" s="48" t="s">
        <v>1269</v>
      </c>
      <c r="M107" s="48" t="s">
        <v>1259</v>
      </c>
      <c r="N107" s="48" t="s">
        <v>1270</v>
      </c>
      <c r="O107" s="48">
        <v>2</v>
      </c>
      <c r="P107" s="48">
        <v>2</v>
      </c>
      <c r="Q107" s="48">
        <v>2</v>
      </c>
      <c r="R107" s="48">
        <v>2</v>
      </c>
      <c r="S107" s="48">
        <v>1</v>
      </c>
      <c r="T107" s="48">
        <v>1</v>
      </c>
      <c r="U107" s="48">
        <v>1</v>
      </c>
      <c r="V107" s="48">
        <v>3</v>
      </c>
      <c r="W107" s="48">
        <v>4</v>
      </c>
      <c r="X107" s="48">
        <v>4</v>
      </c>
      <c r="Y107" s="48">
        <v>4</v>
      </c>
      <c r="Z107" s="48">
        <v>4</v>
      </c>
      <c r="AA107" s="48">
        <v>3</v>
      </c>
      <c r="AB107" s="48">
        <v>2</v>
      </c>
      <c r="AC107" s="48">
        <v>4</v>
      </c>
      <c r="AD107" s="48">
        <v>3</v>
      </c>
      <c r="AE107" s="48" t="s">
        <v>1261</v>
      </c>
      <c r="AF107" s="48" t="s">
        <v>1397</v>
      </c>
      <c r="AG107" s="48" t="s">
        <v>1272</v>
      </c>
      <c r="AH107" s="48" t="s">
        <v>1618</v>
      </c>
      <c r="AI107" s="48" t="s">
        <v>1619</v>
      </c>
      <c r="AJ107" s="48"/>
    </row>
    <row r="108" spans="1:36" ht="15.75" customHeight="1">
      <c r="A108" s="48" t="b">
        <v>1</v>
      </c>
      <c r="B108" s="127" t="e">
        <f t="array" ref="B108">_xlfn.XLOOKUP(E108,#REF!,#REF!)</f>
        <v>#REF!</v>
      </c>
      <c r="C108" s="48" t="s">
        <v>1024</v>
      </c>
      <c r="D108" s="48"/>
      <c r="E108" s="48" t="s">
        <v>108</v>
      </c>
      <c r="F108" s="127">
        <v>46207.7993055556</v>
      </c>
      <c r="G108" s="48" t="s">
        <v>1620</v>
      </c>
      <c r="H108" s="48" t="s">
        <v>1267</v>
      </c>
      <c r="I108" s="48" t="s">
        <v>1277</v>
      </c>
      <c r="J108" s="153" t="s">
        <v>1268</v>
      </c>
      <c r="K108" s="154"/>
      <c r="L108" s="48" t="s">
        <v>1279</v>
      </c>
      <c r="M108" s="48" t="s">
        <v>1294</v>
      </c>
      <c r="N108" s="48" t="s">
        <v>1280</v>
      </c>
      <c r="O108" s="48">
        <v>4</v>
      </c>
      <c r="P108" s="48">
        <v>4</v>
      </c>
      <c r="Q108" s="48">
        <v>4</v>
      </c>
      <c r="R108" s="48">
        <v>2</v>
      </c>
      <c r="S108" s="48">
        <v>3</v>
      </c>
      <c r="T108" s="48">
        <v>4</v>
      </c>
      <c r="U108" s="48">
        <v>1</v>
      </c>
      <c r="V108" s="48">
        <v>2</v>
      </c>
      <c r="W108" s="48">
        <v>3</v>
      </c>
      <c r="X108" s="48">
        <v>3</v>
      </c>
      <c r="Y108" s="48">
        <v>4</v>
      </c>
      <c r="Z108" s="48">
        <v>4</v>
      </c>
      <c r="AA108" s="48">
        <v>4</v>
      </c>
      <c r="AB108" s="48">
        <v>4</v>
      </c>
      <c r="AC108" s="48">
        <v>3</v>
      </c>
      <c r="AD108" s="48">
        <v>1</v>
      </c>
      <c r="AE108" s="48" t="s">
        <v>1261</v>
      </c>
      <c r="AF108" s="48" t="s">
        <v>1320</v>
      </c>
      <c r="AG108" s="48" t="s">
        <v>1272</v>
      </c>
      <c r="AH108" s="48" t="s">
        <v>1621</v>
      </c>
      <c r="AI108" s="48" t="s">
        <v>1622</v>
      </c>
      <c r="AJ108" s="48"/>
    </row>
    <row r="109" spans="1:36" ht="15.75" customHeight="1">
      <c r="A109" s="48" t="b">
        <v>1</v>
      </c>
      <c r="B109" s="127" t="e">
        <f t="array" ref="B109">_xlfn.XLOOKUP(E109,#REF!,#REF!)</f>
        <v>#REF!</v>
      </c>
      <c r="C109" s="48" t="s">
        <v>913</v>
      </c>
      <c r="D109" s="48"/>
      <c r="E109" s="48" t="s">
        <v>139</v>
      </c>
      <c r="F109" s="127">
        <v>46207.802777777797</v>
      </c>
      <c r="G109" s="48" t="s">
        <v>1623</v>
      </c>
      <c r="H109" s="48" t="s">
        <v>1276</v>
      </c>
      <c r="I109" s="48" t="s">
        <v>1334</v>
      </c>
      <c r="J109" s="153" t="s">
        <v>1268</v>
      </c>
      <c r="K109" s="154"/>
      <c r="L109" s="48" t="s">
        <v>1279</v>
      </c>
      <c r="M109" s="48" t="s">
        <v>1294</v>
      </c>
      <c r="N109" s="48" t="s">
        <v>1280</v>
      </c>
      <c r="O109" s="48">
        <v>0</v>
      </c>
      <c r="P109" s="48">
        <v>2</v>
      </c>
      <c r="Q109" s="48">
        <v>3</v>
      </c>
      <c r="R109" s="48">
        <v>3</v>
      </c>
      <c r="S109" s="48">
        <v>2</v>
      </c>
      <c r="T109" s="48">
        <v>1</v>
      </c>
      <c r="U109" s="48">
        <v>0</v>
      </c>
      <c r="V109" s="48">
        <v>2</v>
      </c>
      <c r="W109" s="48">
        <v>2</v>
      </c>
      <c r="X109" s="48">
        <v>2</v>
      </c>
      <c r="Y109" s="48">
        <v>2</v>
      </c>
      <c r="Z109" s="48">
        <v>2</v>
      </c>
      <c r="AA109" s="48">
        <v>2</v>
      </c>
      <c r="AB109" s="48">
        <v>1</v>
      </c>
      <c r="AC109" s="48">
        <v>1</v>
      </c>
      <c r="AD109" s="48">
        <v>1</v>
      </c>
      <c r="AE109" s="48" t="s">
        <v>1300</v>
      </c>
      <c r="AF109" s="48" t="s">
        <v>1624</v>
      </c>
      <c r="AG109" s="48" t="s">
        <v>1272</v>
      </c>
      <c r="AH109" s="48" t="s">
        <v>1625</v>
      </c>
      <c r="AI109" s="48" t="s">
        <v>1623</v>
      </c>
      <c r="AJ109" s="48"/>
    </row>
    <row r="110" spans="1:36" ht="15.75" customHeight="1">
      <c r="A110" s="48" t="b">
        <v>1</v>
      </c>
      <c r="B110" s="127" t="e">
        <f t="array" ref="B110">_xlfn.XLOOKUP(E110,#REF!,#REF!)</f>
        <v>#REF!</v>
      </c>
      <c r="C110" s="48" t="s">
        <v>952</v>
      </c>
      <c r="D110" s="48"/>
      <c r="E110" s="48" t="s">
        <v>647</v>
      </c>
      <c r="F110" s="127">
        <v>46207.8215277778</v>
      </c>
      <c r="G110" s="48" t="s">
        <v>1626</v>
      </c>
      <c r="H110" s="48" t="s">
        <v>1267</v>
      </c>
      <c r="I110" s="48" t="s">
        <v>1256</v>
      </c>
      <c r="J110" s="153" t="s">
        <v>1293</v>
      </c>
      <c r="K110" s="154"/>
      <c r="L110" s="48" t="s">
        <v>1269</v>
      </c>
      <c r="M110" s="48" t="s">
        <v>1259</v>
      </c>
      <c r="N110" s="48" t="s">
        <v>1270</v>
      </c>
      <c r="O110" s="48">
        <v>1</v>
      </c>
      <c r="P110" s="48">
        <v>1</v>
      </c>
      <c r="Q110" s="48">
        <v>3</v>
      </c>
      <c r="R110" s="48">
        <v>3</v>
      </c>
      <c r="S110" s="48">
        <v>2</v>
      </c>
      <c r="T110" s="48">
        <v>1</v>
      </c>
      <c r="U110" s="48">
        <v>2</v>
      </c>
      <c r="V110" s="48">
        <v>2</v>
      </c>
      <c r="W110" s="48">
        <v>4</v>
      </c>
      <c r="X110" s="48">
        <v>4</v>
      </c>
      <c r="Y110" s="48">
        <v>3</v>
      </c>
      <c r="Z110" s="48">
        <v>3</v>
      </c>
      <c r="AA110" s="48">
        <v>4</v>
      </c>
      <c r="AB110" s="48">
        <v>3</v>
      </c>
      <c r="AC110" s="48">
        <v>3</v>
      </c>
      <c r="AD110" s="48">
        <v>1</v>
      </c>
      <c r="AE110" s="48" t="s">
        <v>1261</v>
      </c>
      <c r="AF110" s="48" t="s">
        <v>1312</v>
      </c>
      <c r="AG110" s="48" t="s">
        <v>1272</v>
      </c>
      <c r="AH110" s="48" t="s">
        <v>1627</v>
      </c>
      <c r="AI110" s="48" t="s">
        <v>1628</v>
      </c>
      <c r="AJ110" s="48"/>
    </row>
    <row r="111" spans="1:36" ht="15.75" customHeight="1">
      <c r="A111" s="48" t="b">
        <v>1</v>
      </c>
      <c r="B111" s="127" t="e">
        <f t="array" ref="B111">_xlfn.XLOOKUP(E111,#REF!,#REF!)</f>
        <v>#REF!</v>
      </c>
      <c r="C111" s="48" t="s">
        <v>971</v>
      </c>
      <c r="D111" s="48"/>
      <c r="E111" s="48" t="s">
        <v>204</v>
      </c>
      <c r="F111" s="127">
        <v>46207.836111111101</v>
      </c>
      <c r="G111" s="48" t="s">
        <v>1629</v>
      </c>
      <c r="H111" s="48" t="s">
        <v>1276</v>
      </c>
      <c r="I111" s="48" t="s">
        <v>1299</v>
      </c>
      <c r="J111" s="153" t="s">
        <v>1491</v>
      </c>
      <c r="K111" s="154"/>
      <c r="L111" s="48" t="s">
        <v>1279</v>
      </c>
      <c r="M111" s="48" t="s">
        <v>1294</v>
      </c>
      <c r="N111" s="48" t="s">
        <v>1280</v>
      </c>
      <c r="O111" s="48">
        <v>3</v>
      </c>
      <c r="P111" s="48">
        <v>3</v>
      </c>
      <c r="Q111" s="48">
        <v>4</v>
      </c>
      <c r="R111" s="48">
        <v>3</v>
      </c>
      <c r="S111" s="48">
        <v>3</v>
      </c>
      <c r="T111" s="48">
        <v>4</v>
      </c>
      <c r="U111" s="48">
        <v>2</v>
      </c>
      <c r="V111" s="48">
        <v>3</v>
      </c>
      <c r="W111" s="48">
        <v>3</v>
      </c>
      <c r="X111" s="48">
        <v>1</v>
      </c>
      <c r="Y111" s="48">
        <v>4</v>
      </c>
      <c r="Z111" s="48">
        <v>4</v>
      </c>
      <c r="AA111" s="48">
        <v>4</v>
      </c>
      <c r="AB111" s="48">
        <v>3</v>
      </c>
      <c r="AC111" s="48">
        <v>4</v>
      </c>
      <c r="AD111" s="48">
        <v>3</v>
      </c>
      <c r="AE111" s="48" t="s">
        <v>1300</v>
      </c>
      <c r="AF111" s="48" t="s">
        <v>1320</v>
      </c>
      <c r="AG111" s="48" t="s">
        <v>1282</v>
      </c>
      <c r="AH111" s="48" t="s">
        <v>1630</v>
      </c>
      <c r="AI111" s="48" t="s">
        <v>1631</v>
      </c>
      <c r="AJ111" s="48"/>
    </row>
    <row r="112" spans="1:36" ht="15.75" customHeight="1">
      <c r="A112" s="48" t="b">
        <v>1</v>
      </c>
      <c r="B112" s="127" t="e">
        <f t="array" ref="B112">_xlfn.XLOOKUP(E112,#REF!,#REF!)</f>
        <v>#REF!</v>
      </c>
      <c r="C112" s="48" t="s">
        <v>1119</v>
      </c>
      <c r="D112" s="48"/>
      <c r="E112" s="48" t="s">
        <v>656</v>
      </c>
      <c r="F112" s="127">
        <v>46207.845138888901</v>
      </c>
      <c r="G112" s="48" t="s">
        <v>1632</v>
      </c>
      <c r="H112" s="48" t="s">
        <v>1276</v>
      </c>
      <c r="I112" s="48" t="s">
        <v>1277</v>
      </c>
      <c r="J112" s="153" t="s">
        <v>1268</v>
      </c>
      <c r="K112" s="154"/>
      <c r="L112" s="48" t="s">
        <v>1279</v>
      </c>
      <c r="M112" s="48" t="s">
        <v>1294</v>
      </c>
      <c r="N112" s="48" t="s">
        <v>1280</v>
      </c>
      <c r="O112" s="48">
        <v>3</v>
      </c>
      <c r="P112" s="48">
        <v>3</v>
      </c>
      <c r="Q112" s="48">
        <v>3</v>
      </c>
      <c r="R112" s="48">
        <v>2</v>
      </c>
      <c r="S112" s="48">
        <v>3</v>
      </c>
      <c r="T112" s="48">
        <v>0</v>
      </c>
      <c r="U112" s="48">
        <v>1</v>
      </c>
      <c r="V112" s="48">
        <v>0</v>
      </c>
      <c r="W112" s="48">
        <v>3</v>
      </c>
      <c r="X112" s="48">
        <v>3</v>
      </c>
      <c r="Y112" s="48">
        <v>2</v>
      </c>
      <c r="Z112" s="48">
        <v>1</v>
      </c>
      <c r="AA112" s="48">
        <v>1</v>
      </c>
      <c r="AB112" s="48">
        <v>0</v>
      </c>
      <c r="AC112" s="48">
        <v>1</v>
      </c>
      <c r="AD112" s="48">
        <v>1</v>
      </c>
      <c r="AE112" s="48" t="s">
        <v>1300</v>
      </c>
      <c r="AF112" s="48" t="s">
        <v>1347</v>
      </c>
      <c r="AG112" s="48" t="s">
        <v>1272</v>
      </c>
      <c r="AH112" s="48" t="s">
        <v>1633</v>
      </c>
      <c r="AI112" s="48" t="s">
        <v>1634</v>
      </c>
      <c r="AJ112" s="48"/>
    </row>
    <row r="113" spans="1:36" ht="15.75" customHeight="1">
      <c r="A113" s="48" t="b">
        <v>1</v>
      </c>
      <c r="B113" s="127" t="e">
        <f t="array" ref="B113">_xlfn.XLOOKUP(E113,#REF!,#REF!)</f>
        <v>#REF!</v>
      </c>
      <c r="C113" s="48" t="s">
        <v>1071</v>
      </c>
      <c r="D113" s="48"/>
      <c r="E113" s="48" t="s">
        <v>370</v>
      </c>
      <c r="F113" s="127">
        <v>46207.856249999997</v>
      </c>
      <c r="G113" s="48" t="s">
        <v>1635</v>
      </c>
      <c r="H113" s="48" t="s">
        <v>1276</v>
      </c>
      <c r="I113" s="48" t="s">
        <v>1277</v>
      </c>
      <c r="J113" s="153" t="s">
        <v>1454</v>
      </c>
      <c r="K113" s="154"/>
      <c r="L113" s="48" t="s">
        <v>1258</v>
      </c>
      <c r="M113" s="48" t="s">
        <v>1294</v>
      </c>
      <c r="N113" s="48" t="s">
        <v>1288</v>
      </c>
      <c r="O113" s="48">
        <v>0</v>
      </c>
      <c r="P113" s="48">
        <v>0</v>
      </c>
      <c r="Q113" s="48">
        <v>3</v>
      </c>
      <c r="R113" s="48">
        <v>1</v>
      </c>
      <c r="S113" s="48">
        <v>0</v>
      </c>
      <c r="T113" s="48">
        <v>0</v>
      </c>
      <c r="U113" s="48">
        <v>0</v>
      </c>
      <c r="V113" s="48">
        <v>2</v>
      </c>
      <c r="W113" s="48">
        <v>3</v>
      </c>
      <c r="X113" s="48">
        <v>3</v>
      </c>
      <c r="Y113" s="48">
        <v>1</v>
      </c>
      <c r="Z113" s="48">
        <v>1</v>
      </c>
      <c r="AA113" s="48">
        <v>1</v>
      </c>
      <c r="AB113" s="48">
        <v>0</v>
      </c>
      <c r="AC113" s="48">
        <v>1</v>
      </c>
      <c r="AD113" s="48">
        <v>1</v>
      </c>
      <c r="AE113" s="48" t="s">
        <v>1295</v>
      </c>
      <c r="AF113" s="48" t="s">
        <v>1262</v>
      </c>
      <c r="AG113" s="48" t="s">
        <v>1272</v>
      </c>
      <c r="AH113" s="48" t="s">
        <v>1636</v>
      </c>
      <c r="AI113" s="48" t="s">
        <v>1635</v>
      </c>
      <c r="AJ113" s="48"/>
    </row>
    <row r="114" spans="1:36" ht="15.75" customHeight="1">
      <c r="A114" s="48" t="b">
        <v>1</v>
      </c>
      <c r="B114" s="127" t="e">
        <f t="array" ref="B114">_xlfn.XLOOKUP(E114,#REF!,#REF!)</f>
        <v>#REF!</v>
      </c>
      <c r="C114" s="48" t="s">
        <v>1637</v>
      </c>
      <c r="D114" s="48"/>
      <c r="E114" s="48" t="s">
        <v>209</v>
      </c>
      <c r="F114" s="127">
        <v>46207.864583333299</v>
      </c>
      <c r="G114" s="48" t="s">
        <v>1638</v>
      </c>
      <c r="H114" s="48" t="s">
        <v>1276</v>
      </c>
      <c r="I114" s="48" t="s">
        <v>1299</v>
      </c>
      <c r="J114" s="153" t="s">
        <v>1376</v>
      </c>
      <c r="K114" s="154"/>
      <c r="L114" s="48" t="s">
        <v>1269</v>
      </c>
      <c r="M114" s="48" t="s">
        <v>1259</v>
      </c>
      <c r="N114" s="48" t="s">
        <v>1260</v>
      </c>
      <c r="O114" s="48">
        <v>3</v>
      </c>
      <c r="P114" s="48">
        <v>1</v>
      </c>
      <c r="Q114" s="48">
        <v>3</v>
      </c>
      <c r="R114" s="48">
        <v>2</v>
      </c>
      <c r="S114" s="48">
        <v>3</v>
      </c>
      <c r="T114" s="48">
        <v>3</v>
      </c>
      <c r="U114" s="48">
        <v>2</v>
      </c>
      <c r="V114" s="48">
        <v>1</v>
      </c>
      <c r="W114" s="48">
        <v>2</v>
      </c>
      <c r="X114" s="48">
        <v>2</v>
      </c>
      <c r="Y114" s="48">
        <v>3</v>
      </c>
      <c r="Z114" s="48">
        <v>2</v>
      </c>
      <c r="AA114" s="48">
        <v>1</v>
      </c>
      <c r="AB114" s="48">
        <v>0</v>
      </c>
      <c r="AC114" s="48">
        <v>0</v>
      </c>
      <c r="AD114" s="48">
        <v>1</v>
      </c>
      <c r="AE114" s="48" t="s">
        <v>1261</v>
      </c>
      <c r="AF114" s="48" t="s">
        <v>1367</v>
      </c>
      <c r="AG114" s="48" t="s">
        <v>1363</v>
      </c>
      <c r="AH114" s="48" t="s">
        <v>1639</v>
      </c>
      <c r="AI114" s="48" t="s">
        <v>1640</v>
      </c>
      <c r="AJ114" s="48"/>
    </row>
    <row r="115" spans="1:36" ht="15.75" customHeight="1">
      <c r="A115" s="48" t="b">
        <v>1</v>
      </c>
      <c r="B115" s="127" t="e">
        <f t="array" ref="B115">_xlfn.XLOOKUP(E115,#REF!,#REF!)</f>
        <v>#REF!</v>
      </c>
      <c r="C115" s="48" t="s">
        <v>897</v>
      </c>
      <c r="D115" s="48"/>
      <c r="E115" s="48" t="s">
        <v>622</v>
      </c>
      <c r="F115" s="127">
        <v>46207.879861111098</v>
      </c>
      <c r="G115" s="48" t="s">
        <v>1641</v>
      </c>
      <c r="H115" s="48" t="s">
        <v>1267</v>
      </c>
      <c r="I115" s="48" t="s">
        <v>1277</v>
      </c>
      <c r="J115" s="153" t="s">
        <v>1268</v>
      </c>
      <c r="K115" s="154"/>
      <c r="L115" s="48" t="s">
        <v>1279</v>
      </c>
      <c r="M115" s="48" t="s">
        <v>1259</v>
      </c>
      <c r="N115" s="48" t="s">
        <v>1260</v>
      </c>
      <c r="O115" s="48">
        <v>1</v>
      </c>
      <c r="P115" s="48">
        <v>3</v>
      </c>
      <c r="Q115" s="48">
        <v>2</v>
      </c>
      <c r="R115" s="48">
        <v>0</v>
      </c>
      <c r="S115" s="48">
        <v>1</v>
      </c>
      <c r="T115" s="48">
        <v>1</v>
      </c>
      <c r="U115" s="48">
        <v>1</v>
      </c>
      <c r="V115" s="48">
        <v>3</v>
      </c>
      <c r="W115" s="48">
        <v>3</v>
      </c>
      <c r="X115" s="48">
        <v>3</v>
      </c>
      <c r="Y115" s="48">
        <v>3</v>
      </c>
      <c r="Z115" s="48">
        <v>3</v>
      </c>
      <c r="AA115" s="48">
        <v>1</v>
      </c>
      <c r="AB115" s="48">
        <v>1</v>
      </c>
      <c r="AC115" s="48">
        <v>2</v>
      </c>
      <c r="AD115" s="48">
        <v>2</v>
      </c>
      <c r="AE115" s="48" t="s">
        <v>1261</v>
      </c>
      <c r="AF115" s="48" t="s">
        <v>1347</v>
      </c>
      <c r="AG115" s="48" t="s">
        <v>1272</v>
      </c>
      <c r="AH115" s="48" t="s">
        <v>1642</v>
      </c>
      <c r="AI115" s="48" t="s">
        <v>1643</v>
      </c>
      <c r="AJ115" s="48"/>
    </row>
    <row r="116" spans="1:36" ht="15.75" customHeight="1">
      <c r="A116" s="48" t="b">
        <v>1</v>
      </c>
      <c r="B116" s="127" t="e">
        <f t="array" ref="B116">_xlfn.XLOOKUP(E116,#REF!,#REF!)</f>
        <v>#REF!</v>
      </c>
      <c r="C116" s="48" t="s">
        <v>891</v>
      </c>
      <c r="D116" s="48"/>
      <c r="E116" s="48" t="s">
        <v>771</v>
      </c>
      <c r="F116" s="127">
        <v>46207.880555555603</v>
      </c>
      <c r="G116" s="48" t="s">
        <v>1644</v>
      </c>
      <c r="H116" s="48" t="s">
        <v>1267</v>
      </c>
      <c r="I116" s="48" t="s">
        <v>1299</v>
      </c>
      <c r="J116" s="153" t="s">
        <v>1491</v>
      </c>
      <c r="K116" s="154"/>
      <c r="L116" s="48" t="s">
        <v>1279</v>
      </c>
      <c r="M116" s="48" t="s">
        <v>1259</v>
      </c>
      <c r="N116" s="48" t="s">
        <v>1280</v>
      </c>
      <c r="O116" s="48">
        <v>3</v>
      </c>
      <c r="P116" s="48">
        <v>3</v>
      </c>
      <c r="Q116" s="48">
        <v>3</v>
      </c>
      <c r="R116" s="48">
        <v>3</v>
      </c>
      <c r="S116" s="48">
        <v>3</v>
      </c>
      <c r="T116" s="48">
        <v>3</v>
      </c>
      <c r="U116" s="48">
        <v>3</v>
      </c>
      <c r="V116" s="48">
        <v>3</v>
      </c>
      <c r="W116" s="48">
        <v>4</v>
      </c>
      <c r="X116" s="48">
        <v>4</v>
      </c>
      <c r="Y116" s="48">
        <v>4</v>
      </c>
      <c r="Z116" s="48">
        <v>4</v>
      </c>
      <c r="AA116" s="48">
        <v>4</v>
      </c>
      <c r="AB116" s="48">
        <v>3</v>
      </c>
      <c r="AC116" s="48">
        <v>3</v>
      </c>
      <c r="AD116" s="48">
        <v>3</v>
      </c>
      <c r="AE116" s="48" t="s">
        <v>1261</v>
      </c>
      <c r="AF116" s="48" t="s">
        <v>1289</v>
      </c>
      <c r="AG116" s="48" t="s">
        <v>1272</v>
      </c>
      <c r="AH116" s="48" t="s">
        <v>1645</v>
      </c>
      <c r="AI116" s="48" t="s">
        <v>1646</v>
      </c>
      <c r="AJ116" s="48"/>
    </row>
    <row r="117" spans="1:36" ht="15.75" customHeight="1">
      <c r="A117" s="48" t="b">
        <v>1</v>
      </c>
      <c r="B117" s="127" t="e">
        <f t="array" ref="B117">_xlfn.XLOOKUP(E117,#REF!,#REF!)</f>
        <v>#REF!</v>
      </c>
      <c r="C117" s="48" t="s">
        <v>1203</v>
      </c>
      <c r="D117" s="48"/>
      <c r="E117" s="48" t="s">
        <v>484</v>
      </c>
      <c r="F117" s="127">
        <v>46207.881249999999</v>
      </c>
      <c r="G117" s="48" t="s">
        <v>1647</v>
      </c>
      <c r="H117" s="48" t="s">
        <v>1255</v>
      </c>
      <c r="I117" s="48" t="s">
        <v>1277</v>
      </c>
      <c r="J117" s="153" t="s">
        <v>1268</v>
      </c>
      <c r="K117" s="154"/>
      <c r="L117" s="48" t="s">
        <v>1258</v>
      </c>
      <c r="M117" s="48" t="s">
        <v>1294</v>
      </c>
      <c r="N117" s="48" t="s">
        <v>1280</v>
      </c>
      <c r="O117" s="48">
        <v>4</v>
      </c>
      <c r="P117" s="48">
        <v>4</v>
      </c>
      <c r="Q117" s="48">
        <v>3</v>
      </c>
      <c r="R117" s="48">
        <v>4</v>
      </c>
      <c r="S117" s="48">
        <v>3</v>
      </c>
      <c r="T117" s="48">
        <v>1</v>
      </c>
      <c r="U117" s="48">
        <v>4</v>
      </c>
      <c r="V117" s="48">
        <v>1</v>
      </c>
      <c r="W117" s="48">
        <v>2</v>
      </c>
      <c r="X117" s="48">
        <v>1</v>
      </c>
      <c r="Y117" s="48">
        <v>1</v>
      </c>
      <c r="Z117" s="48">
        <v>3</v>
      </c>
      <c r="AA117" s="48">
        <v>2</v>
      </c>
      <c r="AB117" s="48">
        <v>4</v>
      </c>
      <c r="AC117" s="48">
        <v>4</v>
      </c>
      <c r="AD117" s="48">
        <v>4</v>
      </c>
      <c r="AE117" s="48" t="s">
        <v>1300</v>
      </c>
      <c r="AF117" s="48" t="s">
        <v>1362</v>
      </c>
      <c r="AG117" s="48" t="s">
        <v>1282</v>
      </c>
      <c r="AH117" s="48" t="s">
        <v>1648</v>
      </c>
      <c r="AI117" s="48" t="s">
        <v>1649</v>
      </c>
      <c r="AJ117" s="48"/>
    </row>
    <row r="118" spans="1:36" ht="15.75" customHeight="1">
      <c r="A118" s="48" t="b">
        <v>1</v>
      </c>
      <c r="B118" s="127" t="e">
        <f t="array" ref="B118">_xlfn.XLOOKUP(E118,#REF!,#REF!)</f>
        <v>#REF!</v>
      </c>
      <c r="C118" s="48" t="s">
        <v>1069</v>
      </c>
      <c r="D118" s="48"/>
      <c r="E118" s="48" t="s">
        <v>537</v>
      </c>
      <c r="F118" s="127">
        <v>46207.886805555601</v>
      </c>
      <c r="G118" s="48" t="s">
        <v>1650</v>
      </c>
      <c r="H118" s="48" t="s">
        <v>1267</v>
      </c>
      <c r="I118" s="48" t="s">
        <v>1299</v>
      </c>
      <c r="J118" s="153" t="s">
        <v>1388</v>
      </c>
      <c r="K118" s="154"/>
      <c r="L118" s="48" t="s">
        <v>1258</v>
      </c>
      <c r="M118" s="48" t="s">
        <v>1259</v>
      </c>
      <c r="N118" s="48" t="s">
        <v>1260</v>
      </c>
      <c r="O118" s="48">
        <v>3</v>
      </c>
      <c r="P118" s="48">
        <v>1</v>
      </c>
      <c r="Q118" s="48">
        <v>3</v>
      </c>
      <c r="R118" s="48">
        <v>3</v>
      </c>
      <c r="S118" s="48">
        <v>2</v>
      </c>
      <c r="T118" s="48">
        <v>2</v>
      </c>
      <c r="U118" s="48">
        <v>2</v>
      </c>
      <c r="V118" s="48">
        <v>3</v>
      </c>
      <c r="W118" s="48">
        <v>3</v>
      </c>
      <c r="X118" s="48">
        <v>3</v>
      </c>
      <c r="Y118" s="48">
        <v>2</v>
      </c>
      <c r="Z118" s="48">
        <v>2</v>
      </c>
      <c r="AA118" s="48">
        <v>0</v>
      </c>
      <c r="AB118" s="48">
        <v>1</v>
      </c>
      <c r="AC118" s="48">
        <v>2</v>
      </c>
      <c r="AD118" s="48">
        <v>2</v>
      </c>
      <c r="AE118" s="48" t="s">
        <v>1300</v>
      </c>
      <c r="AF118" s="48" t="s">
        <v>1347</v>
      </c>
      <c r="AG118" s="48" t="s">
        <v>1272</v>
      </c>
      <c r="AH118" s="48" t="s">
        <v>1651</v>
      </c>
      <c r="AI118" s="48" t="s">
        <v>1652</v>
      </c>
      <c r="AJ118" s="48"/>
    </row>
    <row r="119" spans="1:36" ht="15.75" customHeight="1">
      <c r="A119" s="48" t="b">
        <v>1</v>
      </c>
      <c r="B119" s="127" t="e">
        <f t="array" ref="B119">_xlfn.XLOOKUP(E119,#REF!,#REF!)</f>
        <v>#REF!</v>
      </c>
      <c r="C119" s="48" t="s">
        <v>1154</v>
      </c>
      <c r="D119" s="48"/>
      <c r="E119" s="48" t="s">
        <v>525</v>
      </c>
      <c r="F119" s="127">
        <v>46207.9</v>
      </c>
      <c r="G119" s="48" t="s">
        <v>1653</v>
      </c>
      <c r="H119" s="48" t="s">
        <v>1267</v>
      </c>
      <c r="I119" s="48" t="s">
        <v>1334</v>
      </c>
      <c r="J119" s="153" t="s">
        <v>1268</v>
      </c>
      <c r="K119" s="154"/>
      <c r="L119" s="48" t="s">
        <v>1258</v>
      </c>
      <c r="M119" s="48" t="s">
        <v>1294</v>
      </c>
      <c r="N119" s="48" t="s">
        <v>1288</v>
      </c>
      <c r="O119" s="48">
        <v>2</v>
      </c>
      <c r="P119" s="48">
        <v>0</v>
      </c>
      <c r="Q119" s="48">
        <v>0</v>
      </c>
      <c r="R119" s="48">
        <v>0</v>
      </c>
      <c r="S119" s="48">
        <v>0</v>
      </c>
      <c r="T119" s="48">
        <v>0</v>
      </c>
      <c r="U119" s="48">
        <v>0</v>
      </c>
      <c r="V119" s="48">
        <v>0</v>
      </c>
      <c r="W119" s="48">
        <v>3</v>
      </c>
      <c r="X119" s="48">
        <v>3</v>
      </c>
      <c r="Y119" s="48">
        <v>3</v>
      </c>
      <c r="Z119" s="48">
        <v>2</v>
      </c>
      <c r="AA119" s="48">
        <v>1</v>
      </c>
      <c r="AB119" s="48">
        <v>0</v>
      </c>
      <c r="AC119" s="48">
        <v>2</v>
      </c>
      <c r="AD119" s="48">
        <v>1</v>
      </c>
      <c r="AE119" s="48" t="s">
        <v>1300</v>
      </c>
      <c r="AF119" s="48" t="s">
        <v>1362</v>
      </c>
      <c r="AG119" s="48" t="s">
        <v>1272</v>
      </c>
      <c r="AH119" s="48" t="s">
        <v>1654</v>
      </c>
      <c r="AI119" s="48" t="s">
        <v>1653</v>
      </c>
      <c r="AJ119" s="48"/>
    </row>
    <row r="120" spans="1:36" ht="15.75" customHeight="1">
      <c r="A120" s="48" t="b">
        <v>1</v>
      </c>
      <c r="B120" s="127" t="e">
        <f t="array" ref="B120">_xlfn.XLOOKUP(E120,#REF!,#REF!)</f>
        <v>#REF!</v>
      </c>
      <c r="C120" s="48" t="s">
        <v>1155</v>
      </c>
      <c r="D120" s="48"/>
      <c r="E120" s="48" t="s">
        <v>698</v>
      </c>
      <c r="F120" s="127">
        <v>46207.90625</v>
      </c>
      <c r="G120" s="48" t="s">
        <v>1655</v>
      </c>
      <c r="H120" s="48" t="s">
        <v>1276</v>
      </c>
      <c r="I120" s="48" t="s">
        <v>1334</v>
      </c>
      <c r="J120" s="153" t="s">
        <v>1293</v>
      </c>
      <c r="K120" s="154"/>
      <c r="L120" s="48" t="s">
        <v>1258</v>
      </c>
      <c r="M120" s="48" t="s">
        <v>1259</v>
      </c>
      <c r="N120" s="48" t="s">
        <v>1260</v>
      </c>
      <c r="O120" s="48">
        <v>0</v>
      </c>
      <c r="P120" s="48">
        <v>0</v>
      </c>
      <c r="Q120" s="48">
        <v>3</v>
      </c>
      <c r="R120" s="48">
        <v>1</v>
      </c>
      <c r="S120" s="48">
        <v>0</v>
      </c>
      <c r="T120" s="48">
        <v>0</v>
      </c>
      <c r="U120" s="48">
        <v>0</v>
      </c>
      <c r="V120" s="48">
        <v>0</v>
      </c>
      <c r="W120" s="48">
        <v>0</v>
      </c>
      <c r="X120" s="48">
        <v>2</v>
      </c>
      <c r="Y120" s="48">
        <v>1</v>
      </c>
      <c r="Z120" s="48">
        <v>0</v>
      </c>
      <c r="AA120" s="48">
        <v>2</v>
      </c>
      <c r="AB120" s="48">
        <v>0</v>
      </c>
      <c r="AC120" s="48">
        <v>0</v>
      </c>
      <c r="AD120" s="48">
        <v>0</v>
      </c>
      <c r="AE120" s="48" t="s">
        <v>1295</v>
      </c>
      <c r="AF120" s="48" t="s">
        <v>1308</v>
      </c>
      <c r="AG120" s="48" t="s">
        <v>1272</v>
      </c>
      <c r="AH120" s="48" t="s">
        <v>1656</v>
      </c>
      <c r="AI120" s="48" t="s">
        <v>1657</v>
      </c>
      <c r="AJ120" s="48"/>
    </row>
    <row r="121" spans="1:36" ht="15.75" customHeight="1">
      <c r="A121" s="48" t="b">
        <v>1</v>
      </c>
      <c r="B121" s="127" t="e">
        <f t="array" ref="B121">_xlfn.XLOOKUP(E121,#REF!,#REF!)</f>
        <v>#REF!</v>
      </c>
      <c r="C121" s="48" t="s">
        <v>1026</v>
      </c>
      <c r="D121" s="48"/>
      <c r="E121" s="48" t="s">
        <v>474</v>
      </c>
      <c r="F121" s="127">
        <v>46207.925694444399</v>
      </c>
      <c r="G121" s="48" t="s">
        <v>1658</v>
      </c>
      <c r="H121" s="48" t="s">
        <v>1255</v>
      </c>
      <c r="I121" s="48" t="s">
        <v>1256</v>
      </c>
      <c r="J121" s="153" t="s">
        <v>1361</v>
      </c>
      <c r="K121" s="154"/>
      <c r="L121" s="48" t="s">
        <v>1269</v>
      </c>
      <c r="M121" s="48" t="s">
        <v>1259</v>
      </c>
      <c r="N121" s="48" t="s">
        <v>1270</v>
      </c>
      <c r="O121" s="48">
        <v>3</v>
      </c>
      <c r="P121" s="48">
        <v>3</v>
      </c>
      <c r="Q121" s="48">
        <v>3</v>
      </c>
      <c r="R121" s="48">
        <v>3</v>
      </c>
      <c r="S121" s="48">
        <v>2</v>
      </c>
      <c r="T121" s="48">
        <v>2</v>
      </c>
      <c r="U121" s="48">
        <v>3</v>
      </c>
      <c r="V121" s="48">
        <v>3</v>
      </c>
      <c r="W121" s="48">
        <v>3</v>
      </c>
      <c r="X121" s="48">
        <v>3</v>
      </c>
      <c r="Y121" s="48">
        <v>2</v>
      </c>
      <c r="Z121" s="48">
        <v>2</v>
      </c>
      <c r="AA121" s="48">
        <v>2</v>
      </c>
      <c r="AB121" s="48">
        <v>2</v>
      </c>
      <c r="AC121" s="48">
        <v>2</v>
      </c>
      <c r="AD121" s="48">
        <v>2</v>
      </c>
      <c r="AE121" s="48" t="s">
        <v>1261</v>
      </c>
      <c r="AF121" s="48" t="s">
        <v>1367</v>
      </c>
      <c r="AG121" s="48" t="s">
        <v>1272</v>
      </c>
      <c r="AH121" s="48" t="s">
        <v>1659</v>
      </c>
      <c r="AI121" s="48" t="s">
        <v>1658</v>
      </c>
      <c r="AJ121" s="48"/>
    </row>
    <row r="122" spans="1:36" ht="15.75" customHeight="1">
      <c r="A122" s="48" t="b">
        <v>1</v>
      </c>
      <c r="B122" s="127" t="e">
        <f t="array" ref="B122">_xlfn.XLOOKUP(E122,#REF!,#REF!)</f>
        <v>#REF!</v>
      </c>
      <c r="C122" s="48" t="s">
        <v>1006</v>
      </c>
      <c r="D122" s="48"/>
      <c r="E122" s="48" t="s">
        <v>184</v>
      </c>
      <c r="F122" s="127">
        <v>46207.983333333301</v>
      </c>
      <c r="G122" s="48" t="s">
        <v>1660</v>
      </c>
      <c r="H122" s="48" t="s">
        <v>1255</v>
      </c>
      <c r="I122" s="48" t="s">
        <v>1334</v>
      </c>
      <c r="J122" s="153" t="s">
        <v>1268</v>
      </c>
      <c r="K122" s="154"/>
      <c r="L122" s="48" t="s">
        <v>1279</v>
      </c>
      <c r="M122" s="48" t="s">
        <v>1294</v>
      </c>
      <c r="N122" s="48" t="s">
        <v>1280</v>
      </c>
      <c r="O122" s="48">
        <v>1</v>
      </c>
      <c r="P122" s="48">
        <v>1</v>
      </c>
      <c r="Q122" s="48">
        <v>1</v>
      </c>
      <c r="R122" s="48">
        <v>1</v>
      </c>
      <c r="S122" s="48">
        <v>1</v>
      </c>
      <c r="T122" s="48">
        <v>1</v>
      </c>
      <c r="U122" s="48">
        <v>1</v>
      </c>
      <c r="V122" s="48">
        <v>1</v>
      </c>
      <c r="W122" s="48">
        <v>0</v>
      </c>
      <c r="X122" s="48">
        <v>0</v>
      </c>
      <c r="Y122" s="48">
        <v>0</v>
      </c>
      <c r="Z122" s="48">
        <v>0</v>
      </c>
      <c r="AA122" s="48">
        <v>0</v>
      </c>
      <c r="AB122" s="48">
        <v>1</v>
      </c>
      <c r="AC122" s="48">
        <v>1</v>
      </c>
      <c r="AD122" s="48">
        <v>1</v>
      </c>
      <c r="AE122" s="48" t="s">
        <v>1300</v>
      </c>
      <c r="AF122" s="48" t="s">
        <v>1362</v>
      </c>
      <c r="AG122" s="48" t="s">
        <v>1363</v>
      </c>
      <c r="AH122" s="48" t="s">
        <v>1661</v>
      </c>
      <c r="AI122" s="48" t="s">
        <v>1662</v>
      </c>
      <c r="AJ122" s="48"/>
    </row>
    <row r="123" spans="1:36" ht="15.75" customHeight="1">
      <c r="A123" s="48" t="b">
        <v>1</v>
      </c>
      <c r="B123" s="127" t="e">
        <f t="array" ref="B123">_xlfn.XLOOKUP(E123,#REF!,#REF!)</f>
        <v>#REF!</v>
      </c>
      <c r="C123" s="48" t="s">
        <v>1088</v>
      </c>
      <c r="D123" s="48"/>
      <c r="E123" s="48" t="s">
        <v>686</v>
      </c>
      <c r="F123" s="127">
        <v>46208.011111111096</v>
      </c>
      <c r="G123" s="48" t="s">
        <v>1663</v>
      </c>
      <c r="H123" s="48" t="s">
        <v>1255</v>
      </c>
      <c r="I123" s="48" t="s">
        <v>1256</v>
      </c>
      <c r="J123" s="153" t="s">
        <v>1664</v>
      </c>
      <c r="K123" s="154"/>
      <c r="L123" s="48" t="s">
        <v>1269</v>
      </c>
      <c r="M123" s="48" t="s">
        <v>1259</v>
      </c>
      <c r="N123" s="48" t="s">
        <v>1270</v>
      </c>
      <c r="O123" s="48">
        <v>3</v>
      </c>
      <c r="P123" s="48">
        <v>3</v>
      </c>
      <c r="Q123" s="48">
        <v>3</v>
      </c>
      <c r="R123" s="48">
        <v>4</v>
      </c>
      <c r="S123" s="48">
        <v>2</v>
      </c>
      <c r="T123" s="48">
        <v>2</v>
      </c>
      <c r="U123" s="48">
        <v>3</v>
      </c>
      <c r="V123" s="48">
        <v>3</v>
      </c>
      <c r="W123" s="48">
        <v>4</v>
      </c>
      <c r="X123" s="48">
        <v>4</v>
      </c>
      <c r="Y123" s="48">
        <v>4</v>
      </c>
      <c r="Z123" s="48">
        <v>3</v>
      </c>
      <c r="AA123" s="48">
        <v>2</v>
      </c>
      <c r="AB123" s="48">
        <v>2</v>
      </c>
      <c r="AC123" s="48">
        <v>3</v>
      </c>
      <c r="AD123" s="48">
        <v>3</v>
      </c>
      <c r="AE123" s="48" t="s">
        <v>1261</v>
      </c>
      <c r="AF123" s="48" t="s">
        <v>1343</v>
      </c>
      <c r="AG123" s="48" t="s">
        <v>1272</v>
      </c>
      <c r="AH123" s="48" t="s">
        <v>1665</v>
      </c>
      <c r="AI123" s="48" t="s">
        <v>1666</v>
      </c>
      <c r="AJ123" s="48"/>
    </row>
    <row r="124" spans="1:36" ht="15.75" customHeight="1">
      <c r="A124" s="48" t="b">
        <v>1</v>
      </c>
      <c r="B124" s="127" t="e">
        <f t="array" ref="B124">_xlfn.XLOOKUP(E124,#REF!,#REF!)</f>
        <v>#REF!</v>
      </c>
      <c r="C124" s="48" t="s">
        <v>936</v>
      </c>
      <c r="D124" s="48"/>
      <c r="E124" s="48" t="s">
        <v>127</v>
      </c>
      <c r="F124" s="127">
        <v>46208.050694444399</v>
      </c>
      <c r="G124" s="48" t="s">
        <v>1667</v>
      </c>
      <c r="H124" s="48" t="s">
        <v>1276</v>
      </c>
      <c r="I124" s="48" t="s">
        <v>1334</v>
      </c>
      <c r="J124" s="153" t="s">
        <v>1278</v>
      </c>
      <c r="K124" s="154"/>
      <c r="L124" s="48" t="s">
        <v>1279</v>
      </c>
      <c r="M124" s="48" t="s">
        <v>1294</v>
      </c>
      <c r="N124" s="48" t="s">
        <v>1280</v>
      </c>
      <c r="O124" s="48">
        <v>0</v>
      </c>
      <c r="P124" s="48">
        <v>0</v>
      </c>
      <c r="Q124" s="48">
        <v>2</v>
      </c>
      <c r="R124" s="48">
        <v>1</v>
      </c>
      <c r="S124" s="48">
        <v>0</v>
      </c>
      <c r="T124" s="48">
        <v>0</v>
      </c>
      <c r="U124" s="48">
        <v>1</v>
      </c>
      <c r="V124" s="48">
        <v>1</v>
      </c>
      <c r="W124" s="48">
        <v>3</v>
      </c>
      <c r="X124" s="48">
        <v>3</v>
      </c>
      <c r="Y124" s="48">
        <v>2</v>
      </c>
      <c r="Z124" s="48">
        <v>0</v>
      </c>
      <c r="AA124" s="48">
        <v>0</v>
      </c>
      <c r="AB124" s="48">
        <v>0</v>
      </c>
      <c r="AC124" s="48">
        <v>0</v>
      </c>
      <c r="AD124" s="48">
        <v>0</v>
      </c>
      <c r="AE124" s="48" t="s">
        <v>1295</v>
      </c>
      <c r="AF124" s="48" t="s">
        <v>1401</v>
      </c>
      <c r="AG124" s="48" t="s">
        <v>1282</v>
      </c>
      <c r="AH124" s="48" t="s">
        <v>1668</v>
      </c>
      <c r="AI124" s="48" t="s">
        <v>1669</v>
      </c>
      <c r="AJ124" s="48"/>
    </row>
    <row r="125" spans="1:36" ht="15.75" customHeight="1">
      <c r="A125" s="48" t="b">
        <v>1</v>
      </c>
      <c r="B125" s="127" t="e">
        <f t="array" ref="B125">_xlfn.XLOOKUP(E125,#REF!,#REF!)</f>
        <v>#REF!</v>
      </c>
      <c r="C125" s="48" t="s">
        <v>1193</v>
      </c>
      <c r="D125" s="48"/>
      <c r="E125" s="48" t="s">
        <v>170</v>
      </c>
      <c r="F125" s="127">
        <v>46208.365277777797</v>
      </c>
      <c r="G125" s="48" t="s">
        <v>1670</v>
      </c>
      <c r="H125" s="48" t="s">
        <v>1267</v>
      </c>
      <c r="I125" s="48" t="s">
        <v>1299</v>
      </c>
      <c r="J125" s="153" t="s">
        <v>1491</v>
      </c>
      <c r="K125" s="154"/>
      <c r="L125" s="48" t="s">
        <v>1258</v>
      </c>
      <c r="M125" s="48" t="s">
        <v>1294</v>
      </c>
      <c r="N125" s="48" t="s">
        <v>1280</v>
      </c>
      <c r="O125" s="48">
        <v>1</v>
      </c>
      <c r="P125" s="48">
        <v>0</v>
      </c>
      <c r="Q125" s="48">
        <v>1</v>
      </c>
      <c r="R125" s="48">
        <v>1</v>
      </c>
      <c r="S125" s="48">
        <v>1</v>
      </c>
      <c r="T125" s="48">
        <v>1</v>
      </c>
      <c r="U125" s="48">
        <v>0</v>
      </c>
      <c r="V125" s="48">
        <v>1</v>
      </c>
      <c r="W125" s="48">
        <v>3</v>
      </c>
      <c r="X125" s="48">
        <v>3</v>
      </c>
      <c r="Y125" s="48">
        <v>2</v>
      </c>
      <c r="Z125" s="48">
        <v>2</v>
      </c>
      <c r="AA125" s="48">
        <v>1</v>
      </c>
      <c r="AB125" s="48">
        <v>2</v>
      </c>
      <c r="AC125" s="48">
        <v>2</v>
      </c>
      <c r="AD125" s="48">
        <v>2</v>
      </c>
      <c r="AE125" s="48" t="s">
        <v>1300</v>
      </c>
      <c r="AF125" s="48" t="s">
        <v>1301</v>
      </c>
      <c r="AG125" s="48" t="s">
        <v>1272</v>
      </c>
      <c r="AH125" s="48" t="s">
        <v>1671</v>
      </c>
      <c r="AI125" s="48" t="s">
        <v>1672</v>
      </c>
      <c r="AJ125" s="48"/>
    </row>
    <row r="126" spans="1:36" ht="15.75" customHeight="1">
      <c r="A126" s="48" t="b">
        <v>1</v>
      </c>
      <c r="B126" s="127" t="e">
        <f t="array" ref="B126">_xlfn.XLOOKUP(E126,#REF!,#REF!)</f>
        <v>#REF!</v>
      </c>
      <c r="C126" s="48" t="s">
        <v>1021</v>
      </c>
      <c r="D126" s="48"/>
      <c r="E126" s="48" t="s">
        <v>176</v>
      </c>
      <c r="F126" s="127">
        <v>46208.393750000003</v>
      </c>
      <c r="G126" s="48" t="s">
        <v>1673</v>
      </c>
      <c r="H126" s="48" t="s">
        <v>1255</v>
      </c>
      <c r="I126" s="48" t="s">
        <v>1277</v>
      </c>
      <c r="J126" s="153" t="s">
        <v>1491</v>
      </c>
      <c r="K126" s="154"/>
      <c r="L126" s="48" t="s">
        <v>1279</v>
      </c>
      <c r="M126" s="48" t="s">
        <v>1294</v>
      </c>
      <c r="N126" s="48" t="s">
        <v>1280</v>
      </c>
      <c r="O126" s="48">
        <v>2</v>
      </c>
      <c r="P126" s="48">
        <v>2</v>
      </c>
      <c r="Q126" s="48">
        <v>3</v>
      </c>
      <c r="R126" s="48">
        <v>2</v>
      </c>
      <c r="S126" s="48">
        <v>1</v>
      </c>
      <c r="T126" s="48">
        <v>2</v>
      </c>
      <c r="U126" s="48">
        <v>2</v>
      </c>
      <c r="V126" s="48">
        <v>2</v>
      </c>
      <c r="W126" s="48">
        <v>2</v>
      </c>
      <c r="X126" s="48">
        <v>2</v>
      </c>
      <c r="Y126" s="48">
        <v>2</v>
      </c>
      <c r="Z126" s="48">
        <v>2</v>
      </c>
      <c r="AA126" s="48">
        <v>2</v>
      </c>
      <c r="AB126" s="48">
        <v>2</v>
      </c>
      <c r="AC126" s="48">
        <v>2</v>
      </c>
      <c r="AD126" s="48">
        <v>2</v>
      </c>
      <c r="AE126" s="48" t="s">
        <v>1295</v>
      </c>
      <c r="AF126" s="48" t="s">
        <v>1301</v>
      </c>
      <c r="AG126" s="48" t="s">
        <v>1363</v>
      </c>
      <c r="AH126" s="48" t="s">
        <v>1674</v>
      </c>
      <c r="AI126" s="48" t="s">
        <v>1675</v>
      </c>
      <c r="AJ126" s="48"/>
    </row>
    <row r="127" spans="1:36" ht="15.75" customHeight="1">
      <c r="A127" s="48" t="b">
        <v>1</v>
      </c>
      <c r="B127" s="127" t="e">
        <f t="array" ref="B127">_xlfn.XLOOKUP(E127,#REF!,#REF!)</f>
        <v>#REF!</v>
      </c>
      <c r="C127" s="48" t="s">
        <v>1108</v>
      </c>
      <c r="D127" s="48"/>
      <c r="E127" s="48" t="s">
        <v>612</v>
      </c>
      <c r="F127" s="127">
        <v>46208.433333333298</v>
      </c>
      <c r="G127" s="48" t="s">
        <v>1676</v>
      </c>
      <c r="H127" s="48" t="s">
        <v>1255</v>
      </c>
      <c r="I127" s="48" t="s">
        <v>1256</v>
      </c>
      <c r="J127" s="153" t="s">
        <v>1356</v>
      </c>
      <c r="K127" s="154"/>
      <c r="L127" s="48" t="s">
        <v>1269</v>
      </c>
      <c r="M127" s="48" t="s">
        <v>1259</v>
      </c>
      <c r="N127" s="48" t="s">
        <v>1270</v>
      </c>
      <c r="O127" s="48">
        <v>3</v>
      </c>
      <c r="P127" s="48">
        <v>3</v>
      </c>
      <c r="Q127" s="48">
        <v>3</v>
      </c>
      <c r="R127" s="48">
        <v>3</v>
      </c>
      <c r="S127" s="48">
        <v>3</v>
      </c>
      <c r="T127" s="48">
        <v>2</v>
      </c>
      <c r="U127" s="48">
        <v>2</v>
      </c>
      <c r="V127" s="48">
        <v>3</v>
      </c>
      <c r="W127" s="48">
        <v>4</v>
      </c>
      <c r="X127" s="48">
        <v>3</v>
      </c>
      <c r="Y127" s="48">
        <v>3</v>
      </c>
      <c r="Z127" s="48">
        <v>4</v>
      </c>
      <c r="AA127" s="48">
        <v>3</v>
      </c>
      <c r="AB127" s="48">
        <v>3</v>
      </c>
      <c r="AC127" s="48">
        <v>3</v>
      </c>
      <c r="AD127" s="48">
        <v>3</v>
      </c>
      <c r="AE127" s="48" t="s">
        <v>1261</v>
      </c>
      <c r="AF127" s="48" t="s">
        <v>1312</v>
      </c>
      <c r="AG127" s="48" t="s">
        <v>1272</v>
      </c>
      <c r="AH127" s="48" t="s">
        <v>1677</v>
      </c>
      <c r="AI127" s="48" t="s">
        <v>875</v>
      </c>
      <c r="AJ127" s="48"/>
    </row>
    <row r="128" spans="1:36" ht="15.75" customHeight="1">
      <c r="A128" s="48" t="b">
        <v>1</v>
      </c>
      <c r="B128" s="127" t="e">
        <f t="array" ref="B128">_xlfn.XLOOKUP(E128,#REF!,#REF!)</f>
        <v>#REF!</v>
      </c>
      <c r="C128" s="48" t="s">
        <v>1050</v>
      </c>
      <c r="D128" s="48"/>
      <c r="E128" s="48" t="s">
        <v>630</v>
      </c>
      <c r="F128" s="127">
        <v>46208.434027777803</v>
      </c>
      <c r="G128" s="48" t="s">
        <v>1678</v>
      </c>
      <c r="H128" s="48" t="s">
        <v>1267</v>
      </c>
      <c r="I128" s="48" t="s">
        <v>1299</v>
      </c>
      <c r="J128" s="153" t="s">
        <v>1319</v>
      </c>
      <c r="K128" s="154"/>
      <c r="L128" s="48" t="s">
        <v>1258</v>
      </c>
      <c r="M128" s="48" t="s">
        <v>1259</v>
      </c>
      <c r="N128" s="48" t="s">
        <v>1270</v>
      </c>
      <c r="O128" s="48">
        <v>0</v>
      </c>
      <c r="P128" s="48">
        <v>0</v>
      </c>
      <c r="Q128" s="48">
        <v>1</v>
      </c>
      <c r="R128" s="48">
        <v>0</v>
      </c>
      <c r="S128" s="48">
        <v>0</v>
      </c>
      <c r="T128" s="48">
        <v>0</v>
      </c>
      <c r="U128" s="48">
        <v>0</v>
      </c>
      <c r="V128" s="48">
        <v>0</v>
      </c>
      <c r="W128" s="48">
        <v>4</v>
      </c>
      <c r="X128" s="48">
        <v>3</v>
      </c>
      <c r="Y128" s="48">
        <v>3</v>
      </c>
      <c r="Z128" s="48">
        <v>2</v>
      </c>
      <c r="AA128" s="48">
        <v>2</v>
      </c>
      <c r="AB128" s="48">
        <v>2</v>
      </c>
      <c r="AC128" s="48">
        <v>2</v>
      </c>
      <c r="AD128" s="48">
        <v>2</v>
      </c>
      <c r="AE128" s="48" t="s">
        <v>1300</v>
      </c>
      <c r="AF128" s="48" t="s">
        <v>1312</v>
      </c>
      <c r="AG128" s="48" t="s">
        <v>1272</v>
      </c>
      <c r="AH128" s="48" t="s">
        <v>1679</v>
      </c>
      <c r="AI128" s="48" t="s">
        <v>1680</v>
      </c>
      <c r="AJ128" s="48"/>
    </row>
    <row r="129" spans="1:36" ht="15.75" customHeight="1">
      <c r="A129" s="48" t="b">
        <v>1</v>
      </c>
      <c r="B129" s="127" t="e">
        <f t="array" ref="B129">_xlfn.XLOOKUP(E129,#REF!,#REF!)</f>
        <v>#REF!</v>
      </c>
      <c r="C129" s="48" t="s">
        <v>1195</v>
      </c>
      <c r="D129" s="48"/>
      <c r="E129" s="48" t="s">
        <v>540</v>
      </c>
      <c r="F129" s="127">
        <v>46208.464583333298</v>
      </c>
      <c r="G129" s="48" t="s">
        <v>1681</v>
      </c>
      <c r="H129" s="48" t="s">
        <v>1267</v>
      </c>
      <c r="I129" s="48" t="s">
        <v>1392</v>
      </c>
      <c r="J129" s="153" t="s">
        <v>1380</v>
      </c>
      <c r="K129" s="154"/>
      <c r="L129" s="48" t="s">
        <v>1269</v>
      </c>
      <c r="M129" s="48" t="s">
        <v>1259</v>
      </c>
      <c r="N129" s="48" t="s">
        <v>1270</v>
      </c>
      <c r="O129" s="48">
        <v>1</v>
      </c>
      <c r="P129" s="48">
        <v>1</v>
      </c>
      <c r="Q129" s="48">
        <v>1</v>
      </c>
      <c r="R129" s="48">
        <v>1</v>
      </c>
      <c r="S129" s="48">
        <v>1</v>
      </c>
      <c r="T129" s="48">
        <v>1</v>
      </c>
      <c r="U129" s="48">
        <v>2</v>
      </c>
      <c r="V129" s="48">
        <v>1</v>
      </c>
      <c r="W129" s="48">
        <v>4</v>
      </c>
      <c r="X129" s="48">
        <v>4</v>
      </c>
      <c r="Y129" s="48">
        <v>3</v>
      </c>
      <c r="Z129" s="48">
        <v>3</v>
      </c>
      <c r="AA129" s="48">
        <v>2</v>
      </c>
      <c r="AB129" s="48">
        <v>3</v>
      </c>
      <c r="AC129" s="48">
        <v>3</v>
      </c>
      <c r="AD129" s="48">
        <v>3</v>
      </c>
      <c r="AE129" s="48" t="s">
        <v>1300</v>
      </c>
      <c r="AF129" s="48" t="s">
        <v>1397</v>
      </c>
      <c r="AG129" s="48" t="s">
        <v>1272</v>
      </c>
      <c r="AH129" s="48" t="s">
        <v>1682</v>
      </c>
      <c r="AI129" s="48" t="s">
        <v>1681</v>
      </c>
      <c r="AJ129" s="48"/>
    </row>
    <row r="130" spans="1:36" ht="15.75" customHeight="1">
      <c r="A130" s="48" t="b">
        <v>1</v>
      </c>
      <c r="B130" s="127" t="e">
        <f t="array" ref="B130">_xlfn.XLOOKUP(E130,#REF!,#REF!)</f>
        <v>#REF!</v>
      </c>
      <c r="C130" s="48" t="s">
        <v>904</v>
      </c>
      <c r="D130" s="48"/>
      <c r="E130" s="48" t="s">
        <v>19</v>
      </c>
      <c r="F130" s="127">
        <v>46208.477083333302</v>
      </c>
      <c r="G130" s="48" t="s">
        <v>1683</v>
      </c>
      <c r="H130" s="48" t="s">
        <v>1255</v>
      </c>
      <c r="I130" s="48" t="s">
        <v>1277</v>
      </c>
      <c r="J130" s="153" t="s">
        <v>1454</v>
      </c>
      <c r="K130" s="154"/>
      <c r="L130" s="48" t="s">
        <v>1279</v>
      </c>
      <c r="M130" s="48" t="s">
        <v>1294</v>
      </c>
      <c r="N130" s="48" t="s">
        <v>1280</v>
      </c>
      <c r="O130" s="48">
        <v>3</v>
      </c>
      <c r="P130" s="48">
        <v>3</v>
      </c>
      <c r="Q130" s="48">
        <v>3</v>
      </c>
      <c r="R130" s="48">
        <v>2</v>
      </c>
      <c r="S130" s="48">
        <v>4</v>
      </c>
      <c r="T130" s="48">
        <v>3</v>
      </c>
      <c r="U130" s="48">
        <v>2</v>
      </c>
      <c r="V130" s="48">
        <v>2</v>
      </c>
      <c r="W130" s="48">
        <v>1</v>
      </c>
      <c r="X130" s="48">
        <v>0</v>
      </c>
      <c r="Y130" s="48">
        <v>1</v>
      </c>
      <c r="Z130" s="48">
        <v>2</v>
      </c>
      <c r="AA130" s="48">
        <v>1</v>
      </c>
      <c r="AB130" s="48">
        <v>4</v>
      </c>
      <c r="AC130" s="48">
        <v>2</v>
      </c>
      <c r="AD130" s="48">
        <v>3</v>
      </c>
      <c r="AE130" s="48" t="s">
        <v>1300</v>
      </c>
      <c r="AF130" s="48" t="s">
        <v>1362</v>
      </c>
      <c r="AG130" s="48" t="s">
        <v>1363</v>
      </c>
      <c r="AH130" s="48" t="s">
        <v>1684</v>
      </c>
      <c r="AI130" s="48" t="s">
        <v>1265</v>
      </c>
      <c r="AJ130" s="48"/>
    </row>
    <row r="131" spans="1:36" ht="15.75" customHeight="1">
      <c r="A131" s="48" t="b">
        <v>1</v>
      </c>
      <c r="B131" s="127" t="e">
        <f t="array" ref="B131">_xlfn.XLOOKUP(E131,#REF!,#REF!)</f>
        <v>#REF!</v>
      </c>
      <c r="C131" s="48" t="s">
        <v>1049</v>
      </c>
      <c r="D131" s="48"/>
      <c r="E131" s="48" t="s">
        <v>165</v>
      </c>
      <c r="F131" s="127">
        <v>46208.4777777778</v>
      </c>
      <c r="G131" s="48" t="s">
        <v>1685</v>
      </c>
      <c r="H131" s="48" t="s">
        <v>1267</v>
      </c>
      <c r="I131" s="48" t="s">
        <v>1256</v>
      </c>
      <c r="J131" s="153" t="s">
        <v>1664</v>
      </c>
      <c r="K131" s="154"/>
      <c r="L131" s="48" t="s">
        <v>1269</v>
      </c>
      <c r="M131" s="48" t="s">
        <v>1357</v>
      </c>
      <c r="N131" s="48" t="s">
        <v>1270</v>
      </c>
      <c r="O131" s="48">
        <v>3</v>
      </c>
      <c r="P131" s="48">
        <v>3</v>
      </c>
      <c r="Q131" s="48">
        <v>3</v>
      </c>
      <c r="R131" s="48">
        <v>3</v>
      </c>
      <c r="S131" s="48">
        <v>1</v>
      </c>
      <c r="T131" s="48">
        <v>1</v>
      </c>
      <c r="U131" s="48">
        <v>2</v>
      </c>
      <c r="V131" s="48">
        <v>2</v>
      </c>
      <c r="W131" s="48">
        <v>4</v>
      </c>
      <c r="X131" s="48">
        <v>4</v>
      </c>
      <c r="Y131" s="48">
        <v>3</v>
      </c>
      <c r="Z131" s="48">
        <v>2</v>
      </c>
      <c r="AA131" s="48">
        <v>2</v>
      </c>
      <c r="AB131" s="48">
        <v>3</v>
      </c>
      <c r="AC131" s="48">
        <v>3</v>
      </c>
      <c r="AD131" s="48">
        <v>2</v>
      </c>
      <c r="AE131" s="48" t="s">
        <v>1300</v>
      </c>
      <c r="AF131" s="48" t="s">
        <v>1312</v>
      </c>
      <c r="AG131" s="48" t="s">
        <v>1272</v>
      </c>
      <c r="AH131" s="48" t="s">
        <v>1686</v>
      </c>
      <c r="AI131" s="48" t="s">
        <v>1687</v>
      </c>
      <c r="AJ131" s="48"/>
    </row>
    <row r="132" spans="1:36" ht="15.75" customHeight="1">
      <c r="A132" s="48" t="b">
        <v>1</v>
      </c>
      <c r="B132" s="127" t="e">
        <f t="array" ref="B132">_xlfn.XLOOKUP(E132,#REF!,#REF!)</f>
        <v>#REF!</v>
      </c>
      <c r="C132" s="48" t="s">
        <v>1161</v>
      </c>
      <c r="D132" s="48"/>
      <c r="E132" s="48" t="s">
        <v>85</v>
      </c>
      <c r="F132" s="127">
        <v>46208.479861111096</v>
      </c>
      <c r="G132" s="48" t="s">
        <v>1688</v>
      </c>
      <c r="H132" s="48" t="s">
        <v>1276</v>
      </c>
      <c r="I132" s="48" t="s">
        <v>1256</v>
      </c>
      <c r="J132" s="153" t="s">
        <v>1293</v>
      </c>
      <c r="K132" s="154"/>
      <c r="L132" s="48" t="s">
        <v>1269</v>
      </c>
      <c r="M132" s="48" t="s">
        <v>1259</v>
      </c>
      <c r="N132" s="48" t="s">
        <v>1260</v>
      </c>
      <c r="O132" s="48">
        <v>0</v>
      </c>
      <c r="P132" s="48">
        <v>0</v>
      </c>
      <c r="Q132" s="48">
        <v>1</v>
      </c>
      <c r="R132" s="48">
        <v>1</v>
      </c>
      <c r="S132" s="48">
        <v>1</v>
      </c>
      <c r="T132" s="48">
        <v>0</v>
      </c>
      <c r="U132" s="48">
        <v>1</v>
      </c>
      <c r="V132" s="48">
        <v>1</v>
      </c>
      <c r="W132" s="48">
        <v>2</v>
      </c>
      <c r="X132" s="48">
        <v>2</v>
      </c>
      <c r="Y132" s="48">
        <v>1</v>
      </c>
      <c r="Z132" s="48">
        <v>1</v>
      </c>
      <c r="AA132" s="48">
        <v>1</v>
      </c>
      <c r="AB132" s="48">
        <v>1</v>
      </c>
      <c r="AC132" s="48">
        <v>0</v>
      </c>
      <c r="AD132" s="48">
        <v>0</v>
      </c>
      <c r="AE132" s="48" t="s">
        <v>1307</v>
      </c>
      <c r="AF132" s="48" t="s">
        <v>1308</v>
      </c>
      <c r="AG132" s="48" t="s">
        <v>1272</v>
      </c>
      <c r="AH132" s="48" t="s">
        <v>1689</v>
      </c>
      <c r="AI132" s="48" t="s">
        <v>1690</v>
      </c>
      <c r="AJ132" s="48"/>
    </row>
    <row r="133" spans="1:36" ht="15.75" customHeight="1">
      <c r="A133" s="48" t="b">
        <v>1</v>
      </c>
      <c r="B133" s="127" t="e">
        <f t="array" ref="B133">_xlfn.XLOOKUP(E133,#REF!,#REF!)</f>
        <v>#REF!</v>
      </c>
      <c r="C133" s="48" t="s">
        <v>966</v>
      </c>
      <c r="D133" s="48"/>
      <c r="E133" s="48" t="s">
        <v>502</v>
      </c>
      <c r="F133" s="127">
        <v>46208.5090277778</v>
      </c>
      <c r="G133" s="48" t="s">
        <v>1691</v>
      </c>
      <c r="H133" s="48" t="s">
        <v>1255</v>
      </c>
      <c r="I133" s="48" t="s">
        <v>1256</v>
      </c>
      <c r="J133" s="153" t="s">
        <v>1361</v>
      </c>
      <c r="K133" s="154"/>
      <c r="L133" s="48" t="s">
        <v>1258</v>
      </c>
      <c r="M133" s="48" t="s">
        <v>1259</v>
      </c>
      <c r="N133" s="48" t="s">
        <v>1260</v>
      </c>
      <c r="O133" s="48">
        <v>3</v>
      </c>
      <c r="P133" s="48">
        <v>2</v>
      </c>
      <c r="Q133" s="48">
        <v>3</v>
      </c>
      <c r="R133" s="48">
        <v>4</v>
      </c>
      <c r="S133" s="48">
        <v>4</v>
      </c>
      <c r="T133" s="48">
        <v>3</v>
      </c>
      <c r="U133" s="48">
        <v>3</v>
      </c>
      <c r="V133" s="48">
        <v>3</v>
      </c>
      <c r="W133" s="48">
        <v>4</v>
      </c>
      <c r="X133" s="48">
        <v>4</v>
      </c>
      <c r="Y133" s="48">
        <v>4</v>
      </c>
      <c r="Z133" s="48">
        <v>4</v>
      </c>
      <c r="AA133" s="48">
        <v>4</v>
      </c>
      <c r="AB133" s="48">
        <v>4</v>
      </c>
      <c r="AC133" s="48">
        <v>4</v>
      </c>
      <c r="AD133" s="48">
        <v>4</v>
      </c>
      <c r="AE133" s="48" t="s">
        <v>1261</v>
      </c>
      <c r="AF133" s="48" t="s">
        <v>1312</v>
      </c>
      <c r="AG133" s="48" t="s">
        <v>1272</v>
      </c>
      <c r="AH133" s="48" t="s">
        <v>1692</v>
      </c>
      <c r="AI133" s="48" t="s">
        <v>1365</v>
      </c>
      <c r="AJ133" s="48"/>
    </row>
    <row r="134" spans="1:36" ht="15.75" customHeight="1">
      <c r="A134" s="48" t="b">
        <v>1</v>
      </c>
      <c r="B134" s="127" t="e">
        <f t="array" ref="B134">_xlfn.XLOOKUP(E134,#REF!,#REF!)</f>
        <v>#REF!</v>
      </c>
      <c r="C134" s="48" t="s">
        <v>985</v>
      </c>
      <c r="D134" s="48"/>
      <c r="E134" s="48" t="s">
        <v>186</v>
      </c>
      <c r="F134" s="127">
        <v>46208.515277777798</v>
      </c>
      <c r="G134" s="48" t="s">
        <v>1693</v>
      </c>
      <c r="H134" s="48" t="s">
        <v>1267</v>
      </c>
      <c r="I134" s="48" t="s">
        <v>1256</v>
      </c>
      <c r="J134" s="48" t="s">
        <v>1430</v>
      </c>
      <c r="K134" s="48" t="s">
        <v>875</v>
      </c>
      <c r="L134" s="48" t="s">
        <v>1269</v>
      </c>
      <c r="M134" s="48" t="s">
        <v>1357</v>
      </c>
      <c r="N134" s="48" t="s">
        <v>1270</v>
      </c>
      <c r="O134" s="48">
        <v>4</v>
      </c>
      <c r="P134" s="48">
        <v>3</v>
      </c>
      <c r="Q134" s="48">
        <v>3</v>
      </c>
      <c r="R134" s="48">
        <v>3</v>
      </c>
      <c r="S134" s="48">
        <v>3</v>
      </c>
      <c r="T134" s="48">
        <v>2</v>
      </c>
      <c r="U134" s="48">
        <v>3</v>
      </c>
      <c r="V134" s="48">
        <v>3</v>
      </c>
      <c r="W134" s="48">
        <v>4</v>
      </c>
      <c r="X134" s="48">
        <v>4</v>
      </c>
      <c r="Y134" s="48">
        <v>4</v>
      </c>
      <c r="Z134" s="48">
        <v>4</v>
      </c>
      <c r="AA134" s="48">
        <v>4</v>
      </c>
      <c r="AB134" s="48">
        <v>3</v>
      </c>
      <c r="AC134" s="48">
        <v>3</v>
      </c>
      <c r="AD134" s="48">
        <v>3</v>
      </c>
      <c r="AE134" s="48" t="s">
        <v>1261</v>
      </c>
      <c r="AF134" s="48" t="s">
        <v>1312</v>
      </c>
      <c r="AG134" s="48" t="s">
        <v>1272</v>
      </c>
      <c r="AH134" s="48" t="s">
        <v>1694</v>
      </c>
      <c r="AI134" s="48" t="s">
        <v>1695</v>
      </c>
      <c r="AJ134" s="48"/>
    </row>
    <row r="135" spans="1:36" ht="15.75" customHeight="1">
      <c r="A135" s="48" t="b">
        <v>1</v>
      </c>
      <c r="B135" s="127" t="e">
        <f t="array" ref="B135">_xlfn.XLOOKUP(E135,#REF!,#REF!)</f>
        <v>#REF!</v>
      </c>
      <c r="C135" s="7" t="s">
        <v>1097</v>
      </c>
      <c r="D135" s="7"/>
      <c r="E135" s="7" t="s">
        <v>252</v>
      </c>
      <c r="F135" s="128">
        <v>46208.524305555598</v>
      </c>
      <c r="G135" s="7" t="s">
        <v>1696</v>
      </c>
      <c r="H135" s="7" t="s">
        <v>1267</v>
      </c>
      <c r="I135" s="7" t="s">
        <v>1277</v>
      </c>
      <c r="J135" s="7" t="s">
        <v>1491</v>
      </c>
      <c r="L135" s="7" t="s">
        <v>1279</v>
      </c>
      <c r="M135" s="7" t="s">
        <v>1294</v>
      </c>
      <c r="N135" s="7" t="s">
        <v>1280</v>
      </c>
      <c r="O135" s="7">
        <v>4</v>
      </c>
      <c r="P135" s="7">
        <v>1</v>
      </c>
      <c r="Q135" s="7">
        <v>1</v>
      </c>
      <c r="R135" s="7">
        <v>1</v>
      </c>
      <c r="S135" s="7">
        <v>1</v>
      </c>
      <c r="T135" s="7">
        <v>1</v>
      </c>
      <c r="U135" s="7">
        <v>1</v>
      </c>
      <c r="V135" s="7">
        <v>1</v>
      </c>
      <c r="W135" s="7">
        <v>4</v>
      </c>
      <c r="X135" s="7">
        <v>4</v>
      </c>
      <c r="Y135" s="7">
        <v>4</v>
      </c>
      <c r="Z135" s="7">
        <v>4</v>
      </c>
      <c r="AA135" s="7">
        <v>4</v>
      </c>
      <c r="AB135" s="7">
        <v>4</v>
      </c>
      <c r="AC135" s="7">
        <v>4</v>
      </c>
      <c r="AD135" s="7">
        <v>4</v>
      </c>
      <c r="AE135" s="7" t="s">
        <v>1261</v>
      </c>
      <c r="AF135" s="7" t="s">
        <v>1697</v>
      </c>
      <c r="AG135" s="7" t="s">
        <v>1272</v>
      </c>
      <c r="AH135" s="7" t="s">
        <v>1698</v>
      </c>
      <c r="AI135" s="7" t="s">
        <v>1699</v>
      </c>
      <c r="AJ135" s="7"/>
    </row>
    <row r="136" spans="1:36" ht="15.75" customHeight="1">
      <c r="A136" s="48" t="b">
        <v>1</v>
      </c>
      <c r="B136" s="127" t="e">
        <f t="array" ref="B136">_xlfn.XLOOKUP(E136,#REF!,#REF!)</f>
        <v>#REF!</v>
      </c>
      <c r="C136" s="7" t="s">
        <v>946</v>
      </c>
      <c r="D136" s="7"/>
      <c r="E136" s="7" t="s">
        <v>734</v>
      </c>
      <c r="F136" s="128">
        <v>46208.527777777803</v>
      </c>
      <c r="G136" s="7" t="s">
        <v>1700</v>
      </c>
      <c r="H136" s="7" t="s">
        <v>1276</v>
      </c>
      <c r="I136" s="7" t="s">
        <v>1277</v>
      </c>
      <c r="J136" s="7" t="s">
        <v>1293</v>
      </c>
      <c r="L136" s="7" t="s">
        <v>1279</v>
      </c>
      <c r="M136" s="7" t="s">
        <v>1259</v>
      </c>
      <c r="N136" s="7" t="s">
        <v>1280</v>
      </c>
      <c r="O136" s="7">
        <v>1</v>
      </c>
      <c r="P136" s="7">
        <v>3</v>
      </c>
      <c r="Q136" s="7">
        <v>3</v>
      </c>
      <c r="R136" s="7">
        <v>0</v>
      </c>
      <c r="S136" s="7">
        <v>0</v>
      </c>
      <c r="T136" s="7">
        <v>0</v>
      </c>
      <c r="U136" s="7">
        <v>0</v>
      </c>
      <c r="V136" s="7">
        <v>2</v>
      </c>
      <c r="W136" s="7">
        <v>4</v>
      </c>
      <c r="X136" s="7">
        <v>4</v>
      </c>
      <c r="Y136" s="7">
        <v>1</v>
      </c>
      <c r="Z136" s="7">
        <v>1</v>
      </c>
      <c r="AA136" s="7">
        <v>3</v>
      </c>
      <c r="AB136" s="7">
        <v>0</v>
      </c>
      <c r="AC136" s="7">
        <v>0</v>
      </c>
      <c r="AD136" s="7">
        <v>0</v>
      </c>
      <c r="AE136" s="7" t="s">
        <v>1307</v>
      </c>
      <c r="AF136" s="7" t="s">
        <v>1697</v>
      </c>
      <c r="AG136" s="7" t="s">
        <v>1272</v>
      </c>
      <c r="AH136" s="7" t="s">
        <v>1701</v>
      </c>
      <c r="AI136" s="7" t="s">
        <v>1702</v>
      </c>
      <c r="AJ136" s="7"/>
    </row>
    <row r="137" spans="1:36" ht="15.75" customHeight="1">
      <c r="A137" s="48" t="b">
        <v>1</v>
      </c>
      <c r="B137" s="127" t="e">
        <f t="array" ref="B137">_xlfn.XLOOKUP(E137,#REF!,#REF!)</f>
        <v>#REF!</v>
      </c>
      <c r="C137" s="7" t="s">
        <v>933</v>
      </c>
      <c r="D137" s="7"/>
      <c r="E137" s="7" t="s">
        <v>754</v>
      </c>
      <c r="F137" s="128">
        <v>46208.531944444403</v>
      </c>
      <c r="G137" s="7" t="s">
        <v>1703</v>
      </c>
      <c r="H137" s="7" t="s">
        <v>1276</v>
      </c>
      <c r="I137" s="7" t="s">
        <v>1277</v>
      </c>
      <c r="J137" s="7" t="s">
        <v>1268</v>
      </c>
      <c r="L137" s="7" t="s">
        <v>1279</v>
      </c>
      <c r="M137" s="7" t="s">
        <v>1294</v>
      </c>
      <c r="N137" s="7" t="s">
        <v>1280</v>
      </c>
      <c r="O137" s="7">
        <v>0</v>
      </c>
      <c r="P137" s="7">
        <v>0</v>
      </c>
      <c r="Q137" s="7">
        <v>3</v>
      </c>
      <c r="R137" s="7">
        <v>2</v>
      </c>
      <c r="S137" s="7">
        <v>0</v>
      </c>
      <c r="T137" s="7">
        <v>0</v>
      </c>
      <c r="U137" s="7">
        <v>3</v>
      </c>
      <c r="V137" s="7">
        <v>1</v>
      </c>
      <c r="W137" s="7">
        <v>4</v>
      </c>
      <c r="X137" s="7">
        <v>4</v>
      </c>
      <c r="Y137" s="7">
        <v>0</v>
      </c>
      <c r="Z137" s="7">
        <v>2</v>
      </c>
      <c r="AA137" s="7">
        <v>0</v>
      </c>
      <c r="AB137" s="7">
        <v>0</v>
      </c>
      <c r="AC137" s="7">
        <v>0</v>
      </c>
      <c r="AD137" s="7">
        <v>0</v>
      </c>
      <c r="AE137" s="7" t="s">
        <v>1295</v>
      </c>
      <c r="AF137" s="7" t="s">
        <v>1308</v>
      </c>
      <c r="AG137" s="7" t="s">
        <v>1272</v>
      </c>
      <c r="AH137" s="7" t="s">
        <v>1704</v>
      </c>
      <c r="AI137" s="7" t="s">
        <v>1703</v>
      </c>
      <c r="AJ137" s="7"/>
    </row>
    <row r="138" spans="1:36" ht="15.75" customHeight="1">
      <c r="A138" s="48" t="b">
        <v>1</v>
      </c>
      <c r="B138" s="127" t="e">
        <f t="array" ref="B138">_xlfn.XLOOKUP(E138,#REF!,#REF!)</f>
        <v>#REF!</v>
      </c>
      <c r="C138" s="7" t="s">
        <v>1187</v>
      </c>
      <c r="D138" s="7"/>
      <c r="E138" s="7" t="s">
        <v>255</v>
      </c>
      <c r="F138" s="128">
        <v>46208.5402777778</v>
      </c>
      <c r="G138" s="7" t="s">
        <v>1705</v>
      </c>
      <c r="H138" s="7" t="s">
        <v>1276</v>
      </c>
      <c r="I138" s="7" t="s">
        <v>1334</v>
      </c>
      <c r="J138" s="7" t="s">
        <v>1268</v>
      </c>
      <c r="L138" s="7" t="s">
        <v>1279</v>
      </c>
      <c r="M138" s="7" t="s">
        <v>1294</v>
      </c>
      <c r="N138" s="7" t="s">
        <v>1280</v>
      </c>
      <c r="O138" s="7">
        <v>2</v>
      </c>
      <c r="P138" s="7">
        <v>3</v>
      </c>
      <c r="Q138" s="7">
        <v>4</v>
      </c>
      <c r="R138" s="7">
        <v>4</v>
      </c>
      <c r="S138" s="7">
        <v>4</v>
      </c>
      <c r="T138" s="7">
        <v>3</v>
      </c>
      <c r="U138" s="7">
        <v>2</v>
      </c>
      <c r="V138" s="7">
        <v>3</v>
      </c>
      <c r="W138" s="7">
        <v>0</v>
      </c>
      <c r="X138" s="7">
        <v>0</v>
      </c>
      <c r="Y138" s="7">
        <v>2</v>
      </c>
      <c r="Z138" s="7">
        <v>2</v>
      </c>
      <c r="AA138" s="7">
        <v>1</v>
      </c>
      <c r="AB138" s="7">
        <v>2</v>
      </c>
      <c r="AC138" s="7">
        <v>0</v>
      </c>
      <c r="AD138" s="7">
        <v>0</v>
      </c>
      <c r="AE138" s="7" t="s">
        <v>1307</v>
      </c>
      <c r="AF138" s="7" t="s">
        <v>1706</v>
      </c>
      <c r="AG138" s="7" t="s">
        <v>1363</v>
      </c>
      <c r="AH138" s="7" t="s">
        <v>1707</v>
      </c>
      <c r="AI138" s="7" t="s">
        <v>1708</v>
      </c>
      <c r="AJ138" s="7"/>
    </row>
    <row r="139" spans="1:36" ht="15.75" customHeight="1">
      <c r="A139" s="48" t="b">
        <v>1</v>
      </c>
      <c r="B139" s="127" t="e">
        <f t="array" ref="B139">_xlfn.XLOOKUP(E139,#REF!,#REF!)</f>
        <v>#REF!</v>
      </c>
      <c r="C139" s="7" t="s">
        <v>980</v>
      </c>
      <c r="D139" s="7"/>
      <c r="E139" s="7" t="s">
        <v>383</v>
      </c>
      <c r="F139" s="128">
        <v>46208.551388888904</v>
      </c>
      <c r="G139" s="7" t="s">
        <v>1709</v>
      </c>
      <c r="H139" s="7" t="s">
        <v>1276</v>
      </c>
      <c r="I139" s="7" t="s">
        <v>1256</v>
      </c>
      <c r="J139" s="7" t="s">
        <v>1710</v>
      </c>
      <c r="L139" s="7" t="s">
        <v>1711</v>
      </c>
      <c r="M139" s="7" t="s">
        <v>1259</v>
      </c>
      <c r="N139" s="7" t="s">
        <v>1260</v>
      </c>
      <c r="O139" s="7">
        <v>3</v>
      </c>
      <c r="P139" s="7">
        <v>4</v>
      </c>
      <c r="Q139" s="7">
        <v>2</v>
      </c>
      <c r="R139" s="7">
        <v>2</v>
      </c>
      <c r="S139" s="7">
        <v>2</v>
      </c>
      <c r="T139" s="7">
        <v>0</v>
      </c>
      <c r="U139" s="7">
        <v>4</v>
      </c>
      <c r="V139" s="7">
        <v>3</v>
      </c>
      <c r="W139" s="7">
        <v>4</v>
      </c>
      <c r="X139" s="7">
        <v>3</v>
      </c>
      <c r="Y139" s="7">
        <v>4</v>
      </c>
      <c r="Z139" s="7">
        <v>3</v>
      </c>
      <c r="AA139" s="7">
        <v>2</v>
      </c>
      <c r="AB139" s="7">
        <v>0</v>
      </c>
      <c r="AC139" s="7">
        <v>2</v>
      </c>
      <c r="AD139" s="7">
        <v>3</v>
      </c>
      <c r="AE139" s="7" t="s">
        <v>1261</v>
      </c>
      <c r="AF139" s="7" t="s">
        <v>1712</v>
      </c>
      <c r="AG139" s="7" t="s">
        <v>1272</v>
      </c>
      <c r="AH139" s="7" t="s">
        <v>1713</v>
      </c>
      <c r="AI139" s="7" t="s">
        <v>1709</v>
      </c>
      <c r="AJ139" s="7"/>
    </row>
    <row r="140" spans="1:36" ht="15.75" customHeight="1">
      <c r="A140" s="48" t="b">
        <v>1</v>
      </c>
      <c r="B140" s="127" t="e">
        <f t="array" ref="B140">_xlfn.XLOOKUP(E140,#REF!,#REF!)</f>
        <v>#REF!</v>
      </c>
      <c r="C140" s="7" t="s">
        <v>1141</v>
      </c>
      <c r="D140" s="7"/>
      <c r="E140" s="7" t="s">
        <v>281</v>
      </c>
      <c r="F140" s="128">
        <v>46208.552777777797</v>
      </c>
      <c r="G140" s="7" t="s">
        <v>1714</v>
      </c>
      <c r="H140" s="7" t="s">
        <v>1276</v>
      </c>
      <c r="I140" s="7" t="s">
        <v>1277</v>
      </c>
      <c r="J140" s="7" t="s">
        <v>1715</v>
      </c>
      <c r="L140" s="7" t="s">
        <v>1279</v>
      </c>
      <c r="M140" s="7" t="s">
        <v>1294</v>
      </c>
      <c r="N140" s="7" t="s">
        <v>1280</v>
      </c>
      <c r="O140" s="7">
        <v>1</v>
      </c>
      <c r="P140" s="7">
        <v>1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4</v>
      </c>
      <c r="X140" s="7">
        <v>3</v>
      </c>
      <c r="Y140" s="7">
        <v>3</v>
      </c>
      <c r="Z140" s="7">
        <v>3</v>
      </c>
      <c r="AA140" s="7">
        <v>2</v>
      </c>
      <c r="AB140" s="7">
        <v>0</v>
      </c>
      <c r="AC140" s="7">
        <v>0</v>
      </c>
      <c r="AD140" s="7">
        <v>3</v>
      </c>
      <c r="AE140" s="7" t="s">
        <v>1300</v>
      </c>
      <c r="AF140" s="7" t="s">
        <v>1697</v>
      </c>
      <c r="AG140" s="7" t="s">
        <v>1272</v>
      </c>
      <c r="AH140" s="7" t="s">
        <v>1716</v>
      </c>
      <c r="AI140" s="7" t="s">
        <v>1717</v>
      </c>
      <c r="AJ140" s="7"/>
    </row>
    <row r="141" spans="1:36" ht="15.75" customHeight="1">
      <c r="A141" s="48" t="b">
        <v>1</v>
      </c>
      <c r="B141" s="127" t="e">
        <f t="array" ref="B141">_xlfn.XLOOKUP(E141,#REF!,#REF!)</f>
        <v>#REF!</v>
      </c>
      <c r="C141" s="7" t="s">
        <v>1214</v>
      </c>
      <c r="D141" s="7"/>
      <c r="E141" s="7" t="s">
        <v>740</v>
      </c>
      <c r="F141" s="128">
        <v>46208.572222222203</v>
      </c>
      <c r="G141" s="7" t="s">
        <v>1718</v>
      </c>
      <c r="H141" s="7" t="s">
        <v>1276</v>
      </c>
      <c r="I141" s="7" t="s">
        <v>1277</v>
      </c>
      <c r="J141" s="7" t="s">
        <v>1715</v>
      </c>
      <c r="L141" s="7" t="s">
        <v>1279</v>
      </c>
      <c r="M141" s="7" t="s">
        <v>1294</v>
      </c>
      <c r="N141" s="7" t="s">
        <v>1280</v>
      </c>
      <c r="O141" s="7">
        <v>0</v>
      </c>
      <c r="P141" s="7">
        <v>0</v>
      </c>
      <c r="Q141" s="7">
        <v>2</v>
      </c>
      <c r="R141" s="7">
        <v>1</v>
      </c>
      <c r="S141" s="7">
        <v>0</v>
      </c>
      <c r="T141" s="7">
        <v>0</v>
      </c>
      <c r="U141" s="7">
        <v>2</v>
      </c>
      <c r="V141" s="7">
        <v>1</v>
      </c>
      <c r="W141" s="7">
        <v>3</v>
      </c>
      <c r="X141" s="7">
        <v>2</v>
      </c>
      <c r="Y141" s="7">
        <v>2</v>
      </c>
      <c r="Z141" s="7">
        <v>3</v>
      </c>
      <c r="AA141" s="7">
        <v>2</v>
      </c>
      <c r="AB141" s="7">
        <v>2</v>
      </c>
      <c r="AC141" s="7">
        <v>0</v>
      </c>
      <c r="AD141" s="7">
        <v>0</v>
      </c>
      <c r="AE141" s="7" t="s">
        <v>1261</v>
      </c>
      <c r="AF141" s="7" t="s">
        <v>1697</v>
      </c>
      <c r="AG141" s="7" t="s">
        <v>1272</v>
      </c>
      <c r="AH141" s="7" t="s">
        <v>1719</v>
      </c>
      <c r="AI141" s="7" t="s">
        <v>1720</v>
      </c>
      <c r="AJ141" s="7"/>
    </row>
    <row r="142" spans="1:36" ht="15.75" customHeight="1">
      <c r="A142" s="48" t="b">
        <v>1</v>
      </c>
      <c r="B142" s="127" t="e">
        <f t="array" ref="B142">_xlfn.XLOOKUP(E142,#REF!,#REF!)</f>
        <v>#REF!</v>
      </c>
      <c r="C142" s="7" t="s">
        <v>1118</v>
      </c>
      <c r="D142" s="7"/>
      <c r="E142" s="7" t="s">
        <v>368</v>
      </c>
      <c r="F142" s="128">
        <v>46208.581944444399</v>
      </c>
      <c r="G142" s="7" t="s">
        <v>1721</v>
      </c>
      <c r="H142" s="7" t="s">
        <v>1276</v>
      </c>
      <c r="I142" s="7" t="s">
        <v>1277</v>
      </c>
      <c r="J142" s="7" t="s">
        <v>1293</v>
      </c>
      <c r="L142" s="7" t="s">
        <v>1258</v>
      </c>
      <c r="M142" s="7" t="s">
        <v>1294</v>
      </c>
      <c r="N142" s="7" t="s">
        <v>1260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3</v>
      </c>
      <c r="X142" s="7">
        <v>3</v>
      </c>
      <c r="Y142" s="7">
        <v>2</v>
      </c>
      <c r="Z142" s="7">
        <v>2</v>
      </c>
      <c r="AA142" s="7">
        <v>0</v>
      </c>
      <c r="AB142" s="7">
        <v>0</v>
      </c>
      <c r="AC142" s="7">
        <v>0</v>
      </c>
      <c r="AD142" s="7">
        <v>0</v>
      </c>
      <c r="AE142" s="7" t="s">
        <v>1295</v>
      </c>
      <c r="AF142" s="7" t="s">
        <v>1722</v>
      </c>
      <c r="AG142" s="7" t="s">
        <v>1272</v>
      </c>
      <c r="AH142" s="7" t="s">
        <v>1723</v>
      </c>
      <c r="AI142" s="7" t="s">
        <v>1724</v>
      </c>
      <c r="AJ142" s="7"/>
    </row>
    <row r="143" spans="1:36" ht="15.75" customHeight="1">
      <c r="A143" s="48" t="b">
        <v>1</v>
      </c>
      <c r="B143" s="127" t="e">
        <f t="array" ref="B143">_xlfn.XLOOKUP(E143,#REF!,#REF!)</f>
        <v>#REF!</v>
      </c>
      <c r="C143" s="7" t="s">
        <v>1022</v>
      </c>
      <c r="D143" s="7"/>
      <c r="E143" s="7" t="s">
        <v>419</v>
      </c>
      <c r="F143" s="128">
        <v>46208.584027777797</v>
      </c>
      <c r="G143" s="7" t="s">
        <v>1725</v>
      </c>
      <c r="H143" s="7" t="s">
        <v>1276</v>
      </c>
      <c r="I143" s="7" t="s">
        <v>1277</v>
      </c>
      <c r="J143" s="7" t="s">
        <v>1268</v>
      </c>
      <c r="L143" s="7" t="s">
        <v>1258</v>
      </c>
      <c r="M143" s="7" t="s">
        <v>1259</v>
      </c>
      <c r="N143" s="7" t="s">
        <v>1288</v>
      </c>
      <c r="O143" s="7">
        <v>0</v>
      </c>
      <c r="P143" s="7">
        <v>0</v>
      </c>
      <c r="Q143" s="7">
        <v>2</v>
      </c>
      <c r="R143" s="7">
        <v>2</v>
      </c>
      <c r="S143" s="7">
        <v>0</v>
      </c>
      <c r="T143" s="7">
        <v>0</v>
      </c>
      <c r="U143" s="7">
        <v>0</v>
      </c>
      <c r="V143" s="7">
        <v>1</v>
      </c>
      <c r="W143" s="7">
        <v>2</v>
      </c>
      <c r="X143" s="7">
        <v>2</v>
      </c>
      <c r="Y143" s="7">
        <v>1</v>
      </c>
      <c r="Z143" s="7">
        <v>1</v>
      </c>
      <c r="AA143" s="7">
        <v>0</v>
      </c>
      <c r="AB143" s="7">
        <v>0</v>
      </c>
      <c r="AC143" s="7">
        <v>0</v>
      </c>
      <c r="AD143" s="7">
        <v>1</v>
      </c>
      <c r="AE143" s="7" t="s">
        <v>1295</v>
      </c>
      <c r="AF143" s="7" t="s">
        <v>1697</v>
      </c>
      <c r="AG143" s="7" t="s">
        <v>1272</v>
      </c>
      <c r="AH143" s="7" t="s">
        <v>1726</v>
      </c>
      <c r="AI143" s="7" t="s">
        <v>1727</v>
      </c>
      <c r="AJ143" s="7"/>
    </row>
    <row r="144" spans="1:36" ht="15.75" customHeight="1">
      <c r="A144" s="48" t="b">
        <v>1</v>
      </c>
      <c r="B144" s="127" t="e">
        <f t="array" ref="B144">_xlfn.XLOOKUP(E144,#REF!,#REF!)</f>
        <v>#REF!</v>
      </c>
      <c r="C144" s="7" t="s">
        <v>1053</v>
      </c>
      <c r="D144" s="7"/>
      <c r="E144" s="7" t="s">
        <v>486</v>
      </c>
      <c r="F144" s="128">
        <v>46208.59375</v>
      </c>
      <c r="G144" s="7" t="s">
        <v>1728</v>
      </c>
      <c r="H144" s="7" t="s">
        <v>1267</v>
      </c>
      <c r="I144" s="7" t="s">
        <v>1299</v>
      </c>
      <c r="J144" s="7" t="s">
        <v>1729</v>
      </c>
      <c r="L144" s="7" t="s">
        <v>1258</v>
      </c>
      <c r="M144" s="7" t="s">
        <v>1259</v>
      </c>
      <c r="N144" s="7" t="s">
        <v>1288</v>
      </c>
      <c r="O144" s="7">
        <v>3</v>
      </c>
      <c r="P144" s="7">
        <v>1</v>
      </c>
      <c r="Q144" s="7">
        <v>2</v>
      </c>
      <c r="R144" s="7">
        <v>2</v>
      </c>
      <c r="S144" s="7">
        <v>2</v>
      </c>
      <c r="T144" s="7">
        <v>2</v>
      </c>
      <c r="U144" s="7">
        <v>2</v>
      </c>
      <c r="V144" s="7">
        <v>3</v>
      </c>
      <c r="W144" s="7">
        <v>4</v>
      </c>
      <c r="X144" s="7">
        <v>4</v>
      </c>
      <c r="Y144" s="7">
        <v>3</v>
      </c>
      <c r="Z144" s="7">
        <v>3</v>
      </c>
      <c r="AA144" s="7">
        <v>2</v>
      </c>
      <c r="AB144" s="7">
        <v>2</v>
      </c>
      <c r="AC144" s="7">
        <v>4</v>
      </c>
      <c r="AD144" s="7">
        <v>3</v>
      </c>
      <c r="AE144" s="7" t="s">
        <v>1300</v>
      </c>
      <c r="AF144" s="7" t="s">
        <v>1262</v>
      </c>
      <c r="AG144" s="7" t="s">
        <v>1282</v>
      </c>
      <c r="AH144" s="7" t="s">
        <v>1730</v>
      </c>
      <c r="AI144" s="7" t="s">
        <v>1731</v>
      </c>
      <c r="AJ144" s="7"/>
    </row>
    <row r="145" spans="1:36" ht="15.75" customHeight="1">
      <c r="A145" s="48" t="b">
        <v>1</v>
      </c>
      <c r="B145" s="127" t="e">
        <f t="array" ref="B145">_xlfn.XLOOKUP(E145,#REF!,#REF!)</f>
        <v>#REF!</v>
      </c>
      <c r="C145" s="7" t="s">
        <v>889</v>
      </c>
      <c r="D145" s="7"/>
      <c r="E145" s="7" t="s">
        <v>585</v>
      </c>
      <c r="F145" s="128">
        <v>46208.605555555601</v>
      </c>
      <c r="G145" s="7" t="s">
        <v>1732</v>
      </c>
      <c r="H145" s="7" t="s">
        <v>1267</v>
      </c>
      <c r="I145" s="7" t="s">
        <v>1299</v>
      </c>
      <c r="J145" s="7" t="s">
        <v>1733</v>
      </c>
      <c r="K145" s="7" t="s">
        <v>1734</v>
      </c>
      <c r="L145" s="7" t="s">
        <v>1711</v>
      </c>
      <c r="M145" s="7" t="s">
        <v>1259</v>
      </c>
      <c r="N145" s="7" t="s">
        <v>1260</v>
      </c>
      <c r="O145" s="7">
        <v>2</v>
      </c>
      <c r="P145" s="7">
        <v>2</v>
      </c>
      <c r="Q145" s="7">
        <v>4</v>
      </c>
      <c r="R145" s="7">
        <v>1</v>
      </c>
      <c r="S145" s="7">
        <v>3</v>
      </c>
      <c r="T145" s="7">
        <v>2</v>
      </c>
      <c r="U145" s="7">
        <v>1</v>
      </c>
      <c r="V145" s="7">
        <v>1</v>
      </c>
      <c r="W145" s="7">
        <v>3</v>
      </c>
      <c r="X145" s="7">
        <v>3</v>
      </c>
      <c r="Y145" s="7">
        <v>2</v>
      </c>
      <c r="Z145" s="7">
        <v>3</v>
      </c>
      <c r="AA145" s="7">
        <v>2</v>
      </c>
      <c r="AB145" s="7">
        <v>3</v>
      </c>
      <c r="AC145" s="7">
        <v>3</v>
      </c>
      <c r="AD145" s="7">
        <v>2</v>
      </c>
      <c r="AE145" s="7" t="s">
        <v>1261</v>
      </c>
      <c r="AF145" s="7" t="s">
        <v>1735</v>
      </c>
      <c r="AG145" s="7" t="s">
        <v>1263</v>
      </c>
      <c r="AH145" s="7" t="s">
        <v>1736</v>
      </c>
      <c r="AI145" s="7" t="s">
        <v>1737</v>
      </c>
      <c r="AJ145" s="7"/>
    </row>
    <row r="146" spans="1:36" ht="15.75" customHeight="1">
      <c r="A146" s="48" t="b">
        <v>1</v>
      </c>
      <c r="B146" s="127" t="e">
        <f t="array" ref="B146">_xlfn.XLOOKUP(E146,#REF!,#REF!)</f>
        <v>#REF!</v>
      </c>
      <c r="C146" s="7" t="s">
        <v>964</v>
      </c>
      <c r="D146" s="7"/>
      <c r="E146" s="7" t="s">
        <v>570</v>
      </c>
      <c r="F146" s="128">
        <v>46208.6118055556</v>
      </c>
      <c r="G146" s="7" t="s">
        <v>1738</v>
      </c>
      <c r="H146" s="7" t="s">
        <v>1255</v>
      </c>
      <c r="I146" s="7" t="s">
        <v>1256</v>
      </c>
      <c r="J146" s="7" t="s">
        <v>1739</v>
      </c>
      <c r="L146" s="7" t="s">
        <v>1711</v>
      </c>
      <c r="M146" s="7" t="s">
        <v>1259</v>
      </c>
      <c r="N146" s="7" t="s">
        <v>1270</v>
      </c>
      <c r="O146" s="7">
        <v>2</v>
      </c>
      <c r="P146" s="7">
        <v>3</v>
      </c>
      <c r="Q146" s="7">
        <v>3</v>
      </c>
      <c r="R146" s="7">
        <v>2</v>
      </c>
      <c r="S146" s="7">
        <v>0</v>
      </c>
      <c r="T146" s="7">
        <v>0</v>
      </c>
      <c r="U146" s="7">
        <v>1</v>
      </c>
      <c r="V146" s="7">
        <v>1</v>
      </c>
      <c r="W146" s="7">
        <v>3</v>
      </c>
      <c r="X146" s="7">
        <v>3</v>
      </c>
      <c r="Y146" s="7">
        <v>2</v>
      </c>
      <c r="Z146" s="7">
        <v>2</v>
      </c>
      <c r="AA146" s="7">
        <v>1</v>
      </c>
      <c r="AB146" s="7">
        <v>0</v>
      </c>
      <c r="AC146" s="7">
        <v>2</v>
      </c>
      <c r="AD146" s="7">
        <v>3</v>
      </c>
      <c r="AE146" s="7" t="s">
        <v>1300</v>
      </c>
      <c r="AF146" s="7" t="s">
        <v>1740</v>
      </c>
      <c r="AG146" s="7" t="s">
        <v>1282</v>
      </c>
      <c r="AH146" s="7" t="s">
        <v>1741</v>
      </c>
      <c r="AI146" s="7" t="s">
        <v>1742</v>
      </c>
      <c r="AJ146" s="7"/>
    </row>
    <row r="147" spans="1:36" ht="15.75" customHeight="1">
      <c r="A147" s="48" t="b">
        <v>1</v>
      </c>
      <c r="B147" s="127" t="e">
        <f t="array" ref="B147">_xlfn.XLOOKUP(E147,#REF!,#REF!)</f>
        <v>#REF!</v>
      </c>
      <c r="C147" s="7" t="s">
        <v>1019</v>
      </c>
      <c r="D147" s="7"/>
      <c r="E147" s="7" t="s">
        <v>572</v>
      </c>
      <c r="F147" s="128">
        <v>46208.6118055556</v>
      </c>
      <c r="G147" s="7" t="s">
        <v>1743</v>
      </c>
      <c r="H147" s="7" t="s">
        <v>1255</v>
      </c>
      <c r="I147" s="7" t="s">
        <v>1256</v>
      </c>
      <c r="J147" s="7" t="s">
        <v>1729</v>
      </c>
      <c r="L147" s="7" t="s">
        <v>1711</v>
      </c>
      <c r="M147" s="7" t="s">
        <v>1259</v>
      </c>
      <c r="N147" s="7" t="s">
        <v>1270</v>
      </c>
      <c r="O147" s="7">
        <v>2</v>
      </c>
      <c r="P147" s="7">
        <v>3</v>
      </c>
      <c r="Q147" s="7">
        <v>2</v>
      </c>
      <c r="R147" s="7">
        <v>2</v>
      </c>
      <c r="S147" s="7">
        <v>0</v>
      </c>
      <c r="T147" s="7">
        <v>0</v>
      </c>
      <c r="U147" s="7">
        <v>1</v>
      </c>
      <c r="V147" s="7">
        <v>1</v>
      </c>
      <c r="W147" s="7">
        <v>3</v>
      </c>
      <c r="X147" s="7">
        <v>3</v>
      </c>
      <c r="Y147" s="7">
        <v>2</v>
      </c>
      <c r="Z147" s="7">
        <v>1</v>
      </c>
      <c r="AA147" s="7">
        <v>1</v>
      </c>
      <c r="AB147" s="7">
        <v>0</v>
      </c>
      <c r="AC147" s="7">
        <v>2</v>
      </c>
      <c r="AD147" s="7">
        <v>3</v>
      </c>
      <c r="AE147" s="7" t="s">
        <v>1295</v>
      </c>
      <c r="AF147" s="7" t="s">
        <v>1308</v>
      </c>
      <c r="AG147" s="7" t="s">
        <v>1282</v>
      </c>
      <c r="AH147" s="7" t="s">
        <v>1744</v>
      </c>
      <c r="AI147" s="7" t="s">
        <v>1745</v>
      </c>
      <c r="AJ147" s="7"/>
    </row>
    <row r="148" spans="1:36" ht="15.75" customHeight="1">
      <c r="A148" s="48" t="b">
        <v>1</v>
      </c>
      <c r="B148" s="127" t="e">
        <f t="array" ref="B148">_xlfn.XLOOKUP(E148,#REF!,#REF!)</f>
        <v>#REF!</v>
      </c>
      <c r="C148" s="7" t="s">
        <v>1186</v>
      </c>
      <c r="D148" s="7"/>
      <c r="E148" s="7" t="s">
        <v>78</v>
      </c>
      <c r="F148" s="128">
        <v>46208.612500000003</v>
      </c>
      <c r="G148" s="7" t="s">
        <v>1746</v>
      </c>
      <c r="H148" s="7" t="s">
        <v>1276</v>
      </c>
      <c r="I148" s="7" t="s">
        <v>1334</v>
      </c>
      <c r="J148" s="7" t="s">
        <v>1715</v>
      </c>
      <c r="L148" s="7" t="s">
        <v>1279</v>
      </c>
      <c r="M148" s="7" t="s">
        <v>1259</v>
      </c>
      <c r="N148" s="7" t="s">
        <v>1280</v>
      </c>
      <c r="O148" s="7">
        <v>2</v>
      </c>
      <c r="P148" s="7">
        <v>3</v>
      </c>
      <c r="Q148" s="7">
        <v>4</v>
      </c>
      <c r="R148" s="7">
        <v>4</v>
      </c>
      <c r="S148" s="7">
        <v>4</v>
      </c>
      <c r="T148" s="7">
        <v>3</v>
      </c>
      <c r="U148" s="7">
        <v>3</v>
      </c>
      <c r="V148" s="7">
        <v>3</v>
      </c>
      <c r="W148" s="7">
        <v>1</v>
      </c>
      <c r="X148" s="7">
        <v>0</v>
      </c>
      <c r="Y148" s="7">
        <v>3</v>
      </c>
      <c r="Z148" s="7">
        <v>3</v>
      </c>
      <c r="AA148" s="7">
        <v>4</v>
      </c>
      <c r="AB148" s="7">
        <v>1</v>
      </c>
      <c r="AC148" s="7">
        <v>1</v>
      </c>
      <c r="AD148" s="7">
        <v>1</v>
      </c>
      <c r="AE148" s="7" t="s">
        <v>1300</v>
      </c>
      <c r="AF148" s="7" t="s">
        <v>1747</v>
      </c>
      <c r="AG148" s="7" t="s">
        <v>1282</v>
      </c>
      <c r="AH148" s="7" t="s">
        <v>1748</v>
      </c>
      <c r="AI148" s="7" t="s">
        <v>1749</v>
      </c>
      <c r="AJ148" s="7"/>
    </row>
    <row r="149" spans="1:36" ht="15.75" customHeight="1">
      <c r="A149" s="48" t="b">
        <v>1</v>
      </c>
      <c r="B149" s="127" t="e">
        <f t="array" ref="B149">_xlfn.XLOOKUP(E149,#REF!,#REF!)</f>
        <v>#REF!</v>
      </c>
      <c r="C149" s="7" t="s">
        <v>893</v>
      </c>
      <c r="D149" s="7"/>
      <c r="E149" s="7" t="s">
        <v>117</v>
      </c>
      <c r="F149" s="128">
        <v>46208.619444444397</v>
      </c>
      <c r="G149" s="7" t="s">
        <v>1424</v>
      </c>
      <c r="H149" s="7" t="s">
        <v>1276</v>
      </c>
      <c r="I149" s="7" t="s">
        <v>1334</v>
      </c>
      <c r="J149" s="7" t="s">
        <v>1750</v>
      </c>
      <c r="L149" s="7" t="s">
        <v>1279</v>
      </c>
      <c r="M149" s="7" t="s">
        <v>1294</v>
      </c>
      <c r="N149" s="7" t="s">
        <v>1280</v>
      </c>
      <c r="O149" s="7">
        <v>0</v>
      </c>
      <c r="P149" s="7">
        <v>0</v>
      </c>
      <c r="Q149" s="7">
        <v>3</v>
      </c>
      <c r="R149" s="7">
        <v>4</v>
      </c>
      <c r="S149" s="7">
        <v>4</v>
      </c>
      <c r="T149" s="7">
        <v>3</v>
      </c>
      <c r="U149" s="7">
        <v>3</v>
      </c>
      <c r="V149" s="7">
        <v>2</v>
      </c>
      <c r="W149" s="7">
        <v>3</v>
      </c>
      <c r="X149" s="7">
        <v>3</v>
      </c>
      <c r="Y149" s="7">
        <v>3</v>
      </c>
      <c r="Z149" s="7">
        <v>3</v>
      </c>
      <c r="AA149" s="7">
        <v>3</v>
      </c>
      <c r="AB149" s="7">
        <v>4</v>
      </c>
      <c r="AC149" s="7">
        <v>4</v>
      </c>
      <c r="AD149" s="7">
        <v>4</v>
      </c>
      <c r="AE149" s="7" t="s">
        <v>1261</v>
      </c>
      <c r="AF149" s="7" t="s">
        <v>1740</v>
      </c>
      <c r="AG149" s="7" t="s">
        <v>1282</v>
      </c>
      <c r="AH149" s="7" t="s">
        <v>875</v>
      </c>
      <c r="AI149" s="7" t="s">
        <v>1424</v>
      </c>
      <c r="AJ149" s="7"/>
    </row>
    <row r="150" spans="1:36" ht="15.75" customHeight="1">
      <c r="A150" s="48" t="b">
        <v>1</v>
      </c>
      <c r="B150" s="127" t="e">
        <f t="array" ref="B150">_xlfn.XLOOKUP(E150,#REF!,#REF!)</f>
        <v>#REF!</v>
      </c>
      <c r="C150" s="7" t="s">
        <v>1127</v>
      </c>
      <c r="D150" s="7"/>
      <c r="E150" s="7" t="s">
        <v>236</v>
      </c>
      <c r="F150" s="128">
        <v>46208.636111111096</v>
      </c>
      <c r="G150" s="7" t="s">
        <v>1751</v>
      </c>
      <c r="H150" s="7" t="s">
        <v>1276</v>
      </c>
      <c r="I150" s="7" t="s">
        <v>1334</v>
      </c>
      <c r="J150" s="7" t="s">
        <v>1268</v>
      </c>
      <c r="L150" s="7" t="s">
        <v>1279</v>
      </c>
      <c r="M150" s="7" t="s">
        <v>1294</v>
      </c>
      <c r="N150" s="7" t="s">
        <v>1280</v>
      </c>
      <c r="O150" s="7">
        <v>0</v>
      </c>
      <c r="P150" s="7">
        <v>0</v>
      </c>
      <c r="Q150" s="7">
        <v>1</v>
      </c>
      <c r="R150" s="7">
        <v>0</v>
      </c>
      <c r="S150" s="7">
        <v>0</v>
      </c>
      <c r="T150" s="7">
        <v>0</v>
      </c>
      <c r="U150" s="7">
        <v>1</v>
      </c>
      <c r="V150" s="7">
        <v>0</v>
      </c>
      <c r="W150" s="7">
        <v>2</v>
      </c>
      <c r="X150" s="7">
        <v>2</v>
      </c>
      <c r="Y150" s="7">
        <v>1</v>
      </c>
      <c r="Z150" s="7">
        <v>2</v>
      </c>
      <c r="AA150" s="7">
        <v>0</v>
      </c>
      <c r="AB150" s="7">
        <v>0</v>
      </c>
      <c r="AC150" s="7">
        <v>0</v>
      </c>
      <c r="AD150" s="7">
        <v>0</v>
      </c>
      <c r="AE150" s="7" t="s">
        <v>1261</v>
      </c>
      <c r="AF150" s="7" t="s">
        <v>1308</v>
      </c>
      <c r="AG150" s="7" t="s">
        <v>1263</v>
      </c>
      <c r="AH150" s="7" t="s">
        <v>1752</v>
      </c>
      <c r="AI150" s="7" t="s">
        <v>1753</v>
      </c>
      <c r="AJ150" s="7"/>
    </row>
    <row r="151" spans="1:36" ht="15.75" customHeight="1">
      <c r="A151" s="48" t="b">
        <v>1</v>
      </c>
      <c r="B151" s="127" t="e">
        <f t="array" ref="B151">_xlfn.XLOOKUP(E151,#REF!,#REF!)</f>
        <v>#REF!</v>
      </c>
      <c r="C151" s="7" t="s">
        <v>1184</v>
      </c>
      <c r="D151" s="7"/>
      <c r="E151" s="7" t="s">
        <v>568</v>
      </c>
      <c r="F151" s="128">
        <v>46208.636805555601</v>
      </c>
      <c r="G151" s="7" t="s">
        <v>1754</v>
      </c>
      <c r="H151" s="7" t="s">
        <v>1267</v>
      </c>
      <c r="I151" s="7" t="s">
        <v>1299</v>
      </c>
      <c r="J151" s="7" t="s">
        <v>1755</v>
      </c>
      <c r="L151" s="7" t="s">
        <v>1711</v>
      </c>
      <c r="M151" s="7" t="s">
        <v>1259</v>
      </c>
      <c r="N151" s="7" t="s">
        <v>1260</v>
      </c>
      <c r="O151" s="7">
        <v>3</v>
      </c>
      <c r="P151" s="7">
        <v>1</v>
      </c>
      <c r="Q151" s="7">
        <v>3</v>
      </c>
      <c r="R151" s="7">
        <v>3</v>
      </c>
      <c r="S151" s="7">
        <v>1</v>
      </c>
      <c r="T151" s="7">
        <v>1</v>
      </c>
      <c r="U151" s="7">
        <v>3</v>
      </c>
      <c r="V151" s="7">
        <v>3</v>
      </c>
      <c r="W151" s="7">
        <v>4</v>
      </c>
      <c r="X151" s="7">
        <v>4</v>
      </c>
      <c r="Y151" s="7">
        <v>3</v>
      </c>
      <c r="Z151" s="7">
        <v>4</v>
      </c>
      <c r="AA151" s="7">
        <v>2</v>
      </c>
      <c r="AB151" s="7">
        <v>2</v>
      </c>
      <c r="AC151" s="7">
        <v>4</v>
      </c>
      <c r="AD151" s="7">
        <v>3</v>
      </c>
      <c r="AE151" s="7" t="s">
        <v>1261</v>
      </c>
      <c r="AF151" s="7" t="s">
        <v>1697</v>
      </c>
      <c r="AG151" s="7" t="s">
        <v>1363</v>
      </c>
      <c r="AH151" s="7" t="s">
        <v>1756</v>
      </c>
      <c r="AI151" s="7" t="s">
        <v>1266</v>
      </c>
      <c r="AJ151" s="7"/>
    </row>
    <row r="152" spans="1:36" ht="15.75" customHeight="1">
      <c r="A152" s="48" t="b">
        <v>1</v>
      </c>
      <c r="B152" s="127" t="e">
        <f t="array" ref="B152">_xlfn.XLOOKUP(E152,#REF!,#REF!)</f>
        <v>#REF!</v>
      </c>
      <c r="C152" s="7" t="s">
        <v>960</v>
      </c>
      <c r="D152" s="7"/>
      <c r="E152" s="7" t="s">
        <v>548</v>
      </c>
      <c r="F152" s="128">
        <v>46208.636805555601</v>
      </c>
      <c r="G152" s="7" t="s">
        <v>1757</v>
      </c>
      <c r="H152" s="7" t="s">
        <v>1267</v>
      </c>
      <c r="I152" s="7" t="s">
        <v>1392</v>
      </c>
      <c r="J152" s="7" t="s">
        <v>1755</v>
      </c>
      <c r="L152" s="7" t="s">
        <v>1711</v>
      </c>
      <c r="M152" s="7" t="s">
        <v>1259</v>
      </c>
      <c r="N152" s="7" t="s">
        <v>1260</v>
      </c>
      <c r="O152" s="7">
        <v>2</v>
      </c>
      <c r="P152" s="7">
        <v>2</v>
      </c>
      <c r="Q152" s="7">
        <v>4</v>
      </c>
      <c r="R152" s="7">
        <v>4</v>
      </c>
      <c r="S152" s="7">
        <v>1</v>
      </c>
      <c r="T152" s="7">
        <v>1</v>
      </c>
      <c r="U152" s="7">
        <v>4</v>
      </c>
      <c r="V152" s="7">
        <v>3</v>
      </c>
      <c r="W152" s="7">
        <v>4</v>
      </c>
      <c r="X152" s="7">
        <v>4</v>
      </c>
      <c r="Y152" s="7">
        <v>3</v>
      </c>
      <c r="Z152" s="7">
        <v>4</v>
      </c>
      <c r="AA152" s="7">
        <v>2</v>
      </c>
      <c r="AB152" s="7">
        <v>2</v>
      </c>
      <c r="AC152" s="7">
        <v>4</v>
      </c>
      <c r="AD152" s="7">
        <v>3</v>
      </c>
      <c r="AE152" s="7" t="s">
        <v>1261</v>
      </c>
      <c r="AF152" s="7" t="s">
        <v>1262</v>
      </c>
      <c r="AG152" s="7" t="s">
        <v>1363</v>
      </c>
      <c r="AH152" s="7" t="s">
        <v>1756</v>
      </c>
      <c r="AI152" s="7" t="s">
        <v>1266</v>
      </c>
      <c r="AJ152" s="7"/>
    </row>
    <row r="153" spans="1:36" ht="15.75" customHeight="1">
      <c r="A153" s="48" t="b">
        <v>1</v>
      </c>
      <c r="B153" s="127" t="e">
        <f t="array" ref="B153">_xlfn.XLOOKUP(E153,#REF!,#REF!)</f>
        <v>#REF!</v>
      </c>
      <c r="C153" s="7" t="s">
        <v>1758</v>
      </c>
      <c r="D153" s="7"/>
      <c r="E153" s="7" t="s">
        <v>778</v>
      </c>
      <c r="F153" s="128">
        <v>46208.649305555598</v>
      </c>
      <c r="G153" s="7" t="s">
        <v>1759</v>
      </c>
      <c r="H153" s="7" t="s">
        <v>1276</v>
      </c>
      <c r="I153" s="7" t="s">
        <v>1277</v>
      </c>
      <c r="J153" s="7" t="s">
        <v>1750</v>
      </c>
      <c r="L153" s="7" t="s">
        <v>1279</v>
      </c>
      <c r="M153" s="7" t="s">
        <v>1294</v>
      </c>
      <c r="N153" s="7" t="s">
        <v>1280</v>
      </c>
      <c r="O153" s="7">
        <v>0</v>
      </c>
      <c r="P153" s="7">
        <v>0</v>
      </c>
      <c r="Q153" s="7">
        <v>3</v>
      </c>
      <c r="R153" s="7">
        <v>2</v>
      </c>
      <c r="S153" s="7">
        <v>2</v>
      </c>
      <c r="T153" s="7">
        <v>1</v>
      </c>
      <c r="U153" s="7">
        <v>0</v>
      </c>
      <c r="V153" s="7">
        <v>2</v>
      </c>
      <c r="W153" s="7">
        <v>1</v>
      </c>
      <c r="X153" s="7">
        <v>1</v>
      </c>
      <c r="Y153" s="7">
        <v>1</v>
      </c>
      <c r="Z153" s="7">
        <v>1</v>
      </c>
      <c r="AA153" s="7">
        <v>1</v>
      </c>
      <c r="AB153" s="7">
        <v>1</v>
      </c>
      <c r="AC153" s="7">
        <v>1</v>
      </c>
      <c r="AD153" s="7">
        <v>0</v>
      </c>
      <c r="AE153" s="7" t="s">
        <v>1307</v>
      </c>
      <c r="AF153" s="7" t="s">
        <v>1706</v>
      </c>
      <c r="AG153" s="7" t="s">
        <v>1282</v>
      </c>
      <c r="AH153" s="7" t="s">
        <v>1760</v>
      </c>
      <c r="AI153" s="7" t="s">
        <v>1291</v>
      </c>
      <c r="AJ153" s="7"/>
    </row>
    <row r="154" spans="1:36" ht="15.75" customHeight="1">
      <c r="A154" s="48" t="b">
        <v>1</v>
      </c>
      <c r="B154" s="127" t="e">
        <f t="array" ref="B154">_xlfn.XLOOKUP(E154,#REF!,#REF!)</f>
        <v>#REF!</v>
      </c>
      <c r="C154" s="7" t="s">
        <v>1064</v>
      </c>
      <c r="D154" s="7"/>
      <c r="E154" s="7" t="s">
        <v>214</v>
      </c>
      <c r="F154" s="128">
        <v>46208.653472222199</v>
      </c>
      <c r="G154" s="7" t="s">
        <v>1761</v>
      </c>
      <c r="H154" s="7" t="s">
        <v>1276</v>
      </c>
      <c r="I154" s="7" t="s">
        <v>1334</v>
      </c>
      <c r="J154" s="7" t="s">
        <v>1268</v>
      </c>
      <c r="L154" s="7" t="s">
        <v>1279</v>
      </c>
      <c r="M154" s="7" t="s">
        <v>1294</v>
      </c>
      <c r="N154" s="7" t="s">
        <v>1260</v>
      </c>
      <c r="O154" s="7">
        <v>2</v>
      </c>
      <c r="P154" s="7">
        <v>0</v>
      </c>
      <c r="Q154" s="7">
        <v>2</v>
      </c>
      <c r="R154" s="7">
        <v>2</v>
      </c>
      <c r="S154" s="7">
        <v>1</v>
      </c>
      <c r="T154" s="7">
        <v>1</v>
      </c>
      <c r="U154" s="7">
        <v>1</v>
      </c>
      <c r="V154" s="7">
        <v>2</v>
      </c>
      <c r="W154" s="7">
        <v>3</v>
      </c>
      <c r="X154" s="7">
        <v>3</v>
      </c>
      <c r="Y154" s="7">
        <v>2</v>
      </c>
      <c r="Z154" s="7">
        <v>2</v>
      </c>
      <c r="AA154" s="7">
        <v>1</v>
      </c>
      <c r="AB154" s="7">
        <v>1</v>
      </c>
      <c r="AC154" s="7">
        <v>3</v>
      </c>
      <c r="AD154" s="7">
        <v>2</v>
      </c>
      <c r="AE154" s="7" t="s">
        <v>1307</v>
      </c>
      <c r="AF154" s="7" t="s">
        <v>1624</v>
      </c>
      <c r="AG154" s="7" t="s">
        <v>1263</v>
      </c>
      <c r="AH154" s="7" t="s">
        <v>1762</v>
      </c>
      <c r="AI154" s="7" t="s">
        <v>1291</v>
      </c>
      <c r="AJ154" s="7"/>
    </row>
    <row r="155" spans="1:36" ht="15.75" customHeight="1">
      <c r="A155" s="48" t="b">
        <v>1</v>
      </c>
      <c r="B155" s="127" t="e">
        <f t="array" ref="B155">_xlfn.XLOOKUP(E155,#REF!,#REF!)</f>
        <v>#REF!</v>
      </c>
      <c r="C155" s="7" t="s">
        <v>1057</v>
      </c>
      <c r="D155" s="7"/>
      <c r="E155" s="7" t="s">
        <v>738</v>
      </c>
      <c r="F155" s="128">
        <v>46208.659027777801</v>
      </c>
      <c r="G155" s="7" t="s">
        <v>1763</v>
      </c>
      <c r="H155" s="7" t="s">
        <v>1276</v>
      </c>
      <c r="I155" s="7" t="s">
        <v>1277</v>
      </c>
      <c r="J155" s="7" t="s">
        <v>1764</v>
      </c>
      <c r="L155" s="7" t="s">
        <v>1258</v>
      </c>
      <c r="M155" s="7" t="s">
        <v>1259</v>
      </c>
      <c r="N155" s="7" t="s">
        <v>1288</v>
      </c>
      <c r="O155" s="7">
        <v>0</v>
      </c>
      <c r="P155" s="7">
        <v>2</v>
      </c>
      <c r="Q155" s="7">
        <v>3</v>
      </c>
      <c r="R155" s="7">
        <v>4</v>
      </c>
      <c r="S155" s="7">
        <v>3</v>
      </c>
      <c r="T155" s="7">
        <v>2</v>
      </c>
      <c r="U155" s="7">
        <v>2</v>
      </c>
      <c r="V155" s="7">
        <v>3</v>
      </c>
      <c r="W155" s="7">
        <v>3</v>
      </c>
      <c r="X155" s="7">
        <v>3</v>
      </c>
      <c r="Y155" s="7">
        <v>3</v>
      </c>
      <c r="Z155" s="7">
        <v>4</v>
      </c>
      <c r="AA155" s="7">
        <v>3</v>
      </c>
      <c r="AB155" s="7">
        <v>3</v>
      </c>
      <c r="AC155" s="7">
        <v>2</v>
      </c>
      <c r="AD155" s="7">
        <v>3</v>
      </c>
      <c r="AE155" s="7" t="s">
        <v>1300</v>
      </c>
      <c r="AF155" s="7" t="s">
        <v>1765</v>
      </c>
      <c r="AG155" s="7" t="s">
        <v>1282</v>
      </c>
      <c r="AH155" s="7" t="s">
        <v>1766</v>
      </c>
      <c r="AI155" s="7" t="s">
        <v>1767</v>
      </c>
      <c r="AJ155" s="7"/>
    </row>
    <row r="156" spans="1:36" ht="15.75" customHeight="1">
      <c r="A156" s="48" t="b">
        <v>1</v>
      </c>
      <c r="B156" s="127" t="e">
        <f t="array" ref="B156">_xlfn.XLOOKUP(E156,#REF!,#REF!)</f>
        <v>#REF!</v>
      </c>
      <c r="C156" s="7" t="s">
        <v>1042</v>
      </c>
      <c r="D156" s="7"/>
      <c r="E156" s="7" t="s">
        <v>389</v>
      </c>
      <c r="F156" s="128">
        <v>46208.6652777778</v>
      </c>
      <c r="G156" s="7" t="s">
        <v>1768</v>
      </c>
      <c r="H156" s="7" t="s">
        <v>1276</v>
      </c>
      <c r="I156" s="7" t="s">
        <v>1256</v>
      </c>
      <c r="J156" s="7" t="s">
        <v>1769</v>
      </c>
      <c r="L156" s="7" t="s">
        <v>1711</v>
      </c>
      <c r="M156" s="7" t="s">
        <v>1259</v>
      </c>
      <c r="N156" s="7" t="s">
        <v>1270</v>
      </c>
      <c r="O156" s="7">
        <v>1</v>
      </c>
      <c r="P156" s="7">
        <v>2</v>
      </c>
      <c r="Q156" s="7">
        <v>3</v>
      </c>
      <c r="R156" s="7">
        <v>3</v>
      </c>
      <c r="S156" s="7">
        <v>2</v>
      </c>
      <c r="T156" s="7">
        <v>0</v>
      </c>
      <c r="U156" s="7">
        <v>1</v>
      </c>
      <c r="V156" s="7">
        <v>3</v>
      </c>
      <c r="W156" s="7">
        <v>3</v>
      </c>
      <c r="X156" s="7">
        <v>3</v>
      </c>
      <c r="Y156" s="7">
        <v>2</v>
      </c>
      <c r="Z156" s="7">
        <v>1</v>
      </c>
      <c r="AA156" s="7">
        <v>1</v>
      </c>
      <c r="AB156" s="7">
        <v>1</v>
      </c>
      <c r="AC156" s="7">
        <v>3</v>
      </c>
      <c r="AD156" s="7">
        <v>2</v>
      </c>
      <c r="AE156" s="7" t="s">
        <v>1300</v>
      </c>
      <c r="AF156" s="7" t="s">
        <v>1770</v>
      </c>
      <c r="AG156" s="7" t="s">
        <v>1272</v>
      </c>
      <c r="AH156" s="7" t="s">
        <v>1771</v>
      </c>
      <c r="AI156" s="7" t="s">
        <v>1265</v>
      </c>
      <c r="AJ156" s="7"/>
    </row>
    <row r="157" spans="1:36" ht="15.75" customHeight="1">
      <c r="A157" s="48" t="b">
        <v>1</v>
      </c>
      <c r="B157" s="127" t="e">
        <f t="array" ref="B157">_xlfn.XLOOKUP(E157,#REF!,#REF!)</f>
        <v>#REF!</v>
      </c>
      <c r="C157" s="7" t="s">
        <v>987</v>
      </c>
      <c r="D157" s="7"/>
      <c r="E157" s="7" t="s">
        <v>675</v>
      </c>
      <c r="F157" s="128">
        <v>46208.676388888904</v>
      </c>
      <c r="G157" s="7" t="s">
        <v>1615</v>
      </c>
      <c r="H157" s="7" t="s">
        <v>1255</v>
      </c>
      <c r="I157" s="7" t="s">
        <v>1277</v>
      </c>
      <c r="J157" s="7" t="s">
        <v>1772</v>
      </c>
      <c r="L157" s="7" t="s">
        <v>1258</v>
      </c>
      <c r="M157" s="7" t="s">
        <v>1259</v>
      </c>
      <c r="N157" s="7" t="s">
        <v>1260</v>
      </c>
      <c r="O157" s="7">
        <v>4</v>
      </c>
      <c r="P157" s="7">
        <v>2</v>
      </c>
      <c r="Q157" s="7">
        <v>2</v>
      </c>
      <c r="R157" s="7">
        <v>3</v>
      </c>
      <c r="S157" s="7">
        <v>1</v>
      </c>
      <c r="T157" s="7">
        <v>1</v>
      </c>
      <c r="U157" s="7">
        <v>1</v>
      </c>
      <c r="V157" s="7">
        <v>1</v>
      </c>
      <c r="W157" s="7">
        <v>4</v>
      </c>
      <c r="X157" s="7">
        <v>4</v>
      </c>
      <c r="Y157" s="7">
        <v>4</v>
      </c>
      <c r="Z157" s="7">
        <v>3</v>
      </c>
      <c r="AA157" s="7">
        <v>2</v>
      </c>
      <c r="AB157" s="7">
        <v>1</v>
      </c>
      <c r="AC157" s="7">
        <v>4</v>
      </c>
      <c r="AD157" s="7">
        <v>2</v>
      </c>
      <c r="AE157" s="7" t="s">
        <v>1300</v>
      </c>
      <c r="AF157" s="7" t="s">
        <v>1697</v>
      </c>
      <c r="AG157" s="7" t="s">
        <v>1272</v>
      </c>
      <c r="AH157" s="7" t="s">
        <v>875</v>
      </c>
      <c r="AI157" s="7" t="s">
        <v>875</v>
      </c>
      <c r="AJ157" s="7"/>
    </row>
    <row r="158" spans="1:36" ht="15.75" customHeight="1">
      <c r="A158" s="48" t="b">
        <v>1</v>
      </c>
      <c r="B158" s="127" t="e">
        <f t="array" ref="B158">_xlfn.XLOOKUP(E158,#REF!,#REF!)</f>
        <v>#REF!</v>
      </c>
      <c r="C158" s="7" t="s">
        <v>979</v>
      </c>
      <c r="D158" s="7"/>
      <c r="E158" s="7" t="s">
        <v>761</v>
      </c>
      <c r="F158" s="128">
        <v>46208.6784722222</v>
      </c>
      <c r="G158" s="7" t="s">
        <v>1773</v>
      </c>
      <c r="H158" s="7" t="s">
        <v>1276</v>
      </c>
      <c r="I158" s="7" t="s">
        <v>1334</v>
      </c>
      <c r="J158" s="7" t="s">
        <v>1268</v>
      </c>
      <c r="L158" s="7" t="s">
        <v>1279</v>
      </c>
      <c r="M158" s="7" t="s">
        <v>1294</v>
      </c>
      <c r="N158" s="7" t="s">
        <v>1280</v>
      </c>
      <c r="O158" s="7">
        <v>0</v>
      </c>
      <c r="P158" s="7">
        <v>0</v>
      </c>
      <c r="Q158" s="7">
        <v>1</v>
      </c>
      <c r="R158" s="7">
        <v>0</v>
      </c>
      <c r="S158" s="7">
        <v>1</v>
      </c>
      <c r="T158" s="7">
        <v>1</v>
      </c>
      <c r="U158" s="7">
        <v>0</v>
      </c>
      <c r="V158" s="7">
        <v>1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 t="s">
        <v>1307</v>
      </c>
      <c r="AF158" s="7" t="s">
        <v>1301</v>
      </c>
      <c r="AG158" s="7" t="s">
        <v>1282</v>
      </c>
      <c r="AH158" s="7" t="s">
        <v>1774</v>
      </c>
      <c r="AI158" s="7" t="s">
        <v>875</v>
      </c>
      <c r="AJ158" s="7"/>
    </row>
    <row r="159" spans="1:36" ht="15.75" customHeight="1">
      <c r="A159" s="48" t="b">
        <v>1</v>
      </c>
      <c r="B159" s="127" t="e">
        <f t="array" ref="B159">_xlfn.XLOOKUP(E159,#REF!,#REF!)</f>
        <v>#REF!</v>
      </c>
      <c r="C159" s="7" t="s">
        <v>1063</v>
      </c>
      <c r="D159" s="7"/>
      <c r="E159" s="7" t="s">
        <v>75</v>
      </c>
      <c r="F159" s="128">
        <v>46208.682638888902</v>
      </c>
      <c r="G159" s="7" t="s">
        <v>1775</v>
      </c>
      <c r="H159" s="7" t="s">
        <v>1276</v>
      </c>
      <c r="I159" s="7" t="s">
        <v>1299</v>
      </c>
      <c r="J159" s="7" t="s">
        <v>1293</v>
      </c>
      <c r="L159" s="7" t="s">
        <v>1258</v>
      </c>
      <c r="M159" s="7" t="s">
        <v>1259</v>
      </c>
      <c r="N159" s="7" t="s">
        <v>1288</v>
      </c>
      <c r="O159" s="7">
        <v>2</v>
      </c>
      <c r="P159" s="7">
        <v>2</v>
      </c>
      <c r="Q159" s="7">
        <v>3</v>
      </c>
      <c r="R159" s="7">
        <v>2</v>
      </c>
      <c r="S159" s="7">
        <v>3</v>
      </c>
      <c r="T159" s="7">
        <v>0</v>
      </c>
      <c r="U159" s="7">
        <v>1</v>
      </c>
      <c r="V159" s="7">
        <v>2</v>
      </c>
      <c r="W159" s="7">
        <v>3</v>
      </c>
      <c r="X159" s="7">
        <v>2</v>
      </c>
      <c r="Y159" s="7">
        <v>3</v>
      </c>
      <c r="Z159" s="7">
        <v>2</v>
      </c>
      <c r="AA159" s="7">
        <v>2</v>
      </c>
      <c r="AB159" s="7">
        <v>1</v>
      </c>
      <c r="AC159" s="7">
        <v>3</v>
      </c>
      <c r="AD159" s="7">
        <v>1</v>
      </c>
      <c r="AE159" s="7" t="s">
        <v>1300</v>
      </c>
      <c r="AF159" s="7" t="s">
        <v>1735</v>
      </c>
      <c r="AG159" s="7" t="s">
        <v>1282</v>
      </c>
      <c r="AH159" s="7" t="s">
        <v>1776</v>
      </c>
      <c r="AI159" s="7" t="s">
        <v>1777</v>
      </c>
      <c r="AJ159" s="7"/>
    </row>
    <row r="160" spans="1:36" ht="15.75" customHeight="1">
      <c r="A160" s="48" t="b">
        <v>1</v>
      </c>
      <c r="B160" s="127" t="e">
        <f t="array" ref="B160">_xlfn.XLOOKUP(E160,#REF!,#REF!)</f>
        <v>#REF!</v>
      </c>
      <c r="C160" s="7" t="s">
        <v>1086</v>
      </c>
      <c r="D160" s="7"/>
      <c r="E160" s="7" t="s">
        <v>88</v>
      </c>
      <c r="F160" s="128">
        <v>46208.691666666702</v>
      </c>
      <c r="G160" s="7" t="s">
        <v>1778</v>
      </c>
      <c r="H160" s="7" t="s">
        <v>1276</v>
      </c>
      <c r="I160" s="7" t="s">
        <v>1299</v>
      </c>
      <c r="J160" s="7" t="s">
        <v>1293</v>
      </c>
      <c r="L160" s="7" t="s">
        <v>1258</v>
      </c>
      <c r="M160" s="7" t="s">
        <v>1294</v>
      </c>
      <c r="N160" s="7" t="s">
        <v>1280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2</v>
      </c>
      <c r="W160" s="7">
        <v>4</v>
      </c>
      <c r="X160" s="7">
        <v>4</v>
      </c>
      <c r="Y160" s="7">
        <v>2</v>
      </c>
      <c r="Z160" s="7">
        <v>2</v>
      </c>
      <c r="AA160" s="7">
        <v>1</v>
      </c>
      <c r="AB160" s="7">
        <v>0</v>
      </c>
      <c r="AC160" s="7">
        <v>3</v>
      </c>
      <c r="AD160" s="7">
        <v>0</v>
      </c>
      <c r="AE160" s="7" t="s">
        <v>1307</v>
      </c>
      <c r="AF160" s="7" t="s">
        <v>1262</v>
      </c>
      <c r="AG160" s="7" t="s">
        <v>1272</v>
      </c>
      <c r="AH160" s="7" t="s">
        <v>1779</v>
      </c>
      <c r="AI160" s="7" t="s">
        <v>1780</v>
      </c>
      <c r="AJ160" s="7"/>
    </row>
    <row r="161" spans="1:36" ht="15.75" customHeight="1">
      <c r="A161" s="48" t="b">
        <v>1</v>
      </c>
      <c r="B161" s="127" t="e">
        <f t="array" ref="B161">_xlfn.XLOOKUP(E161,#REF!,#REF!)</f>
        <v>#REF!</v>
      </c>
      <c r="C161" s="7" t="s">
        <v>1104</v>
      </c>
      <c r="D161" s="7"/>
      <c r="E161" s="7" t="s">
        <v>24</v>
      </c>
      <c r="F161" s="128">
        <v>46208.702083333301</v>
      </c>
      <c r="G161" s="7" t="s">
        <v>1781</v>
      </c>
      <c r="H161" s="7" t="s">
        <v>1255</v>
      </c>
      <c r="I161" s="7" t="s">
        <v>1256</v>
      </c>
      <c r="J161" s="7" t="s">
        <v>1782</v>
      </c>
      <c r="L161" s="7" t="s">
        <v>1711</v>
      </c>
      <c r="M161" s="7" t="s">
        <v>1259</v>
      </c>
      <c r="N161" s="7" t="s">
        <v>1260</v>
      </c>
      <c r="O161" s="7">
        <v>2</v>
      </c>
      <c r="P161" s="7">
        <v>4</v>
      </c>
      <c r="Q161" s="7">
        <v>3</v>
      </c>
      <c r="R161" s="7">
        <v>3</v>
      </c>
      <c r="S161" s="7">
        <v>3</v>
      </c>
      <c r="T161" s="7">
        <v>2</v>
      </c>
      <c r="U161" s="7">
        <v>2</v>
      </c>
      <c r="V161" s="7">
        <v>3</v>
      </c>
      <c r="W161" s="7">
        <v>4</v>
      </c>
      <c r="X161" s="7">
        <v>4</v>
      </c>
      <c r="Y161" s="7">
        <v>2</v>
      </c>
      <c r="Z161" s="7">
        <v>3</v>
      </c>
      <c r="AA161" s="7">
        <v>2</v>
      </c>
      <c r="AB161" s="7">
        <v>2</v>
      </c>
      <c r="AC161" s="7">
        <v>3</v>
      </c>
      <c r="AD161" s="7">
        <v>2</v>
      </c>
      <c r="AE161" s="7" t="s">
        <v>1300</v>
      </c>
      <c r="AF161" s="7" t="s">
        <v>1783</v>
      </c>
      <c r="AG161" s="7" t="s">
        <v>1263</v>
      </c>
      <c r="AH161" s="7" t="s">
        <v>1784</v>
      </c>
      <c r="AI161" s="7" t="s">
        <v>1785</v>
      </c>
      <c r="AJ161" s="7"/>
    </row>
    <row r="162" spans="1:36" ht="15.75" customHeight="1">
      <c r="A162" s="48" t="b">
        <v>1</v>
      </c>
      <c r="B162" s="127" t="e">
        <f t="array" ref="B162">_xlfn.XLOOKUP(E162,#REF!,#REF!)</f>
        <v>#REF!</v>
      </c>
      <c r="C162" s="7" t="s">
        <v>929</v>
      </c>
      <c r="D162" s="7"/>
      <c r="E162" s="7" t="s">
        <v>22</v>
      </c>
      <c r="F162" s="128">
        <v>46208.748611111099</v>
      </c>
      <c r="G162" s="7" t="s">
        <v>1786</v>
      </c>
      <c r="H162" s="7" t="s">
        <v>1255</v>
      </c>
      <c r="I162" s="7" t="s">
        <v>1299</v>
      </c>
      <c r="J162" s="7" t="s">
        <v>1787</v>
      </c>
      <c r="L162" s="7" t="s">
        <v>1711</v>
      </c>
      <c r="M162" s="7" t="s">
        <v>1259</v>
      </c>
      <c r="N162" s="7" t="s">
        <v>1270</v>
      </c>
      <c r="O162" s="7">
        <v>4</v>
      </c>
      <c r="P162" s="7">
        <v>4</v>
      </c>
      <c r="Q162" s="7">
        <v>4</v>
      </c>
      <c r="R162" s="7">
        <v>3</v>
      </c>
      <c r="S162" s="7">
        <v>4</v>
      </c>
      <c r="T162" s="7">
        <v>4</v>
      </c>
      <c r="U162" s="7">
        <v>2</v>
      </c>
      <c r="V162" s="7">
        <v>2</v>
      </c>
      <c r="W162" s="7">
        <v>3</v>
      </c>
      <c r="X162" s="7">
        <v>3</v>
      </c>
      <c r="Y162" s="7">
        <v>3</v>
      </c>
      <c r="Z162" s="7">
        <v>3</v>
      </c>
      <c r="AA162" s="7">
        <v>2</v>
      </c>
      <c r="AB162" s="7">
        <v>3</v>
      </c>
      <c r="AC162" s="7">
        <v>3</v>
      </c>
      <c r="AD162" s="7">
        <v>4</v>
      </c>
      <c r="AE162" s="7" t="s">
        <v>1261</v>
      </c>
      <c r="AF162" s="7" t="s">
        <v>1735</v>
      </c>
      <c r="AG162" s="7" t="s">
        <v>1363</v>
      </c>
      <c r="AH162" s="7" t="s">
        <v>1788</v>
      </c>
      <c r="AI162" s="7" t="s">
        <v>1789</v>
      </c>
      <c r="AJ162" s="7"/>
    </row>
    <row r="163" spans="1:36" ht="15.75" customHeight="1">
      <c r="A163" s="48" t="b">
        <v>1</v>
      </c>
      <c r="B163" s="127" t="e">
        <f t="array" ref="B163">_xlfn.XLOOKUP(E163,#REF!,#REF!)</f>
        <v>#REF!</v>
      </c>
      <c r="C163" s="7" t="s">
        <v>976</v>
      </c>
      <c r="D163" s="7"/>
      <c r="E163" s="7" t="s">
        <v>293</v>
      </c>
      <c r="F163" s="128">
        <v>46208.774305555598</v>
      </c>
      <c r="G163" s="7" t="s">
        <v>1790</v>
      </c>
      <c r="H163" s="7" t="s">
        <v>1267</v>
      </c>
      <c r="I163" s="7" t="s">
        <v>1299</v>
      </c>
      <c r="J163" s="7" t="s">
        <v>1491</v>
      </c>
      <c r="L163" s="7" t="s">
        <v>1711</v>
      </c>
      <c r="M163" s="7" t="s">
        <v>1259</v>
      </c>
      <c r="N163" s="7" t="s">
        <v>1260</v>
      </c>
      <c r="O163" s="7">
        <v>1</v>
      </c>
      <c r="P163" s="7">
        <v>1</v>
      </c>
      <c r="Q163" s="7">
        <v>2</v>
      </c>
      <c r="R163" s="7">
        <v>2</v>
      </c>
      <c r="S163" s="7">
        <v>2</v>
      </c>
      <c r="T163" s="7">
        <v>1</v>
      </c>
      <c r="U163" s="7">
        <v>2</v>
      </c>
      <c r="V163" s="7">
        <v>2</v>
      </c>
      <c r="W163" s="7">
        <v>3</v>
      </c>
      <c r="X163" s="7">
        <v>3</v>
      </c>
      <c r="Y163" s="7">
        <v>3</v>
      </c>
      <c r="Z163" s="7">
        <v>4</v>
      </c>
      <c r="AA163" s="7">
        <v>2</v>
      </c>
      <c r="AB163" s="7">
        <v>3</v>
      </c>
      <c r="AC163" s="7">
        <v>3</v>
      </c>
      <c r="AD163" s="7">
        <v>2</v>
      </c>
      <c r="AE163" s="7" t="s">
        <v>1261</v>
      </c>
      <c r="AF163" s="7" t="s">
        <v>1697</v>
      </c>
      <c r="AG163" s="7" t="s">
        <v>1272</v>
      </c>
      <c r="AH163" s="7" t="s">
        <v>1791</v>
      </c>
      <c r="AI163" s="7" t="s">
        <v>1792</v>
      </c>
      <c r="AJ163" s="7"/>
    </row>
    <row r="164" spans="1:36" ht="15.75" customHeight="1">
      <c r="A164" s="48" t="b">
        <v>1</v>
      </c>
      <c r="B164" s="127" t="e">
        <f t="array" ref="B164">_xlfn.XLOOKUP(E164,#REF!,#REF!)</f>
        <v>#REF!</v>
      </c>
      <c r="C164" s="7" t="s">
        <v>1793</v>
      </c>
      <c r="D164" s="7"/>
      <c r="E164" s="7" t="s">
        <v>663</v>
      </c>
      <c r="F164" s="128">
        <v>46208.774305555598</v>
      </c>
      <c r="G164" s="7" t="s">
        <v>1794</v>
      </c>
      <c r="H164" s="7" t="s">
        <v>1267</v>
      </c>
      <c r="I164" s="7" t="s">
        <v>1256</v>
      </c>
      <c r="J164" s="7" t="s">
        <v>1795</v>
      </c>
      <c r="K164" s="7" t="s">
        <v>1796</v>
      </c>
      <c r="L164" s="7" t="s">
        <v>1711</v>
      </c>
      <c r="M164" s="7" t="s">
        <v>1259</v>
      </c>
      <c r="N164" s="7" t="s">
        <v>1288</v>
      </c>
      <c r="O164" s="7">
        <v>1</v>
      </c>
      <c r="P164" s="7">
        <v>2</v>
      </c>
      <c r="Q164" s="7">
        <v>3</v>
      </c>
      <c r="R164" s="7">
        <v>4</v>
      </c>
      <c r="S164" s="7">
        <v>2</v>
      </c>
      <c r="T164" s="7">
        <v>1</v>
      </c>
      <c r="U164" s="7">
        <v>1</v>
      </c>
      <c r="V164" s="7">
        <v>3</v>
      </c>
      <c r="W164" s="7">
        <v>4</v>
      </c>
      <c r="X164" s="7">
        <v>3</v>
      </c>
      <c r="Y164" s="7">
        <v>2</v>
      </c>
      <c r="Z164" s="7">
        <v>3</v>
      </c>
      <c r="AA164" s="7">
        <v>3</v>
      </c>
      <c r="AB164" s="7">
        <v>2</v>
      </c>
      <c r="AC164" s="7">
        <v>2</v>
      </c>
      <c r="AD164" s="7">
        <v>1</v>
      </c>
      <c r="AE164" s="7" t="s">
        <v>1300</v>
      </c>
      <c r="AF164" s="7" t="s">
        <v>1797</v>
      </c>
      <c r="AG164" s="7" t="s">
        <v>1272</v>
      </c>
      <c r="AH164" s="7" t="s">
        <v>1798</v>
      </c>
      <c r="AI164" s="7" t="s">
        <v>1799</v>
      </c>
      <c r="AJ164" s="7"/>
    </row>
    <row r="165" spans="1:36" ht="15.75" customHeight="1">
      <c r="A165" s="48" t="b">
        <v>1</v>
      </c>
      <c r="B165" s="127" t="e">
        <f t="array" ref="B165">_xlfn.XLOOKUP(E165,#REF!,#REF!)</f>
        <v>#REF!</v>
      </c>
      <c r="C165" s="7" t="s">
        <v>1115</v>
      </c>
      <c r="D165" s="7"/>
      <c r="E165" s="7" t="s">
        <v>379</v>
      </c>
      <c r="F165" s="128">
        <v>46208.782638888901</v>
      </c>
      <c r="G165" s="7" t="s">
        <v>1800</v>
      </c>
      <c r="H165" s="7" t="s">
        <v>1255</v>
      </c>
      <c r="I165" s="7" t="s">
        <v>1277</v>
      </c>
      <c r="J165" s="7" t="s">
        <v>1772</v>
      </c>
      <c r="L165" s="7" t="s">
        <v>1711</v>
      </c>
      <c r="M165" s="7" t="s">
        <v>1259</v>
      </c>
      <c r="N165" s="7" t="s">
        <v>1270</v>
      </c>
      <c r="O165" s="7">
        <v>2</v>
      </c>
      <c r="P165" s="7">
        <v>2</v>
      </c>
      <c r="Q165" s="7">
        <v>3</v>
      </c>
      <c r="R165" s="7">
        <v>3</v>
      </c>
      <c r="S165" s="7">
        <v>1</v>
      </c>
      <c r="T165" s="7">
        <v>1</v>
      </c>
      <c r="U165" s="7">
        <v>1</v>
      </c>
      <c r="V165" s="7">
        <v>1</v>
      </c>
      <c r="W165" s="7">
        <v>3</v>
      </c>
      <c r="X165" s="7">
        <v>3</v>
      </c>
      <c r="Y165" s="7">
        <v>2</v>
      </c>
      <c r="Z165" s="7">
        <v>2</v>
      </c>
      <c r="AA165" s="7">
        <v>1</v>
      </c>
      <c r="AB165" s="7">
        <v>2</v>
      </c>
      <c r="AC165" s="7">
        <v>3</v>
      </c>
      <c r="AD165" s="7">
        <v>2</v>
      </c>
      <c r="AE165" s="7" t="s">
        <v>1295</v>
      </c>
      <c r="AF165" s="7" t="s">
        <v>1712</v>
      </c>
      <c r="AG165" s="7" t="s">
        <v>1272</v>
      </c>
      <c r="AH165" s="7" t="s">
        <v>1801</v>
      </c>
      <c r="AI165" s="7" t="s">
        <v>1802</v>
      </c>
      <c r="AJ165" s="7"/>
    </row>
    <row r="166" spans="1:36" ht="15.75" customHeight="1">
      <c r="A166" s="48" t="b">
        <v>1</v>
      </c>
      <c r="B166" s="127" t="e">
        <f t="array" ref="B166">_xlfn.XLOOKUP(E166,#REF!,#REF!)</f>
        <v>#REF!</v>
      </c>
      <c r="C166" s="7" t="s">
        <v>1158</v>
      </c>
      <c r="D166" s="7"/>
      <c r="E166" s="7" t="s">
        <v>672</v>
      </c>
      <c r="F166" s="128">
        <v>46208.786111111098</v>
      </c>
      <c r="G166" s="7" t="s">
        <v>1803</v>
      </c>
      <c r="H166" s="7" t="s">
        <v>1255</v>
      </c>
      <c r="I166" s="7" t="s">
        <v>1256</v>
      </c>
      <c r="J166" s="7" t="s">
        <v>1804</v>
      </c>
      <c r="L166" s="7" t="s">
        <v>1711</v>
      </c>
      <c r="M166" s="7" t="s">
        <v>1259</v>
      </c>
      <c r="N166" s="7" t="s">
        <v>1270</v>
      </c>
      <c r="O166" s="7">
        <v>1</v>
      </c>
      <c r="P166" s="7">
        <v>1</v>
      </c>
      <c r="Q166" s="7">
        <v>4</v>
      </c>
      <c r="R166" s="7">
        <v>1</v>
      </c>
      <c r="S166" s="7">
        <v>0</v>
      </c>
      <c r="T166" s="7">
        <v>0</v>
      </c>
      <c r="U166" s="7">
        <v>1</v>
      </c>
      <c r="V166" s="7">
        <v>0</v>
      </c>
      <c r="W166" s="7">
        <v>3</v>
      </c>
      <c r="X166" s="7">
        <v>3</v>
      </c>
      <c r="Y166" s="7">
        <v>3</v>
      </c>
      <c r="Z166" s="7">
        <v>3</v>
      </c>
      <c r="AA166" s="7">
        <v>1</v>
      </c>
      <c r="AB166" s="7">
        <v>1</v>
      </c>
      <c r="AC166" s="7">
        <v>1</v>
      </c>
      <c r="AD166" s="7">
        <v>1</v>
      </c>
      <c r="AE166" s="7" t="s">
        <v>1261</v>
      </c>
      <c r="AF166" s="7" t="s">
        <v>1262</v>
      </c>
      <c r="AG166" s="7" t="s">
        <v>1272</v>
      </c>
      <c r="AH166" s="7" t="s">
        <v>1805</v>
      </c>
      <c r="AI166" s="7" t="s">
        <v>1806</v>
      </c>
      <c r="AJ166" s="7"/>
    </row>
    <row r="167" spans="1:36" ht="15.75" customHeight="1">
      <c r="A167" s="48" t="b">
        <v>1</v>
      </c>
      <c r="B167" s="127" t="e">
        <f t="array" ref="B167">_xlfn.XLOOKUP(E167,#REF!,#REF!)</f>
        <v>#REF!</v>
      </c>
      <c r="C167" s="7" t="s">
        <v>910</v>
      </c>
      <c r="D167" s="7"/>
      <c r="E167" s="7" t="s">
        <v>809</v>
      </c>
      <c r="F167" s="128">
        <v>46208.7902777778</v>
      </c>
      <c r="G167" s="7" t="s">
        <v>1807</v>
      </c>
      <c r="H167" s="7" t="s">
        <v>1255</v>
      </c>
      <c r="I167" s="7" t="s">
        <v>1256</v>
      </c>
      <c r="J167" s="7" t="s">
        <v>1257</v>
      </c>
      <c r="L167" s="7" t="s">
        <v>1711</v>
      </c>
      <c r="M167" s="7" t="s">
        <v>1259</v>
      </c>
      <c r="N167" s="7" t="s">
        <v>1260</v>
      </c>
      <c r="O167" s="7">
        <v>3</v>
      </c>
      <c r="P167" s="7">
        <v>3</v>
      </c>
      <c r="Q167" s="7">
        <v>3</v>
      </c>
      <c r="R167" s="7">
        <v>1</v>
      </c>
      <c r="S167" s="7">
        <v>2</v>
      </c>
      <c r="T167" s="7">
        <v>2</v>
      </c>
      <c r="U167" s="7">
        <v>1</v>
      </c>
      <c r="V167" s="7">
        <v>1</v>
      </c>
      <c r="W167" s="7">
        <v>3</v>
      </c>
      <c r="X167" s="7">
        <v>3</v>
      </c>
      <c r="Y167" s="7">
        <v>2</v>
      </c>
      <c r="Z167" s="7">
        <v>3</v>
      </c>
      <c r="AA167" s="7">
        <v>2</v>
      </c>
      <c r="AB167" s="7">
        <v>2</v>
      </c>
      <c r="AC167" s="7">
        <v>2</v>
      </c>
      <c r="AD167" s="7">
        <v>1</v>
      </c>
      <c r="AE167" s="7" t="s">
        <v>1300</v>
      </c>
      <c r="AF167" s="7" t="s">
        <v>1697</v>
      </c>
      <c r="AG167" s="7" t="s">
        <v>1272</v>
      </c>
      <c r="AH167" s="7" t="s">
        <v>1808</v>
      </c>
      <c r="AI167" s="7" t="s">
        <v>1807</v>
      </c>
      <c r="AJ167" s="7"/>
    </row>
    <row r="168" spans="1:36" ht="15.75" customHeight="1">
      <c r="A168" s="48" t="b">
        <v>1</v>
      </c>
      <c r="B168" s="127" t="e">
        <f t="array" ref="B168">_xlfn.XLOOKUP(E168,#REF!,#REF!)</f>
        <v>#REF!</v>
      </c>
      <c r="C168" s="7" t="s">
        <v>1074</v>
      </c>
      <c r="D168" s="7"/>
      <c r="E168" s="7" t="s">
        <v>192</v>
      </c>
      <c r="F168" s="128">
        <v>46208.802777777797</v>
      </c>
      <c r="G168" s="7" t="s">
        <v>1809</v>
      </c>
      <c r="H168" s="7" t="s">
        <v>1276</v>
      </c>
      <c r="I168" s="7" t="s">
        <v>1256</v>
      </c>
      <c r="J168" s="7" t="s">
        <v>1810</v>
      </c>
      <c r="K168" s="7" t="s">
        <v>1811</v>
      </c>
      <c r="L168" s="7" t="s">
        <v>1711</v>
      </c>
      <c r="M168" s="7" t="s">
        <v>1259</v>
      </c>
      <c r="N168" s="7" t="s">
        <v>1260</v>
      </c>
      <c r="O168" s="7">
        <v>1</v>
      </c>
      <c r="P168" s="7">
        <v>1</v>
      </c>
      <c r="Q168" s="7">
        <v>0</v>
      </c>
      <c r="R168" s="7">
        <v>0</v>
      </c>
      <c r="S168" s="7">
        <v>0</v>
      </c>
      <c r="T168" s="7">
        <v>0</v>
      </c>
      <c r="U168" s="7">
        <v>1</v>
      </c>
      <c r="V168" s="7">
        <v>1</v>
      </c>
      <c r="W168" s="7">
        <v>3</v>
      </c>
      <c r="X168" s="7">
        <v>3</v>
      </c>
      <c r="Y168" s="7">
        <v>2</v>
      </c>
      <c r="Z168" s="7">
        <v>2</v>
      </c>
      <c r="AA168" s="7">
        <v>2</v>
      </c>
      <c r="AB168" s="7">
        <v>2</v>
      </c>
      <c r="AC168" s="7">
        <v>2</v>
      </c>
      <c r="AD168" s="7">
        <v>2</v>
      </c>
      <c r="AE168" s="7" t="s">
        <v>1300</v>
      </c>
      <c r="AF168" s="7" t="s">
        <v>1262</v>
      </c>
      <c r="AG168" s="7" t="s">
        <v>1272</v>
      </c>
      <c r="AH168" s="7" t="s">
        <v>1812</v>
      </c>
      <c r="AI168" s="7" t="s">
        <v>1813</v>
      </c>
      <c r="AJ168" s="7"/>
    </row>
    <row r="169" spans="1:36" ht="15.75" customHeight="1">
      <c r="A169" s="48" t="b">
        <v>1</v>
      </c>
      <c r="B169" s="127" t="e">
        <f t="array" ref="B169">_xlfn.XLOOKUP(E169,#REF!,#REF!)</f>
        <v>#REF!</v>
      </c>
      <c r="C169" s="7" t="s">
        <v>986</v>
      </c>
      <c r="D169" s="7"/>
      <c r="E169" s="7" t="s">
        <v>464</v>
      </c>
      <c r="F169" s="128">
        <v>46208.8125</v>
      </c>
      <c r="G169" s="7" t="s">
        <v>1814</v>
      </c>
      <c r="H169" s="7" t="s">
        <v>1255</v>
      </c>
      <c r="I169" s="7" t="s">
        <v>1299</v>
      </c>
      <c r="J169" s="7" t="s">
        <v>1782</v>
      </c>
      <c r="L169" s="7" t="s">
        <v>1711</v>
      </c>
      <c r="M169" s="7" t="s">
        <v>1259</v>
      </c>
      <c r="N169" s="7" t="s">
        <v>1270</v>
      </c>
      <c r="O169" s="7">
        <v>2</v>
      </c>
      <c r="P169" s="7">
        <v>3</v>
      </c>
      <c r="Q169" s="7">
        <v>3</v>
      </c>
      <c r="R169" s="7">
        <v>2</v>
      </c>
      <c r="S169" s="7">
        <v>1</v>
      </c>
      <c r="T169" s="7">
        <v>1</v>
      </c>
      <c r="U169" s="7">
        <v>2</v>
      </c>
      <c r="V169" s="7">
        <v>1</v>
      </c>
      <c r="W169" s="7">
        <v>2</v>
      </c>
      <c r="X169" s="7">
        <v>2</v>
      </c>
      <c r="Y169" s="7">
        <v>1</v>
      </c>
      <c r="Z169" s="7">
        <v>1</v>
      </c>
      <c r="AA169" s="7">
        <v>0</v>
      </c>
      <c r="AB169" s="7">
        <v>2</v>
      </c>
      <c r="AC169" s="7">
        <v>1</v>
      </c>
      <c r="AD169" s="7">
        <v>2</v>
      </c>
      <c r="AE169" s="7" t="s">
        <v>1300</v>
      </c>
      <c r="AF169" s="7" t="s">
        <v>1697</v>
      </c>
      <c r="AG169" s="7" t="s">
        <v>1272</v>
      </c>
      <c r="AH169" s="7" t="s">
        <v>1815</v>
      </c>
      <c r="AI169" s="7" t="s">
        <v>1291</v>
      </c>
      <c r="AJ169" s="7"/>
    </row>
    <row r="170" spans="1:36" ht="15.75" customHeight="1">
      <c r="A170" s="48" t="b">
        <v>1</v>
      </c>
      <c r="B170" s="127" t="e">
        <f t="array" ref="B170">_xlfn.XLOOKUP(E170,#REF!,#REF!)</f>
        <v>#REF!</v>
      </c>
      <c r="C170" s="7" t="s">
        <v>962</v>
      </c>
      <c r="D170" s="7"/>
      <c r="E170" s="7" t="s">
        <v>136</v>
      </c>
      <c r="F170" s="128">
        <v>46208.817361111098</v>
      </c>
      <c r="G170" s="7" t="s">
        <v>1816</v>
      </c>
      <c r="H170" s="7" t="s">
        <v>1267</v>
      </c>
      <c r="I170" s="7" t="s">
        <v>1277</v>
      </c>
      <c r="J170" s="7" t="s">
        <v>1750</v>
      </c>
      <c r="L170" s="7" t="s">
        <v>1279</v>
      </c>
      <c r="M170" s="7" t="s">
        <v>1294</v>
      </c>
      <c r="N170" s="7" t="s">
        <v>1280</v>
      </c>
      <c r="O170" s="7">
        <v>2</v>
      </c>
      <c r="P170" s="7">
        <v>2</v>
      </c>
      <c r="Q170" s="7">
        <v>4</v>
      </c>
      <c r="R170" s="7">
        <v>4</v>
      </c>
      <c r="S170" s="7">
        <v>3</v>
      </c>
      <c r="T170" s="7">
        <v>3</v>
      </c>
      <c r="U170" s="7">
        <v>3</v>
      </c>
      <c r="V170" s="7">
        <v>4</v>
      </c>
      <c r="W170" s="7">
        <v>3</v>
      </c>
      <c r="X170" s="7">
        <v>2</v>
      </c>
      <c r="Y170" s="7">
        <v>3</v>
      </c>
      <c r="Z170" s="7">
        <v>2</v>
      </c>
      <c r="AA170" s="7">
        <v>3</v>
      </c>
      <c r="AB170" s="7">
        <v>4</v>
      </c>
      <c r="AC170" s="7">
        <v>2</v>
      </c>
      <c r="AD170" s="7">
        <v>2</v>
      </c>
      <c r="AE170" s="7" t="s">
        <v>1261</v>
      </c>
      <c r="AF170" s="7" t="s">
        <v>1765</v>
      </c>
      <c r="AG170" s="7" t="s">
        <v>1282</v>
      </c>
      <c r="AH170" s="7" t="s">
        <v>1817</v>
      </c>
      <c r="AI170" s="7" t="s">
        <v>1818</v>
      </c>
      <c r="AJ170" s="7"/>
    </row>
    <row r="171" spans="1:36" ht="15.75" customHeight="1">
      <c r="A171" s="48" t="b">
        <v>1</v>
      </c>
      <c r="B171" s="127" t="e">
        <f t="array" ref="B171">_xlfn.XLOOKUP(E171,#REF!,#REF!)</f>
        <v>#REF!</v>
      </c>
      <c r="C171" s="7" t="s">
        <v>901</v>
      </c>
      <c r="D171" s="7"/>
      <c r="E171" s="7" t="s">
        <v>359</v>
      </c>
      <c r="F171" s="128">
        <v>46208.832638888904</v>
      </c>
      <c r="G171" s="7" t="s">
        <v>1819</v>
      </c>
      <c r="H171" s="7" t="s">
        <v>1276</v>
      </c>
      <c r="I171" s="7" t="s">
        <v>1256</v>
      </c>
      <c r="J171" s="7" t="s">
        <v>1715</v>
      </c>
      <c r="L171" s="7" t="s">
        <v>1711</v>
      </c>
      <c r="M171" s="7" t="s">
        <v>1259</v>
      </c>
      <c r="N171" s="7" t="s">
        <v>1270</v>
      </c>
      <c r="O171" s="7">
        <v>2</v>
      </c>
      <c r="P171" s="7">
        <v>4</v>
      </c>
      <c r="Q171" s="7">
        <v>3</v>
      </c>
      <c r="R171" s="7">
        <v>2</v>
      </c>
      <c r="S171" s="7">
        <v>2</v>
      </c>
      <c r="T171" s="7">
        <v>1</v>
      </c>
      <c r="U171" s="7">
        <v>2</v>
      </c>
      <c r="V171" s="7">
        <v>1</v>
      </c>
      <c r="W171" s="7">
        <v>3</v>
      </c>
      <c r="X171" s="7">
        <v>3</v>
      </c>
      <c r="Y171" s="7">
        <v>3</v>
      </c>
      <c r="Z171" s="7">
        <v>3</v>
      </c>
      <c r="AA171" s="7">
        <v>3</v>
      </c>
      <c r="AB171" s="7">
        <v>2</v>
      </c>
      <c r="AC171" s="7">
        <v>2</v>
      </c>
      <c r="AD171" s="7">
        <v>2</v>
      </c>
      <c r="AE171" s="7" t="s">
        <v>1300</v>
      </c>
      <c r="AF171" s="7" t="s">
        <v>1301</v>
      </c>
      <c r="AG171" s="7" t="s">
        <v>1263</v>
      </c>
      <c r="AH171" s="7" t="s">
        <v>1820</v>
      </c>
      <c r="AI171" s="7" t="s">
        <v>875</v>
      </c>
      <c r="AJ171" s="7"/>
    </row>
    <row r="172" spans="1:36" ht="15.75" customHeight="1">
      <c r="A172" s="48" t="b">
        <v>1</v>
      </c>
      <c r="B172" s="127" t="e">
        <f t="array" ref="B172">_xlfn.XLOOKUP(E172,#REF!,#REF!)</f>
        <v>#REF!</v>
      </c>
      <c r="C172" s="7" t="s">
        <v>1210</v>
      </c>
      <c r="D172" s="7"/>
      <c r="E172" s="7" t="s">
        <v>338</v>
      </c>
      <c r="F172" s="128">
        <v>46208.833333333299</v>
      </c>
      <c r="G172" s="7" t="s">
        <v>1821</v>
      </c>
      <c r="H172" s="7" t="s">
        <v>1276</v>
      </c>
      <c r="I172" s="7" t="s">
        <v>1299</v>
      </c>
      <c r="J172" s="7" t="s">
        <v>1822</v>
      </c>
      <c r="L172" s="7" t="s">
        <v>1279</v>
      </c>
      <c r="M172" s="7" t="s">
        <v>1294</v>
      </c>
      <c r="N172" s="7" t="s">
        <v>1280</v>
      </c>
      <c r="O172" s="7">
        <v>2</v>
      </c>
      <c r="P172" s="7">
        <v>1</v>
      </c>
      <c r="Q172" s="7">
        <v>4</v>
      </c>
      <c r="R172" s="7">
        <v>3</v>
      </c>
      <c r="S172" s="7">
        <v>4</v>
      </c>
      <c r="T172" s="7">
        <v>3</v>
      </c>
      <c r="U172" s="7">
        <v>3</v>
      </c>
      <c r="V172" s="7">
        <v>4</v>
      </c>
      <c r="W172" s="7">
        <v>2</v>
      </c>
      <c r="X172" s="7">
        <v>2</v>
      </c>
      <c r="Y172" s="7">
        <v>2</v>
      </c>
      <c r="Z172" s="7">
        <v>4</v>
      </c>
      <c r="AA172" s="7">
        <v>2</v>
      </c>
      <c r="AB172" s="7">
        <v>4</v>
      </c>
      <c r="AC172" s="7">
        <v>4</v>
      </c>
      <c r="AD172" s="7">
        <v>2</v>
      </c>
      <c r="AE172" s="7" t="s">
        <v>1261</v>
      </c>
      <c r="AF172" s="7" t="s">
        <v>1823</v>
      </c>
      <c r="AG172" s="7" t="s">
        <v>1272</v>
      </c>
      <c r="AH172" s="7" t="s">
        <v>1824</v>
      </c>
      <c r="AI172" s="7" t="s">
        <v>1825</v>
      </c>
      <c r="AJ172" s="7"/>
    </row>
    <row r="173" spans="1:36" ht="15.75" customHeight="1">
      <c r="A173" s="48" t="b">
        <v>1</v>
      </c>
      <c r="B173" s="127" t="e">
        <f t="array" ref="B173">_xlfn.XLOOKUP(E173,#REF!,#REF!)</f>
        <v>#REF!</v>
      </c>
      <c r="C173" s="7" t="s">
        <v>1110</v>
      </c>
      <c r="D173" s="7"/>
      <c r="E173" s="7" t="s">
        <v>35</v>
      </c>
      <c r="F173" s="128">
        <v>46208.852083333302</v>
      </c>
      <c r="G173" s="7" t="s">
        <v>1826</v>
      </c>
      <c r="H173" s="7" t="s">
        <v>1276</v>
      </c>
      <c r="I173" s="7" t="s">
        <v>1256</v>
      </c>
      <c r="J173" s="7" t="s">
        <v>1827</v>
      </c>
      <c r="L173" s="7" t="s">
        <v>1711</v>
      </c>
      <c r="M173" s="7" t="s">
        <v>1357</v>
      </c>
      <c r="N173" s="7" t="s">
        <v>1270</v>
      </c>
      <c r="O173" s="7">
        <v>2</v>
      </c>
      <c r="P173" s="7">
        <v>4</v>
      </c>
      <c r="Q173" s="7">
        <v>4</v>
      </c>
      <c r="R173" s="7">
        <v>4</v>
      </c>
      <c r="S173" s="7">
        <v>4</v>
      </c>
      <c r="T173" s="7">
        <v>2</v>
      </c>
      <c r="U173" s="7">
        <v>3</v>
      </c>
      <c r="V173" s="7">
        <v>3</v>
      </c>
      <c r="W173" s="7">
        <v>4</v>
      </c>
      <c r="X173" s="7">
        <v>4</v>
      </c>
      <c r="Y173" s="7">
        <v>2</v>
      </c>
      <c r="Z173" s="7">
        <v>3</v>
      </c>
      <c r="AA173" s="7">
        <v>3</v>
      </c>
      <c r="AB173" s="7">
        <v>3</v>
      </c>
      <c r="AC173" s="7">
        <v>3</v>
      </c>
      <c r="AD173" s="7">
        <v>4</v>
      </c>
      <c r="AE173" s="7" t="s">
        <v>1261</v>
      </c>
      <c r="AF173" s="7" t="s">
        <v>1740</v>
      </c>
      <c r="AG173" s="7" t="s">
        <v>1272</v>
      </c>
      <c r="AH173" s="7" t="s">
        <v>1828</v>
      </c>
      <c r="AI173" s="7" t="s">
        <v>1829</v>
      </c>
      <c r="AJ173" s="7"/>
    </row>
    <row r="174" spans="1:36" ht="15.75" customHeight="1">
      <c r="A174" s="48" t="b">
        <v>1</v>
      </c>
      <c r="B174" s="127" t="e">
        <f t="array" ref="B174">_xlfn.XLOOKUP(E174,#REF!,#REF!)</f>
        <v>#REF!</v>
      </c>
      <c r="C174" s="7" t="s">
        <v>1159</v>
      </c>
      <c r="D174" s="7"/>
      <c r="E174" s="7" t="s">
        <v>459</v>
      </c>
      <c r="F174" s="128">
        <v>46208.852083333302</v>
      </c>
      <c r="G174" s="7" t="s">
        <v>1830</v>
      </c>
      <c r="H174" s="7" t="s">
        <v>1255</v>
      </c>
      <c r="I174" s="7" t="s">
        <v>1277</v>
      </c>
      <c r="J174" s="7" t="s">
        <v>1454</v>
      </c>
      <c r="L174" s="7" t="s">
        <v>1258</v>
      </c>
      <c r="M174" s="7" t="s">
        <v>1259</v>
      </c>
      <c r="N174" s="7" t="s">
        <v>1288</v>
      </c>
      <c r="O174" s="7">
        <v>3</v>
      </c>
      <c r="P174" s="7">
        <v>3</v>
      </c>
      <c r="Q174" s="7">
        <v>1</v>
      </c>
      <c r="R174" s="7">
        <v>2</v>
      </c>
      <c r="S174" s="7">
        <v>3</v>
      </c>
      <c r="T174" s="7">
        <v>3</v>
      </c>
      <c r="U174" s="7">
        <v>3</v>
      </c>
      <c r="V174" s="7">
        <v>3</v>
      </c>
      <c r="W174" s="7">
        <v>2</v>
      </c>
      <c r="X174" s="7">
        <v>2</v>
      </c>
      <c r="Y174" s="7">
        <v>3</v>
      </c>
      <c r="Z174" s="7">
        <v>3</v>
      </c>
      <c r="AA174" s="7">
        <v>3</v>
      </c>
      <c r="AB174" s="7">
        <v>2</v>
      </c>
      <c r="AC174" s="7">
        <v>4</v>
      </c>
      <c r="AD174" s="7">
        <v>3</v>
      </c>
      <c r="AE174" s="7" t="s">
        <v>1300</v>
      </c>
      <c r="AF174" s="7" t="s">
        <v>1747</v>
      </c>
      <c r="AG174" s="7" t="s">
        <v>1282</v>
      </c>
      <c r="AH174" s="7" t="s">
        <v>1831</v>
      </c>
      <c r="AI174" s="7" t="s">
        <v>1832</v>
      </c>
      <c r="AJ174" s="7"/>
    </row>
    <row r="175" spans="1:36" ht="15.75" customHeight="1">
      <c r="A175" s="48" t="b">
        <v>1</v>
      </c>
      <c r="B175" s="127" t="e">
        <f t="array" ref="B175">_xlfn.XLOOKUP(E175,#REF!,#REF!)</f>
        <v>#REF!</v>
      </c>
      <c r="C175" s="7" t="s">
        <v>1106</v>
      </c>
      <c r="D175" s="7"/>
      <c r="E175" s="7" t="s">
        <v>451</v>
      </c>
      <c r="F175" s="128">
        <v>46208.863194444399</v>
      </c>
      <c r="G175" s="7" t="s">
        <v>1833</v>
      </c>
      <c r="H175" s="7" t="s">
        <v>1276</v>
      </c>
      <c r="I175" s="7" t="s">
        <v>1299</v>
      </c>
      <c r="J175" s="7" t="s">
        <v>1491</v>
      </c>
      <c r="L175" s="7" t="s">
        <v>1258</v>
      </c>
      <c r="M175" s="7" t="s">
        <v>1259</v>
      </c>
      <c r="N175" s="7" t="s">
        <v>1288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2</v>
      </c>
      <c r="W175" s="7">
        <v>4</v>
      </c>
      <c r="X175" s="7">
        <v>4</v>
      </c>
      <c r="Y175" s="7">
        <v>4</v>
      </c>
      <c r="Z175" s="7">
        <v>4</v>
      </c>
      <c r="AA175" s="7">
        <v>4</v>
      </c>
      <c r="AB175" s="7">
        <v>2</v>
      </c>
      <c r="AC175" s="7">
        <v>1</v>
      </c>
      <c r="AD175" s="7">
        <v>3</v>
      </c>
      <c r="AE175" s="7" t="s">
        <v>1261</v>
      </c>
      <c r="AF175" s="7" t="s">
        <v>1262</v>
      </c>
      <c r="AG175" s="7" t="s">
        <v>1272</v>
      </c>
      <c r="AH175" s="7" t="s">
        <v>1834</v>
      </c>
      <c r="AI175" s="7" t="s">
        <v>1291</v>
      </c>
      <c r="AJ175" s="7"/>
    </row>
    <row r="176" spans="1:36" ht="15.75" customHeight="1">
      <c r="A176" s="48" t="b">
        <v>1</v>
      </c>
      <c r="B176" s="127" t="e">
        <f t="array" ref="B176">_xlfn.XLOOKUP(E176,#REF!,#REF!)</f>
        <v>#REF!</v>
      </c>
      <c r="C176" s="7" t="s">
        <v>1093</v>
      </c>
      <c r="D176" s="7"/>
      <c r="E176" s="7" t="s">
        <v>591</v>
      </c>
      <c r="F176" s="128">
        <v>46208.873611111099</v>
      </c>
      <c r="G176" s="7" t="s">
        <v>1835</v>
      </c>
      <c r="H176" s="7" t="s">
        <v>1276</v>
      </c>
      <c r="I176" s="7" t="s">
        <v>1277</v>
      </c>
      <c r="J176" s="7" t="s">
        <v>1836</v>
      </c>
      <c r="L176" s="7" t="s">
        <v>1711</v>
      </c>
      <c r="M176" s="7" t="s">
        <v>1259</v>
      </c>
      <c r="N176" s="7" t="s">
        <v>1270</v>
      </c>
      <c r="O176" s="7">
        <v>4</v>
      </c>
      <c r="P176" s="7">
        <v>4</v>
      </c>
      <c r="Q176" s="7">
        <v>4</v>
      </c>
      <c r="R176" s="7">
        <v>4</v>
      </c>
      <c r="S176" s="7">
        <v>3</v>
      </c>
      <c r="T176" s="7">
        <v>2</v>
      </c>
      <c r="U176" s="7">
        <v>4</v>
      </c>
      <c r="V176" s="7">
        <v>4</v>
      </c>
      <c r="W176" s="7">
        <v>4</v>
      </c>
      <c r="X176" s="7">
        <v>4</v>
      </c>
      <c r="Y176" s="7">
        <v>3</v>
      </c>
      <c r="Z176" s="7">
        <v>4</v>
      </c>
      <c r="AA176" s="7">
        <v>3</v>
      </c>
      <c r="AB176" s="7">
        <v>1</v>
      </c>
      <c r="AC176" s="7">
        <v>1</v>
      </c>
      <c r="AD176" s="7">
        <v>2</v>
      </c>
      <c r="AE176" s="7" t="s">
        <v>1261</v>
      </c>
      <c r="AF176" s="7" t="s">
        <v>1837</v>
      </c>
      <c r="AG176" s="7" t="s">
        <v>1272</v>
      </c>
      <c r="AH176" s="7" t="s">
        <v>1838</v>
      </c>
      <c r="AI176" s="7" t="s">
        <v>1839</v>
      </c>
      <c r="AJ176" s="7"/>
    </row>
    <row r="177" spans="1:36" ht="15.75" customHeight="1">
      <c r="A177" s="48" t="b">
        <v>1</v>
      </c>
      <c r="B177" s="127" t="e">
        <f t="array" ref="B177">_xlfn.XLOOKUP(E177,#REF!,#REF!)</f>
        <v>#REF!</v>
      </c>
      <c r="C177" s="7" t="s">
        <v>944</v>
      </c>
      <c r="D177" s="7"/>
      <c r="E177" s="7" t="s">
        <v>43</v>
      </c>
      <c r="F177" s="128">
        <v>46208.902083333298</v>
      </c>
      <c r="G177" s="7" t="s">
        <v>1840</v>
      </c>
      <c r="H177" s="7" t="s">
        <v>1255</v>
      </c>
      <c r="I177" s="7" t="s">
        <v>1277</v>
      </c>
      <c r="J177" s="7" t="s">
        <v>1491</v>
      </c>
      <c r="L177" s="7" t="s">
        <v>1711</v>
      </c>
      <c r="M177" s="7" t="s">
        <v>1259</v>
      </c>
      <c r="N177" s="7" t="s">
        <v>1270</v>
      </c>
      <c r="O177" s="7">
        <v>3</v>
      </c>
      <c r="P177" s="7">
        <v>3</v>
      </c>
      <c r="Q177" s="7">
        <v>4</v>
      </c>
      <c r="R177" s="7">
        <v>3</v>
      </c>
      <c r="S177" s="7">
        <v>4</v>
      </c>
      <c r="T177" s="7">
        <v>4</v>
      </c>
      <c r="U177" s="7">
        <v>2</v>
      </c>
      <c r="V177" s="7">
        <v>3</v>
      </c>
      <c r="W177" s="7">
        <v>3</v>
      </c>
      <c r="X177" s="7">
        <v>2</v>
      </c>
      <c r="Y177" s="7">
        <v>3</v>
      </c>
      <c r="Z177" s="7">
        <v>2</v>
      </c>
      <c r="AA177" s="7">
        <v>2</v>
      </c>
      <c r="AB177" s="7">
        <v>3</v>
      </c>
      <c r="AC177" s="7">
        <v>3</v>
      </c>
      <c r="AD177" s="7">
        <v>3</v>
      </c>
      <c r="AE177" s="7" t="s">
        <v>1261</v>
      </c>
      <c r="AF177" s="7" t="s">
        <v>1841</v>
      </c>
      <c r="AG177" s="7" t="s">
        <v>1363</v>
      </c>
      <c r="AH177" s="7" t="s">
        <v>1842</v>
      </c>
      <c r="AI177" s="7" t="s">
        <v>1840</v>
      </c>
      <c r="AJ177" s="7"/>
    </row>
    <row r="178" spans="1:36" ht="15.75" customHeight="1">
      <c r="A178" s="48" t="b">
        <v>1</v>
      </c>
      <c r="B178" s="127" t="e">
        <f t="array" ref="B178">_xlfn.XLOOKUP(E178,#REF!,#REF!)</f>
        <v>#REF!</v>
      </c>
      <c r="C178" s="7" t="s">
        <v>1153</v>
      </c>
      <c r="D178" s="7"/>
      <c r="E178" s="7" t="s">
        <v>476</v>
      </c>
      <c r="F178" s="128">
        <v>46208.909027777801</v>
      </c>
      <c r="G178" s="7" t="s">
        <v>1843</v>
      </c>
      <c r="H178" s="7" t="s">
        <v>1276</v>
      </c>
      <c r="I178" s="7" t="s">
        <v>1256</v>
      </c>
      <c r="J178" s="7" t="s">
        <v>1836</v>
      </c>
      <c r="L178" s="7" t="s">
        <v>1711</v>
      </c>
      <c r="M178" s="7" t="s">
        <v>1259</v>
      </c>
      <c r="N178" s="7" t="s">
        <v>1260</v>
      </c>
      <c r="O178" s="7">
        <v>2</v>
      </c>
      <c r="P178" s="7">
        <v>3</v>
      </c>
      <c r="Q178" s="7">
        <v>3</v>
      </c>
      <c r="R178" s="7">
        <v>3</v>
      </c>
      <c r="S178" s="7">
        <v>2</v>
      </c>
      <c r="T178" s="7">
        <v>3</v>
      </c>
      <c r="U178" s="7">
        <v>3</v>
      </c>
      <c r="V178" s="7">
        <v>3</v>
      </c>
      <c r="W178" s="7">
        <v>1</v>
      </c>
      <c r="X178" s="7">
        <v>1</v>
      </c>
      <c r="Y178" s="7">
        <v>1</v>
      </c>
      <c r="Z178" s="7">
        <v>1</v>
      </c>
      <c r="AA178" s="7">
        <v>1</v>
      </c>
      <c r="AB178" s="7">
        <v>0</v>
      </c>
      <c r="AC178" s="7">
        <v>1</v>
      </c>
      <c r="AD178" s="7">
        <v>1</v>
      </c>
      <c r="AE178" s="7" t="s">
        <v>1307</v>
      </c>
      <c r="AF178" s="7" t="s">
        <v>1706</v>
      </c>
      <c r="AG178" s="7" t="s">
        <v>1272</v>
      </c>
      <c r="AH178" s="7" t="s">
        <v>1844</v>
      </c>
      <c r="AI178" s="7" t="s">
        <v>1845</v>
      </c>
      <c r="AJ178" s="7"/>
    </row>
    <row r="179" spans="1:36" ht="15.75" customHeight="1">
      <c r="A179" s="48" t="b">
        <v>1</v>
      </c>
      <c r="B179" s="127" t="e">
        <f t="array" ref="B179">_xlfn.XLOOKUP(E179,#REF!,#REF!)</f>
        <v>#REF!</v>
      </c>
      <c r="C179" s="7" t="s">
        <v>1073</v>
      </c>
      <c r="D179" s="7"/>
      <c r="E179" s="7" t="s">
        <v>704</v>
      </c>
      <c r="F179" s="128">
        <v>46208.911805555603</v>
      </c>
      <c r="G179" s="7" t="s">
        <v>1846</v>
      </c>
      <c r="H179" s="7" t="s">
        <v>1255</v>
      </c>
      <c r="I179" s="7" t="s">
        <v>1277</v>
      </c>
      <c r="J179" s="7" t="s">
        <v>1795</v>
      </c>
      <c r="L179" s="7" t="s">
        <v>1279</v>
      </c>
      <c r="M179" s="7" t="s">
        <v>1294</v>
      </c>
      <c r="N179" s="7" t="s">
        <v>1260</v>
      </c>
      <c r="O179" s="7">
        <v>0</v>
      </c>
      <c r="P179" s="7">
        <v>1</v>
      </c>
      <c r="Q179" s="7">
        <v>3</v>
      </c>
      <c r="R179" s="7">
        <v>3</v>
      </c>
      <c r="S179" s="7">
        <v>1</v>
      </c>
      <c r="T179" s="7">
        <v>0</v>
      </c>
      <c r="U179" s="7">
        <v>1</v>
      </c>
      <c r="V179" s="7">
        <v>2</v>
      </c>
      <c r="W179" s="7">
        <v>3</v>
      </c>
      <c r="X179" s="7">
        <v>3</v>
      </c>
      <c r="Y179" s="7">
        <v>3</v>
      </c>
      <c r="Z179" s="7">
        <v>1</v>
      </c>
      <c r="AA179" s="7">
        <v>1</v>
      </c>
      <c r="AB179" s="7">
        <v>0</v>
      </c>
      <c r="AC179" s="7">
        <v>3</v>
      </c>
      <c r="AD179" s="7">
        <v>2</v>
      </c>
      <c r="AE179" s="7" t="s">
        <v>1295</v>
      </c>
      <c r="AF179" s="7" t="s">
        <v>1847</v>
      </c>
      <c r="AG179" s="7" t="s">
        <v>1282</v>
      </c>
      <c r="AH179" s="7" t="s">
        <v>1848</v>
      </c>
      <c r="AI179" s="7" t="s">
        <v>1849</v>
      </c>
      <c r="AJ179" s="7"/>
    </row>
    <row r="180" spans="1:36" ht="15.75" customHeight="1">
      <c r="A180" s="48" t="b">
        <v>1</v>
      </c>
      <c r="B180" s="127" t="e">
        <f t="array" ref="B180">_xlfn.XLOOKUP(E180,#REF!,#REF!)</f>
        <v>#REF!</v>
      </c>
      <c r="C180" s="7" t="s">
        <v>1130</v>
      </c>
      <c r="D180" s="7"/>
      <c r="E180" s="7" t="s">
        <v>423</v>
      </c>
      <c r="F180" s="128">
        <v>46208.911805555603</v>
      </c>
      <c r="G180" s="7" t="s">
        <v>1850</v>
      </c>
      <c r="H180" s="7" t="s">
        <v>1276</v>
      </c>
      <c r="I180" s="7" t="s">
        <v>1299</v>
      </c>
      <c r="J180" s="7" t="s">
        <v>1715</v>
      </c>
      <c r="L180" s="7" t="s">
        <v>1711</v>
      </c>
      <c r="M180" s="7" t="s">
        <v>1259</v>
      </c>
      <c r="N180" s="7" t="s">
        <v>1260</v>
      </c>
      <c r="O180" s="7">
        <v>0</v>
      </c>
      <c r="P180" s="7">
        <v>0</v>
      </c>
      <c r="Q180" s="7">
        <v>1</v>
      </c>
      <c r="R180" s="7">
        <v>1</v>
      </c>
      <c r="S180" s="7">
        <v>0</v>
      </c>
      <c r="T180" s="7">
        <v>0</v>
      </c>
      <c r="U180" s="7">
        <v>0</v>
      </c>
      <c r="V180" s="7">
        <v>3</v>
      </c>
      <c r="W180" s="7">
        <v>3</v>
      </c>
      <c r="X180" s="7">
        <v>2</v>
      </c>
      <c r="Y180" s="7">
        <v>1</v>
      </c>
      <c r="Z180" s="7">
        <v>2</v>
      </c>
      <c r="AA180" s="7">
        <v>1</v>
      </c>
      <c r="AB180" s="7">
        <v>0</v>
      </c>
      <c r="AC180" s="7">
        <v>0</v>
      </c>
      <c r="AD180" s="7">
        <v>2</v>
      </c>
      <c r="AE180" s="7" t="s">
        <v>1261</v>
      </c>
      <c r="AF180" s="7" t="s">
        <v>1712</v>
      </c>
      <c r="AG180" s="7" t="s">
        <v>1272</v>
      </c>
      <c r="AH180" s="7" t="s">
        <v>1851</v>
      </c>
      <c r="AI180" s="7" t="s">
        <v>1291</v>
      </c>
      <c r="AJ180" s="7"/>
    </row>
    <row r="181" spans="1:36" ht="15.75" customHeight="1">
      <c r="A181" s="48" t="b">
        <v>1</v>
      </c>
      <c r="B181" s="127" t="e">
        <f t="array" ref="B181">_xlfn.XLOOKUP(E181,#REF!,#REF!)</f>
        <v>#REF!</v>
      </c>
      <c r="C181" s="7" t="s">
        <v>1196</v>
      </c>
      <c r="D181" s="7"/>
      <c r="E181" s="7" t="s">
        <v>32</v>
      </c>
      <c r="F181" s="128">
        <v>46208.913194444402</v>
      </c>
      <c r="G181" s="7" t="s">
        <v>1852</v>
      </c>
      <c r="H181" s="7" t="s">
        <v>1276</v>
      </c>
      <c r="I181" s="7" t="s">
        <v>1299</v>
      </c>
      <c r="J181" s="7" t="s">
        <v>1853</v>
      </c>
      <c r="L181" s="7" t="s">
        <v>1258</v>
      </c>
      <c r="M181" s="7" t="s">
        <v>1259</v>
      </c>
      <c r="N181" s="7" t="s">
        <v>1260</v>
      </c>
      <c r="O181" s="7">
        <v>3</v>
      </c>
      <c r="P181" s="7">
        <v>4</v>
      </c>
      <c r="Q181" s="7">
        <v>4</v>
      </c>
      <c r="R181" s="7">
        <v>4</v>
      </c>
      <c r="S181" s="7">
        <v>4</v>
      </c>
      <c r="T181" s="7">
        <v>4</v>
      </c>
      <c r="U181" s="7">
        <v>4</v>
      </c>
      <c r="V181" s="7">
        <v>4</v>
      </c>
      <c r="W181" s="7">
        <v>4</v>
      </c>
      <c r="X181" s="7">
        <v>4</v>
      </c>
      <c r="Y181" s="7">
        <v>4</v>
      </c>
      <c r="Z181" s="7">
        <v>3</v>
      </c>
      <c r="AA181" s="7">
        <v>3</v>
      </c>
      <c r="AB181" s="7">
        <v>3</v>
      </c>
      <c r="AC181" s="7">
        <v>4</v>
      </c>
      <c r="AD181" s="7">
        <v>3</v>
      </c>
      <c r="AE181" s="7" t="s">
        <v>1295</v>
      </c>
      <c r="AF181" s="7" t="s">
        <v>1740</v>
      </c>
      <c r="AG181" s="7" t="s">
        <v>1263</v>
      </c>
      <c r="AH181" s="7" t="s">
        <v>1854</v>
      </c>
      <c r="AI181" s="7" t="s">
        <v>1265</v>
      </c>
      <c r="AJ181" s="7"/>
    </row>
    <row r="182" spans="1:36" ht="15.75" customHeight="1">
      <c r="A182" s="48" t="b">
        <v>1</v>
      </c>
      <c r="B182" s="127" t="e">
        <f t="array" ref="B182">_xlfn.XLOOKUP(E182,#REF!,#REF!)</f>
        <v>#REF!</v>
      </c>
      <c r="C182" s="7" t="s">
        <v>922</v>
      </c>
      <c r="D182" s="7"/>
      <c r="E182" s="7" t="s">
        <v>520</v>
      </c>
      <c r="F182" s="128">
        <v>46208.913194444402</v>
      </c>
      <c r="G182" s="7" t="s">
        <v>1855</v>
      </c>
      <c r="H182" s="7" t="s">
        <v>1276</v>
      </c>
      <c r="I182" s="7" t="s">
        <v>1392</v>
      </c>
      <c r="J182" s="7" t="s">
        <v>1782</v>
      </c>
      <c r="L182" s="7" t="s">
        <v>1711</v>
      </c>
      <c r="M182" s="7" t="s">
        <v>1259</v>
      </c>
      <c r="N182" s="7" t="s">
        <v>1270</v>
      </c>
      <c r="O182" s="7">
        <v>2</v>
      </c>
      <c r="P182" s="7">
        <v>2</v>
      </c>
      <c r="Q182" s="7">
        <v>2</v>
      </c>
      <c r="R182" s="7">
        <v>2</v>
      </c>
      <c r="S182" s="7">
        <v>2</v>
      </c>
      <c r="T182" s="7">
        <v>1</v>
      </c>
      <c r="U182" s="7">
        <v>1</v>
      </c>
      <c r="V182" s="7">
        <v>2</v>
      </c>
      <c r="W182" s="7">
        <v>3</v>
      </c>
      <c r="X182" s="7">
        <v>3</v>
      </c>
      <c r="Y182" s="7">
        <v>3</v>
      </c>
      <c r="Z182" s="7">
        <v>3</v>
      </c>
      <c r="AA182" s="7">
        <v>2</v>
      </c>
      <c r="AB182" s="7">
        <v>1</v>
      </c>
      <c r="AC182" s="7">
        <v>2</v>
      </c>
      <c r="AD182" s="7">
        <v>2</v>
      </c>
      <c r="AE182" s="7" t="s">
        <v>1261</v>
      </c>
      <c r="AF182" s="7" t="s">
        <v>1856</v>
      </c>
      <c r="AG182" s="7" t="s">
        <v>1272</v>
      </c>
      <c r="AH182" s="7" t="s">
        <v>1857</v>
      </c>
      <c r="AI182" s="7" t="s">
        <v>1858</v>
      </c>
      <c r="AJ182" s="7"/>
    </row>
    <row r="183" spans="1:36" ht="15.75" customHeight="1">
      <c r="A183" s="48" t="b">
        <v>1</v>
      </c>
      <c r="B183" s="127" t="e">
        <f t="array" ref="B183">_xlfn.XLOOKUP(E183,#REF!,#REF!)</f>
        <v>#REF!</v>
      </c>
      <c r="C183" s="7" t="s">
        <v>1007</v>
      </c>
      <c r="D183" s="7"/>
      <c r="E183" s="7" t="s">
        <v>287</v>
      </c>
      <c r="F183" s="128">
        <v>46208.927083333299</v>
      </c>
      <c r="G183" s="7" t="s">
        <v>1859</v>
      </c>
      <c r="H183" s="7" t="s">
        <v>1276</v>
      </c>
      <c r="I183" s="7" t="s">
        <v>1334</v>
      </c>
      <c r="J183" s="7" t="s">
        <v>1268</v>
      </c>
      <c r="L183" s="7" t="s">
        <v>1279</v>
      </c>
      <c r="M183" s="7" t="s">
        <v>1294</v>
      </c>
      <c r="N183" s="7" t="s">
        <v>1280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1</v>
      </c>
      <c r="V183" s="7">
        <v>0</v>
      </c>
      <c r="W183" s="7">
        <v>1</v>
      </c>
      <c r="X183" s="7">
        <v>1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 t="s">
        <v>1307</v>
      </c>
      <c r="AF183" s="7" t="s">
        <v>1308</v>
      </c>
      <c r="AG183" s="7" t="s">
        <v>1272</v>
      </c>
      <c r="AH183" s="7" t="s">
        <v>1860</v>
      </c>
      <c r="AI183" s="7" t="s">
        <v>1859</v>
      </c>
      <c r="AJ183" s="7"/>
    </row>
    <row r="184" spans="1:36" ht="15.75" customHeight="1">
      <c r="A184" s="48" t="b">
        <v>1</v>
      </c>
      <c r="B184" s="127" t="e">
        <f t="array" ref="B184">_xlfn.XLOOKUP(E184,#REF!,#REF!)</f>
        <v>#REF!</v>
      </c>
      <c r="C184" s="7" t="s">
        <v>887</v>
      </c>
      <c r="D184" s="7"/>
      <c r="E184" s="7" t="s">
        <v>59</v>
      </c>
      <c r="F184" s="128">
        <v>46208.929861111101</v>
      </c>
      <c r="G184" s="7" t="s">
        <v>1861</v>
      </c>
      <c r="H184" s="7" t="s">
        <v>1276</v>
      </c>
      <c r="I184" s="7" t="s">
        <v>1334</v>
      </c>
      <c r="J184" s="7" t="s">
        <v>1268</v>
      </c>
      <c r="L184" s="7" t="s">
        <v>1279</v>
      </c>
      <c r="M184" s="7" t="s">
        <v>1294</v>
      </c>
      <c r="N184" s="7" t="s">
        <v>1280</v>
      </c>
      <c r="O184" s="7">
        <v>0</v>
      </c>
      <c r="P184" s="7">
        <v>1</v>
      </c>
      <c r="Q184" s="7">
        <v>2</v>
      </c>
      <c r="R184" s="7">
        <v>0</v>
      </c>
      <c r="S184" s="7">
        <v>3</v>
      </c>
      <c r="T184" s="7">
        <v>0</v>
      </c>
      <c r="U184" s="7">
        <v>0</v>
      </c>
      <c r="V184" s="7">
        <v>2</v>
      </c>
      <c r="W184" s="7">
        <v>0</v>
      </c>
      <c r="X184" s="7">
        <v>0</v>
      </c>
      <c r="Y184" s="7">
        <v>4</v>
      </c>
      <c r="Z184" s="7">
        <v>3</v>
      </c>
      <c r="AA184" s="7">
        <v>2</v>
      </c>
      <c r="AB184" s="7">
        <v>0</v>
      </c>
      <c r="AC184" s="7">
        <v>0</v>
      </c>
      <c r="AD184" s="7">
        <v>0</v>
      </c>
      <c r="AE184" s="7" t="s">
        <v>1300</v>
      </c>
      <c r="AF184" s="7" t="s">
        <v>1747</v>
      </c>
      <c r="AG184" s="7" t="s">
        <v>1282</v>
      </c>
      <c r="AH184" s="7" t="s">
        <v>1862</v>
      </c>
      <c r="AI184" s="7" t="s">
        <v>875</v>
      </c>
      <c r="AJ184" s="7"/>
    </row>
    <row r="185" spans="1:36" ht="15.75" customHeight="1">
      <c r="A185" s="48" t="b">
        <v>1</v>
      </c>
      <c r="B185" s="127" t="e">
        <f t="array" ref="B185">_xlfn.XLOOKUP(E185,#REF!,#REF!)</f>
        <v>#REF!</v>
      </c>
      <c r="C185" s="7" t="s">
        <v>1209</v>
      </c>
      <c r="D185" s="7"/>
      <c r="E185" s="7" t="s">
        <v>517</v>
      </c>
      <c r="F185" s="128">
        <v>46208.932638888902</v>
      </c>
      <c r="G185" s="7" t="s">
        <v>1863</v>
      </c>
      <c r="H185" s="7" t="s">
        <v>1255</v>
      </c>
      <c r="I185" s="7" t="s">
        <v>1277</v>
      </c>
      <c r="J185" s="7" t="s">
        <v>1782</v>
      </c>
      <c r="L185" s="7" t="s">
        <v>1258</v>
      </c>
      <c r="M185" s="7" t="s">
        <v>1259</v>
      </c>
      <c r="N185" s="7" t="s">
        <v>1288</v>
      </c>
      <c r="O185" s="7">
        <v>0</v>
      </c>
      <c r="P185" s="7">
        <v>1</v>
      </c>
      <c r="Q185" s="7">
        <v>1</v>
      </c>
      <c r="R185" s="7">
        <v>1</v>
      </c>
      <c r="S185" s="7">
        <v>0</v>
      </c>
      <c r="T185" s="7">
        <v>0</v>
      </c>
      <c r="U185" s="7">
        <v>1</v>
      </c>
      <c r="V185" s="7">
        <v>1</v>
      </c>
      <c r="W185" s="7">
        <v>2</v>
      </c>
      <c r="X185" s="7">
        <v>2</v>
      </c>
      <c r="Y185" s="7">
        <v>2</v>
      </c>
      <c r="Z185" s="7">
        <v>3</v>
      </c>
      <c r="AA185" s="7">
        <v>3</v>
      </c>
      <c r="AB185" s="7">
        <v>2</v>
      </c>
      <c r="AC185" s="7">
        <v>1</v>
      </c>
      <c r="AD185" s="7">
        <v>2</v>
      </c>
      <c r="AE185" s="7" t="s">
        <v>1300</v>
      </c>
      <c r="AF185" s="7" t="s">
        <v>1712</v>
      </c>
      <c r="AG185" s="7" t="s">
        <v>1272</v>
      </c>
      <c r="AH185" s="7" t="s">
        <v>1864</v>
      </c>
      <c r="AI185" s="7" t="s">
        <v>1865</v>
      </c>
      <c r="AJ185" s="7"/>
    </row>
    <row r="186" spans="1:36" ht="15.75" customHeight="1">
      <c r="A186" s="48" t="b">
        <v>1</v>
      </c>
      <c r="B186" s="127" t="e">
        <f t="array" ref="B186">_xlfn.XLOOKUP(E186,#REF!,#REF!)</f>
        <v>#REF!</v>
      </c>
      <c r="C186" s="7" t="s">
        <v>1866</v>
      </c>
      <c r="D186" s="7"/>
      <c r="E186" s="7" t="s">
        <v>426</v>
      </c>
      <c r="F186" s="128">
        <v>46208.947222222203</v>
      </c>
      <c r="G186" s="7" t="s">
        <v>1867</v>
      </c>
      <c r="H186" s="7" t="s">
        <v>1267</v>
      </c>
      <c r="I186" s="7" t="s">
        <v>1392</v>
      </c>
      <c r="J186" s="7" t="s">
        <v>1750</v>
      </c>
      <c r="L186" s="7" t="s">
        <v>1258</v>
      </c>
      <c r="M186" s="7" t="s">
        <v>1259</v>
      </c>
      <c r="N186" s="7" t="s">
        <v>1280</v>
      </c>
      <c r="O186" s="7">
        <v>3</v>
      </c>
      <c r="P186" s="7">
        <v>1</v>
      </c>
      <c r="Q186" s="7">
        <v>3</v>
      </c>
      <c r="R186" s="7">
        <v>3</v>
      </c>
      <c r="S186" s="7">
        <v>3</v>
      </c>
      <c r="T186" s="7">
        <v>3</v>
      </c>
      <c r="U186" s="7">
        <v>1</v>
      </c>
      <c r="V186" s="7">
        <v>1</v>
      </c>
      <c r="W186" s="7">
        <v>1</v>
      </c>
      <c r="X186" s="7">
        <v>1</v>
      </c>
      <c r="Y186" s="7">
        <v>2</v>
      </c>
      <c r="Z186" s="7">
        <v>2</v>
      </c>
      <c r="AA186" s="7">
        <v>2</v>
      </c>
      <c r="AB186" s="7">
        <v>3</v>
      </c>
      <c r="AC186" s="7">
        <v>2</v>
      </c>
      <c r="AD186" s="7">
        <v>2</v>
      </c>
      <c r="AE186" s="7" t="s">
        <v>1300</v>
      </c>
      <c r="AF186" s="7" t="s">
        <v>1837</v>
      </c>
      <c r="AG186" s="7" t="s">
        <v>1282</v>
      </c>
      <c r="AH186" s="7" t="s">
        <v>1868</v>
      </c>
      <c r="AI186" s="7" t="s">
        <v>1291</v>
      </c>
      <c r="AJ186" s="7"/>
    </row>
    <row r="187" spans="1:36" ht="15.75" customHeight="1">
      <c r="A187" s="48" t="b">
        <v>1</v>
      </c>
      <c r="B187" s="127" t="e">
        <f t="array" ref="B187">_xlfn.XLOOKUP(E187,#REF!,#REF!)</f>
        <v>#REF!</v>
      </c>
      <c r="C187" s="7" t="s">
        <v>1095</v>
      </c>
      <c r="D187" s="7"/>
      <c r="E187" s="7" t="s">
        <v>56</v>
      </c>
      <c r="F187" s="128">
        <v>46208.951388888898</v>
      </c>
      <c r="G187" s="7" t="s">
        <v>1869</v>
      </c>
      <c r="H187" s="7" t="s">
        <v>1276</v>
      </c>
      <c r="I187" s="7" t="s">
        <v>1277</v>
      </c>
      <c r="J187" s="7" t="s">
        <v>1293</v>
      </c>
      <c r="L187" s="7" t="s">
        <v>1279</v>
      </c>
      <c r="M187" s="7" t="s">
        <v>1294</v>
      </c>
      <c r="N187" s="7" t="s">
        <v>1280</v>
      </c>
      <c r="O187" s="7">
        <v>0</v>
      </c>
      <c r="P187" s="7">
        <v>1</v>
      </c>
      <c r="Q187" s="7">
        <v>2</v>
      </c>
      <c r="R187" s="7">
        <v>0</v>
      </c>
      <c r="S187" s="7">
        <v>1</v>
      </c>
      <c r="T187" s="7">
        <v>0</v>
      </c>
      <c r="U187" s="7">
        <v>0</v>
      </c>
      <c r="V187" s="7">
        <v>0</v>
      </c>
      <c r="W187" s="7">
        <v>4</v>
      </c>
      <c r="X187" s="7">
        <v>4</v>
      </c>
      <c r="Y187" s="7">
        <v>2</v>
      </c>
      <c r="Z187" s="7">
        <v>2</v>
      </c>
      <c r="AA187" s="7">
        <v>1</v>
      </c>
      <c r="AB187" s="7">
        <v>0</v>
      </c>
      <c r="AC187" s="7">
        <v>0</v>
      </c>
      <c r="AD187" s="7">
        <v>0</v>
      </c>
      <c r="AE187" s="7" t="s">
        <v>1307</v>
      </c>
      <c r="AF187" s="7" t="s">
        <v>1301</v>
      </c>
      <c r="AG187" s="7" t="s">
        <v>1272</v>
      </c>
      <c r="AH187" s="7" t="s">
        <v>1870</v>
      </c>
      <c r="AI187" s="7" t="s">
        <v>1869</v>
      </c>
      <c r="AJ187" s="7"/>
    </row>
    <row r="188" spans="1:36" ht="15.75" customHeight="1">
      <c r="A188" s="48" t="b">
        <v>1</v>
      </c>
      <c r="B188" s="127" t="e">
        <f t="array" ref="B188">_xlfn.XLOOKUP(E188,#REF!,#REF!)</f>
        <v>#REF!</v>
      </c>
      <c r="C188" s="7" t="s">
        <v>1092</v>
      </c>
      <c r="D188" s="7"/>
      <c r="E188" s="7" t="s">
        <v>62</v>
      </c>
      <c r="F188" s="128">
        <v>46208.951388888898</v>
      </c>
      <c r="G188" s="7" t="s">
        <v>1871</v>
      </c>
      <c r="H188" s="7" t="s">
        <v>1276</v>
      </c>
      <c r="I188" s="7" t="s">
        <v>1277</v>
      </c>
      <c r="J188" s="7" t="s">
        <v>1293</v>
      </c>
      <c r="L188" s="7" t="s">
        <v>1279</v>
      </c>
      <c r="M188" s="7" t="s">
        <v>1294</v>
      </c>
      <c r="N188" s="7" t="s">
        <v>1280</v>
      </c>
      <c r="O188" s="7">
        <v>0</v>
      </c>
      <c r="P188" s="7">
        <v>1</v>
      </c>
      <c r="Q188" s="7">
        <v>2</v>
      </c>
      <c r="R188" s="7">
        <v>0</v>
      </c>
      <c r="S188" s="7">
        <v>1</v>
      </c>
      <c r="T188" s="7">
        <v>0</v>
      </c>
      <c r="U188" s="7">
        <v>0</v>
      </c>
      <c r="V188" s="7">
        <v>0</v>
      </c>
      <c r="W188" s="7">
        <v>4</v>
      </c>
      <c r="X188" s="7">
        <v>4</v>
      </c>
      <c r="Y188" s="7">
        <v>2</v>
      </c>
      <c r="Z188" s="7">
        <v>2</v>
      </c>
      <c r="AA188" s="7">
        <v>1</v>
      </c>
      <c r="AB188" s="7">
        <v>0</v>
      </c>
      <c r="AC188" s="7">
        <v>0</v>
      </c>
      <c r="AD188" s="7">
        <v>0</v>
      </c>
      <c r="AE188" s="7" t="s">
        <v>1307</v>
      </c>
      <c r="AF188" s="7" t="s">
        <v>1262</v>
      </c>
      <c r="AG188" s="7" t="s">
        <v>1272</v>
      </c>
      <c r="AH188" s="7" t="s">
        <v>1872</v>
      </c>
      <c r="AI188" s="7" t="s">
        <v>1869</v>
      </c>
      <c r="AJ188" s="7"/>
    </row>
    <row r="189" spans="1:36" ht="15.75" customHeight="1">
      <c r="A189" s="48" t="b">
        <v>1</v>
      </c>
      <c r="B189" s="127" t="e">
        <f t="array" ref="B189">_xlfn.XLOOKUP(E189,#REF!,#REF!)</f>
        <v>#REF!</v>
      </c>
      <c r="C189" s="7" t="s">
        <v>1114</v>
      </c>
      <c r="D189" s="7"/>
      <c r="E189" s="7" t="s">
        <v>94</v>
      </c>
      <c r="F189" s="128">
        <v>46208.974999999999</v>
      </c>
      <c r="G189" s="7" t="s">
        <v>1873</v>
      </c>
      <c r="H189" s="7" t="s">
        <v>1276</v>
      </c>
      <c r="I189" s="7" t="s">
        <v>1277</v>
      </c>
      <c r="J189" s="7" t="s">
        <v>1268</v>
      </c>
      <c r="L189" s="7" t="s">
        <v>1258</v>
      </c>
      <c r="M189" s="7" t="s">
        <v>1294</v>
      </c>
      <c r="N189" s="7" t="s">
        <v>1288</v>
      </c>
      <c r="O189" s="7">
        <v>1</v>
      </c>
      <c r="P189" s="7">
        <v>2</v>
      </c>
      <c r="Q189" s="7">
        <v>4</v>
      </c>
      <c r="R189" s="7">
        <v>4</v>
      </c>
      <c r="S189" s="7">
        <v>3</v>
      </c>
      <c r="T189" s="7">
        <v>1</v>
      </c>
      <c r="U189" s="7">
        <v>4</v>
      </c>
      <c r="V189" s="7">
        <v>4</v>
      </c>
      <c r="W189" s="7">
        <v>3</v>
      </c>
      <c r="X189" s="7">
        <v>3</v>
      </c>
      <c r="Y189" s="7">
        <v>3</v>
      </c>
      <c r="Z189" s="7">
        <v>3</v>
      </c>
      <c r="AA189" s="7">
        <v>3</v>
      </c>
      <c r="AB189" s="7">
        <v>2</v>
      </c>
      <c r="AC189" s="7">
        <v>2</v>
      </c>
      <c r="AD189" s="7">
        <v>1</v>
      </c>
      <c r="AE189" s="7" t="s">
        <v>1300</v>
      </c>
      <c r="AF189" s="7" t="s">
        <v>1262</v>
      </c>
      <c r="AG189" s="7" t="s">
        <v>1282</v>
      </c>
      <c r="AH189" s="7" t="s">
        <v>1874</v>
      </c>
      <c r="AI189" s="7" t="s">
        <v>1875</v>
      </c>
      <c r="AJ189" s="7"/>
    </row>
    <row r="190" spans="1:36" ht="15.75" customHeight="1">
      <c r="A190" s="48" t="b">
        <v>1</v>
      </c>
      <c r="B190" s="127" t="e">
        <f t="array" ref="B190">_xlfn.XLOOKUP(E190,#REF!,#REF!)</f>
        <v>#REF!</v>
      </c>
      <c r="C190" s="7" t="s">
        <v>958</v>
      </c>
      <c r="D190" s="7"/>
      <c r="E190" s="7" t="s">
        <v>96</v>
      </c>
      <c r="F190" s="128">
        <v>46208.988194444399</v>
      </c>
      <c r="G190" s="7" t="s">
        <v>1876</v>
      </c>
      <c r="H190" s="7" t="s">
        <v>1276</v>
      </c>
      <c r="I190" s="7" t="s">
        <v>1256</v>
      </c>
      <c r="J190" s="7" t="s">
        <v>1804</v>
      </c>
      <c r="L190" s="7" t="s">
        <v>1258</v>
      </c>
      <c r="M190" s="7" t="s">
        <v>1259</v>
      </c>
      <c r="N190" s="7" t="s">
        <v>1260</v>
      </c>
      <c r="O190" s="7">
        <v>2</v>
      </c>
      <c r="P190" s="7">
        <v>1</v>
      </c>
      <c r="Q190" s="7">
        <v>3</v>
      </c>
      <c r="R190" s="7">
        <v>2</v>
      </c>
      <c r="S190" s="7">
        <v>1</v>
      </c>
      <c r="T190" s="7">
        <v>1</v>
      </c>
      <c r="U190" s="7">
        <v>2</v>
      </c>
      <c r="V190" s="7">
        <v>2</v>
      </c>
      <c r="W190" s="7">
        <v>3</v>
      </c>
      <c r="X190" s="7">
        <v>3</v>
      </c>
      <c r="Y190" s="7">
        <v>3</v>
      </c>
      <c r="Z190" s="7">
        <v>2</v>
      </c>
      <c r="AA190" s="7">
        <v>2</v>
      </c>
      <c r="AB190" s="7">
        <v>1</v>
      </c>
      <c r="AC190" s="7">
        <v>4</v>
      </c>
      <c r="AD190" s="7">
        <v>2</v>
      </c>
      <c r="AE190" s="7" t="s">
        <v>1261</v>
      </c>
      <c r="AF190" s="7" t="s">
        <v>1697</v>
      </c>
      <c r="AG190" s="7" t="s">
        <v>1282</v>
      </c>
      <c r="AH190" s="7" t="s">
        <v>1877</v>
      </c>
      <c r="AI190" s="7" t="s">
        <v>1778</v>
      </c>
      <c r="AJ190" s="7"/>
    </row>
    <row r="191" spans="1:36" ht="15.75" customHeight="1">
      <c r="A191" s="48" t="b">
        <v>1</v>
      </c>
      <c r="B191" s="127" t="e">
        <f t="array" ref="B191">_xlfn.XLOOKUP(E191,#REF!,#REF!)</f>
        <v>#REF!</v>
      </c>
      <c r="C191" s="7" t="s">
        <v>938</v>
      </c>
      <c r="D191" s="7"/>
      <c r="E191" s="7" t="s">
        <v>505</v>
      </c>
      <c r="F191" s="128">
        <v>46209.006944444402</v>
      </c>
      <c r="G191" s="7" t="s">
        <v>1878</v>
      </c>
      <c r="H191" s="7" t="s">
        <v>1267</v>
      </c>
      <c r="I191" s="7" t="s">
        <v>1392</v>
      </c>
      <c r="J191" s="7" t="s">
        <v>1755</v>
      </c>
      <c r="L191" s="7" t="s">
        <v>1711</v>
      </c>
      <c r="M191" s="7" t="s">
        <v>1357</v>
      </c>
      <c r="N191" s="7" t="s">
        <v>1270</v>
      </c>
      <c r="O191" s="7">
        <v>2</v>
      </c>
      <c r="P191" s="7">
        <v>3</v>
      </c>
      <c r="Q191" s="7">
        <v>3</v>
      </c>
      <c r="R191" s="7">
        <v>2</v>
      </c>
      <c r="S191" s="7">
        <v>2</v>
      </c>
      <c r="T191" s="7">
        <v>2</v>
      </c>
      <c r="U191" s="7">
        <v>2</v>
      </c>
      <c r="V191" s="7">
        <v>1</v>
      </c>
      <c r="W191" s="7">
        <v>4</v>
      </c>
      <c r="X191" s="7">
        <v>3</v>
      </c>
      <c r="Y191" s="7">
        <v>4</v>
      </c>
      <c r="Z191" s="7">
        <v>4</v>
      </c>
      <c r="AA191" s="7">
        <v>2</v>
      </c>
      <c r="AB191" s="7">
        <v>4</v>
      </c>
      <c r="AC191" s="7">
        <v>4</v>
      </c>
      <c r="AD191" s="7">
        <v>3</v>
      </c>
      <c r="AE191" s="7" t="s">
        <v>1300</v>
      </c>
      <c r="AF191" s="7" t="s">
        <v>1879</v>
      </c>
      <c r="AG191" s="7" t="s">
        <v>1272</v>
      </c>
      <c r="AH191" s="7" t="s">
        <v>1880</v>
      </c>
      <c r="AI191" s="7" t="s">
        <v>1881</v>
      </c>
      <c r="AJ191" s="7"/>
    </row>
    <row r="192" spans="1:36" ht="15.75" customHeight="1">
      <c r="A192" s="48" t="b">
        <v>1</v>
      </c>
      <c r="B192" s="127" t="e">
        <f t="array" ref="B192">_xlfn.XLOOKUP(E192,#REF!,#REF!)</f>
        <v>#REF!</v>
      </c>
      <c r="C192" s="7" t="s">
        <v>928</v>
      </c>
      <c r="D192" s="7"/>
      <c r="E192" s="7" t="s">
        <v>707</v>
      </c>
      <c r="F192" s="128">
        <v>46209.028472222199</v>
      </c>
      <c r="G192" s="7" t="s">
        <v>1882</v>
      </c>
      <c r="H192" s="7" t="s">
        <v>1255</v>
      </c>
      <c r="I192" s="7" t="s">
        <v>1277</v>
      </c>
      <c r="J192" s="7" t="s">
        <v>1257</v>
      </c>
      <c r="L192" s="7" t="s">
        <v>1279</v>
      </c>
      <c r="M192" s="7" t="s">
        <v>1259</v>
      </c>
      <c r="N192" s="7" t="s">
        <v>1260</v>
      </c>
      <c r="O192" s="7">
        <v>2</v>
      </c>
      <c r="P192" s="7">
        <v>4</v>
      </c>
      <c r="Q192" s="7">
        <v>4</v>
      </c>
      <c r="R192" s="7">
        <v>4</v>
      </c>
      <c r="S192" s="7">
        <v>3</v>
      </c>
      <c r="T192" s="7">
        <v>3</v>
      </c>
      <c r="U192" s="7">
        <v>3</v>
      </c>
      <c r="V192" s="7">
        <v>3</v>
      </c>
      <c r="W192" s="7">
        <v>3</v>
      </c>
      <c r="X192" s="7">
        <v>3</v>
      </c>
      <c r="Y192" s="7">
        <v>3</v>
      </c>
      <c r="Z192" s="7">
        <v>3</v>
      </c>
      <c r="AA192" s="7">
        <v>2</v>
      </c>
      <c r="AB192" s="7">
        <v>0</v>
      </c>
      <c r="AC192" s="7">
        <v>2</v>
      </c>
      <c r="AD192" s="7">
        <v>2</v>
      </c>
      <c r="AE192" s="7" t="s">
        <v>1295</v>
      </c>
      <c r="AF192" s="7" t="s">
        <v>1697</v>
      </c>
      <c r="AG192" s="7" t="s">
        <v>1363</v>
      </c>
      <c r="AH192" s="7" t="s">
        <v>1883</v>
      </c>
      <c r="AI192" s="7" t="s">
        <v>1291</v>
      </c>
      <c r="AJ192" s="7"/>
    </row>
    <row r="193" spans="1:36" ht="15.75" customHeight="1">
      <c r="A193" s="48" t="b">
        <v>1</v>
      </c>
      <c r="B193" s="127" t="e">
        <f t="array" ref="B193">_xlfn.XLOOKUP(E193,#REF!,#REF!)</f>
        <v>#REF!</v>
      </c>
      <c r="C193" s="7" t="s">
        <v>1081</v>
      </c>
      <c r="D193" s="7"/>
      <c r="E193" s="7" t="s">
        <v>142</v>
      </c>
      <c r="F193" s="128">
        <v>46209.039583333302</v>
      </c>
      <c r="G193" s="7" t="s">
        <v>1884</v>
      </c>
      <c r="H193" s="7" t="s">
        <v>1276</v>
      </c>
      <c r="I193" s="7" t="s">
        <v>1277</v>
      </c>
      <c r="J193" s="7" t="s">
        <v>1293</v>
      </c>
      <c r="L193" s="7" t="s">
        <v>1258</v>
      </c>
      <c r="M193" s="7" t="s">
        <v>1259</v>
      </c>
      <c r="N193" s="7" t="s">
        <v>1288</v>
      </c>
      <c r="O193" s="7">
        <v>0</v>
      </c>
      <c r="P193" s="7">
        <v>1</v>
      </c>
      <c r="Q193" s="7">
        <v>2</v>
      </c>
      <c r="R193" s="7">
        <v>0</v>
      </c>
      <c r="S193" s="7">
        <v>1</v>
      </c>
      <c r="T193" s="7">
        <v>1</v>
      </c>
      <c r="U193" s="7">
        <v>0</v>
      </c>
      <c r="V193" s="7">
        <v>1</v>
      </c>
      <c r="W193" s="7">
        <v>3</v>
      </c>
      <c r="X193" s="7">
        <v>3</v>
      </c>
      <c r="Y193" s="7">
        <v>3</v>
      </c>
      <c r="Z193" s="7">
        <v>3</v>
      </c>
      <c r="AA193" s="7">
        <v>0</v>
      </c>
      <c r="AB193" s="7">
        <v>0</v>
      </c>
      <c r="AC193" s="7">
        <v>2</v>
      </c>
      <c r="AD193" s="7">
        <v>1</v>
      </c>
      <c r="AE193" s="7" t="s">
        <v>1261</v>
      </c>
      <c r="AF193" s="7" t="s">
        <v>1697</v>
      </c>
      <c r="AG193" s="7" t="s">
        <v>1272</v>
      </c>
      <c r="AH193" s="7" t="s">
        <v>1885</v>
      </c>
      <c r="AI193" s="7" t="s">
        <v>1886</v>
      </c>
      <c r="AJ193" s="7"/>
    </row>
    <row r="194" spans="1:36" ht="15.75" customHeight="1">
      <c r="A194" s="48" t="b">
        <v>1</v>
      </c>
      <c r="B194" s="127" t="e">
        <f t="array" ref="B194">_xlfn.XLOOKUP(E194,#REF!,#REF!)</f>
        <v>#REF!</v>
      </c>
      <c r="C194" s="7" t="s">
        <v>890</v>
      </c>
      <c r="D194" s="7"/>
      <c r="E194" s="7" t="s">
        <v>747</v>
      </c>
      <c r="F194" s="128">
        <v>46209.135416666701</v>
      </c>
      <c r="G194" s="7" t="s">
        <v>1887</v>
      </c>
      <c r="H194" s="7" t="s">
        <v>1276</v>
      </c>
      <c r="I194" s="7" t="s">
        <v>1277</v>
      </c>
      <c r="J194" s="7" t="s">
        <v>1804</v>
      </c>
      <c r="L194" s="7" t="s">
        <v>1279</v>
      </c>
      <c r="M194" s="7" t="s">
        <v>1259</v>
      </c>
      <c r="N194" s="7" t="s">
        <v>1280</v>
      </c>
      <c r="O194" s="7">
        <v>0</v>
      </c>
      <c r="P194" s="7">
        <v>2</v>
      </c>
      <c r="Q194" s="7">
        <v>1</v>
      </c>
      <c r="R194" s="7">
        <v>1</v>
      </c>
      <c r="S194" s="7">
        <v>0</v>
      </c>
      <c r="T194" s="7">
        <v>0</v>
      </c>
      <c r="U194" s="7">
        <v>2</v>
      </c>
      <c r="V194" s="7">
        <v>1</v>
      </c>
      <c r="W194" s="7">
        <v>2</v>
      </c>
      <c r="X194" s="7">
        <v>2</v>
      </c>
      <c r="Y194" s="7">
        <v>2</v>
      </c>
      <c r="Z194" s="7">
        <v>2</v>
      </c>
      <c r="AA194" s="7">
        <v>2</v>
      </c>
      <c r="AB194" s="7">
        <v>1</v>
      </c>
      <c r="AC194" s="7">
        <v>1</v>
      </c>
      <c r="AD194" s="7">
        <v>1</v>
      </c>
      <c r="AE194" s="7" t="s">
        <v>1295</v>
      </c>
      <c r="AF194" s="7" t="s">
        <v>1262</v>
      </c>
      <c r="AG194" s="7" t="s">
        <v>1272</v>
      </c>
      <c r="AH194" s="7" t="s">
        <v>1888</v>
      </c>
      <c r="AI194" s="7" t="s">
        <v>1887</v>
      </c>
      <c r="AJ194" s="7"/>
    </row>
    <row r="195" spans="1:36" ht="15.75" customHeight="1">
      <c r="A195" s="48" t="b">
        <v>1</v>
      </c>
      <c r="B195" s="127" t="e">
        <f t="array" ref="B195">_xlfn.XLOOKUP(E195,#REF!,#REF!)</f>
        <v>#REF!</v>
      </c>
      <c r="C195" s="7" t="s">
        <v>1030</v>
      </c>
      <c r="D195" s="7"/>
      <c r="E195" s="7" t="s">
        <v>267</v>
      </c>
      <c r="F195" s="128">
        <v>46209.145138888904</v>
      </c>
      <c r="G195" s="7" t="s">
        <v>1889</v>
      </c>
      <c r="H195" s="7" t="s">
        <v>1267</v>
      </c>
      <c r="I195" s="7" t="s">
        <v>1334</v>
      </c>
      <c r="J195" s="7" t="s">
        <v>1268</v>
      </c>
      <c r="L195" s="7" t="s">
        <v>1279</v>
      </c>
      <c r="M195" s="7" t="s">
        <v>1294</v>
      </c>
      <c r="N195" s="7" t="s">
        <v>1280</v>
      </c>
      <c r="O195" s="7">
        <v>2</v>
      </c>
      <c r="P195" s="7">
        <v>2</v>
      </c>
      <c r="Q195" s="7">
        <v>2</v>
      </c>
      <c r="R195" s="7">
        <v>2</v>
      </c>
      <c r="S195" s="7">
        <v>2</v>
      </c>
      <c r="T195" s="7">
        <v>1</v>
      </c>
      <c r="U195" s="7">
        <v>2</v>
      </c>
      <c r="V195" s="7">
        <v>2</v>
      </c>
      <c r="W195" s="7">
        <v>2</v>
      </c>
      <c r="X195" s="7">
        <v>2</v>
      </c>
      <c r="Y195" s="7">
        <v>2</v>
      </c>
      <c r="Z195" s="7">
        <v>2</v>
      </c>
      <c r="AA195" s="7">
        <v>2</v>
      </c>
      <c r="AB195" s="7">
        <v>3</v>
      </c>
      <c r="AC195" s="7">
        <v>1</v>
      </c>
      <c r="AD195" s="7">
        <v>2</v>
      </c>
      <c r="AE195" s="7" t="s">
        <v>1300</v>
      </c>
      <c r="AF195" s="7" t="s">
        <v>1747</v>
      </c>
      <c r="AG195" s="7" t="s">
        <v>1282</v>
      </c>
      <c r="AH195" s="7" t="s">
        <v>1890</v>
      </c>
      <c r="AI195" s="7" t="s">
        <v>1889</v>
      </c>
      <c r="AJ195" s="7"/>
    </row>
    <row r="196" spans="1:36" ht="15.75" customHeight="1">
      <c r="A196" s="48" t="b">
        <v>1</v>
      </c>
      <c r="B196" s="127" t="e">
        <f t="array" ref="B196">_xlfn.XLOOKUP(E196,#REF!,#REF!)</f>
        <v>#REF!</v>
      </c>
      <c r="C196" s="7" t="s">
        <v>1054</v>
      </c>
      <c r="D196" s="7"/>
      <c r="E196" s="7" t="s">
        <v>212</v>
      </c>
      <c r="F196" s="128">
        <v>46209.240277777797</v>
      </c>
      <c r="G196" s="7" t="s">
        <v>1891</v>
      </c>
      <c r="H196" s="7" t="s">
        <v>1267</v>
      </c>
      <c r="I196" s="7" t="s">
        <v>1277</v>
      </c>
      <c r="J196" s="7" t="s">
        <v>1268</v>
      </c>
      <c r="L196" s="7" t="s">
        <v>1258</v>
      </c>
      <c r="M196" s="7" t="s">
        <v>1294</v>
      </c>
      <c r="N196" s="7" t="s">
        <v>1280</v>
      </c>
      <c r="O196" s="7">
        <v>0</v>
      </c>
      <c r="P196" s="7">
        <v>2</v>
      </c>
      <c r="Q196" s="7">
        <v>2</v>
      </c>
      <c r="R196" s="7">
        <v>1</v>
      </c>
      <c r="S196" s="7">
        <v>3</v>
      </c>
      <c r="T196" s="7">
        <v>1</v>
      </c>
      <c r="U196" s="7">
        <v>1</v>
      </c>
      <c r="V196" s="7">
        <v>1</v>
      </c>
      <c r="W196" s="7">
        <v>1</v>
      </c>
      <c r="X196" s="7">
        <v>1</v>
      </c>
      <c r="Y196" s="7">
        <v>1</v>
      </c>
      <c r="Z196" s="7">
        <v>1</v>
      </c>
      <c r="AA196" s="7">
        <v>1</v>
      </c>
      <c r="AB196" s="7">
        <v>0</v>
      </c>
      <c r="AC196" s="7">
        <v>0</v>
      </c>
      <c r="AD196" s="7">
        <v>0</v>
      </c>
      <c r="AE196" s="7" t="s">
        <v>1300</v>
      </c>
      <c r="AF196" s="7" t="s">
        <v>1722</v>
      </c>
      <c r="AG196" s="7" t="s">
        <v>1363</v>
      </c>
      <c r="AH196" s="7" t="s">
        <v>1892</v>
      </c>
      <c r="AI196" s="7" t="s">
        <v>1893</v>
      </c>
      <c r="AJ196" s="7"/>
    </row>
    <row r="197" spans="1:36" ht="15.75" customHeight="1">
      <c r="A197" s="48" t="b">
        <v>1</v>
      </c>
      <c r="B197" s="127" t="e">
        <f t="array" ref="B197">_xlfn.XLOOKUP(E197,#REF!,#REF!)</f>
        <v>#REF!</v>
      </c>
      <c r="C197" s="7" t="s">
        <v>1111</v>
      </c>
      <c r="D197" s="7"/>
      <c r="E197" s="7" t="s">
        <v>160</v>
      </c>
      <c r="F197" s="128">
        <v>46209.255555555603</v>
      </c>
      <c r="G197" s="7" t="s">
        <v>1894</v>
      </c>
      <c r="H197" s="7" t="s">
        <v>1267</v>
      </c>
      <c r="I197" s="7" t="s">
        <v>1256</v>
      </c>
      <c r="J197" s="7" t="s">
        <v>1787</v>
      </c>
      <c r="L197" s="7" t="s">
        <v>1711</v>
      </c>
      <c r="M197" s="7" t="s">
        <v>1357</v>
      </c>
      <c r="N197" s="7" t="s">
        <v>1270</v>
      </c>
      <c r="O197" s="7">
        <v>3</v>
      </c>
      <c r="P197" s="7">
        <v>2</v>
      </c>
      <c r="Q197" s="7">
        <v>4</v>
      </c>
      <c r="R197" s="7">
        <v>2</v>
      </c>
      <c r="S197" s="7">
        <v>3</v>
      </c>
      <c r="T197" s="7">
        <v>3</v>
      </c>
      <c r="U197" s="7">
        <v>2</v>
      </c>
      <c r="V197" s="7">
        <v>2</v>
      </c>
      <c r="W197" s="7">
        <v>4</v>
      </c>
      <c r="X197" s="7">
        <v>4</v>
      </c>
      <c r="Y197" s="7">
        <v>4</v>
      </c>
      <c r="Z197" s="7">
        <v>4</v>
      </c>
      <c r="AA197" s="7">
        <v>3</v>
      </c>
      <c r="AB197" s="7">
        <v>4</v>
      </c>
      <c r="AC197" s="7">
        <v>4</v>
      </c>
      <c r="AD197" s="7">
        <v>4</v>
      </c>
      <c r="AE197" s="7" t="s">
        <v>1261</v>
      </c>
      <c r="AF197" s="7" t="s">
        <v>1712</v>
      </c>
      <c r="AG197" s="7" t="s">
        <v>1272</v>
      </c>
      <c r="AH197" s="7" t="s">
        <v>1895</v>
      </c>
      <c r="AI197" s="7" t="s">
        <v>1896</v>
      </c>
      <c r="AJ197" s="7"/>
    </row>
    <row r="198" spans="1:36" ht="15.75" customHeight="1">
      <c r="A198" s="48" t="b">
        <v>1</v>
      </c>
      <c r="B198" s="127" t="e">
        <f t="array" ref="B198">_xlfn.XLOOKUP(E198,#REF!,#REF!)</f>
        <v>#REF!</v>
      </c>
      <c r="C198" s="7" t="s">
        <v>909</v>
      </c>
      <c r="D198" s="7"/>
      <c r="E198" s="7" t="s">
        <v>222</v>
      </c>
      <c r="F198" s="128">
        <v>46209.2680555556</v>
      </c>
      <c r="G198" s="7" t="s">
        <v>1897</v>
      </c>
      <c r="H198" s="7" t="s">
        <v>1276</v>
      </c>
      <c r="I198" s="7" t="s">
        <v>1334</v>
      </c>
      <c r="J198" s="7" t="s">
        <v>1268</v>
      </c>
      <c r="L198" s="7" t="s">
        <v>1279</v>
      </c>
      <c r="M198" s="7" t="s">
        <v>1294</v>
      </c>
      <c r="N198" s="7" t="s">
        <v>1280</v>
      </c>
      <c r="O198" s="7">
        <v>1</v>
      </c>
      <c r="P198" s="7">
        <v>1</v>
      </c>
      <c r="Q198" s="7">
        <v>1</v>
      </c>
      <c r="R198" s="7">
        <v>1</v>
      </c>
      <c r="S198" s="7">
        <v>1</v>
      </c>
      <c r="T198" s="7">
        <v>1</v>
      </c>
      <c r="U198" s="7">
        <v>1</v>
      </c>
      <c r="V198" s="7">
        <v>1</v>
      </c>
      <c r="W198" s="7">
        <v>1</v>
      </c>
      <c r="X198" s="7">
        <v>1</v>
      </c>
      <c r="Y198" s="7">
        <v>1</v>
      </c>
      <c r="Z198" s="7">
        <v>1</v>
      </c>
      <c r="AA198" s="7">
        <v>1</v>
      </c>
      <c r="AB198" s="7">
        <v>1</v>
      </c>
      <c r="AC198" s="7">
        <v>1</v>
      </c>
      <c r="AD198" s="7">
        <v>0</v>
      </c>
      <c r="AE198" s="7" t="s">
        <v>1295</v>
      </c>
      <c r="AF198" s="7" t="s">
        <v>1262</v>
      </c>
      <c r="AG198" s="7" t="s">
        <v>1272</v>
      </c>
      <c r="AH198" s="7" t="s">
        <v>1898</v>
      </c>
      <c r="AI198" s="7" t="s">
        <v>1291</v>
      </c>
      <c r="AJ198" s="7"/>
    </row>
    <row r="199" spans="1:36" ht="15.75" customHeight="1">
      <c r="A199" s="48" t="b">
        <v>1</v>
      </c>
      <c r="B199" s="127" t="e">
        <f t="array" ref="B199">_xlfn.XLOOKUP(E199,#REF!,#REF!)</f>
        <v>#REF!</v>
      </c>
      <c r="C199" s="7" t="s">
        <v>988</v>
      </c>
      <c r="D199" s="7"/>
      <c r="E199" s="7" t="s">
        <v>431</v>
      </c>
      <c r="F199" s="128">
        <v>46209.2902777778</v>
      </c>
      <c r="G199" s="7" t="s">
        <v>1899</v>
      </c>
      <c r="H199" s="7" t="s">
        <v>1276</v>
      </c>
      <c r="I199" s="7" t="s">
        <v>1392</v>
      </c>
      <c r="J199" s="7" t="s">
        <v>1795</v>
      </c>
      <c r="L199" s="7" t="s">
        <v>1711</v>
      </c>
      <c r="M199" s="7" t="s">
        <v>1259</v>
      </c>
      <c r="N199" s="7" t="s">
        <v>1260</v>
      </c>
      <c r="O199" s="7">
        <v>3</v>
      </c>
      <c r="P199" s="7">
        <v>3</v>
      </c>
      <c r="Q199" s="7">
        <v>4</v>
      </c>
      <c r="R199" s="7">
        <v>4</v>
      </c>
      <c r="S199" s="7">
        <v>3</v>
      </c>
      <c r="T199" s="7">
        <v>2</v>
      </c>
      <c r="U199" s="7">
        <v>3</v>
      </c>
      <c r="V199" s="7">
        <v>3</v>
      </c>
      <c r="W199" s="7">
        <v>3</v>
      </c>
      <c r="X199" s="7">
        <v>3</v>
      </c>
      <c r="Y199" s="7">
        <v>3</v>
      </c>
      <c r="Z199" s="7">
        <v>3</v>
      </c>
      <c r="AA199" s="7">
        <v>3</v>
      </c>
      <c r="AB199" s="7">
        <v>4</v>
      </c>
      <c r="AC199" s="7">
        <v>2</v>
      </c>
      <c r="AD199" s="7">
        <v>2</v>
      </c>
      <c r="AE199" s="7" t="s">
        <v>1300</v>
      </c>
      <c r="AF199" s="7" t="s">
        <v>1747</v>
      </c>
      <c r="AG199" s="7" t="s">
        <v>1272</v>
      </c>
      <c r="AH199" s="7" t="s">
        <v>1900</v>
      </c>
      <c r="AI199" s="7" t="s">
        <v>1901</v>
      </c>
      <c r="AJ199" s="7"/>
    </row>
    <row r="200" spans="1:36" ht="15.75" customHeight="1">
      <c r="A200" s="48" t="b">
        <v>1</v>
      </c>
      <c r="B200" s="127" t="e">
        <f t="array" ref="B200">_xlfn.XLOOKUP(E200,#REF!,#REF!)</f>
        <v>#REF!</v>
      </c>
      <c r="C200" s="7" t="s">
        <v>1060</v>
      </c>
      <c r="D200" s="7"/>
      <c r="E200" s="7" t="s">
        <v>290</v>
      </c>
      <c r="F200" s="128">
        <v>46209.293749999997</v>
      </c>
      <c r="G200" s="7" t="s">
        <v>1902</v>
      </c>
      <c r="H200" s="7" t="s">
        <v>1276</v>
      </c>
      <c r="I200" s="7" t="s">
        <v>1277</v>
      </c>
      <c r="J200" s="7" t="s">
        <v>1293</v>
      </c>
      <c r="L200" s="7" t="s">
        <v>1711</v>
      </c>
      <c r="M200" s="7" t="s">
        <v>1259</v>
      </c>
      <c r="N200" s="7" t="s">
        <v>1270</v>
      </c>
      <c r="O200" s="7">
        <v>2</v>
      </c>
      <c r="P200" s="7">
        <v>0</v>
      </c>
      <c r="Q200" s="7">
        <v>3</v>
      </c>
      <c r="R200" s="7">
        <v>0</v>
      </c>
      <c r="S200" s="7">
        <v>1</v>
      </c>
      <c r="T200" s="7">
        <v>2</v>
      </c>
      <c r="U200" s="7">
        <v>0</v>
      </c>
      <c r="V200" s="7">
        <v>0</v>
      </c>
      <c r="W200" s="7">
        <v>3</v>
      </c>
      <c r="X200" s="7">
        <v>3</v>
      </c>
      <c r="Y200" s="7">
        <v>3</v>
      </c>
      <c r="Z200" s="7">
        <v>3</v>
      </c>
      <c r="AA200" s="7">
        <v>1</v>
      </c>
      <c r="AB200" s="7">
        <v>0</v>
      </c>
      <c r="AC200" s="7">
        <v>3</v>
      </c>
      <c r="AD200" s="7">
        <v>2</v>
      </c>
      <c r="AE200" s="7" t="s">
        <v>1300</v>
      </c>
      <c r="AF200" s="7" t="s">
        <v>1262</v>
      </c>
      <c r="AG200" s="7" t="s">
        <v>1272</v>
      </c>
      <c r="AH200" s="7" t="s">
        <v>1903</v>
      </c>
      <c r="AI200" s="7" t="s">
        <v>1265</v>
      </c>
      <c r="AJ200" s="7"/>
    </row>
    <row r="201" spans="1:36" ht="15.75" customHeight="1">
      <c r="A201" s="48" t="b">
        <v>1</v>
      </c>
      <c r="B201" s="127" t="e">
        <f t="array" ref="B201">_xlfn.XLOOKUP(E201,#REF!,#REF!)</f>
        <v>#REF!</v>
      </c>
      <c r="C201" s="7" t="s">
        <v>957</v>
      </c>
      <c r="D201" s="7"/>
      <c r="E201" s="7" t="s">
        <v>305</v>
      </c>
      <c r="F201" s="128">
        <v>46209.305555555598</v>
      </c>
      <c r="G201" s="7" t="s">
        <v>1904</v>
      </c>
      <c r="H201" s="7" t="s">
        <v>1276</v>
      </c>
      <c r="I201" s="7" t="s">
        <v>1256</v>
      </c>
      <c r="J201" s="7" t="s">
        <v>1905</v>
      </c>
      <c r="L201" s="7" t="s">
        <v>1711</v>
      </c>
      <c r="M201" s="7" t="s">
        <v>1259</v>
      </c>
      <c r="N201" s="7" t="s">
        <v>1270</v>
      </c>
      <c r="O201" s="7">
        <v>2</v>
      </c>
      <c r="P201" s="7">
        <v>4</v>
      </c>
      <c r="Q201" s="7">
        <v>4</v>
      </c>
      <c r="R201" s="7">
        <v>4</v>
      </c>
      <c r="S201" s="7">
        <v>3</v>
      </c>
      <c r="T201" s="7">
        <v>3</v>
      </c>
      <c r="U201" s="7">
        <v>3</v>
      </c>
      <c r="V201" s="7">
        <v>3</v>
      </c>
      <c r="W201" s="7">
        <v>2</v>
      </c>
      <c r="X201" s="7">
        <v>2</v>
      </c>
      <c r="Y201" s="7">
        <v>3</v>
      </c>
      <c r="Z201" s="7">
        <v>4</v>
      </c>
      <c r="AA201" s="7">
        <v>2</v>
      </c>
      <c r="AB201" s="7">
        <v>4</v>
      </c>
      <c r="AC201" s="7">
        <v>4</v>
      </c>
      <c r="AD201" s="7">
        <v>3</v>
      </c>
      <c r="AE201" s="7" t="s">
        <v>1261</v>
      </c>
      <c r="AF201" s="7" t="s">
        <v>1837</v>
      </c>
      <c r="AG201" s="7" t="s">
        <v>1272</v>
      </c>
      <c r="AH201" s="7" t="s">
        <v>1906</v>
      </c>
      <c r="AI201" s="7" t="s">
        <v>1907</v>
      </c>
      <c r="AJ201" s="7"/>
    </row>
    <row r="202" spans="1:36" ht="15.75" customHeight="1">
      <c r="A202" s="48" t="b">
        <v>1</v>
      </c>
      <c r="B202" s="127" t="e">
        <f t="array" ref="B202">_xlfn.XLOOKUP(E202,#REF!,#REF!)</f>
        <v>#REF!</v>
      </c>
      <c r="C202" s="7" t="s">
        <v>1125</v>
      </c>
      <c r="D202" s="7"/>
      <c r="E202" s="7" t="s">
        <v>364</v>
      </c>
      <c r="F202" s="128">
        <v>46209.324999999997</v>
      </c>
      <c r="G202" s="7" t="s">
        <v>1908</v>
      </c>
      <c r="H202" s="7" t="s">
        <v>1276</v>
      </c>
      <c r="I202" s="7" t="s">
        <v>1277</v>
      </c>
      <c r="J202" s="7" t="s">
        <v>1293</v>
      </c>
      <c r="L202" s="7" t="s">
        <v>1711</v>
      </c>
      <c r="M202" s="7" t="s">
        <v>1259</v>
      </c>
      <c r="N202" s="7" t="s">
        <v>1260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1</v>
      </c>
      <c r="V202" s="7">
        <v>0</v>
      </c>
      <c r="W202" s="7">
        <v>4</v>
      </c>
      <c r="X202" s="7">
        <v>4</v>
      </c>
      <c r="Y202" s="7">
        <v>2</v>
      </c>
      <c r="Z202" s="7">
        <v>4</v>
      </c>
      <c r="AA202" s="7">
        <v>3</v>
      </c>
      <c r="AB202" s="7">
        <v>0</v>
      </c>
      <c r="AC202" s="7">
        <v>3</v>
      </c>
      <c r="AD202" s="7">
        <v>0</v>
      </c>
      <c r="AE202" s="7" t="s">
        <v>1300</v>
      </c>
      <c r="AF202" s="7" t="s">
        <v>1262</v>
      </c>
      <c r="AG202" s="7" t="s">
        <v>1272</v>
      </c>
      <c r="AH202" s="7" t="s">
        <v>1909</v>
      </c>
      <c r="AI202" s="7" t="s">
        <v>1910</v>
      </c>
      <c r="AJ202" s="7"/>
    </row>
    <row r="203" spans="1:36" ht="15.75" customHeight="1">
      <c r="A203" s="48" t="b">
        <v>1</v>
      </c>
      <c r="B203" s="127" t="e">
        <f t="array" ref="B203">_xlfn.XLOOKUP(E203,#REF!,#REF!)</f>
        <v>#REF!</v>
      </c>
      <c r="C203" s="7" t="s">
        <v>1105</v>
      </c>
      <c r="D203" s="7"/>
      <c r="E203" s="7" t="s">
        <v>638</v>
      </c>
      <c r="F203" s="128">
        <v>46209.328472222202</v>
      </c>
      <c r="G203" s="7" t="s">
        <v>1911</v>
      </c>
      <c r="H203" s="7" t="s">
        <v>1255</v>
      </c>
      <c r="I203" s="7" t="s">
        <v>1277</v>
      </c>
      <c r="J203" s="7" t="s">
        <v>1491</v>
      </c>
      <c r="L203" s="7" t="s">
        <v>1279</v>
      </c>
      <c r="M203" s="7" t="s">
        <v>1294</v>
      </c>
      <c r="N203" s="7" t="s">
        <v>1280</v>
      </c>
      <c r="O203" s="7">
        <v>1</v>
      </c>
      <c r="P203" s="7">
        <v>1</v>
      </c>
      <c r="Q203" s="7">
        <v>1</v>
      </c>
      <c r="R203" s="7">
        <v>0</v>
      </c>
      <c r="S203" s="7">
        <v>0</v>
      </c>
      <c r="T203" s="7">
        <v>0</v>
      </c>
      <c r="U203" s="7">
        <v>0</v>
      </c>
      <c r="V203" s="7">
        <v>1</v>
      </c>
      <c r="W203" s="7">
        <v>2</v>
      </c>
      <c r="X203" s="7">
        <v>2</v>
      </c>
      <c r="Y203" s="7">
        <v>2</v>
      </c>
      <c r="Z203" s="7">
        <v>2</v>
      </c>
      <c r="AA203" s="7">
        <v>1</v>
      </c>
      <c r="AB203" s="7">
        <v>1</v>
      </c>
      <c r="AC203" s="7">
        <v>0</v>
      </c>
      <c r="AD203" s="7">
        <v>0</v>
      </c>
      <c r="AE203" s="7" t="s">
        <v>1300</v>
      </c>
      <c r="AF203" s="7" t="s">
        <v>1697</v>
      </c>
      <c r="AG203" s="7" t="s">
        <v>1272</v>
      </c>
      <c r="AH203" s="7" t="s">
        <v>1912</v>
      </c>
      <c r="AI203" s="7" t="s">
        <v>1265</v>
      </c>
      <c r="AJ203" s="7"/>
    </row>
    <row r="204" spans="1:36" ht="15.75" customHeight="1">
      <c r="A204" s="48" t="b">
        <v>1</v>
      </c>
      <c r="B204" s="127" t="e">
        <f t="array" ref="B204">_xlfn.XLOOKUP(E204,#REF!,#REF!)</f>
        <v>#REF!</v>
      </c>
      <c r="C204" s="7" t="s">
        <v>1009</v>
      </c>
      <c r="D204" s="7"/>
      <c r="E204" s="7" t="s">
        <v>653</v>
      </c>
      <c r="F204" s="128">
        <v>46209.336111111101</v>
      </c>
      <c r="G204" s="7" t="s">
        <v>1913</v>
      </c>
      <c r="H204" s="7" t="s">
        <v>1255</v>
      </c>
      <c r="I204" s="7" t="s">
        <v>1256</v>
      </c>
      <c r="J204" s="7" t="s">
        <v>1914</v>
      </c>
      <c r="L204" s="7" t="s">
        <v>1711</v>
      </c>
      <c r="M204" s="7" t="s">
        <v>1357</v>
      </c>
      <c r="N204" s="7" t="s">
        <v>1270</v>
      </c>
      <c r="O204" s="7">
        <v>2</v>
      </c>
      <c r="P204" s="7">
        <v>2</v>
      </c>
      <c r="Q204" s="7">
        <v>2</v>
      </c>
      <c r="R204" s="7">
        <v>2</v>
      </c>
      <c r="S204" s="7">
        <v>2</v>
      </c>
      <c r="T204" s="7">
        <v>2</v>
      </c>
      <c r="U204" s="7">
        <v>2</v>
      </c>
      <c r="V204" s="7">
        <v>2</v>
      </c>
      <c r="W204" s="7">
        <v>2</v>
      </c>
      <c r="X204" s="7">
        <v>2</v>
      </c>
      <c r="Y204" s="7">
        <v>2</v>
      </c>
      <c r="Z204" s="7">
        <v>2</v>
      </c>
      <c r="AA204" s="7">
        <v>2</v>
      </c>
      <c r="AB204" s="7">
        <v>2</v>
      </c>
      <c r="AC204" s="7">
        <v>2</v>
      </c>
      <c r="AD204" s="7">
        <v>2</v>
      </c>
      <c r="AE204" s="7" t="s">
        <v>1261</v>
      </c>
      <c r="AF204" s="7" t="s">
        <v>1740</v>
      </c>
      <c r="AG204" s="7" t="s">
        <v>1272</v>
      </c>
      <c r="AH204" s="7" t="s">
        <v>1915</v>
      </c>
      <c r="AI204" s="7" t="s">
        <v>1916</v>
      </c>
      <c r="AJ204" s="7"/>
    </row>
    <row r="205" spans="1:36" ht="15.75" customHeight="1">
      <c r="A205" s="48" t="b">
        <v>1</v>
      </c>
      <c r="B205" s="127" t="e">
        <f t="array" ref="B205">_xlfn.XLOOKUP(E205,#REF!,#REF!)</f>
        <v>#REF!</v>
      </c>
      <c r="C205" s="7" t="s">
        <v>1147</v>
      </c>
      <c r="D205" s="7"/>
      <c r="E205" s="7" t="s">
        <v>552</v>
      </c>
      <c r="F205" s="128">
        <v>46209.336805555598</v>
      </c>
      <c r="G205" s="7" t="s">
        <v>1917</v>
      </c>
      <c r="H205" s="7" t="s">
        <v>1255</v>
      </c>
      <c r="I205" s="7" t="s">
        <v>1256</v>
      </c>
      <c r="J205" s="7" t="s">
        <v>1782</v>
      </c>
      <c r="L205" s="7" t="s">
        <v>1711</v>
      </c>
      <c r="M205" s="7" t="s">
        <v>1259</v>
      </c>
      <c r="N205" s="7" t="s">
        <v>1270</v>
      </c>
      <c r="O205" s="7">
        <v>3</v>
      </c>
      <c r="P205" s="7">
        <v>3</v>
      </c>
      <c r="Q205" s="7">
        <v>3</v>
      </c>
      <c r="R205" s="7">
        <v>3</v>
      </c>
      <c r="S205" s="7">
        <v>2</v>
      </c>
      <c r="T205" s="7">
        <v>3</v>
      </c>
      <c r="U205" s="7">
        <v>2</v>
      </c>
      <c r="V205" s="7">
        <v>2</v>
      </c>
      <c r="W205" s="7">
        <v>3</v>
      </c>
      <c r="X205" s="7">
        <v>3</v>
      </c>
      <c r="Y205" s="7">
        <v>3</v>
      </c>
      <c r="Z205" s="7">
        <v>3</v>
      </c>
      <c r="AA205" s="7">
        <v>3</v>
      </c>
      <c r="AB205" s="7">
        <v>2</v>
      </c>
      <c r="AC205" s="7">
        <v>3</v>
      </c>
      <c r="AD205" s="7">
        <v>4</v>
      </c>
      <c r="AE205" s="7" t="s">
        <v>1261</v>
      </c>
      <c r="AF205" s="7" t="s">
        <v>1735</v>
      </c>
      <c r="AG205" s="7" t="s">
        <v>1263</v>
      </c>
      <c r="AH205" s="7" t="s">
        <v>1918</v>
      </c>
      <c r="AI205" s="7" t="s">
        <v>1919</v>
      </c>
      <c r="AJ205" s="7"/>
    </row>
    <row r="206" spans="1:36" ht="15.75" customHeight="1">
      <c r="A206" s="48" t="b">
        <v>1</v>
      </c>
      <c r="B206" s="127" t="e">
        <f t="array" ref="B206">_xlfn.XLOOKUP(E206,#REF!,#REF!)</f>
        <v>#REF!</v>
      </c>
      <c r="C206" s="7" t="s">
        <v>1202</v>
      </c>
      <c r="D206" s="7"/>
      <c r="E206" s="7" t="s">
        <v>692</v>
      </c>
      <c r="F206" s="128">
        <v>46209.35</v>
      </c>
      <c r="G206" s="7" t="s">
        <v>1920</v>
      </c>
      <c r="H206" s="7" t="s">
        <v>1276</v>
      </c>
      <c r="I206" s="7" t="s">
        <v>1277</v>
      </c>
      <c r="J206" s="7" t="s">
        <v>1268</v>
      </c>
      <c r="L206" s="7" t="s">
        <v>1279</v>
      </c>
      <c r="M206" s="7" t="s">
        <v>1294</v>
      </c>
      <c r="N206" s="7" t="s">
        <v>1280</v>
      </c>
      <c r="O206" s="7">
        <v>0</v>
      </c>
      <c r="P206" s="7">
        <v>0</v>
      </c>
      <c r="Q206" s="7">
        <v>3</v>
      </c>
      <c r="R206" s="7">
        <v>3</v>
      </c>
      <c r="S206" s="7">
        <v>0</v>
      </c>
      <c r="T206" s="7">
        <v>0</v>
      </c>
      <c r="U206" s="7">
        <v>3</v>
      </c>
      <c r="V206" s="7">
        <v>1</v>
      </c>
      <c r="W206" s="7">
        <v>3</v>
      </c>
      <c r="X206" s="7">
        <v>3</v>
      </c>
      <c r="Y206" s="7">
        <v>0</v>
      </c>
      <c r="Z206" s="7">
        <v>2</v>
      </c>
      <c r="AA206" s="7">
        <v>0</v>
      </c>
      <c r="AB206" s="7">
        <v>1</v>
      </c>
      <c r="AC206" s="7">
        <v>0</v>
      </c>
      <c r="AD206" s="7">
        <v>2</v>
      </c>
      <c r="AE206" s="7" t="s">
        <v>1261</v>
      </c>
      <c r="AF206" s="7" t="s">
        <v>1735</v>
      </c>
      <c r="AG206" s="7" t="s">
        <v>1282</v>
      </c>
      <c r="AH206" s="7" t="s">
        <v>1921</v>
      </c>
      <c r="AI206" s="7" t="s">
        <v>1922</v>
      </c>
      <c r="AJ206" s="7"/>
    </row>
    <row r="207" spans="1:36" ht="15.75" customHeight="1">
      <c r="A207" s="48" t="b">
        <v>1</v>
      </c>
      <c r="B207" s="127" t="e">
        <f t="array" ref="B207">_xlfn.XLOOKUP(E207,#REF!,#REF!)</f>
        <v>#REF!</v>
      </c>
      <c r="C207" s="7" t="s">
        <v>1089</v>
      </c>
      <c r="D207" s="7"/>
      <c r="E207" s="7" t="s">
        <v>30</v>
      </c>
      <c r="F207" s="128">
        <v>46209.373611111099</v>
      </c>
      <c r="G207" s="7" t="s">
        <v>1923</v>
      </c>
      <c r="H207" s="7" t="s">
        <v>1255</v>
      </c>
      <c r="I207" s="7" t="s">
        <v>1256</v>
      </c>
      <c r="J207" s="7" t="s">
        <v>1257</v>
      </c>
      <c r="L207" s="7" t="s">
        <v>1711</v>
      </c>
      <c r="M207" s="7" t="s">
        <v>1259</v>
      </c>
      <c r="N207" s="7" t="s">
        <v>1260</v>
      </c>
      <c r="O207" s="7">
        <v>3</v>
      </c>
      <c r="P207" s="7">
        <v>3</v>
      </c>
      <c r="Q207" s="7">
        <v>3</v>
      </c>
      <c r="R207" s="7">
        <v>3</v>
      </c>
      <c r="S207" s="7">
        <v>3</v>
      </c>
      <c r="T207" s="7">
        <v>2</v>
      </c>
      <c r="U207" s="7">
        <v>4</v>
      </c>
      <c r="V207" s="7">
        <v>2</v>
      </c>
      <c r="W207" s="7">
        <v>3</v>
      </c>
      <c r="X207" s="7">
        <v>3</v>
      </c>
      <c r="Y207" s="7">
        <v>3</v>
      </c>
      <c r="Z207" s="7">
        <v>3</v>
      </c>
      <c r="AA207" s="7">
        <v>2</v>
      </c>
      <c r="AB207" s="7">
        <v>2</v>
      </c>
      <c r="AC207" s="7">
        <v>3</v>
      </c>
      <c r="AD207" s="7">
        <v>3</v>
      </c>
      <c r="AE207" s="7" t="s">
        <v>1300</v>
      </c>
      <c r="AF207" s="7" t="s">
        <v>1740</v>
      </c>
      <c r="AG207" s="7" t="s">
        <v>1282</v>
      </c>
      <c r="AH207" s="7" t="s">
        <v>1924</v>
      </c>
      <c r="AI207" s="7" t="s">
        <v>875</v>
      </c>
      <c r="AJ207" s="7"/>
    </row>
    <row r="208" spans="1:36" ht="15.75" customHeight="1">
      <c r="A208" s="48" t="b">
        <v>1</v>
      </c>
      <c r="B208" s="127" t="e">
        <f t="array" ref="B208">_xlfn.XLOOKUP(E208,#REF!,#REF!)</f>
        <v>#REF!</v>
      </c>
      <c r="C208" s="7" t="s">
        <v>1113</v>
      </c>
      <c r="D208" s="7"/>
      <c r="E208" s="7" t="s">
        <v>320</v>
      </c>
      <c r="F208" s="128">
        <v>46209.375</v>
      </c>
      <c r="G208" s="7" t="s">
        <v>1925</v>
      </c>
      <c r="H208" s="7" t="s">
        <v>1267</v>
      </c>
      <c r="I208" s="7" t="s">
        <v>1256</v>
      </c>
      <c r="J208" s="7" t="s">
        <v>1491</v>
      </c>
      <c r="L208" s="7" t="s">
        <v>1711</v>
      </c>
      <c r="M208" s="7" t="s">
        <v>1259</v>
      </c>
      <c r="N208" s="7" t="s">
        <v>1270</v>
      </c>
      <c r="O208" s="7">
        <v>0</v>
      </c>
      <c r="P208" s="7">
        <v>1</v>
      </c>
      <c r="Q208" s="7">
        <v>4</v>
      </c>
      <c r="R208" s="7">
        <v>4</v>
      </c>
      <c r="S208" s="7">
        <v>2</v>
      </c>
      <c r="T208" s="7">
        <v>1</v>
      </c>
      <c r="U208" s="7">
        <v>1</v>
      </c>
      <c r="V208" s="7">
        <v>3</v>
      </c>
      <c r="W208" s="7">
        <v>4</v>
      </c>
      <c r="X208" s="7">
        <v>4</v>
      </c>
      <c r="Y208" s="7">
        <v>3</v>
      </c>
      <c r="Z208" s="7">
        <v>3</v>
      </c>
      <c r="AA208" s="7">
        <v>3</v>
      </c>
      <c r="AB208" s="7">
        <v>3</v>
      </c>
      <c r="AC208" s="7">
        <v>4</v>
      </c>
      <c r="AD208" s="7">
        <v>2</v>
      </c>
      <c r="AE208" s="7" t="s">
        <v>1261</v>
      </c>
      <c r="AF208" s="7" t="s">
        <v>1740</v>
      </c>
      <c r="AG208" s="7" t="s">
        <v>1263</v>
      </c>
      <c r="AH208" s="7" t="s">
        <v>1926</v>
      </c>
      <c r="AI208" s="7" t="s">
        <v>1927</v>
      </c>
      <c r="AJ208" s="7"/>
    </row>
    <row r="209" spans="1:36" ht="15.75" customHeight="1">
      <c r="A209" s="48" t="b">
        <v>1</v>
      </c>
      <c r="B209" s="127" t="e">
        <f t="array" ref="B209">_xlfn.XLOOKUP(E209,#REF!,#REF!)</f>
        <v>#REF!</v>
      </c>
      <c r="C209" s="7" t="s">
        <v>925</v>
      </c>
      <c r="D209" s="7"/>
      <c r="E209" s="7" t="s">
        <v>407</v>
      </c>
      <c r="F209" s="128">
        <v>46209.381249999999</v>
      </c>
      <c r="G209" s="7" t="s">
        <v>1928</v>
      </c>
      <c r="H209" s="7" t="s">
        <v>1255</v>
      </c>
      <c r="I209" s="7" t="s">
        <v>1277</v>
      </c>
      <c r="J209" s="7" t="s">
        <v>1929</v>
      </c>
      <c r="L209" s="7" t="s">
        <v>1711</v>
      </c>
      <c r="M209" s="7" t="s">
        <v>1259</v>
      </c>
      <c r="N209" s="7" t="s">
        <v>1288</v>
      </c>
      <c r="O209" s="7">
        <v>2</v>
      </c>
      <c r="P209" s="7">
        <v>2</v>
      </c>
      <c r="Q209" s="7">
        <v>2</v>
      </c>
      <c r="R209" s="7">
        <v>2</v>
      </c>
      <c r="S209" s="7">
        <v>2</v>
      </c>
      <c r="T209" s="7">
        <v>2</v>
      </c>
      <c r="U209" s="7">
        <v>2</v>
      </c>
      <c r="V209" s="7">
        <v>2</v>
      </c>
      <c r="W209" s="7">
        <v>4</v>
      </c>
      <c r="X209" s="7">
        <v>4</v>
      </c>
      <c r="Y209" s="7">
        <v>2</v>
      </c>
      <c r="Z209" s="7">
        <v>3</v>
      </c>
      <c r="AA209" s="7">
        <v>2</v>
      </c>
      <c r="AB209" s="7">
        <v>1</v>
      </c>
      <c r="AC209" s="7">
        <v>3</v>
      </c>
      <c r="AD209" s="7">
        <v>1</v>
      </c>
      <c r="AE209" s="7" t="s">
        <v>1261</v>
      </c>
      <c r="AF209" s="7" t="s">
        <v>1697</v>
      </c>
      <c r="AG209" s="7" t="s">
        <v>1272</v>
      </c>
      <c r="AH209" s="7" t="s">
        <v>1930</v>
      </c>
      <c r="AI209" s="7" t="s">
        <v>1931</v>
      </c>
      <c r="AJ209" s="7"/>
    </row>
    <row r="210" spans="1:36" ht="15.75" customHeight="1">
      <c r="A210" s="48" t="b">
        <v>1</v>
      </c>
      <c r="B210" s="127" t="e">
        <f t="array" ref="B210">_xlfn.XLOOKUP(E210,#REF!,#REF!)</f>
        <v>#REF!</v>
      </c>
      <c r="C210" s="7" t="s">
        <v>939</v>
      </c>
      <c r="D210" s="7"/>
      <c r="E210" s="7" t="s">
        <v>105</v>
      </c>
      <c r="F210" s="128">
        <v>46209.382638888899</v>
      </c>
      <c r="G210" s="7" t="s">
        <v>1932</v>
      </c>
      <c r="H210" s="7" t="s">
        <v>1267</v>
      </c>
      <c r="I210" s="7" t="s">
        <v>1277</v>
      </c>
      <c r="J210" s="7" t="s">
        <v>1268</v>
      </c>
      <c r="L210" s="7" t="s">
        <v>1279</v>
      </c>
      <c r="M210" s="7" t="s">
        <v>1294</v>
      </c>
      <c r="N210" s="7" t="s">
        <v>1280</v>
      </c>
      <c r="O210" s="7">
        <v>2</v>
      </c>
      <c r="P210" s="7">
        <v>4</v>
      </c>
      <c r="Q210" s="7">
        <v>4</v>
      </c>
      <c r="R210" s="7">
        <v>2</v>
      </c>
      <c r="S210" s="7">
        <v>4</v>
      </c>
      <c r="T210" s="7">
        <v>4</v>
      </c>
      <c r="U210" s="7">
        <v>3</v>
      </c>
      <c r="V210" s="7">
        <v>2</v>
      </c>
      <c r="W210" s="7">
        <v>1</v>
      </c>
      <c r="X210" s="7">
        <v>1</v>
      </c>
      <c r="Y210" s="7">
        <v>2</v>
      </c>
      <c r="Z210" s="7">
        <v>4</v>
      </c>
      <c r="AA210" s="7">
        <v>4</v>
      </c>
      <c r="AB210" s="7">
        <v>3</v>
      </c>
      <c r="AC210" s="7">
        <v>2</v>
      </c>
      <c r="AD210" s="7">
        <v>2</v>
      </c>
      <c r="AE210" s="7" t="s">
        <v>1261</v>
      </c>
      <c r="AF210" s="7" t="s">
        <v>1837</v>
      </c>
      <c r="AG210" s="7" t="s">
        <v>1282</v>
      </c>
      <c r="AH210" s="7" t="s">
        <v>1933</v>
      </c>
      <c r="AI210" s="7" t="s">
        <v>1934</v>
      </c>
      <c r="AJ210" s="7"/>
    </row>
    <row r="211" spans="1:36" ht="15.75" customHeight="1">
      <c r="A211" s="48" t="b">
        <v>1</v>
      </c>
      <c r="B211" s="127" t="e">
        <f t="array" ref="B211">_xlfn.XLOOKUP(E211,#REF!,#REF!)</f>
        <v>#REF!</v>
      </c>
      <c r="C211" s="7" t="s">
        <v>1208</v>
      </c>
      <c r="D211" s="7"/>
      <c r="E211" s="7" t="s">
        <v>603</v>
      </c>
      <c r="F211" s="128">
        <v>46209.384722222203</v>
      </c>
      <c r="G211" s="7" t="s">
        <v>1935</v>
      </c>
      <c r="H211" s="7" t="s">
        <v>1276</v>
      </c>
      <c r="I211" s="7" t="s">
        <v>1256</v>
      </c>
      <c r="J211" s="7" t="s">
        <v>1715</v>
      </c>
      <c r="L211" s="7" t="s">
        <v>1711</v>
      </c>
      <c r="M211" s="7" t="s">
        <v>1259</v>
      </c>
      <c r="N211" s="7" t="s">
        <v>1260</v>
      </c>
      <c r="O211" s="7">
        <v>0</v>
      </c>
      <c r="P211" s="7">
        <v>2</v>
      </c>
      <c r="Q211" s="7">
        <v>4</v>
      </c>
      <c r="R211" s="7">
        <v>2</v>
      </c>
      <c r="S211" s="7">
        <v>2</v>
      </c>
      <c r="T211" s="7">
        <v>1</v>
      </c>
      <c r="U211" s="7">
        <v>1</v>
      </c>
      <c r="V211" s="7">
        <v>0</v>
      </c>
      <c r="W211" s="7">
        <v>4</v>
      </c>
      <c r="X211" s="7">
        <v>3</v>
      </c>
      <c r="Y211" s="7">
        <v>2</v>
      </c>
      <c r="Z211" s="7">
        <v>1</v>
      </c>
      <c r="AA211" s="7">
        <v>2</v>
      </c>
      <c r="AB211" s="7">
        <v>1</v>
      </c>
      <c r="AC211" s="7">
        <v>1</v>
      </c>
      <c r="AD211" s="7">
        <v>2</v>
      </c>
      <c r="AE211" s="7" t="s">
        <v>1300</v>
      </c>
      <c r="AF211" s="7" t="s">
        <v>1308</v>
      </c>
      <c r="AG211" s="7" t="s">
        <v>1272</v>
      </c>
      <c r="AH211" s="7" t="s">
        <v>1936</v>
      </c>
      <c r="AI211" s="7" t="s">
        <v>1937</v>
      </c>
      <c r="AJ211" s="7"/>
    </row>
    <row r="212" spans="1:36" ht="15.75" customHeight="1">
      <c r="A212" s="48" t="b">
        <v>1</v>
      </c>
      <c r="B212" s="127" t="e">
        <f t="array" ref="B212">_xlfn.XLOOKUP(E212,#REF!,#REF!)</f>
        <v>#REF!</v>
      </c>
      <c r="C212" s="7" t="s">
        <v>896</v>
      </c>
      <c r="D212" s="7"/>
      <c r="E212" s="7" t="s">
        <v>395</v>
      </c>
      <c r="F212" s="128">
        <v>46209.409722222197</v>
      </c>
      <c r="G212" s="7" t="s">
        <v>1938</v>
      </c>
      <c r="H212" s="7" t="s">
        <v>1276</v>
      </c>
      <c r="I212" s="7" t="s">
        <v>1256</v>
      </c>
      <c r="J212" s="7" t="s">
        <v>1804</v>
      </c>
      <c r="L212" s="7" t="s">
        <v>1711</v>
      </c>
      <c r="M212" s="7" t="s">
        <v>1259</v>
      </c>
      <c r="N212" s="7" t="s">
        <v>1260</v>
      </c>
      <c r="O212" s="7">
        <v>0</v>
      </c>
      <c r="P212" s="7">
        <v>0</v>
      </c>
      <c r="Q212" s="7">
        <v>1</v>
      </c>
      <c r="R212" s="7">
        <v>0</v>
      </c>
      <c r="S212" s="7">
        <v>0</v>
      </c>
      <c r="T212" s="7">
        <v>0</v>
      </c>
      <c r="U212" s="7">
        <v>0</v>
      </c>
      <c r="V212" s="7">
        <v>1</v>
      </c>
      <c r="W212" s="7">
        <v>3</v>
      </c>
      <c r="X212" s="7">
        <v>3</v>
      </c>
      <c r="Y212" s="7">
        <v>2</v>
      </c>
      <c r="Z212" s="7">
        <v>2</v>
      </c>
      <c r="AA212" s="7">
        <v>0</v>
      </c>
      <c r="AB212" s="7">
        <v>1</v>
      </c>
      <c r="AC212" s="7">
        <v>3</v>
      </c>
      <c r="AD212" s="7">
        <v>0</v>
      </c>
      <c r="AE212" s="7" t="s">
        <v>1300</v>
      </c>
      <c r="AF212" s="7" t="s">
        <v>1262</v>
      </c>
      <c r="AG212" s="7" t="s">
        <v>1272</v>
      </c>
      <c r="AH212" s="7" t="s">
        <v>1939</v>
      </c>
      <c r="AI212" s="7" t="s">
        <v>1940</v>
      </c>
      <c r="AJ212" s="7"/>
    </row>
    <row r="213" spans="1:36" ht="15.75" customHeight="1">
      <c r="A213" s="48" t="b">
        <v>1</v>
      </c>
      <c r="B213" s="127" t="e">
        <f t="array" ref="B213">_xlfn.XLOOKUP(E213,#REF!,#REF!)</f>
        <v>#REF!</v>
      </c>
      <c r="C213" s="7" t="s">
        <v>956</v>
      </c>
      <c r="D213" s="7"/>
      <c r="E213" s="7" t="s">
        <v>296</v>
      </c>
      <c r="F213" s="128">
        <v>46209.409722222197</v>
      </c>
      <c r="G213" s="7" t="s">
        <v>1941</v>
      </c>
      <c r="H213" s="7" t="s">
        <v>1267</v>
      </c>
      <c r="I213" s="7" t="s">
        <v>1256</v>
      </c>
      <c r="J213" s="7" t="s">
        <v>1942</v>
      </c>
      <c r="L213" s="7" t="s">
        <v>1711</v>
      </c>
      <c r="M213" s="7" t="s">
        <v>1259</v>
      </c>
      <c r="N213" s="7" t="s">
        <v>1260</v>
      </c>
      <c r="O213" s="7">
        <v>3</v>
      </c>
      <c r="P213" s="7">
        <v>1</v>
      </c>
      <c r="Q213" s="7">
        <v>3</v>
      </c>
      <c r="R213" s="7">
        <v>4</v>
      </c>
      <c r="S213" s="7">
        <v>3</v>
      </c>
      <c r="T213" s="7">
        <v>2</v>
      </c>
      <c r="U213" s="7">
        <v>2</v>
      </c>
      <c r="V213" s="7">
        <v>4</v>
      </c>
      <c r="W213" s="7">
        <v>4</v>
      </c>
      <c r="X213" s="7">
        <v>3</v>
      </c>
      <c r="Y213" s="7">
        <v>2</v>
      </c>
      <c r="Z213" s="7">
        <v>3</v>
      </c>
      <c r="AA213" s="7">
        <v>4</v>
      </c>
      <c r="AB213" s="7">
        <v>3</v>
      </c>
      <c r="AC213" s="7">
        <v>2</v>
      </c>
      <c r="AD213" s="7">
        <v>3</v>
      </c>
      <c r="AE213" s="7" t="s">
        <v>1261</v>
      </c>
      <c r="AF213" s="7" t="s">
        <v>1706</v>
      </c>
      <c r="AG213" s="7" t="s">
        <v>1263</v>
      </c>
      <c r="AH213" s="7" t="s">
        <v>1943</v>
      </c>
      <c r="AI213" s="7" t="s">
        <v>1944</v>
      </c>
      <c r="AJ213" s="7"/>
    </row>
    <row r="214" spans="1:36" ht="15.75" customHeight="1">
      <c r="A214" s="48" t="b">
        <v>1</v>
      </c>
      <c r="B214" s="127" t="e">
        <f t="array" ref="B214">_xlfn.XLOOKUP(E214,#REF!,#REF!)</f>
        <v>#REF!</v>
      </c>
      <c r="C214" s="7" t="s">
        <v>1175</v>
      </c>
      <c r="D214" s="7"/>
      <c r="E214" s="7" t="s">
        <v>758</v>
      </c>
      <c r="F214" s="128">
        <v>46209.410416666702</v>
      </c>
      <c r="G214" s="7" t="s">
        <v>1945</v>
      </c>
      <c r="H214" s="7" t="s">
        <v>1255</v>
      </c>
      <c r="I214" s="7" t="s">
        <v>1256</v>
      </c>
      <c r="J214" s="7" t="s">
        <v>1729</v>
      </c>
      <c r="L214" s="7" t="s">
        <v>1258</v>
      </c>
      <c r="M214" s="7" t="s">
        <v>1357</v>
      </c>
      <c r="N214" s="7" t="s">
        <v>1288</v>
      </c>
      <c r="O214" s="7">
        <v>3</v>
      </c>
      <c r="P214" s="7">
        <v>3</v>
      </c>
      <c r="Q214" s="7">
        <v>3</v>
      </c>
      <c r="R214" s="7">
        <v>3</v>
      </c>
      <c r="S214" s="7">
        <v>3</v>
      </c>
      <c r="T214" s="7">
        <v>3</v>
      </c>
      <c r="U214" s="7">
        <v>3</v>
      </c>
      <c r="V214" s="7">
        <v>3</v>
      </c>
      <c r="W214" s="7">
        <v>4</v>
      </c>
      <c r="X214" s="7">
        <v>4</v>
      </c>
      <c r="Y214" s="7">
        <v>4</v>
      </c>
      <c r="Z214" s="7">
        <v>4</v>
      </c>
      <c r="AA214" s="7">
        <v>4</v>
      </c>
      <c r="AB214" s="7">
        <v>3</v>
      </c>
      <c r="AC214" s="7">
        <v>1</v>
      </c>
      <c r="AD214" s="7">
        <v>3</v>
      </c>
      <c r="AE214" s="7" t="s">
        <v>1307</v>
      </c>
      <c r="AF214" s="7" t="s">
        <v>1946</v>
      </c>
      <c r="AG214" s="7" t="s">
        <v>1282</v>
      </c>
      <c r="AH214" s="7" t="s">
        <v>1947</v>
      </c>
      <c r="AI214" s="7" t="s">
        <v>1493</v>
      </c>
      <c r="AJ214" s="7"/>
    </row>
    <row r="215" spans="1:36" ht="15.75" customHeight="1">
      <c r="A215" s="48" t="b">
        <v>1</v>
      </c>
      <c r="B215" s="127" t="e">
        <f t="array" ref="B215">_xlfn.XLOOKUP(E215,#REF!,#REF!)</f>
        <v>#REF!</v>
      </c>
      <c r="C215" s="7" t="s">
        <v>1213</v>
      </c>
      <c r="D215" s="7"/>
      <c r="E215" s="7" t="s">
        <v>688</v>
      </c>
      <c r="F215" s="128">
        <v>46209.413194444402</v>
      </c>
      <c r="G215" s="7" t="s">
        <v>1948</v>
      </c>
      <c r="H215" s="7" t="s">
        <v>1255</v>
      </c>
      <c r="I215" s="7" t="s">
        <v>1277</v>
      </c>
      <c r="J215" s="7" t="s">
        <v>1715</v>
      </c>
      <c r="L215" s="7" t="s">
        <v>1279</v>
      </c>
      <c r="M215" s="7" t="s">
        <v>1294</v>
      </c>
      <c r="N215" s="7" t="s">
        <v>1260</v>
      </c>
      <c r="O215" s="7">
        <v>2</v>
      </c>
      <c r="P215" s="7">
        <v>2</v>
      </c>
      <c r="Q215" s="7">
        <v>2</v>
      </c>
      <c r="R215" s="7">
        <v>2</v>
      </c>
      <c r="S215" s="7">
        <v>2</v>
      </c>
      <c r="T215" s="7">
        <v>2</v>
      </c>
      <c r="U215" s="7">
        <v>2</v>
      </c>
      <c r="V215" s="7">
        <v>2</v>
      </c>
      <c r="W215" s="7">
        <v>2</v>
      </c>
      <c r="X215" s="7">
        <v>2</v>
      </c>
      <c r="Y215" s="7">
        <v>2</v>
      </c>
      <c r="Z215" s="7">
        <v>2</v>
      </c>
      <c r="AA215" s="7">
        <v>2</v>
      </c>
      <c r="AB215" s="7">
        <v>2</v>
      </c>
      <c r="AC215" s="7">
        <v>2</v>
      </c>
      <c r="AD215" s="7">
        <v>2</v>
      </c>
      <c r="AE215" s="7" t="s">
        <v>1300</v>
      </c>
      <c r="AF215" s="7" t="s">
        <v>1747</v>
      </c>
      <c r="AG215" s="7" t="s">
        <v>1363</v>
      </c>
      <c r="AH215" s="7" t="s">
        <v>1949</v>
      </c>
      <c r="AI215" s="7" t="s">
        <v>1950</v>
      </c>
      <c r="AJ215" s="7"/>
    </row>
    <row r="216" spans="1:36" ht="15.75" customHeight="1">
      <c r="A216" s="48" t="b">
        <v>1</v>
      </c>
      <c r="B216" s="127" t="e">
        <f t="array" ref="B216">_xlfn.XLOOKUP(E216,#REF!,#REF!)</f>
        <v>#REF!</v>
      </c>
      <c r="C216" s="7" t="s">
        <v>1137</v>
      </c>
      <c r="D216" s="7"/>
      <c r="E216" s="7" t="s">
        <v>789</v>
      </c>
      <c r="F216" s="128">
        <v>46209.418749999997</v>
      </c>
      <c r="G216" s="7" t="s">
        <v>1951</v>
      </c>
      <c r="H216" s="7" t="s">
        <v>1255</v>
      </c>
      <c r="I216" s="7" t="s">
        <v>1334</v>
      </c>
      <c r="J216" s="7" t="s">
        <v>1268</v>
      </c>
      <c r="L216" s="7" t="s">
        <v>1279</v>
      </c>
      <c r="M216" s="7" t="s">
        <v>1294</v>
      </c>
      <c r="N216" s="7" t="s">
        <v>1280</v>
      </c>
      <c r="O216" s="7">
        <v>2</v>
      </c>
      <c r="P216" s="7">
        <v>3</v>
      </c>
      <c r="Q216" s="7">
        <v>3</v>
      </c>
      <c r="R216" s="7">
        <v>3</v>
      </c>
      <c r="S216" s="7">
        <v>2</v>
      </c>
      <c r="T216" s="7">
        <v>1</v>
      </c>
      <c r="U216" s="7">
        <v>2</v>
      </c>
      <c r="V216" s="7">
        <v>2</v>
      </c>
      <c r="W216" s="7">
        <v>3</v>
      </c>
      <c r="X216" s="7">
        <v>2</v>
      </c>
      <c r="Y216" s="7">
        <v>1</v>
      </c>
      <c r="Z216" s="7">
        <v>2</v>
      </c>
      <c r="AA216" s="7">
        <v>1</v>
      </c>
      <c r="AB216" s="7">
        <v>1</v>
      </c>
      <c r="AC216" s="7">
        <v>1</v>
      </c>
      <c r="AD216" s="7">
        <v>1</v>
      </c>
      <c r="AE216" s="7" t="s">
        <v>1300</v>
      </c>
      <c r="AF216" s="7" t="s">
        <v>1735</v>
      </c>
      <c r="AG216" s="7" t="s">
        <v>1272</v>
      </c>
      <c r="AH216" s="7" t="s">
        <v>1952</v>
      </c>
      <c r="AI216" s="7" t="s">
        <v>1291</v>
      </c>
      <c r="AJ216" s="7"/>
    </row>
    <row r="217" spans="1:36" ht="15.75" customHeight="1">
      <c r="A217" s="48" t="b">
        <v>1</v>
      </c>
      <c r="B217" s="127" t="e">
        <f t="array" ref="B217">_xlfn.XLOOKUP(E217,#REF!,#REF!)</f>
        <v>#REF!</v>
      </c>
      <c r="C217" s="7" t="s">
        <v>970</v>
      </c>
      <c r="D217" s="7"/>
      <c r="E217" s="7" t="s">
        <v>661</v>
      </c>
      <c r="F217" s="128">
        <v>46209.427083333299</v>
      </c>
      <c r="G217" s="7" t="s">
        <v>1953</v>
      </c>
      <c r="H217" s="7" t="s">
        <v>1255</v>
      </c>
      <c r="I217" s="7" t="s">
        <v>1277</v>
      </c>
      <c r="J217" s="7" t="s">
        <v>1257</v>
      </c>
      <c r="L217" s="7" t="s">
        <v>1279</v>
      </c>
      <c r="M217" s="7" t="s">
        <v>1294</v>
      </c>
      <c r="N217" s="7" t="s">
        <v>1280</v>
      </c>
      <c r="O217" s="7">
        <v>0</v>
      </c>
      <c r="P217" s="7">
        <v>0</v>
      </c>
      <c r="Q217" s="7">
        <v>2</v>
      </c>
      <c r="R217" s="7">
        <v>3</v>
      </c>
      <c r="S217" s="7">
        <v>2</v>
      </c>
      <c r="T217" s="7">
        <v>0</v>
      </c>
      <c r="U217" s="7">
        <v>0</v>
      </c>
      <c r="V217" s="7">
        <v>1</v>
      </c>
      <c r="W217" s="7">
        <v>2</v>
      </c>
      <c r="X217" s="7">
        <v>0</v>
      </c>
      <c r="Y217" s="7">
        <v>2</v>
      </c>
      <c r="Z217" s="7">
        <v>2</v>
      </c>
      <c r="AA217" s="7">
        <v>0</v>
      </c>
      <c r="AB217" s="7">
        <v>3</v>
      </c>
      <c r="AC217" s="7">
        <v>0</v>
      </c>
      <c r="AD217" s="7">
        <v>0</v>
      </c>
      <c r="AE217" s="7" t="s">
        <v>1295</v>
      </c>
      <c r="AF217" s="7" t="s">
        <v>1697</v>
      </c>
      <c r="AG217" s="7" t="s">
        <v>1363</v>
      </c>
      <c r="AH217" s="7" t="s">
        <v>1954</v>
      </c>
      <c r="AI217" s="7" t="s">
        <v>875</v>
      </c>
      <c r="AJ217" s="7"/>
    </row>
    <row r="218" spans="1:36" ht="15.75" customHeight="1">
      <c r="A218" s="48" t="b">
        <v>1</v>
      </c>
      <c r="B218" s="127" t="e">
        <f t="array" ref="B218">_xlfn.XLOOKUP(E218,#REF!,#REF!)</f>
        <v>#REF!</v>
      </c>
      <c r="C218" s="7" t="s">
        <v>906</v>
      </c>
      <c r="D218" s="7"/>
      <c r="E218" s="7" t="s">
        <v>566</v>
      </c>
      <c r="F218" s="128">
        <v>46209.440972222197</v>
      </c>
      <c r="G218" s="7" t="s">
        <v>1955</v>
      </c>
      <c r="H218" s="7" t="s">
        <v>1255</v>
      </c>
      <c r="I218" s="7" t="s">
        <v>1277</v>
      </c>
      <c r="J218" s="7" t="s">
        <v>1942</v>
      </c>
      <c r="L218" s="7" t="s">
        <v>1711</v>
      </c>
      <c r="M218" s="7" t="s">
        <v>1259</v>
      </c>
      <c r="N218" s="7" t="s">
        <v>1260</v>
      </c>
      <c r="O218" s="7">
        <v>1</v>
      </c>
      <c r="P218" s="7">
        <v>1</v>
      </c>
      <c r="Q218" s="7">
        <v>1</v>
      </c>
      <c r="R218" s="7">
        <v>2</v>
      </c>
      <c r="S218" s="7">
        <v>0</v>
      </c>
      <c r="T218" s="7">
        <v>0</v>
      </c>
      <c r="U218" s="7">
        <v>3</v>
      </c>
      <c r="V218" s="7">
        <v>1</v>
      </c>
      <c r="W218" s="7">
        <v>3</v>
      </c>
      <c r="X218" s="7">
        <v>3</v>
      </c>
      <c r="Y218" s="7">
        <v>3</v>
      </c>
      <c r="Z218" s="7">
        <v>2</v>
      </c>
      <c r="AA218" s="7">
        <v>1</v>
      </c>
      <c r="AB218" s="7">
        <v>2</v>
      </c>
      <c r="AC218" s="7">
        <v>1</v>
      </c>
      <c r="AD218" s="7">
        <v>1</v>
      </c>
      <c r="AE218" s="7" t="s">
        <v>1300</v>
      </c>
      <c r="AF218" s="7" t="s">
        <v>1308</v>
      </c>
      <c r="AG218" s="7" t="s">
        <v>1282</v>
      </c>
      <c r="AH218" s="7" t="s">
        <v>1956</v>
      </c>
      <c r="AI218" s="7" t="s">
        <v>1957</v>
      </c>
      <c r="AJ218" s="7"/>
    </row>
    <row r="219" spans="1:36" ht="15.75" customHeight="1">
      <c r="A219" s="48" t="b">
        <v>1</v>
      </c>
      <c r="B219" s="127" t="e">
        <f t="array" ref="B219">_xlfn.XLOOKUP(E219,#REF!,#REF!)</f>
        <v>#REF!</v>
      </c>
      <c r="C219" s="7" t="s">
        <v>1188</v>
      </c>
      <c r="D219" s="7"/>
      <c r="E219" s="7" t="s">
        <v>618</v>
      </c>
      <c r="F219" s="128">
        <v>46209.441666666702</v>
      </c>
      <c r="G219" s="7" t="s">
        <v>1958</v>
      </c>
      <c r="H219" s="7" t="s">
        <v>1267</v>
      </c>
      <c r="I219" s="7" t="s">
        <v>1299</v>
      </c>
      <c r="J219" s="7" t="s">
        <v>1804</v>
      </c>
      <c r="L219" s="7" t="s">
        <v>1711</v>
      </c>
      <c r="M219" s="7" t="s">
        <v>1259</v>
      </c>
      <c r="N219" s="7" t="s">
        <v>1270</v>
      </c>
      <c r="O219" s="7">
        <v>2</v>
      </c>
      <c r="P219" s="7">
        <v>3</v>
      </c>
      <c r="Q219" s="7">
        <v>1</v>
      </c>
      <c r="R219" s="7">
        <v>1</v>
      </c>
      <c r="S219" s="7">
        <v>1</v>
      </c>
      <c r="T219" s="7">
        <v>1</v>
      </c>
      <c r="U219" s="7">
        <v>2</v>
      </c>
      <c r="V219" s="7">
        <v>3</v>
      </c>
      <c r="W219" s="7">
        <v>3</v>
      </c>
      <c r="X219" s="7">
        <v>3</v>
      </c>
      <c r="Y219" s="7">
        <v>2</v>
      </c>
      <c r="Z219" s="7">
        <v>2</v>
      </c>
      <c r="AA219" s="7">
        <v>1</v>
      </c>
      <c r="AB219" s="7">
        <v>2</v>
      </c>
      <c r="AC219" s="7">
        <v>3</v>
      </c>
      <c r="AD219" s="7">
        <v>2</v>
      </c>
      <c r="AE219" s="7" t="s">
        <v>1300</v>
      </c>
      <c r="AF219" s="7" t="s">
        <v>1262</v>
      </c>
      <c r="AG219" s="7" t="s">
        <v>1272</v>
      </c>
      <c r="AH219" s="7" t="s">
        <v>875</v>
      </c>
      <c r="AI219" s="7" t="s">
        <v>875</v>
      </c>
      <c r="AJ219" s="7"/>
    </row>
    <row r="220" spans="1:36" ht="15.75" customHeight="1">
      <c r="A220" s="48" t="b">
        <v>1</v>
      </c>
      <c r="B220" s="127" t="e">
        <f t="array" ref="B220">_xlfn.XLOOKUP(E220,#REF!,#REF!)</f>
        <v>#REF!</v>
      </c>
      <c r="C220" s="7" t="s">
        <v>1194</v>
      </c>
      <c r="D220" s="7"/>
      <c r="E220" s="7" t="s">
        <v>769</v>
      </c>
      <c r="F220" s="128">
        <v>46209.447916666701</v>
      </c>
      <c r="G220" s="7" t="s">
        <v>1959</v>
      </c>
      <c r="H220" s="7" t="s">
        <v>1255</v>
      </c>
      <c r="I220" s="7" t="s">
        <v>1277</v>
      </c>
      <c r="J220" s="7" t="s">
        <v>1491</v>
      </c>
      <c r="L220" s="7" t="s">
        <v>1279</v>
      </c>
      <c r="M220" s="7" t="s">
        <v>1294</v>
      </c>
      <c r="N220" s="7" t="s">
        <v>1280</v>
      </c>
      <c r="O220" s="7">
        <v>0</v>
      </c>
      <c r="P220" s="7">
        <v>0</v>
      </c>
      <c r="Q220" s="7">
        <v>1</v>
      </c>
      <c r="R220" s="7">
        <v>0</v>
      </c>
      <c r="S220" s="7">
        <v>0</v>
      </c>
      <c r="T220" s="7">
        <v>0</v>
      </c>
      <c r="U220" s="7">
        <v>0</v>
      </c>
      <c r="V220" s="7">
        <v>2</v>
      </c>
      <c r="W220" s="7">
        <v>4</v>
      </c>
      <c r="X220" s="7">
        <v>4</v>
      </c>
      <c r="Y220" s="7">
        <v>3</v>
      </c>
      <c r="Z220" s="7">
        <v>3</v>
      </c>
      <c r="AA220" s="7">
        <v>1</v>
      </c>
      <c r="AB220" s="7">
        <v>0</v>
      </c>
      <c r="AC220" s="7">
        <v>0</v>
      </c>
      <c r="AD220" s="7">
        <v>1</v>
      </c>
      <c r="AE220" s="7" t="s">
        <v>1300</v>
      </c>
      <c r="AF220" s="7" t="s">
        <v>1262</v>
      </c>
      <c r="AG220" s="7" t="s">
        <v>1272</v>
      </c>
      <c r="AH220" s="7" t="s">
        <v>1960</v>
      </c>
      <c r="AI220" s="7" t="s">
        <v>1265</v>
      </c>
      <c r="AJ220" s="7"/>
    </row>
    <row r="221" spans="1:36" ht="15.75" customHeight="1">
      <c r="A221" s="48" t="b">
        <v>1</v>
      </c>
      <c r="B221" s="127" t="e">
        <f t="array" ref="B221">_xlfn.XLOOKUP(E221,#REF!,#REF!)</f>
        <v>#REF!</v>
      </c>
      <c r="C221" s="7" t="s">
        <v>895</v>
      </c>
      <c r="D221" s="7"/>
      <c r="E221" s="7" t="s">
        <v>124</v>
      </c>
      <c r="F221" s="128">
        <v>46209.45</v>
      </c>
      <c r="G221" s="7" t="s">
        <v>1961</v>
      </c>
      <c r="H221" s="7" t="s">
        <v>1267</v>
      </c>
      <c r="I221" s="7" t="s">
        <v>1334</v>
      </c>
      <c r="J221" s="7" t="s">
        <v>1268</v>
      </c>
      <c r="L221" s="7" t="s">
        <v>1279</v>
      </c>
      <c r="M221" s="7" t="s">
        <v>1294</v>
      </c>
      <c r="N221" s="7" t="s">
        <v>1280</v>
      </c>
      <c r="O221" s="7">
        <v>0</v>
      </c>
      <c r="P221" s="7">
        <v>2</v>
      </c>
      <c r="Q221" s="7">
        <v>3</v>
      </c>
      <c r="R221" s="7">
        <v>3</v>
      </c>
      <c r="S221" s="7">
        <v>2</v>
      </c>
      <c r="T221" s="7">
        <v>2</v>
      </c>
      <c r="U221" s="7">
        <v>1</v>
      </c>
      <c r="V221" s="7">
        <v>2</v>
      </c>
      <c r="W221" s="7">
        <v>1</v>
      </c>
      <c r="X221" s="7">
        <v>1</v>
      </c>
      <c r="Y221" s="7">
        <v>1</v>
      </c>
      <c r="Z221" s="7">
        <v>2</v>
      </c>
      <c r="AA221" s="7">
        <v>2</v>
      </c>
      <c r="AB221" s="7">
        <v>2</v>
      </c>
      <c r="AC221" s="7">
        <v>2</v>
      </c>
      <c r="AD221" s="7">
        <v>1</v>
      </c>
      <c r="AE221" s="7" t="s">
        <v>1300</v>
      </c>
      <c r="AF221" s="7" t="s">
        <v>1624</v>
      </c>
      <c r="AG221" s="7" t="s">
        <v>1363</v>
      </c>
      <c r="AH221" s="7" t="s">
        <v>1962</v>
      </c>
      <c r="AI221" s="7" t="s">
        <v>1265</v>
      </c>
      <c r="AJ221" s="7"/>
    </row>
    <row r="222" spans="1:36" ht="15.75" customHeight="1">
      <c r="A222" s="48" t="b">
        <v>1</v>
      </c>
      <c r="B222" s="127" t="e">
        <f t="array" ref="B222">_xlfn.XLOOKUP(E222,#REF!,#REF!)</f>
        <v>#REF!</v>
      </c>
      <c r="C222" s="7" t="s">
        <v>993</v>
      </c>
      <c r="D222" s="7"/>
      <c r="E222" s="7" t="s">
        <v>555</v>
      </c>
      <c r="F222" s="128">
        <v>46209.4506944444</v>
      </c>
      <c r="G222" s="7" t="s">
        <v>1963</v>
      </c>
      <c r="H222" s="7" t="s">
        <v>1276</v>
      </c>
      <c r="I222" s="7" t="s">
        <v>1256</v>
      </c>
      <c r="J222" s="7" t="s">
        <v>1750</v>
      </c>
      <c r="L222" s="7" t="s">
        <v>1711</v>
      </c>
      <c r="M222" s="7" t="s">
        <v>1259</v>
      </c>
      <c r="N222" s="7" t="s">
        <v>1270</v>
      </c>
      <c r="O222" s="7">
        <v>2</v>
      </c>
      <c r="P222" s="7">
        <v>2</v>
      </c>
      <c r="Q222" s="7">
        <v>4</v>
      </c>
      <c r="R222" s="7">
        <v>3</v>
      </c>
      <c r="S222" s="7">
        <v>2</v>
      </c>
      <c r="T222" s="7">
        <v>1</v>
      </c>
      <c r="U222" s="7">
        <v>2</v>
      </c>
      <c r="V222" s="7">
        <v>2</v>
      </c>
      <c r="W222" s="7">
        <v>4</v>
      </c>
      <c r="X222" s="7">
        <v>4</v>
      </c>
      <c r="Y222" s="7">
        <v>4</v>
      </c>
      <c r="Z222" s="7">
        <v>3</v>
      </c>
      <c r="AA222" s="7">
        <v>2</v>
      </c>
      <c r="AB222" s="7">
        <v>1</v>
      </c>
      <c r="AC222" s="7">
        <v>4</v>
      </c>
      <c r="AD222" s="7">
        <v>3</v>
      </c>
      <c r="AE222" s="7" t="s">
        <v>1300</v>
      </c>
      <c r="AF222" s="7" t="s">
        <v>1797</v>
      </c>
      <c r="AG222" s="7" t="s">
        <v>1272</v>
      </c>
      <c r="AH222" s="7" t="s">
        <v>1964</v>
      </c>
      <c r="AI222" s="7" t="s">
        <v>1965</v>
      </c>
      <c r="AJ222" s="7"/>
    </row>
    <row r="223" spans="1:36" ht="15.75" customHeight="1">
      <c r="A223" s="48" t="b">
        <v>1</v>
      </c>
      <c r="B223" s="127" t="e">
        <f t="array" ref="B223">_xlfn.XLOOKUP(E223,#REF!,#REF!)</f>
        <v>#REF!</v>
      </c>
      <c r="C223" s="7" t="s">
        <v>1099</v>
      </c>
      <c r="D223" s="7"/>
      <c r="E223" s="7" t="s">
        <v>273</v>
      </c>
      <c r="F223" s="128">
        <v>46209.451388888898</v>
      </c>
      <c r="G223" s="7" t="s">
        <v>1966</v>
      </c>
      <c r="H223" s="7" t="s">
        <v>1267</v>
      </c>
      <c r="I223" s="7" t="s">
        <v>1277</v>
      </c>
      <c r="J223" s="7" t="s">
        <v>1795</v>
      </c>
      <c r="L223" s="7" t="s">
        <v>1279</v>
      </c>
      <c r="M223" s="7" t="s">
        <v>1294</v>
      </c>
      <c r="N223" s="7" t="s">
        <v>1280</v>
      </c>
      <c r="O223" s="7">
        <v>3</v>
      </c>
      <c r="P223" s="7">
        <v>3</v>
      </c>
      <c r="Q223" s="7">
        <v>4</v>
      </c>
      <c r="R223" s="7">
        <v>3</v>
      </c>
      <c r="S223" s="7">
        <v>4</v>
      </c>
      <c r="T223" s="7">
        <v>4</v>
      </c>
      <c r="U223" s="7">
        <v>3</v>
      </c>
      <c r="V223" s="7">
        <v>1</v>
      </c>
      <c r="W223" s="7">
        <v>1</v>
      </c>
      <c r="X223" s="7">
        <v>1</v>
      </c>
      <c r="Y223" s="7">
        <v>3</v>
      </c>
      <c r="Z223" s="7">
        <v>2</v>
      </c>
      <c r="AA223" s="7">
        <v>2</v>
      </c>
      <c r="AB223" s="7">
        <v>2</v>
      </c>
      <c r="AC223" s="7">
        <v>2</v>
      </c>
      <c r="AD223" s="7">
        <v>3</v>
      </c>
      <c r="AE223" s="7" t="s">
        <v>1300</v>
      </c>
      <c r="AF223" s="7" t="s">
        <v>1301</v>
      </c>
      <c r="AG223" s="7" t="s">
        <v>1282</v>
      </c>
      <c r="AH223" s="7" t="s">
        <v>1967</v>
      </c>
      <c r="AI223" s="7" t="s">
        <v>875</v>
      </c>
      <c r="AJ223" s="7"/>
    </row>
    <row r="224" spans="1:36" ht="15.75" customHeight="1">
      <c r="A224" s="48" t="b">
        <v>1</v>
      </c>
      <c r="B224" s="127" t="e">
        <f t="array" ref="B224">_xlfn.XLOOKUP(E224,#REF!,#REF!)</f>
        <v>#REF!</v>
      </c>
      <c r="C224" s="7" t="s">
        <v>978</v>
      </c>
      <c r="D224" s="7"/>
      <c r="E224" s="7" t="s">
        <v>633</v>
      </c>
      <c r="F224" s="128">
        <v>46209.4555555556</v>
      </c>
      <c r="G224" s="7" t="s">
        <v>1968</v>
      </c>
      <c r="H224" s="7" t="s">
        <v>1267</v>
      </c>
      <c r="I224" s="7" t="s">
        <v>1277</v>
      </c>
      <c r="J224" s="7" t="s">
        <v>1969</v>
      </c>
      <c r="L224" s="7" t="s">
        <v>1258</v>
      </c>
      <c r="M224" s="7" t="s">
        <v>1259</v>
      </c>
      <c r="N224" s="7" t="s">
        <v>1260</v>
      </c>
      <c r="O224" s="7">
        <v>1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3</v>
      </c>
      <c r="X224" s="7">
        <v>3</v>
      </c>
      <c r="Y224" s="7">
        <v>2</v>
      </c>
      <c r="Z224" s="7">
        <v>3</v>
      </c>
      <c r="AA224" s="7">
        <v>2</v>
      </c>
      <c r="AB224" s="7">
        <v>3</v>
      </c>
      <c r="AC224" s="7">
        <v>3</v>
      </c>
      <c r="AD224" s="7">
        <v>1</v>
      </c>
      <c r="AE224" s="7" t="s">
        <v>1261</v>
      </c>
      <c r="AF224" s="7" t="s">
        <v>1697</v>
      </c>
      <c r="AG224" s="7" t="s">
        <v>1272</v>
      </c>
      <c r="AH224" s="7" t="s">
        <v>1970</v>
      </c>
      <c r="AI224" s="7" t="s">
        <v>1971</v>
      </c>
      <c r="AJ224" s="7"/>
    </row>
    <row r="225" spans="1:36" ht="15.75" customHeight="1">
      <c r="A225" s="48" t="b">
        <v>1</v>
      </c>
      <c r="B225" s="127" t="e">
        <f t="array" ref="B225">_xlfn.XLOOKUP(E225,#REF!,#REF!)</f>
        <v>#REF!</v>
      </c>
      <c r="C225" s="7" t="s">
        <v>963</v>
      </c>
      <c r="D225" s="7"/>
      <c r="E225" s="7" t="s">
        <v>329</v>
      </c>
      <c r="F225" s="128">
        <v>46209.462500000001</v>
      </c>
      <c r="G225" s="7" t="s">
        <v>1972</v>
      </c>
      <c r="H225" s="7" t="s">
        <v>1255</v>
      </c>
      <c r="I225" s="7" t="s">
        <v>1299</v>
      </c>
      <c r="J225" s="7" t="s">
        <v>1822</v>
      </c>
      <c r="L225" s="7" t="s">
        <v>1258</v>
      </c>
      <c r="M225" s="7" t="s">
        <v>1259</v>
      </c>
      <c r="N225" s="7" t="s">
        <v>1288</v>
      </c>
      <c r="O225" s="7">
        <v>2</v>
      </c>
      <c r="P225" s="7">
        <v>2</v>
      </c>
      <c r="Q225" s="7">
        <v>3</v>
      </c>
      <c r="R225" s="7">
        <v>3</v>
      </c>
      <c r="S225" s="7">
        <v>2</v>
      </c>
      <c r="T225" s="7">
        <v>1</v>
      </c>
      <c r="U225" s="7">
        <v>1</v>
      </c>
      <c r="V225" s="7">
        <v>3</v>
      </c>
      <c r="W225" s="7">
        <v>2</v>
      </c>
      <c r="X225" s="7">
        <v>2</v>
      </c>
      <c r="Y225" s="7">
        <v>2</v>
      </c>
      <c r="Z225" s="7">
        <v>3</v>
      </c>
      <c r="AA225" s="7">
        <v>1</v>
      </c>
      <c r="AB225" s="7">
        <v>3</v>
      </c>
      <c r="AC225" s="7">
        <v>2</v>
      </c>
      <c r="AD225" s="7">
        <v>3</v>
      </c>
      <c r="AE225" s="7" t="s">
        <v>1261</v>
      </c>
      <c r="AF225" s="7" t="s">
        <v>1740</v>
      </c>
      <c r="AG225" s="7" t="s">
        <v>1282</v>
      </c>
      <c r="AH225" s="7" t="s">
        <v>1973</v>
      </c>
      <c r="AI225" s="7" t="s">
        <v>1974</v>
      </c>
      <c r="AJ225" s="7"/>
    </row>
    <row r="226" spans="1:36" ht="15.75" customHeight="1">
      <c r="A226" s="48" t="b">
        <v>1</v>
      </c>
      <c r="B226" s="127" t="e">
        <f t="array" ref="B226">_xlfn.XLOOKUP(E226,#REF!,#REF!)</f>
        <v>#REF!</v>
      </c>
      <c r="C226" s="7" t="s">
        <v>914</v>
      </c>
      <c r="D226" s="7"/>
      <c r="E226" s="7" t="s">
        <v>47</v>
      </c>
      <c r="F226" s="128">
        <v>46209.462500000001</v>
      </c>
      <c r="G226" s="7" t="s">
        <v>1975</v>
      </c>
      <c r="H226" s="7" t="s">
        <v>1267</v>
      </c>
      <c r="I226" s="7" t="s">
        <v>1256</v>
      </c>
      <c r="J226" s="7" t="s">
        <v>1905</v>
      </c>
      <c r="L226" s="7" t="s">
        <v>1711</v>
      </c>
      <c r="M226" s="7" t="s">
        <v>1259</v>
      </c>
      <c r="N226" s="7" t="s">
        <v>1270</v>
      </c>
      <c r="O226" s="7">
        <v>2</v>
      </c>
      <c r="P226" s="7">
        <v>2</v>
      </c>
      <c r="Q226" s="7">
        <v>3</v>
      </c>
      <c r="R226" s="7">
        <v>3</v>
      </c>
      <c r="S226" s="7">
        <v>2</v>
      </c>
      <c r="T226" s="7">
        <v>2</v>
      </c>
      <c r="U226" s="7">
        <v>3</v>
      </c>
      <c r="V226" s="7">
        <v>3</v>
      </c>
      <c r="W226" s="7">
        <v>3</v>
      </c>
      <c r="X226" s="7">
        <v>3</v>
      </c>
      <c r="Y226" s="7">
        <v>3</v>
      </c>
      <c r="Z226" s="7">
        <v>3</v>
      </c>
      <c r="AA226" s="7">
        <v>2</v>
      </c>
      <c r="AB226" s="7">
        <v>4</v>
      </c>
      <c r="AC226" s="7">
        <v>4</v>
      </c>
      <c r="AD226" s="7">
        <v>3</v>
      </c>
      <c r="AE226" s="7" t="s">
        <v>1300</v>
      </c>
      <c r="AF226" s="7" t="s">
        <v>1879</v>
      </c>
      <c r="AG226" s="7" t="s">
        <v>1282</v>
      </c>
      <c r="AH226" s="7" t="s">
        <v>1976</v>
      </c>
      <c r="AI226" s="7" t="s">
        <v>1975</v>
      </c>
      <c r="AJ226" s="7"/>
    </row>
    <row r="227" spans="1:36" ht="15.75" customHeight="1">
      <c r="A227" s="48" t="b">
        <v>1</v>
      </c>
      <c r="B227" s="127" t="e">
        <f t="array" ref="B227">_xlfn.XLOOKUP(E227,#REF!,#REF!)</f>
        <v>#REF!</v>
      </c>
      <c r="C227" s="7" t="s">
        <v>1034</v>
      </c>
      <c r="D227" s="7"/>
      <c r="E227" s="7" t="s">
        <v>133</v>
      </c>
      <c r="F227" s="128">
        <v>46209.468055555597</v>
      </c>
      <c r="G227" s="7" t="s">
        <v>1977</v>
      </c>
      <c r="H227" s="7" t="s">
        <v>1276</v>
      </c>
      <c r="I227" s="7" t="s">
        <v>1334</v>
      </c>
      <c r="J227" s="7" t="s">
        <v>1268</v>
      </c>
      <c r="L227" s="7" t="s">
        <v>1279</v>
      </c>
      <c r="M227" s="7" t="s">
        <v>1294</v>
      </c>
      <c r="N227" s="7" t="s">
        <v>1280</v>
      </c>
      <c r="O227" s="7">
        <v>3</v>
      </c>
      <c r="P227" s="7">
        <v>3</v>
      </c>
      <c r="Q227" s="7">
        <v>1</v>
      </c>
      <c r="R227" s="7">
        <v>4</v>
      </c>
      <c r="S227" s="7">
        <v>3</v>
      </c>
      <c r="T227" s="7">
        <v>0</v>
      </c>
      <c r="U227" s="7">
        <v>1</v>
      </c>
      <c r="V227" s="7">
        <v>3</v>
      </c>
      <c r="W227" s="7">
        <v>3</v>
      </c>
      <c r="X227" s="7">
        <v>3</v>
      </c>
      <c r="Y227" s="7">
        <v>3</v>
      </c>
      <c r="Z227" s="7">
        <v>3</v>
      </c>
      <c r="AA227" s="7">
        <v>4</v>
      </c>
      <c r="AB227" s="7">
        <v>0</v>
      </c>
      <c r="AC227" s="7">
        <v>0</v>
      </c>
      <c r="AD227" s="7">
        <v>1</v>
      </c>
      <c r="AE227" s="7" t="s">
        <v>1261</v>
      </c>
      <c r="AF227" s="7" t="s">
        <v>1735</v>
      </c>
      <c r="AG227" s="7" t="s">
        <v>1272</v>
      </c>
      <c r="AH227" s="7" t="s">
        <v>1978</v>
      </c>
      <c r="AI227" s="7" t="s">
        <v>1979</v>
      </c>
      <c r="AJ227" s="7"/>
    </row>
    <row r="228" spans="1:36" ht="15.75" customHeight="1">
      <c r="A228" s="48" t="b">
        <v>1</v>
      </c>
      <c r="B228" s="127" t="e">
        <f t="array" ref="B228">_xlfn.XLOOKUP(E228,#REF!,#REF!)</f>
        <v>#REF!</v>
      </c>
      <c r="C228" s="7" t="s">
        <v>1077</v>
      </c>
      <c r="D228" s="7"/>
      <c r="E228" s="7" t="s">
        <v>45</v>
      </c>
      <c r="F228" s="128">
        <v>46209.46875</v>
      </c>
      <c r="G228" s="7" t="s">
        <v>1980</v>
      </c>
      <c r="H228" s="7" t="s">
        <v>1276</v>
      </c>
      <c r="I228" s="7" t="s">
        <v>1256</v>
      </c>
      <c r="J228" s="7" t="s">
        <v>1981</v>
      </c>
      <c r="L228" s="7" t="s">
        <v>1711</v>
      </c>
      <c r="M228" s="7" t="s">
        <v>1259</v>
      </c>
      <c r="N228" s="7" t="s">
        <v>1270</v>
      </c>
      <c r="O228" s="7">
        <v>3</v>
      </c>
      <c r="P228" s="7">
        <v>3</v>
      </c>
      <c r="Q228" s="7">
        <v>3</v>
      </c>
      <c r="R228" s="7">
        <v>3</v>
      </c>
      <c r="S228" s="7">
        <v>3</v>
      </c>
      <c r="T228" s="7">
        <v>3</v>
      </c>
      <c r="U228" s="7">
        <v>3</v>
      </c>
      <c r="V228" s="7">
        <v>3</v>
      </c>
      <c r="W228" s="7">
        <v>3</v>
      </c>
      <c r="X228" s="7">
        <v>3</v>
      </c>
      <c r="Y228" s="7">
        <v>3</v>
      </c>
      <c r="Z228" s="7">
        <v>3</v>
      </c>
      <c r="AA228" s="7">
        <v>3</v>
      </c>
      <c r="AB228" s="7">
        <v>3</v>
      </c>
      <c r="AC228" s="7">
        <v>3</v>
      </c>
      <c r="AD228" s="7">
        <v>3</v>
      </c>
      <c r="AE228" s="7" t="s">
        <v>1261</v>
      </c>
      <c r="AF228" s="7" t="s">
        <v>1837</v>
      </c>
      <c r="AG228" s="7" t="s">
        <v>1282</v>
      </c>
      <c r="AH228" s="7" t="s">
        <v>1982</v>
      </c>
      <c r="AI228" s="7" t="s">
        <v>1683</v>
      </c>
      <c r="AJ228" s="7"/>
    </row>
    <row r="229" spans="1:36" ht="15.75" customHeight="1">
      <c r="A229" s="48" t="b">
        <v>1</v>
      </c>
      <c r="B229" s="127" t="e">
        <f t="array" ref="B229">_xlfn.XLOOKUP(E229,#REF!,#REF!)</f>
        <v>#REF!</v>
      </c>
      <c r="C229" s="7" t="s">
        <v>1001</v>
      </c>
      <c r="D229" s="7"/>
      <c r="E229" s="7" t="s">
        <v>607</v>
      </c>
      <c r="F229" s="128">
        <v>46209.472222222197</v>
      </c>
      <c r="G229" s="7" t="s">
        <v>1983</v>
      </c>
      <c r="H229" s="7" t="s">
        <v>1255</v>
      </c>
      <c r="I229" s="7" t="s">
        <v>1256</v>
      </c>
      <c r="J229" s="7" t="s">
        <v>1782</v>
      </c>
      <c r="L229" s="7" t="s">
        <v>1711</v>
      </c>
      <c r="M229" s="7" t="s">
        <v>1259</v>
      </c>
      <c r="N229" s="7" t="s">
        <v>1260</v>
      </c>
      <c r="O229" s="7">
        <v>1</v>
      </c>
      <c r="P229" s="7">
        <v>1</v>
      </c>
      <c r="Q229" s="7">
        <v>2</v>
      </c>
      <c r="R229" s="7">
        <v>1</v>
      </c>
      <c r="S229" s="7">
        <v>3</v>
      </c>
      <c r="T229" s="7">
        <v>1</v>
      </c>
      <c r="U229" s="7">
        <v>1</v>
      </c>
      <c r="V229" s="7">
        <v>2</v>
      </c>
      <c r="W229" s="7">
        <v>3</v>
      </c>
      <c r="X229" s="7">
        <v>3</v>
      </c>
      <c r="Y229" s="7">
        <v>2</v>
      </c>
      <c r="Z229" s="7">
        <v>2</v>
      </c>
      <c r="AA229" s="7">
        <v>2</v>
      </c>
      <c r="AB229" s="7">
        <v>3</v>
      </c>
      <c r="AC229" s="7">
        <v>4</v>
      </c>
      <c r="AD229" s="7">
        <v>3</v>
      </c>
      <c r="AE229" s="7" t="s">
        <v>1295</v>
      </c>
      <c r="AF229" s="7" t="s">
        <v>1837</v>
      </c>
      <c r="AG229" s="7" t="s">
        <v>1272</v>
      </c>
      <c r="AH229" s="7" t="s">
        <v>1984</v>
      </c>
      <c r="AI229" s="7" t="s">
        <v>1985</v>
      </c>
      <c r="AJ229" s="7"/>
    </row>
    <row r="230" spans="1:36" ht="15.75" customHeight="1">
      <c r="A230" s="48" t="b">
        <v>1</v>
      </c>
      <c r="B230" s="127" t="e">
        <f t="array" ref="B230">_xlfn.XLOOKUP(E230,#REF!,#REF!)</f>
        <v>#REF!</v>
      </c>
      <c r="C230" s="7" t="s">
        <v>937</v>
      </c>
      <c r="D230" s="7"/>
      <c r="E230" s="7" t="s">
        <v>601</v>
      </c>
      <c r="F230" s="128">
        <v>46209.486111111102</v>
      </c>
      <c r="G230" s="7" t="s">
        <v>1986</v>
      </c>
      <c r="H230" s="7" t="s">
        <v>1276</v>
      </c>
      <c r="I230" s="7" t="s">
        <v>1299</v>
      </c>
      <c r="J230" s="7" t="s">
        <v>1293</v>
      </c>
      <c r="L230" s="7" t="s">
        <v>1711</v>
      </c>
      <c r="M230" s="7" t="s">
        <v>1259</v>
      </c>
      <c r="N230" s="7" t="s">
        <v>1260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1</v>
      </c>
      <c r="V230" s="7">
        <v>1</v>
      </c>
      <c r="W230" s="7">
        <v>2</v>
      </c>
      <c r="X230" s="7">
        <v>2</v>
      </c>
      <c r="Y230" s="7">
        <v>2</v>
      </c>
      <c r="Z230" s="7">
        <v>1</v>
      </c>
      <c r="AA230" s="7">
        <v>1</v>
      </c>
      <c r="AB230" s="7">
        <v>4</v>
      </c>
      <c r="AC230" s="7">
        <v>1</v>
      </c>
      <c r="AD230" s="7">
        <v>2</v>
      </c>
      <c r="AE230" s="7" t="s">
        <v>1295</v>
      </c>
      <c r="AF230" s="7" t="s">
        <v>1308</v>
      </c>
      <c r="AG230" s="7" t="s">
        <v>1272</v>
      </c>
      <c r="AH230" s="7" t="s">
        <v>1987</v>
      </c>
      <c r="AI230" s="7" t="s">
        <v>1988</v>
      </c>
      <c r="AJ230" s="7"/>
    </row>
    <row r="231" spans="1:36" ht="15.75" customHeight="1">
      <c r="A231" s="48" t="b">
        <v>1</v>
      </c>
      <c r="B231" s="127" t="e">
        <f t="array" ref="B231">_xlfn.XLOOKUP(E231,#REF!,#REF!)</f>
        <v>#REF!</v>
      </c>
      <c r="C231" s="7" t="s">
        <v>1205</v>
      </c>
      <c r="D231" s="7"/>
      <c r="E231" s="7" t="s">
        <v>284</v>
      </c>
      <c r="F231" s="128">
        <v>46209.488888888904</v>
      </c>
      <c r="G231" s="7" t="s">
        <v>1989</v>
      </c>
      <c r="H231" s="7" t="s">
        <v>1255</v>
      </c>
      <c r="I231" s="7" t="s">
        <v>1277</v>
      </c>
      <c r="J231" s="7" t="s">
        <v>1822</v>
      </c>
      <c r="L231" s="7" t="s">
        <v>1279</v>
      </c>
      <c r="M231" s="7" t="s">
        <v>1294</v>
      </c>
      <c r="N231" s="7" t="s">
        <v>1280</v>
      </c>
      <c r="O231" s="7">
        <v>2</v>
      </c>
      <c r="P231" s="7">
        <v>2</v>
      </c>
      <c r="Q231" s="7">
        <v>4</v>
      </c>
      <c r="R231" s="7">
        <v>3</v>
      </c>
      <c r="S231" s="7">
        <v>2</v>
      </c>
      <c r="T231" s="7">
        <v>1</v>
      </c>
      <c r="U231" s="7">
        <v>1</v>
      </c>
      <c r="V231" s="7">
        <v>2</v>
      </c>
      <c r="W231" s="7">
        <v>1</v>
      </c>
      <c r="X231" s="7">
        <v>0</v>
      </c>
      <c r="Y231" s="7">
        <v>4</v>
      </c>
      <c r="Z231" s="7">
        <v>3</v>
      </c>
      <c r="AA231" s="7">
        <v>2</v>
      </c>
      <c r="AB231" s="7">
        <v>3</v>
      </c>
      <c r="AC231" s="7">
        <v>0</v>
      </c>
      <c r="AD231" s="7">
        <v>1</v>
      </c>
      <c r="AE231" s="7" t="s">
        <v>1300</v>
      </c>
      <c r="AF231" s="7" t="s">
        <v>1765</v>
      </c>
      <c r="AG231" s="7" t="s">
        <v>1282</v>
      </c>
      <c r="AH231" s="7" t="s">
        <v>1990</v>
      </c>
      <c r="AI231" s="7" t="s">
        <v>1991</v>
      </c>
      <c r="AJ231" s="7"/>
    </row>
    <row r="232" spans="1:36" ht="15.75" customHeight="1">
      <c r="A232" s="48" t="b">
        <v>1</v>
      </c>
      <c r="B232" s="127" t="e">
        <f t="array" ref="B232">_xlfn.XLOOKUP(E232,#REF!,#REF!)</f>
        <v>#REF!</v>
      </c>
      <c r="C232" s="7" t="s">
        <v>1032</v>
      </c>
      <c r="D232" s="7"/>
      <c r="E232" s="7" t="s">
        <v>696</v>
      </c>
      <c r="F232" s="128">
        <v>46209.491666666698</v>
      </c>
      <c r="G232" s="7" t="s">
        <v>1992</v>
      </c>
      <c r="H232" s="7" t="s">
        <v>1255</v>
      </c>
      <c r="I232" s="7" t="s">
        <v>1277</v>
      </c>
      <c r="J232" s="7" t="s">
        <v>1268</v>
      </c>
      <c r="L232" s="7" t="s">
        <v>1279</v>
      </c>
      <c r="M232" s="7" t="s">
        <v>1294</v>
      </c>
      <c r="N232" s="7" t="s">
        <v>1280</v>
      </c>
      <c r="O232" s="7">
        <v>2</v>
      </c>
      <c r="P232" s="7">
        <v>3</v>
      </c>
      <c r="Q232" s="7">
        <v>4</v>
      </c>
      <c r="R232" s="7">
        <v>3</v>
      </c>
      <c r="S232" s="7">
        <v>4</v>
      </c>
      <c r="T232" s="7">
        <v>4</v>
      </c>
      <c r="U232" s="7">
        <v>3</v>
      </c>
      <c r="V232" s="7">
        <v>2</v>
      </c>
      <c r="W232" s="7">
        <v>1</v>
      </c>
      <c r="X232" s="7">
        <v>1</v>
      </c>
      <c r="Y232" s="7">
        <v>2</v>
      </c>
      <c r="Z232" s="7">
        <v>2</v>
      </c>
      <c r="AA232" s="7">
        <v>2</v>
      </c>
      <c r="AB232" s="7">
        <v>3</v>
      </c>
      <c r="AC232" s="7">
        <v>1</v>
      </c>
      <c r="AD232" s="7">
        <v>1</v>
      </c>
      <c r="AE232" s="7" t="s">
        <v>1300</v>
      </c>
      <c r="AF232" s="7" t="s">
        <v>1747</v>
      </c>
      <c r="AG232" s="7" t="s">
        <v>1363</v>
      </c>
      <c r="AH232" s="7" t="s">
        <v>1993</v>
      </c>
      <c r="AI232" s="7" t="s">
        <v>1994</v>
      </c>
      <c r="AJ232" s="7"/>
    </row>
    <row r="233" spans="1:36" ht="15.75" customHeight="1">
      <c r="A233" s="48" t="b">
        <v>1</v>
      </c>
      <c r="B233" s="127" t="e">
        <f t="array" ref="B233">_xlfn.XLOOKUP(E233,#REF!,#REF!)</f>
        <v>#REF!</v>
      </c>
      <c r="C233" s="7" t="s">
        <v>1201</v>
      </c>
      <c r="D233" s="7"/>
      <c r="E233" s="7" t="s">
        <v>776</v>
      </c>
      <c r="F233" s="128">
        <v>46209.494444444397</v>
      </c>
      <c r="G233" s="7" t="s">
        <v>1995</v>
      </c>
      <c r="H233" s="7" t="s">
        <v>1276</v>
      </c>
      <c r="I233" s="7" t="s">
        <v>1277</v>
      </c>
      <c r="J233" s="7" t="s">
        <v>1268</v>
      </c>
      <c r="L233" s="7" t="s">
        <v>1279</v>
      </c>
      <c r="M233" s="7" t="s">
        <v>1259</v>
      </c>
      <c r="N233" s="7" t="s">
        <v>1288</v>
      </c>
      <c r="O233" s="7">
        <v>0</v>
      </c>
      <c r="P233" s="7">
        <v>1</v>
      </c>
      <c r="Q233" s="7">
        <v>3</v>
      </c>
      <c r="R233" s="7">
        <v>4</v>
      </c>
      <c r="S233" s="7">
        <v>4</v>
      </c>
      <c r="T233" s="7">
        <v>4</v>
      </c>
      <c r="U233" s="7">
        <v>2</v>
      </c>
      <c r="V233" s="7">
        <v>2</v>
      </c>
      <c r="W233" s="7">
        <v>4</v>
      </c>
      <c r="X233" s="7">
        <v>3</v>
      </c>
      <c r="Y233" s="7">
        <v>2</v>
      </c>
      <c r="Z233" s="7">
        <v>4</v>
      </c>
      <c r="AA233" s="7">
        <v>2</v>
      </c>
      <c r="AB233" s="7">
        <v>4</v>
      </c>
      <c r="AC233" s="7">
        <v>1</v>
      </c>
      <c r="AD233" s="7">
        <v>2</v>
      </c>
      <c r="AE233" s="7" t="s">
        <v>1261</v>
      </c>
      <c r="AF233" s="7" t="s">
        <v>1765</v>
      </c>
      <c r="AG233" s="7" t="s">
        <v>1363</v>
      </c>
      <c r="AH233" s="7" t="s">
        <v>1996</v>
      </c>
      <c r="AI233" s="7" t="s">
        <v>1997</v>
      </c>
      <c r="AJ233" s="7"/>
    </row>
    <row r="234" spans="1:36" ht="15.75" customHeight="1">
      <c r="A234" s="48" t="b">
        <v>1</v>
      </c>
      <c r="B234" s="127" t="e">
        <f t="array" ref="B234">_xlfn.XLOOKUP(E234,#REF!,#REF!)</f>
        <v>#REF!</v>
      </c>
      <c r="C234" s="7" t="s">
        <v>953</v>
      </c>
      <c r="D234" s="7"/>
      <c r="E234" s="7" t="s">
        <v>574</v>
      </c>
      <c r="F234" s="128">
        <v>46209.494444444397</v>
      </c>
      <c r="G234" s="7" t="s">
        <v>1998</v>
      </c>
      <c r="H234" s="7" t="s">
        <v>1276</v>
      </c>
      <c r="I234" s="7" t="s">
        <v>1256</v>
      </c>
      <c r="J234" s="7" t="s">
        <v>1804</v>
      </c>
      <c r="L234" s="7" t="s">
        <v>1711</v>
      </c>
      <c r="M234" s="7" t="s">
        <v>1259</v>
      </c>
      <c r="N234" s="7" t="s">
        <v>1260</v>
      </c>
      <c r="O234" s="7">
        <v>1</v>
      </c>
      <c r="P234" s="7">
        <v>1</v>
      </c>
      <c r="Q234" s="7">
        <v>1</v>
      </c>
      <c r="R234" s="7">
        <v>1</v>
      </c>
      <c r="S234" s="7">
        <v>0</v>
      </c>
      <c r="T234" s="7">
        <v>0</v>
      </c>
      <c r="U234" s="7">
        <v>1</v>
      </c>
      <c r="V234" s="7">
        <v>1</v>
      </c>
      <c r="W234" s="7">
        <v>4</v>
      </c>
      <c r="X234" s="7">
        <v>4</v>
      </c>
      <c r="Y234" s="7">
        <v>3</v>
      </c>
      <c r="Z234" s="7">
        <v>3</v>
      </c>
      <c r="AA234" s="7">
        <v>1</v>
      </c>
      <c r="AB234" s="7">
        <v>3</v>
      </c>
      <c r="AC234" s="7">
        <v>4</v>
      </c>
      <c r="AD234" s="7">
        <v>3</v>
      </c>
      <c r="AE234" s="7" t="s">
        <v>1261</v>
      </c>
      <c r="AF234" s="7" t="s">
        <v>1856</v>
      </c>
      <c r="AG234" s="7" t="s">
        <v>1272</v>
      </c>
      <c r="AH234" s="7" t="s">
        <v>1999</v>
      </c>
      <c r="AI234" s="7" t="s">
        <v>2000</v>
      </c>
      <c r="AJ234" s="7"/>
    </row>
    <row r="235" spans="1:36" ht="15.75" customHeight="1">
      <c r="A235" s="48" t="b">
        <v>1</v>
      </c>
      <c r="B235" s="127" t="e">
        <f t="array" ref="B235">_xlfn.XLOOKUP(E235,#REF!,#REF!)</f>
        <v>#REF!</v>
      </c>
      <c r="C235" s="7" t="s">
        <v>981</v>
      </c>
      <c r="D235" s="7"/>
      <c r="E235" s="7" t="s">
        <v>28</v>
      </c>
      <c r="F235" s="128">
        <v>46209.495833333298</v>
      </c>
      <c r="G235" s="7" t="s">
        <v>2001</v>
      </c>
      <c r="H235" s="7" t="s">
        <v>1255</v>
      </c>
      <c r="I235" s="7" t="s">
        <v>1256</v>
      </c>
      <c r="J235" s="7" t="s">
        <v>1491</v>
      </c>
      <c r="L235" s="7" t="s">
        <v>1711</v>
      </c>
      <c r="M235" s="7" t="s">
        <v>1259</v>
      </c>
      <c r="N235" s="7" t="s">
        <v>1270</v>
      </c>
      <c r="O235" s="7">
        <v>4</v>
      </c>
      <c r="P235" s="7">
        <v>3</v>
      </c>
      <c r="Q235" s="7">
        <v>4</v>
      </c>
      <c r="R235" s="7">
        <v>4</v>
      </c>
      <c r="S235" s="7">
        <v>4</v>
      </c>
      <c r="T235" s="7">
        <v>4</v>
      </c>
      <c r="U235" s="7">
        <v>3</v>
      </c>
      <c r="V235" s="7">
        <v>4</v>
      </c>
      <c r="W235" s="7">
        <v>4</v>
      </c>
      <c r="X235" s="7">
        <v>4</v>
      </c>
      <c r="Y235" s="7">
        <v>4</v>
      </c>
      <c r="Z235" s="7">
        <v>4</v>
      </c>
      <c r="AA235" s="7">
        <v>4</v>
      </c>
      <c r="AB235" s="7">
        <v>4</v>
      </c>
      <c r="AC235" s="7">
        <v>4</v>
      </c>
      <c r="AD235" s="7">
        <v>4</v>
      </c>
      <c r="AE235" s="7" t="s">
        <v>1261</v>
      </c>
      <c r="AF235" s="7" t="s">
        <v>2002</v>
      </c>
      <c r="AG235" s="7" t="s">
        <v>1363</v>
      </c>
      <c r="AH235" s="7" t="s">
        <v>2003</v>
      </c>
      <c r="AI235" s="7" t="s">
        <v>1975</v>
      </c>
      <c r="AJ235" s="7"/>
    </row>
    <row r="236" spans="1:36" ht="15.75" customHeight="1">
      <c r="A236" s="48" t="b">
        <v>1</v>
      </c>
      <c r="B236" s="127" t="e">
        <f t="array" ref="B236">_xlfn.XLOOKUP(E236,#REF!,#REF!)</f>
        <v>#REF!</v>
      </c>
      <c r="C236" s="7" t="s">
        <v>1066</v>
      </c>
      <c r="D236" s="7"/>
      <c r="E236" s="7" t="s">
        <v>649</v>
      </c>
      <c r="F236" s="128">
        <v>46209.502083333296</v>
      </c>
      <c r="G236" s="7" t="s">
        <v>2004</v>
      </c>
      <c r="H236" s="7" t="s">
        <v>1276</v>
      </c>
      <c r="I236" s="7" t="s">
        <v>1299</v>
      </c>
      <c r="J236" s="7" t="s">
        <v>2005</v>
      </c>
      <c r="L236" s="7" t="s">
        <v>1258</v>
      </c>
      <c r="M236" s="7" t="s">
        <v>1357</v>
      </c>
      <c r="N236" s="7" t="s">
        <v>1270</v>
      </c>
      <c r="O236" s="7">
        <v>2</v>
      </c>
      <c r="P236" s="7">
        <v>0</v>
      </c>
      <c r="Q236" s="7">
        <v>1</v>
      </c>
      <c r="R236" s="7">
        <v>1</v>
      </c>
      <c r="S236" s="7">
        <v>0</v>
      </c>
      <c r="T236" s="7">
        <v>1</v>
      </c>
      <c r="U236" s="7">
        <v>1</v>
      </c>
      <c r="V236" s="7">
        <v>1</v>
      </c>
      <c r="W236" s="7">
        <v>4</v>
      </c>
      <c r="X236" s="7">
        <v>4</v>
      </c>
      <c r="Y236" s="7">
        <v>3</v>
      </c>
      <c r="Z236" s="7">
        <v>3</v>
      </c>
      <c r="AA236" s="7">
        <v>2</v>
      </c>
      <c r="AB236" s="7">
        <v>3</v>
      </c>
      <c r="AC236" s="7">
        <v>4</v>
      </c>
      <c r="AD236" s="7">
        <v>3</v>
      </c>
      <c r="AE236" s="7" t="s">
        <v>1300</v>
      </c>
      <c r="AF236" s="7" t="s">
        <v>1879</v>
      </c>
      <c r="AG236" s="7" t="s">
        <v>1272</v>
      </c>
      <c r="AH236" s="7" t="s">
        <v>2006</v>
      </c>
      <c r="AI236" s="7" t="s">
        <v>2007</v>
      </c>
      <c r="AJ236" s="7"/>
    </row>
    <row r="237" spans="1:36" ht="15.75" customHeight="1">
      <c r="A237" s="48" t="b">
        <v>1</v>
      </c>
      <c r="B237" s="127" t="e">
        <f t="array" ref="B237">_xlfn.XLOOKUP(E237,#REF!,#REF!)</f>
        <v>#REF!</v>
      </c>
      <c r="C237" s="7" t="s">
        <v>1142</v>
      </c>
      <c r="D237" s="7"/>
      <c r="E237" s="7" t="s">
        <v>764</v>
      </c>
      <c r="F237" s="128">
        <v>46209.507638888899</v>
      </c>
      <c r="G237" s="7" t="s">
        <v>2008</v>
      </c>
      <c r="H237" s="7" t="s">
        <v>1255</v>
      </c>
      <c r="I237" s="7" t="s">
        <v>1277</v>
      </c>
      <c r="J237" s="7" t="s">
        <v>1521</v>
      </c>
      <c r="L237" s="7" t="s">
        <v>1258</v>
      </c>
      <c r="M237" s="7" t="s">
        <v>1294</v>
      </c>
      <c r="N237" s="7" t="s">
        <v>1288</v>
      </c>
      <c r="O237" s="7">
        <v>2</v>
      </c>
      <c r="P237" s="7">
        <v>3</v>
      </c>
      <c r="Q237" s="7">
        <v>3</v>
      </c>
      <c r="R237" s="7">
        <v>4</v>
      </c>
      <c r="S237" s="7">
        <v>4</v>
      </c>
      <c r="T237" s="7">
        <v>4</v>
      </c>
      <c r="U237" s="7">
        <v>3</v>
      </c>
      <c r="V237" s="7">
        <v>2</v>
      </c>
      <c r="W237" s="7">
        <v>3</v>
      </c>
      <c r="X237" s="7">
        <v>3</v>
      </c>
      <c r="Y237" s="7">
        <v>4</v>
      </c>
      <c r="Z237" s="7">
        <v>4</v>
      </c>
      <c r="AA237" s="7">
        <v>2</v>
      </c>
      <c r="AB237" s="7">
        <v>4</v>
      </c>
      <c r="AC237" s="7">
        <v>4</v>
      </c>
      <c r="AD237" s="7">
        <v>4</v>
      </c>
      <c r="AE237" s="7" t="s">
        <v>1261</v>
      </c>
      <c r="AF237" s="7" t="s">
        <v>1740</v>
      </c>
      <c r="AG237" s="7" t="s">
        <v>1282</v>
      </c>
      <c r="AH237" s="7" t="s">
        <v>2009</v>
      </c>
      <c r="AI237" s="7" t="s">
        <v>1997</v>
      </c>
      <c r="AJ237" s="7"/>
    </row>
    <row r="238" spans="1:36" ht="15.75" customHeight="1">
      <c r="A238" s="48" t="b">
        <v>1</v>
      </c>
      <c r="B238" s="127" t="e">
        <f t="array" ref="B238">_xlfn.XLOOKUP(E238,#REF!,#REF!)</f>
        <v>#REF!</v>
      </c>
      <c r="C238" s="7" t="s">
        <v>872</v>
      </c>
      <c r="D238" s="7"/>
      <c r="E238" s="7" t="s">
        <v>544</v>
      </c>
      <c r="F238" s="128">
        <v>46209.507638888899</v>
      </c>
      <c r="G238" s="7" t="s">
        <v>2010</v>
      </c>
      <c r="H238" s="7" t="s">
        <v>1255</v>
      </c>
      <c r="I238" s="7" t="s">
        <v>1256</v>
      </c>
      <c r="J238" s="7" t="s">
        <v>1804</v>
      </c>
      <c r="L238" s="7" t="s">
        <v>1711</v>
      </c>
      <c r="M238" s="7" t="s">
        <v>1259</v>
      </c>
      <c r="N238" s="7" t="s">
        <v>1260</v>
      </c>
      <c r="O238" s="7">
        <v>3</v>
      </c>
      <c r="P238" s="7">
        <v>2</v>
      </c>
      <c r="Q238" s="7">
        <v>1</v>
      </c>
      <c r="R238" s="7">
        <v>1</v>
      </c>
      <c r="S238" s="7">
        <v>1</v>
      </c>
      <c r="T238" s="7">
        <v>0</v>
      </c>
      <c r="U238" s="7">
        <v>2</v>
      </c>
      <c r="V238" s="7">
        <v>2</v>
      </c>
      <c r="W238" s="7">
        <v>3</v>
      </c>
      <c r="X238" s="7">
        <v>3</v>
      </c>
      <c r="Y238" s="7">
        <v>1</v>
      </c>
      <c r="Z238" s="7">
        <v>2</v>
      </c>
      <c r="AA238" s="7">
        <v>0</v>
      </c>
      <c r="AB238" s="7">
        <v>1</v>
      </c>
      <c r="AC238" s="7">
        <v>2</v>
      </c>
      <c r="AD238" s="7">
        <v>1</v>
      </c>
      <c r="AE238" s="7" t="s">
        <v>1300</v>
      </c>
      <c r="AF238" s="7" t="s">
        <v>1308</v>
      </c>
      <c r="AG238" s="7" t="s">
        <v>1282</v>
      </c>
      <c r="AH238" s="7" t="s">
        <v>2011</v>
      </c>
      <c r="AI238" s="7" t="s">
        <v>2012</v>
      </c>
      <c r="AJ238" s="7"/>
    </row>
    <row r="239" spans="1:36" ht="15.75" customHeight="1">
      <c r="A239" s="48" t="b">
        <v>1</v>
      </c>
      <c r="B239" s="127" t="e">
        <f t="array" ref="B239">_xlfn.XLOOKUP(E239,#REF!,#REF!)</f>
        <v>#REF!</v>
      </c>
      <c r="C239" s="7" t="s">
        <v>1017</v>
      </c>
      <c r="D239" s="7"/>
      <c r="E239" s="7" t="s">
        <v>275</v>
      </c>
      <c r="F239" s="128">
        <v>46209.5090277778</v>
      </c>
      <c r="G239" s="7" t="s">
        <v>2013</v>
      </c>
      <c r="H239" s="7" t="s">
        <v>1267</v>
      </c>
      <c r="I239" s="7" t="s">
        <v>1277</v>
      </c>
      <c r="J239" s="7" t="s">
        <v>1268</v>
      </c>
      <c r="L239" s="7" t="s">
        <v>1279</v>
      </c>
      <c r="M239" s="7" t="s">
        <v>1294</v>
      </c>
      <c r="N239" s="7" t="s">
        <v>1280</v>
      </c>
      <c r="O239" s="7">
        <v>2</v>
      </c>
      <c r="P239" s="7">
        <v>3</v>
      </c>
      <c r="Q239" s="7">
        <v>3</v>
      </c>
      <c r="R239" s="7">
        <v>2</v>
      </c>
      <c r="S239" s="7">
        <v>2</v>
      </c>
      <c r="T239" s="7">
        <v>2</v>
      </c>
      <c r="U239" s="7">
        <v>1</v>
      </c>
      <c r="V239" s="7">
        <v>2</v>
      </c>
      <c r="W239" s="7">
        <v>1</v>
      </c>
      <c r="X239" s="7">
        <v>0</v>
      </c>
      <c r="Y239" s="7">
        <v>1</v>
      </c>
      <c r="Z239" s="7">
        <v>1</v>
      </c>
      <c r="AA239" s="7">
        <v>1</v>
      </c>
      <c r="AB239" s="7">
        <v>2</v>
      </c>
      <c r="AC239" s="7">
        <v>1</v>
      </c>
      <c r="AD239" s="7">
        <v>2</v>
      </c>
      <c r="AE239" s="7" t="s">
        <v>1295</v>
      </c>
      <c r="AF239" s="7" t="s">
        <v>1301</v>
      </c>
      <c r="AG239" s="7" t="s">
        <v>1363</v>
      </c>
      <c r="AH239" s="7" t="s">
        <v>2014</v>
      </c>
      <c r="AI239" s="7" t="s">
        <v>2013</v>
      </c>
      <c r="AJ239" s="7"/>
    </row>
    <row r="240" spans="1:36" ht="15.75" customHeight="1">
      <c r="A240" s="48" t="b">
        <v>1</v>
      </c>
      <c r="B240" s="127" t="e">
        <f t="array" ref="B240">_xlfn.XLOOKUP(E240,#REF!,#REF!)</f>
        <v>#REF!</v>
      </c>
      <c r="C240" s="7" t="s">
        <v>2015</v>
      </c>
      <c r="D240" s="7"/>
      <c r="E240" s="7" t="s">
        <v>557</v>
      </c>
      <c r="F240" s="128">
        <v>46209.509722222203</v>
      </c>
      <c r="G240" s="7" t="s">
        <v>2016</v>
      </c>
      <c r="H240" s="7" t="s">
        <v>1255</v>
      </c>
      <c r="I240" s="7" t="s">
        <v>1256</v>
      </c>
      <c r="J240" s="7" t="s">
        <v>1715</v>
      </c>
      <c r="L240" s="7" t="s">
        <v>1258</v>
      </c>
      <c r="M240" s="7" t="s">
        <v>1259</v>
      </c>
      <c r="N240" s="7" t="s">
        <v>1288</v>
      </c>
      <c r="O240" s="7">
        <v>3</v>
      </c>
      <c r="P240" s="7">
        <v>2</v>
      </c>
      <c r="Q240" s="7">
        <v>3</v>
      </c>
      <c r="R240" s="7">
        <v>2</v>
      </c>
      <c r="S240" s="7">
        <v>2</v>
      </c>
      <c r="T240" s="7">
        <v>3</v>
      </c>
      <c r="U240" s="7">
        <v>3</v>
      </c>
      <c r="V240" s="7">
        <v>3</v>
      </c>
      <c r="W240" s="7">
        <v>3</v>
      </c>
      <c r="X240" s="7">
        <v>3</v>
      </c>
      <c r="Y240" s="7">
        <v>3</v>
      </c>
      <c r="Z240" s="7">
        <v>4</v>
      </c>
      <c r="AA240" s="7">
        <v>3</v>
      </c>
      <c r="AB240" s="7">
        <v>3</v>
      </c>
      <c r="AC240" s="7">
        <v>3</v>
      </c>
      <c r="AD240" s="7">
        <v>4</v>
      </c>
      <c r="AE240" s="7" t="s">
        <v>1300</v>
      </c>
      <c r="AF240" s="7" t="s">
        <v>1712</v>
      </c>
      <c r="AG240" s="7" t="s">
        <v>1282</v>
      </c>
      <c r="AH240" s="7" t="s">
        <v>2017</v>
      </c>
      <c r="AI240" s="7" t="s">
        <v>2018</v>
      </c>
      <c r="AJ240" s="7"/>
    </row>
    <row r="241" spans="1:36" ht="15.75" customHeight="1">
      <c r="A241" s="48" t="b">
        <v>1</v>
      </c>
      <c r="B241" s="127" t="e">
        <f t="array" ref="B241">_xlfn.XLOOKUP(E241,#REF!,#REF!)</f>
        <v>#REF!</v>
      </c>
      <c r="C241" s="7" t="s">
        <v>1036</v>
      </c>
      <c r="D241" s="7"/>
      <c r="E241" s="7" t="s">
        <v>576</v>
      </c>
      <c r="F241" s="128">
        <v>46209.510416666701</v>
      </c>
      <c r="G241" s="7" t="s">
        <v>2019</v>
      </c>
      <c r="H241" s="7" t="s">
        <v>1267</v>
      </c>
      <c r="I241" s="7" t="s">
        <v>1256</v>
      </c>
      <c r="J241" s="7" t="s">
        <v>1822</v>
      </c>
      <c r="L241" s="7" t="s">
        <v>1711</v>
      </c>
      <c r="M241" s="7" t="s">
        <v>1259</v>
      </c>
      <c r="N241" s="7" t="s">
        <v>1270</v>
      </c>
      <c r="O241" s="7">
        <v>4</v>
      </c>
      <c r="P241" s="7">
        <v>3</v>
      </c>
      <c r="Q241" s="7">
        <v>4</v>
      </c>
      <c r="R241" s="7">
        <v>4</v>
      </c>
      <c r="S241" s="7">
        <v>4</v>
      </c>
      <c r="T241" s="7">
        <v>3</v>
      </c>
      <c r="U241" s="7">
        <v>3</v>
      </c>
      <c r="V241" s="7">
        <v>3</v>
      </c>
      <c r="W241" s="7">
        <v>3</v>
      </c>
      <c r="X241" s="7">
        <v>4</v>
      </c>
      <c r="Y241" s="7">
        <v>4</v>
      </c>
      <c r="Z241" s="7">
        <v>4</v>
      </c>
      <c r="AA241" s="7">
        <v>3</v>
      </c>
      <c r="AB241" s="7">
        <v>3</v>
      </c>
      <c r="AC241" s="7">
        <v>4</v>
      </c>
      <c r="AD241" s="7">
        <v>3</v>
      </c>
      <c r="AE241" s="7" t="s">
        <v>1261</v>
      </c>
      <c r="AF241" s="7" t="s">
        <v>1706</v>
      </c>
      <c r="AG241" s="7" t="s">
        <v>1282</v>
      </c>
      <c r="AH241" s="7" t="s">
        <v>2020</v>
      </c>
      <c r="AI241" s="7" t="s">
        <v>875</v>
      </c>
      <c r="AJ241" s="7"/>
    </row>
    <row r="242" spans="1:36" ht="15.75" customHeight="1">
      <c r="A242" s="48" t="b">
        <v>1</v>
      </c>
      <c r="B242" s="127" t="e">
        <f t="array" ref="B242">_xlfn.XLOOKUP(E242,#REF!,#REF!)</f>
        <v>#REF!</v>
      </c>
      <c r="C242" s="7" t="s">
        <v>1085</v>
      </c>
      <c r="D242" s="7"/>
      <c r="E242" s="7" t="s">
        <v>515</v>
      </c>
      <c r="F242" s="128">
        <v>46209.514583333301</v>
      </c>
      <c r="G242" s="7" t="s">
        <v>2021</v>
      </c>
      <c r="H242" s="7" t="s">
        <v>1267</v>
      </c>
      <c r="I242" s="7" t="s">
        <v>1256</v>
      </c>
      <c r="J242" s="7" t="s">
        <v>1836</v>
      </c>
      <c r="L242" s="7" t="s">
        <v>1711</v>
      </c>
      <c r="M242" s="7" t="s">
        <v>1259</v>
      </c>
      <c r="N242" s="7" t="s">
        <v>1270</v>
      </c>
      <c r="O242" s="7">
        <v>3</v>
      </c>
      <c r="P242" s="7">
        <v>3</v>
      </c>
      <c r="Q242" s="7">
        <v>4</v>
      </c>
      <c r="R242" s="7">
        <v>3</v>
      </c>
      <c r="S242" s="7">
        <v>3</v>
      </c>
      <c r="T242" s="7">
        <v>2</v>
      </c>
      <c r="U242" s="7">
        <v>2</v>
      </c>
      <c r="V242" s="7">
        <v>4</v>
      </c>
      <c r="W242" s="7">
        <v>3</v>
      </c>
      <c r="X242" s="7">
        <v>3</v>
      </c>
      <c r="Y242" s="7">
        <v>3</v>
      </c>
      <c r="Z242" s="7">
        <v>3</v>
      </c>
      <c r="AA242" s="7">
        <v>3</v>
      </c>
      <c r="AB242" s="7">
        <v>2</v>
      </c>
      <c r="AC242" s="7">
        <v>3</v>
      </c>
      <c r="AD242" s="7">
        <v>4</v>
      </c>
      <c r="AE242" s="7" t="s">
        <v>1261</v>
      </c>
      <c r="AF242" s="7" t="s">
        <v>1747</v>
      </c>
      <c r="AG242" s="7" t="s">
        <v>1272</v>
      </c>
      <c r="AH242" s="7" t="s">
        <v>2022</v>
      </c>
      <c r="AI242" s="7" t="s">
        <v>2023</v>
      </c>
      <c r="AJ242" s="7"/>
    </row>
    <row r="243" spans="1:36" ht="15.75" customHeight="1">
      <c r="A243" s="48" t="b">
        <v>1</v>
      </c>
      <c r="B243" s="127" t="e">
        <f t="array" ref="B243">_xlfn.XLOOKUP(E243,#REF!,#REF!)</f>
        <v>#REF!</v>
      </c>
      <c r="C243" s="7" t="s">
        <v>999</v>
      </c>
      <c r="D243" s="7"/>
      <c r="E243" s="7" t="s">
        <v>130</v>
      </c>
      <c r="F243" s="128">
        <v>46209.517361111102</v>
      </c>
      <c r="G243" s="7" t="s">
        <v>2024</v>
      </c>
      <c r="H243" s="7" t="s">
        <v>1255</v>
      </c>
      <c r="I243" s="7" t="s">
        <v>1277</v>
      </c>
      <c r="J243" s="7" t="s">
        <v>1804</v>
      </c>
      <c r="L243" s="7" t="s">
        <v>1711</v>
      </c>
      <c r="M243" s="7" t="s">
        <v>1357</v>
      </c>
      <c r="N243" s="7" t="s">
        <v>1270</v>
      </c>
      <c r="O243" s="7">
        <v>4</v>
      </c>
      <c r="P243" s="7">
        <v>3</v>
      </c>
      <c r="Q243" s="7">
        <v>3</v>
      </c>
      <c r="R243" s="7">
        <v>0</v>
      </c>
      <c r="S243" s="7">
        <v>3</v>
      </c>
      <c r="T243" s="7">
        <v>1</v>
      </c>
      <c r="U243" s="7">
        <v>2</v>
      </c>
      <c r="V243" s="7">
        <v>0</v>
      </c>
      <c r="W243" s="7">
        <v>4</v>
      </c>
      <c r="X243" s="7">
        <v>4</v>
      </c>
      <c r="Y243" s="7">
        <v>4</v>
      </c>
      <c r="Z243" s="7">
        <v>4</v>
      </c>
      <c r="AA243" s="7">
        <v>4</v>
      </c>
      <c r="AB243" s="7">
        <v>2</v>
      </c>
      <c r="AC243" s="7">
        <v>2</v>
      </c>
      <c r="AD243" s="7">
        <v>3</v>
      </c>
      <c r="AE243" s="7" t="s">
        <v>1261</v>
      </c>
      <c r="AF243" s="7" t="s">
        <v>1262</v>
      </c>
      <c r="AG243" s="7" t="s">
        <v>1272</v>
      </c>
      <c r="AH243" s="7" t="s">
        <v>2025</v>
      </c>
      <c r="AI243" s="7" t="s">
        <v>2026</v>
      </c>
      <c r="AJ243" s="7"/>
    </row>
    <row r="244" spans="1:36" ht="15.75" customHeight="1">
      <c r="A244" s="48" t="b">
        <v>1</v>
      </c>
      <c r="B244" s="127" t="e">
        <f t="array" ref="B244">_xlfn.XLOOKUP(E244,#REF!,#REF!)</f>
        <v>#REF!</v>
      </c>
      <c r="C244" s="7" t="s">
        <v>961</v>
      </c>
      <c r="D244" s="7"/>
      <c r="E244" s="7" t="s">
        <v>26</v>
      </c>
      <c r="F244" s="128">
        <v>46209.520138888904</v>
      </c>
      <c r="G244" s="7" t="s">
        <v>2027</v>
      </c>
      <c r="H244" s="7" t="s">
        <v>1255</v>
      </c>
      <c r="I244" s="7" t="s">
        <v>1256</v>
      </c>
      <c r="J244" s="7" t="s">
        <v>1795</v>
      </c>
      <c r="L244" s="7" t="s">
        <v>1711</v>
      </c>
      <c r="M244" s="7" t="s">
        <v>1259</v>
      </c>
      <c r="N244" s="7" t="s">
        <v>1270</v>
      </c>
      <c r="O244" s="7">
        <v>3</v>
      </c>
      <c r="P244" s="7">
        <v>4</v>
      </c>
      <c r="Q244" s="7">
        <v>4</v>
      </c>
      <c r="R244" s="7">
        <v>4</v>
      </c>
      <c r="S244" s="7">
        <v>4</v>
      </c>
      <c r="T244" s="7">
        <v>3</v>
      </c>
      <c r="U244" s="7">
        <v>4</v>
      </c>
      <c r="V244" s="7">
        <v>4</v>
      </c>
      <c r="W244" s="7">
        <v>4</v>
      </c>
      <c r="X244" s="7">
        <v>4</v>
      </c>
      <c r="Y244" s="7">
        <v>3</v>
      </c>
      <c r="Z244" s="7">
        <v>4</v>
      </c>
      <c r="AA244" s="7">
        <v>4</v>
      </c>
      <c r="AB244" s="7">
        <v>3</v>
      </c>
      <c r="AC244" s="7">
        <v>4</v>
      </c>
      <c r="AD244" s="7">
        <v>3</v>
      </c>
      <c r="AE244" s="7" t="s">
        <v>1261</v>
      </c>
      <c r="AF244" s="7" t="s">
        <v>1624</v>
      </c>
      <c r="AG244" s="7" t="s">
        <v>1282</v>
      </c>
      <c r="AH244" s="7" t="s">
        <v>2028</v>
      </c>
      <c r="AI244" s="7" t="s">
        <v>2029</v>
      </c>
      <c r="AJ244" s="7"/>
    </row>
    <row r="245" spans="1:36" ht="15.75" customHeight="1">
      <c r="A245" s="48" t="b">
        <v>1</v>
      </c>
      <c r="B245" s="127" t="e">
        <f t="array" ref="B245">_xlfn.XLOOKUP(E245,#REF!,#REF!)</f>
        <v>#REF!</v>
      </c>
      <c r="C245" s="7" t="s">
        <v>1107</v>
      </c>
      <c r="D245" s="7"/>
      <c r="E245" s="7" t="s">
        <v>197</v>
      </c>
      <c r="F245" s="128">
        <v>46209.520833333299</v>
      </c>
      <c r="G245" s="7" t="s">
        <v>2030</v>
      </c>
      <c r="H245" s="7" t="s">
        <v>1276</v>
      </c>
      <c r="I245" s="7" t="s">
        <v>1334</v>
      </c>
      <c r="J245" s="7" t="s">
        <v>1268</v>
      </c>
      <c r="L245" s="7" t="s">
        <v>1279</v>
      </c>
      <c r="M245" s="7" t="s">
        <v>1294</v>
      </c>
      <c r="N245" s="7" t="s">
        <v>1280</v>
      </c>
      <c r="O245" s="7">
        <v>1</v>
      </c>
      <c r="P245" s="7">
        <v>1</v>
      </c>
      <c r="Q245" s="7">
        <v>1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3</v>
      </c>
      <c r="X245" s="7">
        <v>3</v>
      </c>
      <c r="Y245" s="7">
        <v>2</v>
      </c>
      <c r="Z245" s="7">
        <v>2</v>
      </c>
      <c r="AA245" s="7">
        <v>1</v>
      </c>
      <c r="AB245" s="7">
        <v>1</v>
      </c>
      <c r="AC245" s="7">
        <v>0</v>
      </c>
      <c r="AD245" s="7">
        <v>0</v>
      </c>
      <c r="AE245" s="7" t="s">
        <v>1295</v>
      </c>
      <c r="AF245" s="7" t="s">
        <v>1856</v>
      </c>
      <c r="AG245" s="7" t="s">
        <v>1272</v>
      </c>
      <c r="AH245" s="7" t="s">
        <v>2031</v>
      </c>
      <c r="AI245" s="7" t="s">
        <v>1703</v>
      </c>
      <c r="AJ245" s="7"/>
    </row>
    <row r="246" spans="1:36" ht="15.75" customHeight="1">
      <c r="A246" s="48" t="b">
        <v>1</v>
      </c>
      <c r="B246" s="127" t="e">
        <f t="array" ref="B246">_xlfn.XLOOKUP(E246,#REF!,#REF!)</f>
        <v>#REF!</v>
      </c>
      <c r="C246" s="7" t="s">
        <v>1179</v>
      </c>
      <c r="D246" s="7"/>
      <c r="E246" s="7" t="s">
        <v>40</v>
      </c>
      <c r="F246" s="128">
        <v>46209.521527777797</v>
      </c>
      <c r="G246" s="7" t="s">
        <v>2032</v>
      </c>
      <c r="H246" s="7" t="s">
        <v>1267</v>
      </c>
      <c r="I246" s="7" t="s">
        <v>1392</v>
      </c>
      <c r="J246" s="7" t="s">
        <v>2033</v>
      </c>
      <c r="L246" s="7" t="s">
        <v>1258</v>
      </c>
      <c r="M246" s="7" t="s">
        <v>1259</v>
      </c>
      <c r="N246" s="7" t="s">
        <v>1260</v>
      </c>
      <c r="O246" s="7">
        <v>3</v>
      </c>
      <c r="P246" s="7">
        <v>2</v>
      </c>
      <c r="Q246" s="7">
        <v>3</v>
      </c>
      <c r="R246" s="7">
        <v>3</v>
      </c>
      <c r="S246" s="7">
        <v>3</v>
      </c>
      <c r="T246" s="7">
        <v>3</v>
      </c>
      <c r="U246" s="7">
        <v>3</v>
      </c>
      <c r="V246" s="7">
        <v>4</v>
      </c>
      <c r="W246" s="7">
        <v>3</v>
      </c>
      <c r="X246" s="7">
        <v>3</v>
      </c>
      <c r="Y246" s="7">
        <v>3</v>
      </c>
      <c r="Z246" s="7">
        <v>4</v>
      </c>
      <c r="AA246" s="7">
        <v>3</v>
      </c>
      <c r="AB246" s="7">
        <v>4</v>
      </c>
      <c r="AC246" s="7">
        <v>4</v>
      </c>
      <c r="AD246" s="7">
        <v>4</v>
      </c>
      <c r="AE246" s="7" t="s">
        <v>1261</v>
      </c>
      <c r="AF246" s="7" t="s">
        <v>2034</v>
      </c>
      <c r="AG246" s="7" t="s">
        <v>1282</v>
      </c>
      <c r="AH246" s="7" t="s">
        <v>2035</v>
      </c>
      <c r="AI246" s="7" t="s">
        <v>2036</v>
      </c>
      <c r="AJ246" s="7"/>
    </row>
    <row r="247" spans="1:36" ht="15.75" customHeight="1">
      <c r="A247" s="48" t="b">
        <v>1</v>
      </c>
      <c r="B247" s="127" t="e">
        <f t="array" ref="B247">_xlfn.XLOOKUP(E247,#REF!,#REF!)</f>
        <v>#REF!</v>
      </c>
      <c r="C247" s="7" t="s">
        <v>1039</v>
      </c>
      <c r="D247" s="7"/>
      <c r="E247" s="7" t="s">
        <v>599</v>
      </c>
      <c r="F247" s="128">
        <v>46209.524305555598</v>
      </c>
      <c r="G247" s="7" t="s">
        <v>2037</v>
      </c>
      <c r="H247" s="7" t="s">
        <v>1267</v>
      </c>
      <c r="I247" s="7" t="s">
        <v>1256</v>
      </c>
      <c r="J247" s="7" t="s">
        <v>1750</v>
      </c>
      <c r="L247" s="7" t="s">
        <v>1711</v>
      </c>
      <c r="M247" s="7" t="s">
        <v>1259</v>
      </c>
      <c r="N247" s="7" t="s">
        <v>1270</v>
      </c>
      <c r="O247" s="7">
        <v>1</v>
      </c>
      <c r="P247" s="7">
        <v>1</v>
      </c>
      <c r="Q247" s="7">
        <v>3</v>
      </c>
      <c r="R247" s="7">
        <v>4</v>
      </c>
      <c r="S247" s="7">
        <v>3</v>
      </c>
      <c r="T247" s="7">
        <v>2</v>
      </c>
      <c r="U247" s="7">
        <v>3</v>
      </c>
      <c r="V247" s="7">
        <v>1</v>
      </c>
      <c r="W247" s="7">
        <v>3</v>
      </c>
      <c r="X247" s="7">
        <v>3</v>
      </c>
      <c r="Y247" s="7">
        <v>3</v>
      </c>
      <c r="Z247" s="7">
        <v>4</v>
      </c>
      <c r="AA247" s="7">
        <v>4</v>
      </c>
      <c r="AB247" s="7">
        <v>4</v>
      </c>
      <c r="AC247" s="7">
        <v>4</v>
      </c>
      <c r="AD247" s="7">
        <v>4</v>
      </c>
      <c r="AE247" s="7" t="s">
        <v>1261</v>
      </c>
      <c r="AF247" s="7" t="s">
        <v>1301</v>
      </c>
      <c r="AG247" s="7" t="s">
        <v>1272</v>
      </c>
      <c r="AH247" s="7" t="s">
        <v>2038</v>
      </c>
      <c r="AI247" s="7" t="s">
        <v>2039</v>
      </c>
      <c r="AJ247" s="7"/>
    </row>
    <row r="248" spans="1:36" ht="15.75" customHeight="1">
      <c r="A248" s="48" t="b">
        <v>1</v>
      </c>
      <c r="B248" s="127" t="e">
        <f t="array" ref="B248">_xlfn.XLOOKUP(E248,#REF!,#REF!)</f>
        <v>#REF!</v>
      </c>
      <c r="C248" s="7" t="s">
        <v>1055</v>
      </c>
      <c r="D248" s="7"/>
      <c r="E248" s="7" t="s">
        <v>644</v>
      </c>
      <c r="F248" s="128">
        <v>46209.525694444397</v>
      </c>
      <c r="G248" s="7" t="s">
        <v>2040</v>
      </c>
      <c r="H248" s="7" t="s">
        <v>1267</v>
      </c>
      <c r="I248" s="7" t="s">
        <v>1277</v>
      </c>
      <c r="J248" s="7" t="s">
        <v>1293</v>
      </c>
      <c r="L248" s="7" t="s">
        <v>1258</v>
      </c>
      <c r="M248" s="7" t="s">
        <v>1294</v>
      </c>
      <c r="N248" s="7" t="s">
        <v>1288</v>
      </c>
      <c r="O248" s="7">
        <v>3</v>
      </c>
      <c r="P248" s="7">
        <v>3</v>
      </c>
      <c r="Q248" s="7">
        <v>3</v>
      </c>
      <c r="R248" s="7">
        <v>1</v>
      </c>
      <c r="S248" s="7">
        <v>2</v>
      </c>
      <c r="T248" s="7">
        <v>2</v>
      </c>
      <c r="U248" s="7">
        <v>3</v>
      </c>
      <c r="V248" s="7">
        <v>1</v>
      </c>
      <c r="W248" s="7">
        <v>2</v>
      </c>
      <c r="X248" s="7">
        <v>1</v>
      </c>
      <c r="Y248" s="7">
        <v>2</v>
      </c>
      <c r="Z248" s="7">
        <v>3</v>
      </c>
      <c r="AA248" s="7">
        <v>3</v>
      </c>
      <c r="AB248" s="7">
        <v>3</v>
      </c>
      <c r="AC248" s="7">
        <v>2</v>
      </c>
      <c r="AD248" s="7">
        <v>2</v>
      </c>
      <c r="AE248" s="7" t="s">
        <v>1261</v>
      </c>
      <c r="AF248" s="7" t="s">
        <v>1301</v>
      </c>
      <c r="AG248" s="7" t="s">
        <v>1272</v>
      </c>
      <c r="AH248" s="7" t="s">
        <v>2041</v>
      </c>
      <c r="AI248" s="7" t="s">
        <v>2040</v>
      </c>
      <c r="AJ248" s="7"/>
    </row>
    <row r="249" spans="1:36" ht="15.75" customHeight="1">
      <c r="A249" s="48" t="b">
        <v>1</v>
      </c>
      <c r="B249" s="127" t="e">
        <f t="array" ref="B249">_xlfn.XLOOKUP(E249,#REF!,#REF!)</f>
        <v>#REF!</v>
      </c>
      <c r="C249" s="7" t="s">
        <v>923</v>
      </c>
      <c r="D249" s="7"/>
      <c r="E249" s="7" t="s">
        <v>528</v>
      </c>
      <c r="F249" s="128">
        <v>46209.53125</v>
      </c>
      <c r="G249" s="7" t="s">
        <v>2042</v>
      </c>
      <c r="H249" s="7" t="s">
        <v>1255</v>
      </c>
      <c r="I249" s="7" t="s">
        <v>1334</v>
      </c>
      <c r="J249" s="7" t="s">
        <v>1268</v>
      </c>
      <c r="L249" s="7" t="s">
        <v>1279</v>
      </c>
      <c r="M249" s="7" t="s">
        <v>1294</v>
      </c>
      <c r="N249" s="7" t="s">
        <v>1280</v>
      </c>
      <c r="O249" s="7">
        <v>0</v>
      </c>
      <c r="P249" s="7">
        <v>0</v>
      </c>
      <c r="Q249" s="7">
        <v>2</v>
      </c>
      <c r="R249" s="7">
        <v>0</v>
      </c>
      <c r="S249" s="7">
        <v>1</v>
      </c>
      <c r="T249" s="7">
        <v>0</v>
      </c>
      <c r="U249" s="7">
        <v>0</v>
      </c>
      <c r="V249" s="7">
        <v>0</v>
      </c>
      <c r="W249" s="7">
        <v>3</v>
      </c>
      <c r="X249" s="7">
        <v>3</v>
      </c>
      <c r="Y249" s="7">
        <v>2</v>
      </c>
      <c r="Z249" s="7">
        <v>2</v>
      </c>
      <c r="AA249" s="7">
        <v>2</v>
      </c>
      <c r="AB249" s="7">
        <v>0</v>
      </c>
      <c r="AC249" s="7">
        <v>0</v>
      </c>
      <c r="AD249" s="7">
        <v>0</v>
      </c>
      <c r="AE249" s="7" t="s">
        <v>1295</v>
      </c>
      <c r="AF249" s="7" t="s">
        <v>1735</v>
      </c>
      <c r="AG249" s="7" t="s">
        <v>1272</v>
      </c>
      <c r="AH249" s="7" t="s">
        <v>2043</v>
      </c>
      <c r="AI249" s="7" t="s">
        <v>2042</v>
      </c>
      <c r="AJ249" s="7"/>
    </row>
    <row r="250" spans="1:36" ht="15.75" customHeight="1">
      <c r="A250" s="48" t="b">
        <v>1</v>
      </c>
      <c r="B250" s="127" t="e">
        <f t="array" ref="B250">_xlfn.XLOOKUP(E250,#REF!,#REF!)</f>
        <v>#REF!</v>
      </c>
      <c r="C250" s="7" t="s">
        <v>919</v>
      </c>
      <c r="D250" s="7"/>
      <c r="E250" s="7" t="s">
        <v>589</v>
      </c>
      <c r="F250" s="128">
        <v>46209.539583333302</v>
      </c>
      <c r="G250" s="7" t="s">
        <v>2044</v>
      </c>
      <c r="H250" s="7" t="s">
        <v>1267</v>
      </c>
      <c r="I250" s="7" t="s">
        <v>1256</v>
      </c>
      <c r="J250" s="7" t="s">
        <v>1782</v>
      </c>
      <c r="L250" s="7" t="s">
        <v>1711</v>
      </c>
      <c r="M250" s="7" t="s">
        <v>1259</v>
      </c>
      <c r="N250" s="7" t="s">
        <v>1260</v>
      </c>
      <c r="O250" s="7">
        <v>2</v>
      </c>
      <c r="P250" s="7">
        <v>2</v>
      </c>
      <c r="Q250" s="7">
        <v>0</v>
      </c>
      <c r="R250" s="7">
        <v>0</v>
      </c>
      <c r="S250" s="7">
        <v>2</v>
      </c>
      <c r="T250" s="7">
        <v>1</v>
      </c>
      <c r="U250" s="7">
        <v>0</v>
      </c>
      <c r="V250" s="7">
        <v>1</v>
      </c>
      <c r="W250" s="7">
        <v>4</v>
      </c>
      <c r="X250" s="7">
        <v>3</v>
      </c>
      <c r="Y250" s="7">
        <v>2</v>
      </c>
      <c r="Z250" s="7">
        <v>3</v>
      </c>
      <c r="AA250" s="7">
        <v>4</v>
      </c>
      <c r="AB250" s="7">
        <v>3</v>
      </c>
      <c r="AC250" s="7">
        <v>2</v>
      </c>
      <c r="AD250" s="7">
        <v>1</v>
      </c>
      <c r="AE250" s="7" t="s">
        <v>1300</v>
      </c>
      <c r="AF250" s="7" t="s">
        <v>1747</v>
      </c>
      <c r="AG250" s="7" t="s">
        <v>1272</v>
      </c>
      <c r="AH250" s="7" t="s">
        <v>2045</v>
      </c>
      <c r="AI250" s="7" t="s">
        <v>2046</v>
      </c>
      <c r="AJ250" s="7"/>
    </row>
    <row r="251" spans="1:36" ht="15.75" customHeight="1">
      <c r="A251" s="48" t="b">
        <v>1</v>
      </c>
      <c r="B251" s="127" t="e">
        <f t="array" ref="B251">_xlfn.XLOOKUP(E251,#REF!,#REF!)</f>
        <v>#REF!</v>
      </c>
      <c r="C251" s="7" t="s">
        <v>1131</v>
      </c>
      <c r="D251" s="7"/>
      <c r="E251" s="7" t="s">
        <v>457</v>
      </c>
      <c r="F251" s="128">
        <v>46209.5402777778</v>
      </c>
      <c r="G251" s="7" t="s">
        <v>2047</v>
      </c>
      <c r="H251" s="7" t="s">
        <v>1276</v>
      </c>
      <c r="I251" s="7" t="s">
        <v>1392</v>
      </c>
      <c r="J251" s="7" t="s">
        <v>1755</v>
      </c>
      <c r="L251" s="7" t="s">
        <v>1711</v>
      </c>
      <c r="M251" s="7" t="s">
        <v>1259</v>
      </c>
      <c r="N251" s="7" t="s">
        <v>1270</v>
      </c>
      <c r="O251" s="7">
        <v>0</v>
      </c>
      <c r="P251" s="7">
        <v>0</v>
      </c>
      <c r="Q251" s="7">
        <v>1</v>
      </c>
      <c r="R251" s="7">
        <v>2</v>
      </c>
      <c r="S251" s="7">
        <v>0</v>
      </c>
      <c r="T251" s="7">
        <v>0</v>
      </c>
      <c r="U251" s="7">
        <v>0</v>
      </c>
      <c r="V251" s="7">
        <v>0</v>
      </c>
      <c r="W251" s="7">
        <v>3</v>
      </c>
      <c r="X251" s="7">
        <v>3</v>
      </c>
      <c r="Y251" s="7">
        <v>3</v>
      </c>
      <c r="Z251" s="7">
        <v>3</v>
      </c>
      <c r="AA251" s="7">
        <v>2</v>
      </c>
      <c r="AB251" s="7">
        <v>0</v>
      </c>
      <c r="AC251" s="7">
        <v>2</v>
      </c>
      <c r="AD251" s="7">
        <v>2</v>
      </c>
      <c r="AE251" s="7" t="s">
        <v>1261</v>
      </c>
      <c r="AF251" s="7" t="s">
        <v>1262</v>
      </c>
      <c r="AG251" s="7" t="s">
        <v>1272</v>
      </c>
      <c r="AH251" s="7" t="s">
        <v>2048</v>
      </c>
      <c r="AI251" s="7" t="s">
        <v>2049</v>
      </c>
      <c r="AJ251" s="7"/>
    </row>
    <row r="252" spans="1:36" ht="15.75" customHeight="1">
      <c r="A252" s="48" t="b">
        <v>1</v>
      </c>
      <c r="B252" s="127" t="e">
        <f t="array" ref="B252">_xlfn.XLOOKUP(E252,#REF!,#REF!)</f>
        <v>#REF!</v>
      </c>
      <c r="C252" s="7" t="s">
        <v>1178</v>
      </c>
      <c r="D252" s="7"/>
      <c r="E252" s="7" t="s">
        <v>597</v>
      </c>
      <c r="F252" s="128">
        <v>46209.55</v>
      </c>
      <c r="G252" s="7" t="s">
        <v>2050</v>
      </c>
      <c r="H252" s="7" t="s">
        <v>1267</v>
      </c>
      <c r="I252" s="7" t="s">
        <v>1277</v>
      </c>
      <c r="J252" s="7" t="s">
        <v>2051</v>
      </c>
      <c r="L252" s="7" t="s">
        <v>1258</v>
      </c>
      <c r="M252" s="7" t="s">
        <v>1259</v>
      </c>
      <c r="N252" s="7" t="s">
        <v>1288</v>
      </c>
      <c r="O252" s="7">
        <v>3</v>
      </c>
      <c r="P252" s="7">
        <v>1</v>
      </c>
      <c r="Q252" s="7">
        <v>1</v>
      </c>
      <c r="R252" s="7">
        <v>2</v>
      </c>
      <c r="S252" s="7">
        <v>3</v>
      </c>
      <c r="T252" s="7">
        <v>0</v>
      </c>
      <c r="U252" s="7">
        <v>0</v>
      </c>
      <c r="V252" s="7">
        <v>0</v>
      </c>
      <c r="W252" s="7">
        <v>4</v>
      </c>
      <c r="X252" s="7">
        <v>4</v>
      </c>
      <c r="Y252" s="7">
        <v>4</v>
      </c>
      <c r="Z252" s="7">
        <v>4</v>
      </c>
      <c r="AA252" s="7">
        <v>2</v>
      </c>
      <c r="AB252" s="7">
        <v>4</v>
      </c>
      <c r="AC252" s="7">
        <v>2</v>
      </c>
      <c r="AD252" s="7">
        <v>2</v>
      </c>
      <c r="AE252" s="7" t="s">
        <v>1300</v>
      </c>
      <c r="AF252" s="7" t="s">
        <v>1740</v>
      </c>
      <c r="AG252" s="7" t="s">
        <v>1272</v>
      </c>
      <c r="AH252" s="7" t="s">
        <v>2052</v>
      </c>
      <c r="AI252" s="7" t="s">
        <v>2053</v>
      </c>
      <c r="AJ252" s="7"/>
    </row>
    <row r="253" spans="1:36" ht="15.75" customHeight="1">
      <c r="A253" s="48" t="b">
        <v>1</v>
      </c>
      <c r="B253" s="127" t="e">
        <f t="array" ref="B253">_xlfn.XLOOKUP(E253,#REF!,#REF!)</f>
        <v>#REF!</v>
      </c>
      <c r="C253" s="7" t="s">
        <v>1096</v>
      </c>
      <c r="D253" s="7"/>
      <c r="E253" s="7" t="s">
        <v>542</v>
      </c>
      <c r="F253" s="128">
        <v>46209.556250000001</v>
      </c>
      <c r="G253" s="7" t="s">
        <v>2054</v>
      </c>
      <c r="H253" s="7" t="s">
        <v>1267</v>
      </c>
      <c r="I253" s="7" t="s">
        <v>1299</v>
      </c>
      <c r="J253" s="7" t="s">
        <v>1257</v>
      </c>
      <c r="L253" s="7" t="s">
        <v>1711</v>
      </c>
      <c r="M253" s="7" t="s">
        <v>1259</v>
      </c>
      <c r="N253" s="7" t="s">
        <v>1280</v>
      </c>
      <c r="O253" s="7">
        <v>2</v>
      </c>
      <c r="P253" s="7">
        <v>1</v>
      </c>
      <c r="Q253" s="7">
        <v>4</v>
      </c>
      <c r="R253" s="7">
        <v>3</v>
      </c>
      <c r="S253" s="7">
        <v>3</v>
      </c>
      <c r="T253" s="7">
        <v>1</v>
      </c>
      <c r="U253" s="7">
        <v>2</v>
      </c>
      <c r="V253" s="7">
        <v>4</v>
      </c>
      <c r="W253" s="7">
        <v>3</v>
      </c>
      <c r="X253" s="7">
        <v>2</v>
      </c>
      <c r="Y253" s="7">
        <v>1</v>
      </c>
      <c r="Z253" s="7">
        <v>2</v>
      </c>
      <c r="AA253" s="7">
        <v>3</v>
      </c>
      <c r="AB253" s="7">
        <v>1</v>
      </c>
      <c r="AC253" s="7">
        <v>2</v>
      </c>
      <c r="AD253" s="7">
        <v>2</v>
      </c>
      <c r="AE253" s="7" t="s">
        <v>1300</v>
      </c>
      <c r="AF253" s="7" t="s">
        <v>1735</v>
      </c>
      <c r="AG253" s="7" t="s">
        <v>1282</v>
      </c>
      <c r="AH253" s="7" t="s">
        <v>2055</v>
      </c>
      <c r="AI253" s="7" t="s">
        <v>2054</v>
      </c>
      <c r="AJ253" s="7"/>
    </row>
    <row r="254" spans="1:36" ht="15.75" customHeight="1">
      <c r="A254" s="48" t="b">
        <v>1</v>
      </c>
      <c r="B254" s="127" t="e">
        <f t="array" ref="B254">_xlfn.XLOOKUP(E254,#REF!,#REF!)</f>
        <v>#REF!</v>
      </c>
      <c r="C254" s="7" t="s">
        <v>1082</v>
      </c>
      <c r="D254" s="7"/>
      <c r="E254" s="7" t="s">
        <v>50</v>
      </c>
      <c r="F254" s="128">
        <v>46209.558333333298</v>
      </c>
      <c r="G254" s="7" t="s">
        <v>2056</v>
      </c>
      <c r="H254" s="7" t="s">
        <v>1255</v>
      </c>
      <c r="I254" s="7" t="s">
        <v>1334</v>
      </c>
      <c r="J254" s="7" t="s">
        <v>1268</v>
      </c>
      <c r="L254" s="7" t="s">
        <v>1279</v>
      </c>
      <c r="M254" s="7" t="s">
        <v>1294</v>
      </c>
      <c r="N254" s="7" t="s">
        <v>1280</v>
      </c>
      <c r="O254" s="7">
        <v>1</v>
      </c>
      <c r="P254" s="7">
        <v>2</v>
      </c>
      <c r="Q254" s="7">
        <v>3</v>
      </c>
      <c r="R254" s="7">
        <v>1</v>
      </c>
      <c r="S254" s="7">
        <v>3</v>
      </c>
      <c r="T254" s="7">
        <v>1</v>
      </c>
      <c r="U254" s="7">
        <v>0</v>
      </c>
      <c r="V254" s="7">
        <v>2</v>
      </c>
      <c r="W254" s="7">
        <v>0</v>
      </c>
      <c r="X254" s="7">
        <v>0</v>
      </c>
      <c r="Y254" s="7">
        <v>0</v>
      </c>
      <c r="Z254" s="7">
        <v>2</v>
      </c>
      <c r="AA254" s="7">
        <v>1</v>
      </c>
      <c r="AB254" s="7">
        <v>0</v>
      </c>
      <c r="AC254" s="7">
        <v>0</v>
      </c>
      <c r="AD254" s="7">
        <v>0</v>
      </c>
      <c r="AE254" s="7" t="s">
        <v>1300</v>
      </c>
      <c r="AF254" s="7" t="s">
        <v>1301</v>
      </c>
      <c r="AG254" s="7" t="s">
        <v>1363</v>
      </c>
      <c r="AH254" s="7" t="s">
        <v>2057</v>
      </c>
      <c r="AI254" s="7" t="s">
        <v>1265</v>
      </c>
      <c r="AJ254" s="7"/>
    </row>
    <row r="255" spans="1:36" ht="15.75" customHeight="1">
      <c r="A255" s="48" t="b">
        <v>1</v>
      </c>
      <c r="B255" s="127" t="e">
        <f t="array" ref="B255">_xlfn.XLOOKUP(E255,#REF!,#REF!)</f>
        <v>#REF!</v>
      </c>
      <c r="C255" s="7" t="s">
        <v>1162</v>
      </c>
      <c r="D255" s="7"/>
      <c r="E255" s="7" t="s">
        <v>9</v>
      </c>
      <c r="F255" s="128">
        <v>46209.565277777801</v>
      </c>
      <c r="G255" s="7" t="s">
        <v>1410</v>
      </c>
      <c r="H255" s="7" t="s">
        <v>1255</v>
      </c>
      <c r="I255" s="7" t="s">
        <v>1277</v>
      </c>
      <c r="J255" s="7" t="s">
        <v>1268</v>
      </c>
      <c r="L255" s="7" t="s">
        <v>1258</v>
      </c>
      <c r="M255" s="7" t="s">
        <v>1294</v>
      </c>
      <c r="N255" s="7" t="s">
        <v>1280</v>
      </c>
      <c r="O255" s="7">
        <v>2</v>
      </c>
      <c r="P255" s="7">
        <v>2</v>
      </c>
      <c r="Q255" s="7">
        <v>4</v>
      </c>
      <c r="R255" s="7">
        <v>4</v>
      </c>
      <c r="S255" s="7">
        <v>3</v>
      </c>
      <c r="T255" s="7">
        <v>4</v>
      </c>
      <c r="U255" s="7">
        <v>4</v>
      </c>
      <c r="V255" s="7">
        <v>4</v>
      </c>
      <c r="W255" s="7">
        <v>2</v>
      </c>
      <c r="X255" s="7">
        <v>0</v>
      </c>
      <c r="Y255" s="7">
        <v>2</v>
      </c>
      <c r="Z255" s="7">
        <v>3</v>
      </c>
      <c r="AA255" s="7">
        <v>2</v>
      </c>
      <c r="AB255" s="7">
        <v>4</v>
      </c>
      <c r="AC255" s="7">
        <v>2</v>
      </c>
      <c r="AD255" s="7">
        <v>2</v>
      </c>
      <c r="AE255" s="7" t="s">
        <v>1261</v>
      </c>
      <c r="AF255" s="7" t="s">
        <v>1823</v>
      </c>
      <c r="AG255" s="7" t="s">
        <v>1282</v>
      </c>
      <c r="AH255" s="7" t="s">
        <v>875</v>
      </c>
      <c r="AI255" s="7" t="s">
        <v>875</v>
      </c>
      <c r="AJ255" s="7"/>
    </row>
    <row r="256" spans="1:36" ht="15.75" customHeight="1">
      <c r="A256" s="48" t="b">
        <v>1</v>
      </c>
      <c r="B256" s="127" t="e">
        <f t="array" ref="B256">_xlfn.XLOOKUP(E256,#REF!,#REF!)</f>
        <v>#REF!</v>
      </c>
      <c r="C256" s="7" t="s">
        <v>1212</v>
      </c>
      <c r="D256" s="7"/>
      <c r="E256" s="7" t="s">
        <v>799</v>
      </c>
      <c r="F256" s="128">
        <v>46209.574999999997</v>
      </c>
      <c r="G256" s="7" t="s">
        <v>2058</v>
      </c>
      <c r="H256" s="7" t="s">
        <v>1267</v>
      </c>
      <c r="I256" s="7" t="s">
        <v>1277</v>
      </c>
      <c r="J256" s="7" t="s">
        <v>1268</v>
      </c>
      <c r="L256" s="7" t="s">
        <v>1258</v>
      </c>
      <c r="M256" s="7" t="s">
        <v>1259</v>
      </c>
      <c r="N256" s="7" t="s">
        <v>1260</v>
      </c>
      <c r="O256" s="7">
        <v>2</v>
      </c>
      <c r="P256" s="7">
        <v>2</v>
      </c>
      <c r="Q256" s="7">
        <v>2</v>
      </c>
      <c r="R256" s="7">
        <v>2</v>
      </c>
      <c r="S256" s="7">
        <v>2</v>
      </c>
      <c r="T256" s="7">
        <v>2</v>
      </c>
      <c r="U256" s="7">
        <v>2</v>
      </c>
      <c r="V256" s="7">
        <v>2</v>
      </c>
      <c r="W256" s="7">
        <v>2</v>
      </c>
      <c r="X256" s="7">
        <v>2</v>
      </c>
      <c r="Y256" s="7">
        <v>2</v>
      </c>
      <c r="Z256" s="7">
        <v>2</v>
      </c>
      <c r="AA256" s="7">
        <v>2</v>
      </c>
      <c r="AB256" s="7">
        <v>2</v>
      </c>
      <c r="AC256" s="7">
        <v>4</v>
      </c>
      <c r="AD256" s="7">
        <v>4</v>
      </c>
      <c r="AE256" s="7" t="s">
        <v>1300</v>
      </c>
      <c r="AF256" s="7" t="s">
        <v>1262</v>
      </c>
      <c r="AG256" s="7" t="s">
        <v>1282</v>
      </c>
      <c r="AH256" s="7" t="s">
        <v>2059</v>
      </c>
      <c r="AI256" s="7" t="s">
        <v>2058</v>
      </c>
      <c r="AJ256" s="7"/>
    </row>
    <row r="257" spans="1:36" ht="15.75" customHeight="1">
      <c r="A257" s="48" t="b">
        <v>1</v>
      </c>
      <c r="B257" s="127" t="e">
        <f t="array" ref="B257">_xlfn.XLOOKUP(E257,#REF!,#REF!)</f>
        <v>#REF!</v>
      </c>
      <c r="C257" s="7" t="s">
        <v>998</v>
      </c>
      <c r="D257" s="7"/>
      <c r="E257" s="7" t="s">
        <v>534</v>
      </c>
      <c r="F257" s="128">
        <v>46209.577083333301</v>
      </c>
      <c r="G257" s="7" t="s">
        <v>2060</v>
      </c>
      <c r="H257" s="7" t="s">
        <v>1267</v>
      </c>
      <c r="I257" s="7" t="s">
        <v>1392</v>
      </c>
      <c r="J257" s="7" t="s">
        <v>1795</v>
      </c>
      <c r="L257" s="7" t="s">
        <v>1711</v>
      </c>
      <c r="M257" s="7" t="s">
        <v>1259</v>
      </c>
      <c r="N257" s="7" t="s">
        <v>1270</v>
      </c>
      <c r="O257" s="7">
        <v>0</v>
      </c>
      <c r="P257" s="7">
        <v>2</v>
      </c>
      <c r="Q257" s="7">
        <v>3</v>
      </c>
      <c r="R257" s="7">
        <v>3</v>
      </c>
      <c r="S257" s="7">
        <v>3</v>
      </c>
      <c r="T257" s="7">
        <v>2</v>
      </c>
      <c r="U257" s="7">
        <v>2</v>
      </c>
      <c r="V257" s="7">
        <v>2</v>
      </c>
      <c r="W257" s="7">
        <v>3</v>
      </c>
      <c r="X257" s="7">
        <v>3</v>
      </c>
      <c r="Y257" s="7">
        <v>2</v>
      </c>
      <c r="Z257" s="7">
        <v>3</v>
      </c>
      <c r="AA257" s="7">
        <v>1</v>
      </c>
      <c r="AB257" s="7">
        <v>4</v>
      </c>
      <c r="AC257" s="7">
        <v>3</v>
      </c>
      <c r="AD257" s="7">
        <v>3</v>
      </c>
      <c r="AE257" s="7" t="s">
        <v>1261</v>
      </c>
      <c r="AF257" s="7" t="s">
        <v>1735</v>
      </c>
      <c r="AG257" s="7" t="s">
        <v>1263</v>
      </c>
      <c r="AH257" s="7" t="s">
        <v>2061</v>
      </c>
      <c r="AI257" s="7" t="s">
        <v>2060</v>
      </c>
      <c r="AJ257" s="7"/>
    </row>
    <row r="258" spans="1:36" ht="15.75" customHeight="1">
      <c r="A258" s="48" t="b">
        <v>1</v>
      </c>
      <c r="B258" s="127" t="e">
        <f t="array" ref="B258">_xlfn.XLOOKUP(E258,#REF!,#REF!)</f>
        <v>#REF!</v>
      </c>
      <c r="C258" s="7" t="s">
        <v>1037</v>
      </c>
      <c r="D258" s="7"/>
      <c r="E258" s="7" t="s">
        <v>250</v>
      </c>
      <c r="F258" s="128">
        <v>46209.583333333299</v>
      </c>
      <c r="G258" s="7" t="s">
        <v>2062</v>
      </c>
      <c r="H258" s="7" t="s">
        <v>1255</v>
      </c>
      <c r="I258" s="7" t="s">
        <v>1277</v>
      </c>
      <c r="J258" s="7" t="s">
        <v>1836</v>
      </c>
      <c r="L258" s="7" t="s">
        <v>1279</v>
      </c>
      <c r="M258" s="7" t="s">
        <v>1294</v>
      </c>
      <c r="N258" s="7" t="s">
        <v>1280</v>
      </c>
      <c r="O258" s="7">
        <v>4</v>
      </c>
      <c r="P258" s="7">
        <v>4</v>
      </c>
      <c r="Q258" s="7">
        <v>4</v>
      </c>
      <c r="R258" s="7">
        <v>3</v>
      </c>
      <c r="S258" s="7">
        <v>4</v>
      </c>
      <c r="T258" s="7">
        <v>4</v>
      </c>
      <c r="U258" s="7">
        <v>3</v>
      </c>
      <c r="V258" s="7">
        <v>2</v>
      </c>
      <c r="W258" s="7">
        <v>1</v>
      </c>
      <c r="X258" s="7">
        <v>1</v>
      </c>
      <c r="Y258" s="7">
        <v>1</v>
      </c>
      <c r="Z258" s="7">
        <v>4</v>
      </c>
      <c r="AA258" s="7">
        <v>2</v>
      </c>
      <c r="AB258" s="7">
        <v>2</v>
      </c>
      <c r="AC258" s="7">
        <v>2</v>
      </c>
      <c r="AD258" s="7">
        <v>1</v>
      </c>
      <c r="AE258" s="7" t="s">
        <v>1300</v>
      </c>
      <c r="AF258" s="7" t="s">
        <v>1740</v>
      </c>
      <c r="AG258" s="7" t="s">
        <v>1282</v>
      </c>
      <c r="AH258" s="7" t="s">
        <v>2063</v>
      </c>
      <c r="AI258" s="7" t="s">
        <v>2064</v>
      </c>
      <c r="AJ258" s="7"/>
    </row>
    <row r="259" spans="1:36" ht="15.75" customHeight="1">
      <c r="A259" s="48" t="b">
        <v>1</v>
      </c>
      <c r="B259" s="127" t="e">
        <f t="array" ref="B259">_xlfn.XLOOKUP(E259,#REF!,#REF!)</f>
        <v>#REF!</v>
      </c>
      <c r="C259" s="7" t="s">
        <v>1135</v>
      </c>
      <c r="D259" s="7"/>
      <c r="E259" s="7" t="s">
        <v>248</v>
      </c>
      <c r="F259" s="128">
        <v>46209.586111111101</v>
      </c>
      <c r="G259" s="7" t="s">
        <v>2065</v>
      </c>
      <c r="H259" s="7" t="s">
        <v>1267</v>
      </c>
      <c r="I259" s="7" t="s">
        <v>1277</v>
      </c>
      <c r="J259" s="7" t="s">
        <v>1257</v>
      </c>
      <c r="L259" s="7" t="s">
        <v>1279</v>
      </c>
      <c r="M259" s="7" t="s">
        <v>1259</v>
      </c>
      <c r="N259" s="7" t="s">
        <v>1280</v>
      </c>
      <c r="O259" s="7">
        <v>2</v>
      </c>
      <c r="P259" s="7">
        <v>2</v>
      </c>
      <c r="Q259" s="7">
        <v>3</v>
      </c>
      <c r="R259" s="7">
        <v>2</v>
      </c>
      <c r="S259" s="7">
        <v>2</v>
      </c>
      <c r="T259" s="7">
        <v>2</v>
      </c>
      <c r="U259" s="7">
        <v>2</v>
      </c>
      <c r="V259" s="7">
        <v>2</v>
      </c>
      <c r="W259" s="7">
        <v>2</v>
      </c>
      <c r="X259" s="7">
        <v>1</v>
      </c>
      <c r="Y259" s="7">
        <v>3</v>
      </c>
      <c r="Z259" s="7">
        <v>2</v>
      </c>
      <c r="AA259" s="7">
        <v>2</v>
      </c>
      <c r="AB259" s="7">
        <v>3</v>
      </c>
      <c r="AC259" s="7">
        <v>4</v>
      </c>
      <c r="AD259" s="7">
        <v>4</v>
      </c>
      <c r="AE259" s="7" t="s">
        <v>1300</v>
      </c>
      <c r="AF259" s="7" t="s">
        <v>2002</v>
      </c>
      <c r="AG259" s="7" t="s">
        <v>1363</v>
      </c>
      <c r="AH259" s="7" t="s">
        <v>2066</v>
      </c>
      <c r="AI259" s="7" t="s">
        <v>875</v>
      </c>
      <c r="AJ259" s="7"/>
    </row>
    <row r="260" spans="1:36" ht="15.75" customHeight="1">
      <c r="A260" s="48" t="b">
        <v>1</v>
      </c>
      <c r="B260" s="127" t="e">
        <f t="array" ref="B260">_xlfn.XLOOKUP(E260,#REF!,#REF!)</f>
        <v>#REF!</v>
      </c>
      <c r="C260" s="7" t="s">
        <v>994</v>
      </c>
      <c r="D260" s="7"/>
      <c r="E260" s="7" t="s">
        <v>472</v>
      </c>
      <c r="F260" s="128">
        <v>46209.588194444397</v>
      </c>
      <c r="G260" s="7" t="s">
        <v>2067</v>
      </c>
      <c r="H260" s="7" t="s">
        <v>1276</v>
      </c>
      <c r="I260" s="7" t="s">
        <v>1256</v>
      </c>
      <c r="J260" s="7" t="s">
        <v>1804</v>
      </c>
      <c r="L260" s="7" t="s">
        <v>1711</v>
      </c>
      <c r="M260" s="7" t="s">
        <v>1259</v>
      </c>
      <c r="N260" s="7" t="s">
        <v>1270</v>
      </c>
      <c r="O260" s="7">
        <v>2</v>
      </c>
      <c r="P260" s="7">
        <v>2</v>
      </c>
      <c r="Q260" s="7">
        <v>3</v>
      </c>
      <c r="R260" s="7">
        <v>2</v>
      </c>
      <c r="S260" s="7">
        <v>2</v>
      </c>
      <c r="T260" s="7">
        <v>2</v>
      </c>
      <c r="U260" s="7">
        <v>2</v>
      </c>
      <c r="V260" s="7">
        <v>1</v>
      </c>
      <c r="W260" s="7">
        <v>4</v>
      </c>
      <c r="X260" s="7">
        <v>4</v>
      </c>
      <c r="Y260" s="7">
        <v>4</v>
      </c>
      <c r="Z260" s="7">
        <v>3</v>
      </c>
      <c r="AA260" s="7">
        <v>2</v>
      </c>
      <c r="AB260" s="7">
        <v>4</v>
      </c>
      <c r="AC260" s="7">
        <v>2</v>
      </c>
      <c r="AD260" s="7">
        <v>2</v>
      </c>
      <c r="AE260" s="7" t="s">
        <v>1300</v>
      </c>
      <c r="AF260" s="7" t="s">
        <v>1301</v>
      </c>
      <c r="AG260" s="7" t="s">
        <v>1272</v>
      </c>
      <c r="AH260" s="7" t="s">
        <v>2068</v>
      </c>
      <c r="AI260" s="7" t="s">
        <v>2069</v>
      </c>
      <c r="AJ260" s="7"/>
    </row>
    <row r="261" spans="1:36" ht="15.75" customHeight="1">
      <c r="A261" s="48" t="b">
        <v>1</v>
      </c>
      <c r="B261" s="127" t="e">
        <f t="array" ref="B261">_xlfn.XLOOKUP(E261,#REF!,#REF!)</f>
        <v>#REF!</v>
      </c>
      <c r="C261" s="7" t="s">
        <v>1035</v>
      </c>
      <c r="D261" s="7"/>
      <c r="E261" s="7" t="s">
        <v>332</v>
      </c>
      <c r="F261" s="128">
        <v>46209.588194444397</v>
      </c>
      <c r="G261" s="7" t="s">
        <v>2070</v>
      </c>
      <c r="H261" s="7" t="s">
        <v>1267</v>
      </c>
      <c r="I261" s="7" t="s">
        <v>1299</v>
      </c>
      <c r="J261" s="7" t="s">
        <v>2071</v>
      </c>
      <c r="L261" s="7" t="s">
        <v>1258</v>
      </c>
      <c r="M261" s="7" t="s">
        <v>1259</v>
      </c>
      <c r="N261" s="7" t="s">
        <v>1260</v>
      </c>
      <c r="O261" s="7">
        <v>3</v>
      </c>
      <c r="P261" s="7">
        <v>2</v>
      </c>
      <c r="Q261" s="7">
        <v>2</v>
      </c>
      <c r="R261" s="7">
        <v>3</v>
      </c>
      <c r="S261" s="7">
        <v>3</v>
      </c>
      <c r="T261" s="7">
        <v>3</v>
      </c>
      <c r="U261" s="7">
        <v>2</v>
      </c>
      <c r="V261" s="7">
        <v>2</v>
      </c>
      <c r="W261" s="7">
        <v>4</v>
      </c>
      <c r="X261" s="7">
        <v>3</v>
      </c>
      <c r="Y261" s="7">
        <v>4</v>
      </c>
      <c r="Z261" s="7">
        <v>4</v>
      </c>
      <c r="AA261" s="7">
        <v>2</v>
      </c>
      <c r="AB261" s="7">
        <v>3</v>
      </c>
      <c r="AC261" s="7">
        <v>3</v>
      </c>
      <c r="AD261" s="7">
        <v>3</v>
      </c>
      <c r="AE261" s="7" t="s">
        <v>1261</v>
      </c>
      <c r="AF261" s="7" t="s">
        <v>1740</v>
      </c>
      <c r="AG261" s="7" t="s">
        <v>1272</v>
      </c>
      <c r="AH261" s="7" t="s">
        <v>2072</v>
      </c>
      <c r="AI261" s="7" t="s">
        <v>2073</v>
      </c>
      <c r="AJ261" s="7"/>
    </row>
    <row r="262" spans="1:36" ht="15.75" customHeight="1">
      <c r="A262" s="48" t="b">
        <v>1</v>
      </c>
      <c r="B262" s="127" t="e">
        <f t="array" ref="B262">_xlfn.XLOOKUP(E262,#REF!,#REF!)</f>
        <v>#REF!</v>
      </c>
      <c r="C262" s="7" t="s">
        <v>1062</v>
      </c>
      <c r="D262" s="7"/>
      <c r="E262" s="7" t="s">
        <v>302</v>
      </c>
      <c r="F262" s="128">
        <v>46209.619444444397</v>
      </c>
      <c r="G262" s="7" t="s">
        <v>2074</v>
      </c>
      <c r="H262" s="7" t="s">
        <v>1255</v>
      </c>
      <c r="I262" s="7" t="s">
        <v>1299</v>
      </c>
      <c r="J262" s="7" t="s">
        <v>2071</v>
      </c>
      <c r="L262" s="7" t="s">
        <v>1258</v>
      </c>
      <c r="M262" s="7" t="s">
        <v>1294</v>
      </c>
      <c r="N262" s="7" t="s">
        <v>1288</v>
      </c>
      <c r="O262" s="7">
        <v>1</v>
      </c>
      <c r="P262" s="7">
        <v>4</v>
      </c>
      <c r="Q262" s="7">
        <v>3</v>
      </c>
      <c r="R262" s="7">
        <v>2</v>
      </c>
      <c r="S262" s="7">
        <v>4</v>
      </c>
      <c r="T262" s="7">
        <v>4</v>
      </c>
      <c r="U262" s="7">
        <v>4</v>
      </c>
      <c r="V262" s="7">
        <v>1</v>
      </c>
      <c r="W262" s="7">
        <v>2</v>
      </c>
      <c r="X262" s="7">
        <v>3</v>
      </c>
      <c r="Y262" s="7">
        <v>2</v>
      </c>
      <c r="Z262" s="7">
        <v>2</v>
      </c>
      <c r="AA262" s="7">
        <v>1</v>
      </c>
      <c r="AB262" s="7">
        <v>4</v>
      </c>
      <c r="AC262" s="7">
        <v>4</v>
      </c>
      <c r="AD262" s="7">
        <v>2</v>
      </c>
      <c r="AE262" s="7" t="s">
        <v>1300</v>
      </c>
      <c r="AF262" s="7" t="s">
        <v>1765</v>
      </c>
      <c r="AG262" s="7" t="s">
        <v>1272</v>
      </c>
      <c r="AH262" s="7" t="s">
        <v>2075</v>
      </c>
      <c r="AI262" s="7" t="s">
        <v>1265</v>
      </c>
      <c r="AJ262" s="7"/>
    </row>
    <row r="263" spans="1:36" ht="15.75" customHeight="1">
      <c r="A263" s="48" t="b">
        <v>1</v>
      </c>
      <c r="B263" s="127" t="e">
        <f t="array" ref="B263">_xlfn.XLOOKUP(E263,#REF!,#REF!)</f>
        <v>#REF!</v>
      </c>
      <c r="C263" s="7" t="s">
        <v>1177</v>
      </c>
      <c r="D263" s="7"/>
      <c r="E263" s="7" t="s">
        <v>264</v>
      </c>
      <c r="F263" s="128">
        <v>46209.627083333296</v>
      </c>
      <c r="G263" s="7" t="s">
        <v>2076</v>
      </c>
      <c r="H263" s="7" t="s">
        <v>1276</v>
      </c>
      <c r="I263" s="7" t="s">
        <v>1277</v>
      </c>
      <c r="J263" s="7" t="s">
        <v>1293</v>
      </c>
      <c r="L263" s="7" t="s">
        <v>1258</v>
      </c>
      <c r="M263" s="7" t="s">
        <v>1259</v>
      </c>
      <c r="N263" s="7" t="s">
        <v>1260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3</v>
      </c>
      <c r="V263" s="7">
        <v>0</v>
      </c>
      <c r="W263" s="7">
        <v>2</v>
      </c>
      <c r="X263" s="7">
        <v>2</v>
      </c>
      <c r="Y263" s="7">
        <v>2</v>
      </c>
      <c r="Z263" s="7">
        <v>1</v>
      </c>
      <c r="AA263" s="7">
        <v>2</v>
      </c>
      <c r="AB263" s="7">
        <v>0</v>
      </c>
      <c r="AC263" s="7">
        <v>0</v>
      </c>
      <c r="AD263" s="7">
        <v>1</v>
      </c>
      <c r="AE263" s="7" t="s">
        <v>1300</v>
      </c>
      <c r="AF263" s="7" t="s">
        <v>2077</v>
      </c>
      <c r="AG263" s="7" t="s">
        <v>1272</v>
      </c>
      <c r="AH263" s="7" t="s">
        <v>2078</v>
      </c>
      <c r="AI263" s="7" t="s">
        <v>2079</v>
      </c>
      <c r="AJ263" s="7"/>
    </row>
    <row r="264" spans="1:36" ht="15.75" customHeight="1">
      <c r="A264" s="48" t="b">
        <v>1</v>
      </c>
      <c r="B264" s="127" t="e">
        <f t="array" ref="B264">_xlfn.XLOOKUP(E264,#REF!,#REF!)</f>
        <v>#REF!</v>
      </c>
      <c r="C264" s="7" t="s">
        <v>1067</v>
      </c>
      <c r="D264" s="7"/>
      <c r="E264" s="7" t="s">
        <v>241</v>
      </c>
      <c r="F264" s="128">
        <v>46209.629166666702</v>
      </c>
      <c r="G264" s="7" t="s">
        <v>1839</v>
      </c>
      <c r="H264" s="7" t="s">
        <v>1276</v>
      </c>
      <c r="I264" s="7" t="s">
        <v>1334</v>
      </c>
      <c r="J264" s="7" t="s">
        <v>1268</v>
      </c>
      <c r="L264" s="7" t="s">
        <v>1279</v>
      </c>
      <c r="M264" s="7" t="s">
        <v>1294</v>
      </c>
      <c r="N264" s="7" t="s">
        <v>1280</v>
      </c>
      <c r="O264" s="7">
        <v>0</v>
      </c>
      <c r="P264" s="7">
        <v>1</v>
      </c>
      <c r="Q264" s="7">
        <v>4</v>
      </c>
      <c r="R264" s="7">
        <v>4</v>
      </c>
      <c r="S264" s="7">
        <v>3</v>
      </c>
      <c r="T264" s="7">
        <v>0</v>
      </c>
      <c r="U264" s="7">
        <v>2</v>
      </c>
      <c r="V264" s="7">
        <v>3</v>
      </c>
      <c r="W264" s="7">
        <v>4</v>
      </c>
      <c r="X264" s="7">
        <v>4</v>
      </c>
      <c r="Y264" s="7">
        <v>4</v>
      </c>
      <c r="Z264" s="7">
        <v>4</v>
      </c>
      <c r="AA264" s="7">
        <v>2</v>
      </c>
      <c r="AB264" s="7">
        <v>1</v>
      </c>
      <c r="AC264" s="7">
        <v>2</v>
      </c>
      <c r="AD264" s="7">
        <v>1</v>
      </c>
      <c r="AE264" s="7" t="s">
        <v>1300</v>
      </c>
      <c r="AF264" s="7" t="s">
        <v>1823</v>
      </c>
      <c r="AG264" s="7" t="s">
        <v>1263</v>
      </c>
      <c r="AH264" s="7" t="s">
        <v>2080</v>
      </c>
      <c r="AI264" s="7" t="s">
        <v>2081</v>
      </c>
      <c r="AJ264" s="7"/>
    </row>
    <row r="265" spans="1:36" ht="15.75" customHeight="1">
      <c r="A265" s="48" t="b">
        <v>1</v>
      </c>
      <c r="B265" s="127" t="e">
        <f t="array" ref="B265">_xlfn.XLOOKUP(E265,#REF!,#REF!)</f>
        <v>#REF!</v>
      </c>
      <c r="C265" s="7" t="s">
        <v>1068</v>
      </c>
      <c r="D265" s="7"/>
      <c r="E265" s="7" t="s">
        <v>111</v>
      </c>
      <c r="F265" s="128">
        <v>46209.637499999997</v>
      </c>
      <c r="G265" s="7" t="s">
        <v>2082</v>
      </c>
      <c r="H265" s="7" t="s">
        <v>1276</v>
      </c>
      <c r="I265" s="7" t="s">
        <v>1334</v>
      </c>
      <c r="J265" s="7" t="s">
        <v>1454</v>
      </c>
      <c r="L265" s="7" t="s">
        <v>1279</v>
      </c>
      <c r="M265" s="7" t="s">
        <v>1294</v>
      </c>
      <c r="N265" s="7" t="s">
        <v>1280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 t="s">
        <v>1307</v>
      </c>
      <c r="AF265" s="7" t="s">
        <v>1624</v>
      </c>
      <c r="AG265" s="7" t="s">
        <v>1363</v>
      </c>
      <c r="AH265" s="7" t="s">
        <v>875</v>
      </c>
      <c r="AI265" s="7" t="s">
        <v>875</v>
      </c>
      <c r="AJ265" s="7"/>
    </row>
    <row r="266" spans="1:36" ht="15.75" customHeight="1">
      <c r="A266" s="48" t="b">
        <v>1</v>
      </c>
      <c r="B266" s="127" t="e">
        <f t="array" ref="B266">_xlfn.XLOOKUP(E266,#REF!,#REF!)</f>
        <v>#REF!</v>
      </c>
      <c r="C266" s="7" t="s">
        <v>955</v>
      </c>
      <c r="D266" s="7"/>
      <c r="E266" s="7" t="s">
        <v>780</v>
      </c>
      <c r="F266" s="128">
        <v>46209.639583333301</v>
      </c>
      <c r="G266" s="7" t="s">
        <v>2083</v>
      </c>
      <c r="H266" s="7" t="s">
        <v>1255</v>
      </c>
      <c r="I266" s="7" t="s">
        <v>1334</v>
      </c>
      <c r="J266" s="7" t="s">
        <v>1268</v>
      </c>
      <c r="L266" s="7" t="s">
        <v>1279</v>
      </c>
      <c r="M266" s="7" t="s">
        <v>1294</v>
      </c>
      <c r="N266" s="7" t="s">
        <v>1280</v>
      </c>
      <c r="O266" s="7">
        <v>1</v>
      </c>
      <c r="P266" s="7">
        <v>2</v>
      </c>
      <c r="Q266" s="7">
        <v>3</v>
      </c>
      <c r="R266" s="7">
        <v>1</v>
      </c>
      <c r="S266" s="7">
        <v>3</v>
      </c>
      <c r="T266" s="7">
        <v>3</v>
      </c>
      <c r="U266" s="7">
        <v>1</v>
      </c>
      <c r="V266" s="7">
        <v>1</v>
      </c>
      <c r="W266" s="7">
        <v>1</v>
      </c>
      <c r="X266" s="7">
        <v>1</v>
      </c>
      <c r="Y266" s="7">
        <v>1</v>
      </c>
      <c r="Z266" s="7">
        <v>2</v>
      </c>
      <c r="AA266" s="7">
        <v>3</v>
      </c>
      <c r="AB266" s="7">
        <v>2</v>
      </c>
      <c r="AC266" s="7">
        <v>1</v>
      </c>
      <c r="AD266" s="7">
        <v>0</v>
      </c>
      <c r="AE266" s="7" t="s">
        <v>1300</v>
      </c>
      <c r="AF266" s="7" t="s">
        <v>1301</v>
      </c>
      <c r="AG266" s="7" t="s">
        <v>1263</v>
      </c>
      <c r="AH266" s="7" t="s">
        <v>2084</v>
      </c>
      <c r="AI266" s="7" t="s">
        <v>2085</v>
      </c>
      <c r="AJ266" s="7"/>
    </row>
    <row r="267" spans="1:36" ht="15.75" customHeight="1">
      <c r="A267" s="48" t="b">
        <v>1</v>
      </c>
      <c r="B267" s="127" t="e">
        <f t="array" ref="B267">_xlfn.XLOOKUP(E267,#REF!,#REF!)</f>
        <v>#REF!</v>
      </c>
      <c r="C267" s="7" t="s">
        <v>1181</v>
      </c>
      <c r="D267" s="7"/>
      <c r="E267" s="7" t="s">
        <v>448</v>
      </c>
      <c r="F267" s="128">
        <v>46209.6430555556</v>
      </c>
      <c r="G267" s="7" t="s">
        <v>2086</v>
      </c>
      <c r="H267" s="7" t="s">
        <v>1276</v>
      </c>
      <c r="I267" s="7" t="s">
        <v>1334</v>
      </c>
      <c r="J267" s="7" t="s">
        <v>1268</v>
      </c>
      <c r="L267" s="7" t="s">
        <v>1279</v>
      </c>
      <c r="M267" s="7" t="s">
        <v>1294</v>
      </c>
      <c r="N267" s="7" t="s">
        <v>1280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1</v>
      </c>
      <c r="X267" s="7">
        <v>1</v>
      </c>
      <c r="Y267" s="7">
        <v>0</v>
      </c>
      <c r="Z267" s="7">
        <v>0</v>
      </c>
      <c r="AA267" s="7">
        <v>1</v>
      </c>
      <c r="AB267" s="7">
        <v>0</v>
      </c>
      <c r="AC267" s="7">
        <v>0</v>
      </c>
      <c r="AD267" s="7">
        <v>0</v>
      </c>
      <c r="AE267" s="7" t="s">
        <v>1307</v>
      </c>
      <c r="AF267" s="7" t="s">
        <v>1722</v>
      </c>
      <c r="AG267" s="7" t="s">
        <v>1272</v>
      </c>
      <c r="AH267" s="7" t="s">
        <v>2087</v>
      </c>
      <c r="AI267" s="7" t="s">
        <v>2088</v>
      </c>
      <c r="AJ267" s="7"/>
    </row>
    <row r="268" spans="1:36" ht="15.75" customHeight="1">
      <c r="A268" s="48" t="b">
        <v>1</v>
      </c>
      <c r="B268" s="127" t="e">
        <f t="array" ref="B268">_xlfn.XLOOKUP(E268,#REF!,#REF!)</f>
        <v>#REF!</v>
      </c>
      <c r="C268" s="7" t="s">
        <v>1027</v>
      </c>
      <c r="D268" s="7"/>
      <c r="E268" s="7" t="s">
        <v>727</v>
      </c>
      <c r="F268" s="128">
        <v>46209.645138888904</v>
      </c>
      <c r="G268" s="7" t="s">
        <v>2089</v>
      </c>
      <c r="H268" s="7" t="s">
        <v>1255</v>
      </c>
      <c r="I268" s="7" t="s">
        <v>1299</v>
      </c>
      <c r="J268" s="7" t="s">
        <v>1491</v>
      </c>
      <c r="L268" s="7" t="s">
        <v>1279</v>
      </c>
      <c r="M268" s="7" t="s">
        <v>1294</v>
      </c>
      <c r="N268" s="7" t="s">
        <v>1280</v>
      </c>
      <c r="O268" s="7">
        <v>2</v>
      </c>
      <c r="P268" s="7">
        <v>3</v>
      </c>
      <c r="Q268" s="7">
        <v>3</v>
      </c>
      <c r="R268" s="7">
        <v>0</v>
      </c>
      <c r="S268" s="7">
        <v>4</v>
      </c>
      <c r="T268" s="7">
        <v>4</v>
      </c>
      <c r="U268" s="7">
        <v>3</v>
      </c>
      <c r="V268" s="7">
        <v>1</v>
      </c>
      <c r="W268" s="7">
        <v>2</v>
      </c>
      <c r="X268" s="7">
        <v>2</v>
      </c>
      <c r="Y268" s="7">
        <v>4</v>
      </c>
      <c r="Z268" s="7">
        <v>4</v>
      </c>
      <c r="AA268" s="7">
        <v>4</v>
      </c>
      <c r="AB268" s="7">
        <v>4</v>
      </c>
      <c r="AC268" s="7">
        <v>4</v>
      </c>
      <c r="AD268" s="7">
        <v>4</v>
      </c>
      <c r="AE268" s="7" t="s">
        <v>1261</v>
      </c>
      <c r="AF268" s="7" t="s">
        <v>1823</v>
      </c>
      <c r="AG268" s="7" t="s">
        <v>1263</v>
      </c>
      <c r="AH268" s="7" t="s">
        <v>2090</v>
      </c>
      <c r="AI268" s="7" t="s">
        <v>1291</v>
      </c>
      <c r="AJ268" s="7"/>
    </row>
    <row r="269" spans="1:36" ht="15.75" customHeight="1">
      <c r="A269" s="48" t="b">
        <v>1</v>
      </c>
      <c r="B269" s="127" t="e">
        <f t="array" ref="B269">_xlfn.XLOOKUP(E269,#REF!,#REF!)</f>
        <v>#REF!</v>
      </c>
      <c r="C269" s="7" t="s">
        <v>1191</v>
      </c>
      <c r="D269" s="7"/>
      <c r="E269" s="7" t="s">
        <v>80</v>
      </c>
      <c r="F269" s="128">
        <v>46209.645833333299</v>
      </c>
      <c r="G269" s="7" t="s">
        <v>2091</v>
      </c>
      <c r="H269" s="7" t="s">
        <v>1255</v>
      </c>
      <c r="I269" s="7" t="s">
        <v>1256</v>
      </c>
      <c r="J269" s="7" t="s">
        <v>1491</v>
      </c>
      <c r="L269" s="7" t="s">
        <v>1711</v>
      </c>
      <c r="M269" s="7" t="s">
        <v>1259</v>
      </c>
      <c r="N269" s="7" t="s">
        <v>1270</v>
      </c>
      <c r="O269" s="7">
        <v>4</v>
      </c>
      <c r="P269" s="7">
        <v>3</v>
      </c>
      <c r="Q269" s="7">
        <v>2</v>
      </c>
      <c r="R269" s="7">
        <v>2</v>
      </c>
      <c r="S269" s="7">
        <v>3</v>
      </c>
      <c r="T269" s="7">
        <v>2</v>
      </c>
      <c r="U269" s="7">
        <v>3</v>
      </c>
      <c r="V269" s="7">
        <v>1</v>
      </c>
      <c r="W269" s="7">
        <v>4</v>
      </c>
      <c r="X269" s="7">
        <v>4</v>
      </c>
      <c r="Y269" s="7">
        <v>4</v>
      </c>
      <c r="Z269" s="7">
        <v>4</v>
      </c>
      <c r="AA269" s="7">
        <v>3</v>
      </c>
      <c r="AB269" s="7">
        <v>4</v>
      </c>
      <c r="AC269" s="7">
        <v>4</v>
      </c>
      <c r="AD269" s="7">
        <v>4</v>
      </c>
      <c r="AE269" s="7" t="s">
        <v>1261</v>
      </c>
      <c r="AF269" s="7" t="s">
        <v>1879</v>
      </c>
      <c r="AG269" s="7" t="s">
        <v>1272</v>
      </c>
      <c r="AH269" s="7" t="s">
        <v>2092</v>
      </c>
      <c r="AI269" s="7" t="s">
        <v>2093</v>
      </c>
      <c r="AJ269" s="7"/>
    </row>
    <row r="270" spans="1:36" ht="15.75" customHeight="1">
      <c r="A270" s="48" t="b">
        <v>1</v>
      </c>
      <c r="B270" s="127" t="e">
        <f t="array" ref="B270">_xlfn.XLOOKUP(E270,#REF!,#REF!)</f>
        <v>#REF!</v>
      </c>
      <c r="C270" s="7" t="s">
        <v>947</v>
      </c>
      <c r="D270" s="7"/>
      <c r="E270" s="7" t="s">
        <v>341</v>
      </c>
      <c r="F270" s="128">
        <v>46209.659027777801</v>
      </c>
      <c r="G270" s="7" t="s">
        <v>1649</v>
      </c>
      <c r="H270" s="7" t="s">
        <v>1276</v>
      </c>
      <c r="I270" s="7" t="s">
        <v>1277</v>
      </c>
      <c r="J270" s="7" t="s">
        <v>1822</v>
      </c>
      <c r="L270" s="7" t="s">
        <v>1279</v>
      </c>
      <c r="M270" s="7" t="s">
        <v>1259</v>
      </c>
      <c r="N270" s="7" t="s">
        <v>1280</v>
      </c>
      <c r="O270" s="7">
        <v>2</v>
      </c>
      <c r="P270" s="7">
        <v>2</v>
      </c>
      <c r="Q270" s="7">
        <v>4</v>
      </c>
      <c r="R270" s="7">
        <v>4</v>
      </c>
      <c r="S270" s="7">
        <v>3</v>
      </c>
      <c r="T270" s="7">
        <v>4</v>
      </c>
      <c r="U270" s="7">
        <v>4</v>
      </c>
      <c r="V270" s="7">
        <v>3</v>
      </c>
      <c r="W270" s="7">
        <v>1</v>
      </c>
      <c r="X270" s="7">
        <v>1</v>
      </c>
      <c r="Y270" s="7">
        <v>1</v>
      </c>
      <c r="Z270" s="7">
        <v>3</v>
      </c>
      <c r="AA270" s="7">
        <v>1</v>
      </c>
      <c r="AB270" s="7">
        <v>3</v>
      </c>
      <c r="AC270" s="7">
        <v>2</v>
      </c>
      <c r="AD270" s="7">
        <v>3</v>
      </c>
      <c r="AE270" s="7" t="s">
        <v>1261</v>
      </c>
      <c r="AF270" s="7" t="s">
        <v>1740</v>
      </c>
      <c r="AG270" s="7" t="s">
        <v>1363</v>
      </c>
      <c r="AH270" s="7" t="s">
        <v>2094</v>
      </c>
      <c r="AI270" s="7" t="s">
        <v>1265</v>
      </c>
      <c r="AJ270" s="7"/>
    </row>
    <row r="271" spans="1:36" ht="15.75" customHeight="1">
      <c r="A271" s="48" t="b">
        <v>1</v>
      </c>
      <c r="B271" s="127" t="e">
        <f t="array" ref="B271">_xlfn.XLOOKUP(E271,#REF!,#REF!)</f>
        <v>#REF!</v>
      </c>
      <c r="C271" s="7" t="s">
        <v>1031</v>
      </c>
      <c r="D271" s="7"/>
      <c r="E271" s="7" t="s">
        <v>640</v>
      </c>
      <c r="F271" s="128">
        <v>46209.668749999997</v>
      </c>
      <c r="G271" s="7" t="s">
        <v>2095</v>
      </c>
      <c r="H271" s="7" t="s">
        <v>1267</v>
      </c>
      <c r="I271" s="7" t="s">
        <v>1277</v>
      </c>
      <c r="J271" s="7" t="s">
        <v>1257</v>
      </c>
      <c r="L271" s="7" t="s">
        <v>1279</v>
      </c>
      <c r="M271" s="7" t="s">
        <v>1259</v>
      </c>
      <c r="N271" s="7" t="s">
        <v>1260</v>
      </c>
      <c r="O271" s="7">
        <v>1</v>
      </c>
      <c r="P271" s="7">
        <v>0</v>
      </c>
      <c r="Q271" s="7">
        <v>3</v>
      </c>
      <c r="R271" s="7">
        <v>3</v>
      </c>
      <c r="S271" s="7">
        <v>3</v>
      </c>
      <c r="T271" s="7">
        <v>1</v>
      </c>
      <c r="U271" s="7">
        <v>0</v>
      </c>
      <c r="V271" s="7">
        <v>3</v>
      </c>
      <c r="W271" s="7">
        <v>2</v>
      </c>
      <c r="X271" s="7">
        <v>2</v>
      </c>
      <c r="Y271" s="7">
        <v>1</v>
      </c>
      <c r="Z271" s="7">
        <v>1</v>
      </c>
      <c r="AA271" s="7">
        <v>1</v>
      </c>
      <c r="AB271" s="7">
        <v>4</v>
      </c>
      <c r="AC271" s="7">
        <v>4</v>
      </c>
      <c r="AD271" s="7">
        <v>1</v>
      </c>
      <c r="AE271" s="7" t="s">
        <v>1300</v>
      </c>
      <c r="AF271" s="7" t="s">
        <v>1740</v>
      </c>
      <c r="AG271" s="7" t="s">
        <v>1272</v>
      </c>
      <c r="AH271" s="7" t="s">
        <v>2096</v>
      </c>
      <c r="AI271" s="7" t="s">
        <v>1899</v>
      </c>
      <c r="AJ271" s="7"/>
    </row>
    <row r="272" spans="1:36" ht="15.75" customHeight="1">
      <c r="A272" s="48" t="b">
        <v>1</v>
      </c>
      <c r="B272" s="127" t="e">
        <f t="array" ref="B272">_xlfn.XLOOKUP(E272,#REF!,#REF!)</f>
        <v>#REF!</v>
      </c>
      <c r="C272" s="7" t="s">
        <v>2097</v>
      </c>
      <c r="D272" s="7"/>
      <c r="E272" s="7" t="s">
        <v>719</v>
      </c>
      <c r="F272" s="128">
        <v>46209.689583333296</v>
      </c>
      <c r="G272" s="7" t="s">
        <v>2098</v>
      </c>
      <c r="H272" s="7" t="s">
        <v>1276</v>
      </c>
      <c r="I272" s="7" t="s">
        <v>1334</v>
      </c>
      <c r="J272" s="7" t="s">
        <v>1257</v>
      </c>
      <c r="L272" s="7" t="s">
        <v>1279</v>
      </c>
      <c r="M272" s="7" t="s">
        <v>1294</v>
      </c>
      <c r="N272" s="7" t="s">
        <v>1280</v>
      </c>
      <c r="O272" s="7">
        <v>0</v>
      </c>
      <c r="P272" s="7">
        <v>0</v>
      </c>
      <c r="Q272" s="7">
        <v>2</v>
      </c>
      <c r="R272" s="7">
        <v>1</v>
      </c>
      <c r="S272" s="7">
        <v>1</v>
      </c>
      <c r="T272" s="7">
        <v>0</v>
      </c>
      <c r="U272" s="7">
        <v>0</v>
      </c>
      <c r="V272" s="7">
        <v>0</v>
      </c>
      <c r="W272" s="7">
        <v>3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 t="s">
        <v>1295</v>
      </c>
      <c r="AF272" s="7" t="s">
        <v>1308</v>
      </c>
      <c r="AG272" s="7" t="s">
        <v>1282</v>
      </c>
      <c r="AH272" s="7" t="s">
        <v>2099</v>
      </c>
      <c r="AI272" s="7" t="s">
        <v>1291</v>
      </c>
      <c r="AJ272" s="7"/>
    </row>
    <row r="273" spans="1:36" ht="15.75" customHeight="1">
      <c r="A273" s="48" t="b">
        <v>1</v>
      </c>
      <c r="B273" s="7" t="e">
        <f t="array" ref="B273">_xlfn.XLOOKUP(E273,#REF!,#REF!)</f>
        <v>#REF!</v>
      </c>
      <c r="C273" s="7" t="s">
        <v>1083</v>
      </c>
      <c r="D273" s="7"/>
      <c r="E273" s="7" t="s">
        <v>791</v>
      </c>
      <c r="F273" s="128">
        <v>46209.718055555597</v>
      </c>
      <c r="G273" s="7" t="s">
        <v>2100</v>
      </c>
      <c r="H273" s="7" t="s">
        <v>1255</v>
      </c>
      <c r="I273" s="7" t="s">
        <v>1299</v>
      </c>
      <c r="J273" s="7" t="s">
        <v>2101</v>
      </c>
      <c r="L273" s="7" t="s">
        <v>1258</v>
      </c>
      <c r="M273" s="7" t="s">
        <v>1259</v>
      </c>
      <c r="N273" s="7" t="s">
        <v>1260</v>
      </c>
      <c r="O273" s="7">
        <v>2</v>
      </c>
      <c r="P273" s="7">
        <v>3</v>
      </c>
      <c r="Q273" s="7">
        <v>2</v>
      </c>
      <c r="R273" s="7">
        <v>0</v>
      </c>
      <c r="S273" s="7">
        <v>1</v>
      </c>
      <c r="T273" s="7">
        <v>1</v>
      </c>
      <c r="U273" s="7">
        <v>1</v>
      </c>
      <c r="V273" s="7">
        <v>2</v>
      </c>
      <c r="W273" s="7">
        <v>3</v>
      </c>
      <c r="X273" s="7">
        <v>3</v>
      </c>
      <c r="Y273" s="7">
        <v>3</v>
      </c>
      <c r="Z273" s="7">
        <v>3</v>
      </c>
      <c r="AA273" s="7">
        <v>2</v>
      </c>
      <c r="AB273" s="7">
        <v>3</v>
      </c>
      <c r="AC273" s="7">
        <v>2</v>
      </c>
      <c r="AD273" s="7">
        <v>2</v>
      </c>
      <c r="AE273" s="7" t="s">
        <v>1261</v>
      </c>
      <c r="AF273" s="7" t="s">
        <v>1262</v>
      </c>
      <c r="AG273" s="7" t="s">
        <v>1272</v>
      </c>
      <c r="AH273" s="7" t="s">
        <v>2102</v>
      </c>
      <c r="AI273" s="7" t="s">
        <v>2103</v>
      </c>
      <c r="AJ273" s="7" t="s">
        <v>2103</v>
      </c>
    </row>
    <row r="274" spans="1:36" ht="15.75" customHeight="1">
      <c r="A274" s="48" t="b">
        <v>1</v>
      </c>
      <c r="B274" s="7" t="e">
        <f t="array" ref="B274">_xlfn.XLOOKUP(E274,#REF!,#REF!)</f>
        <v>#REF!</v>
      </c>
      <c r="C274" s="7" t="s">
        <v>1198</v>
      </c>
      <c r="D274" s="7"/>
      <c r="E274" s="7" t="s">
        <v>499</v>
      </c>
      <c r="F274" s="128">
        <v>46209.724305555603</v>
      </c>
      <c r="G274" s="7" t="s">
        <v>2104</v>
      </c>
      <c r="H274" s="7" t="s">
        <v>1276</v>
      </c>
      <c r="I274" s="7" t="s">
        <v>1277</v>
      </c>
      <c r="J274" s="7" t="s">
        <v>1715</v>
      </c>
      <c r="L274" s="7" t="s">
        <v>1711</v>
      </c>
      <c r="M274" s="7" t="s">
        <v>1259</v>
      </c>
      <c r="N274" s="7" t="s">
        <v>1260</v>
      </c>
      <c r="O274" s="7">
        <v>3</v>
      </c>
      <c r="P274" s="7">
        <v>1</v>
      </c>
      <c r="Q274" s="7">
        <v>1</v>
      </c>
      <c r="R274" s="7">
        <v>1</v>
      </c>
      <c r="S274" s="7">
        <v>1</v>
      </c>
      <c r="T274" s="7">
        <v>0</v>
      </c>
      <c r="U274" s="7">
        <v>1</v>
      </c>
      <c r="V274" s="7">
        <v>2</v>
      </c>
      <c r="W274" s="7">
        <v>2</v>
      </c>
      <c r="X274" s="7">
        <v>2</v>
      </c>
      <c r="Y274" s="7">
        <v>3</v>
      </c>
      <c r="Z274" s="7">
        <v>3</v>
      </c>
      <c r="AA274" s="7">
        <v>1</v>
      </c>
      <c r="AB274" s="7">
        <v>4</v>
      </c>
      <c r="AC274" s="7">
        <v>4</v>
      </c>
      <c r="AD274" s="7">
        <v>3</v>
      </c>
      <c r="AE274" s="7" t="s">
        <v>1300</v>
      </c>
      <c r="AF274" s="7" t="s">
        <v>1308</v>
      </c>
      <c r="AG274" s="7" t="s">
        <v>1272</v>
      </c>
      <c r="AH274" s="7" t="s">
        <v>2105</v>
      </c>
      <c r="AI274" s="7" t="s">
        <v>2106</v>
      </c>
    </row>
    <row r="275" spans="1:36" ht="15.75" customHeight="1">
      <c r="A275" s="48" t="b">
        <v>1</v>
      </c>
      <c r="B275" s="7" t="e">
        <f t="array" ref="B275">_xlfn.XLOOKUP(E275,#REF!,#REF!)</f>
        <v>#REF!</v>
      </c>
      <c r="C275" s="7" t="s">
        <v>2107</v>
      </c>
      <c r="E275" s="7" t="s">
        <v>581</v>
      </c>
      <c r="F275" s="128">
        <v>46209.974305555603</v>
      </c>
      <c r="G275" s="7" t="s">
        <v>2108</v>
      </c>
      <c r="H275" s="7" t="s">
        <v>1267</v>
      </c>
      <c r="I275" s="7" t="s">
        <v>1256</v>
      </c>
      <c r="J275" s="7" t="s">
        <v>1293</v>
      </c>
      <c r="L275" s="7" t="s">
        <v>1711</v>
      </c>
      <c r="M275" s="7" t="s">
        <v>1259</v>
      </c>
      <c r="N275" s="7" t="s">
        <v>1260</v>
      </c>
      <c r="O275" s="7">
        <v>1</v>
      </c>
      <c r="P275" s="7">
        <v>0</v>
      </c>
      <c r="Q275" s="7">
        <v>1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2</v>
      </c>
      <c r="X275" s="7">
        <v>1</v>
      </c>
      <c r="Y275" s="7">
        <v>1</v>
      </c>
      <c r="Z275" s="7">
        <v>2</v>
      </c>
      <c r="AA275" s="7">
        <v>1</v>
      </c>
      <c r="AB275" s="7">
        <v>1</v>
      </c>
      <c r="AC275" s="7">
        <v>1</v>
      </c>
      <c r="AD275" s="7">
        <v>1</v>
      </c>
      <c r="AE275" s="7" t="s">
        <v>1300</v>
      </c>
      <c r="AF275" s="7" t="s">
        <v>1262</v>
      </c>
      <c r="AG275" s="7" t="s">
        <v>1272</v>
      </c>
      <c r="AH275" s="7" t="s">
        <v>2109</v>
      </c>
      <c r="AI275" s="7" t="s">
        <v>2110</v>
      </c>
    </row>
    <row r="276" spans="1:36" ht="15.75" customHeight="1">
      <c r="A276" s="48" t="b">
        <v>1</v>
      </c>
      <c r="B276" s="7" t="e">
        <f t="array" ref="B276">_xlfn.XLOOKUP(E276,#REF!,#REF!)</f>
        <v>#REF!</v>
      </c>
      <c r="C276" s="7" t="s">
        <v>888</v>
      </c>
      <c r="E276" s="7" t="s">
        <v>579</v>
      </c>
      <c r="F276" s="128">
        <v>46209.995138888902</v>
      </c>
      <c r="G276" s="7" t="s">
        <v>2111</v>
      </c>
      <c r="H276" s="7" t="s">
        <v>1255</v>
      </c>
      <c r="I276" s="7" t="s">
        <v>1277</v>
      </c>
      <c r="J276" s="7" t="s">
        <v>1268</v>
      </c>
      <c r="L276" s="7" t="s">
        <v>1258</v>
      </c>
      <c r="M276" s="7" t="s">
        <v>1294</v>
      </c>
      <c r="N276" s="7" t="s">
        <v>1280</v>
      </c>
      <c r="O276" s="7">
        <v>2</v>
      </c>
      <c r="P276" s="7">
        <v>2</v>
      </c>
      <c r="Q276" s="7">
        <v>2</v>
      </c>
      <c r="R276" s="7">
        <v>0</v>
      </c>
      <c r="S276" s="7">
        <v>4</v>
      </c>
      <c r="T276" s="7">
        <v>2</v>
      </c>
      <c r="U276" s="7">
        <v>1</v>
      </c>
      <c r="V276" s="7">
        <v>0</v>
      </c>
      <c r="W276" s="7">
        <v>1</v>
      </c>
      <c r="X276" s="7">
        <v>0</v>
      </c>
      <c r="Y276" s="7">
        <v>0</v>
      </c>
      <c r="Z276" s="7">
        <v>1</v>
      </c>
      <c r="AA276" s="7">
        <v>2</v>
      </c>
      <c r="AB276" s="7">
        <v>4</v>
      </c>
      <c r="AC276" s="7">
        <v>2</v>
      </c>
      <c r="AD276" s="7">
        <v>0</v>
      </c>
      <c r="AE276" s="7" t="s">
        <v>1300</v>
      </c>
      <c r="AF276" s="7" t="s">
        <v>1301</v>
      </c>
      <c r="AG276" s="7" t="s">
        <v>1272</v>
      </c>
      <c r="AH276" s="7" t="s">
        <v>2112</v>
      </c>
      <c r="AI276" s="7" t="s">
        <v>2113</v>
      </c>
    </row>
    <row r="277" spans="1:36" ht="15.75" customHeight="1">
      <c r="A277" s="48" t="b">
        <v>1</v>
      </c>
      <c r="B277" s="7" t="e">
        <f t="array" ref="B277">_xlfn.XLOOKUP(E277,#REF!,#REF!)</f>
        <v>#REF!</v>
      </c>
      <c r="C277" s="7" t="s">
        <v>1056</v>
      </c>
      <c r="E277" s="7" t="s">
        <v>323</v>
      </c>
      <c r="F277" s="128">
        <v>46210.131249999999</v>
      </c>
      <c r="G277" s="7" t="s">
        <v>2114</v>
      </c>
      <c r="H277" s="7" t="s">
        <v>1255</v>
      </c>
      <c r="I277" s="7" t="s">
        <v>1277</v>
      </c>
      <c r="J277" s="7" t="s">
        <v>1268</v>
      </c>
      <c r="L277" s="7" t="s">
        <v>1258</v>
      </c>
      <c r="M277" s="7" t="s">
        <v>1294</v>
      </c>
      <c r="N277" s="7" t="s">
        <v>1280</v>
      </c>
      <c r="O277" s="7">
        <v>0</v>
      </c>
      <c r="P277" s="7">
        <v>4</v>
      </c>
      <c r="Q277" s="7">
        <v>4</v>
      </c>
      <c r="R277" s="7">
        <v>4</v>
      </c>
      <c r="S277" s="7">
        <v>4</v>
      </c>
      <c r="T277" s="7">
        <v>4</v>
      </c>
      <c r="U277" s="7">
        <v>3</v>
      </c>
      <c r="V277" s="7">
        <v>4</v>
      </c>
      <c r="W277" s="7">
        <v>1</v>
      </c>
      <c r="X277" s="7">
        <v>1</v>
      </c>
      <c r="Y277" s="7">
        <v>3</v>
      </c>
      <c r="Z277" s="7">
        <v>2</v>
      </c>
      <c r="AA277" s="7">
        <v>3</v>
      </c>
      <c r="AB277" s="7">
        <v>4</v>
      </c>
      <c r="AC277" s="7">
        <v>3</v>
      </c>
      <c r="AD277" s="7">
        <v>3</v>
      </c>
      <c r="AE277" s="7" t="s">
        <v>1300</v>
      </c>
      <c r="AF277" s="7" t="s">
        <v>1624</v>
      </c>
      <c r="AG277" s="7" t="s">
        <v>1363</v>
      </c>
      <c r="AH277" s="7" t="s">
        <v>2115</v>
      </c>
      <c r="AI277" s="7" t="s">
        <v>2116</v>
      </c>
    </row>
    <row r="278" spans="1:36" ht="15.75" customHeight="1">
      <c r="A278" s="48" t="b">
        <v>1</v>
      </c>
      <c r="B278" s="7" t="e">
        <f t="array" ref="B278">_xlfn.XLOOKUP(E278,#REF!,#REF!)</f>
        <v>#REF!</v>
      </c>
      <c r="C278" s="7" t="s">
        <v>1023</v>
      </c>
      <c r="E278" s="7" t="s">
        <v>508</v>
      </c>
      <c r="F278" s="128">
        <v>46210.337500000001</v>
      </c>
      <c r="G278" s="7" t="s">
        <v>2117</v>
      </c>
      <c r="H278" s="7" t="s">
        <v>1255</v>
      </c>
      <c r="I278" s="7" t="s">
        <v>1256</v>
      </c>
      <c r="J278" s="7" t="s">
        <v>1795</v>
      </c>
      <c r="L278" s="7" t="s">
        <v>1711</v>
      </c>
      <c r="M278" s="7" t="s">
        <v>1259</v>
      </c>
      <c r="N278" s="7" t="s">
        <v>1260</v>
      </c>
      <c r="O278" s="7">
        <v>0</v>
      </c>
      <c r="P278" s="7">
        <v>2</v>
      </c>
      <c r="Q278" s="7">
        <v>2</v>
      </c>
      <c r="R278" s="7">
        <v>2</v>
      </c>
      <c r="S278" s="7">
        <v>0</v>
      </c>
      <c r="T278" s="7">
        <v>0</v>
      </c>
      <c r="U278" s="7">
        <v>1</v>
      </c>
      <c r="V278" s="7">
        <v>0</v>
      </c>
      <c r="W278" s="7">
        <v>3</v>
      </c>
      <c r="X278" s="7">
        <v>3</v>
      </c>
      <c r="Y278" s="7">
        <v>3</v>
      </c>
      <c r="Z278" s="7">
        <v>3</v>
      </c>
      <c r="AA278" s="7">
        <v>1</v>
      </c>
      <c r="AB278" s="7">
        <v>1</v>
      </c>
      <c r="AC278" s="7">
        <v>1</v>
      </c>
      <c r="AD278" s="7">
        <v>2</v>
      </c>
      <c r="AE278" s="7" t="s">
        <v>1261</v>
      </c>
      <c r="AF278" s="7" t="s">
        <v>1765</v>
      </c>
      <c r="AG278" s="7" t="s">
        <v>1272</v>
      </c>
      <c r="AH278" s="7" t="s">
        <v>2118</v>
      </c>
      <c r="AI278" s="7" t="s">
        <v>2119</v>
      </c>
    </row>
    <row r="279" spans="1:36" ht="15.75" customHeight="1">
      <c r="A279" s="48" t="b">
        <v>1</v>
      </c>
      <c r="B279" s="7" t="e">
        <f t="array" ref="B279">_xlfn.XLOOKUP(E279,#REF!,#REF!)</f>
        <v>#REF!</v>
      </c>
      <c r="C279" s="7" t="s">
        <v>995</v>
      </c>
      <c r="E279" s="7" t="s">
        <v>14</v>
      </c>
      <c r="F279" s="128">
        <v>46210.392361111102</v>
      </c>
      <c r="G279" s="7" t="s">
        <v>2120</v>
      </c>
      <c r="H279" s="7" t="s">
        <v>1276</v>
      </c>
      <c r="I279" s="7" t="s">
        <v>1299</v>
      </c>
      <c r="J279" s="7" t="s">
        <v>1339</v>
      </c>
      <c r="L279" s="7" t="s">
        <v>1258</v>
      </c>
      <c r="M279" s="7" t="s">
        <v>1259</v>
      </c>
      <c r="N279" s="7" t="s">
        <v>1260</v>
      </c>
      <c r="O279" s="7">
        <v>2</v>
      </c>
      <c r="P279" s="7">
        <v>3</v>
      </c>
      <c r="Q279" s="7">
        <v>2</v>
      </c>
      <c r="R279" s="7">
        <v>2</v>
      </c>
      <c r="S279" s="7">
        <v>3</v>
      </c>
      <c r="T279" s="7">
        <v>2</v>
      </c>
      <c r="U279" s="7">
        <v>2</v>
      </c>
      <c r="V279" s="7">
        <v>2</v>
      </c>
      <c r="W279" s="7">
        <v>3</v>
      </c>
      <c r="X279" s="7">
        <v>3</v>
      </c>
      <c r="Y279" s="7">
        <v>3</v>
      </c>
      <c r="Z279" s="7">
        <v>3</v>
      </c>
      <c r="AA279" s="7">
        <v>3</v>
      </c>
      <c r="AB279" s="7">
        <v>3</v>
      </c>
      <c r="AC279" s="7">
        <v>3</v>
      </c>
      <c r="AD279" s="7">
        <v>3</v>
      </c>
      <c r="AE279" s="7" t="s">
        <v>1300</v>
      </c>
      <c r="AF279" s="7" t="s">
        <v>1308</v>
      </c>
      <c r="AG279" s="7" t="s">
        <v>1272</v>
      </c>
      <c r="AH279" s="7" t="s">
        <v>2121</v>
      </c>
      <c r="AI279" s="7" t="s">
        <v>875</v>
      </c>
    </row>
    <row r="280" spans="1:36" ht="15.75" customHeight="1">
      <c r="A280" s="48" t="b">
        <v>1</v>
      </c>
      <c r="B280" s="7" t="e">
        <f t="array" ref="B280">_xlfn.XLOOKUP(E280,#REF!,#REF!)</f>
        <v>#REF!</v>
      </c>
      <c r="C280" s="7" t="s">
        <v>1169</v>
      </c>
      <c r="E280" s="7" t="s">
        <v>326</v>
      </c>
      <c r="F280" s="128">
        <v>46210.423611111102</v>
      </c>
      <c r="G280" s="7" t="s">
        <v>2042</v>
      </c>
      <c r="H280" s="7" t="s">
        <v>1276</v>
      </c>
      <c r="I280" s="7" t="s">
        <v>1277</v>
      </c>
      <c r="J280" s="7" t="s">
        <v>1268</v>
      </c>
      <c r="L280" s="7" t="s">
        <v>1258</v>
      </c>
      <c r="M280" s="7" t="s">
        <v>1294</v>
      </c>
      <c r="N280" s="7" t="s">
        <v>1280</v>
      </c>
      <c r="O280" s="7">
        <v>1</v>
      </c>
      <c r="P280" s="7">
        <v>2</v>
      </c>
      <c r="Q280" s="7">
        <v>3</v>
      </c>
      <c r="R280" s="7">
        <v>3</v>
      </c>
      <c r="S280" s="7">
        <v>1</v>
      </c>
      <c r="T280" s="7">
        <v>1</v>
      </c>
      <c r="U280" s="7">
        <v>1</v>
      </c>
      <c r="V280" s="7">
        <v>3</v>
      </c>
      <c r="W280" s="7">
        <v>4</v>
      </c>
      <c r="X280" s="7">
        <v>4</v>
      </c>
      <c r="Y280" s="7">
        <v>4</v>
      </c>
      <c r="Z280" s="7">
        <v>4</v>
      </c>
      <c r="AA280" s="7">
        <v>4</v>
      </c>
      <c r="AB280" s="7">
        <v>3</v>
      </c>
      <c r="AC280" s="7">
        <v>3</v>
      </c>
      <c r="AD280" s="7">
        <v>3</v>
      </c>
      <c r="AE280" s="7" t="s">
        <v>1261</v>
      </c>
      <c r="AF280" s="7" t="s">
        <v>1308</v>
      </c>
      <c r="AG280" s="7" t="s">
        <v>1272</v>
      </c>
      <c r="AH280" s="7" t="s">
        <v>2122</v>
      </c>
      <c r="AI280" s="7" t="s">
        <v>1975</v>
      </c>
    </row>
    <row r="281" spans="1:36" ht="15.75" customHeight="1">
      <c r="A281" s="48" t="b">
        <v>1</v>
      </c>
      <c r="B281" s="7" t="e">
        <f t="array" ref="B281">_xlfn.XLOOKUP(E281,#REF!,#REF!)</f>
        <v>#REF!</v>
      </c>
      <c r="C281" s="7" t="s">
        <v>984</v>
      </c>
      <c r="E281" s="7" t="s">
        <v>609</v>
      </c>
      <c r="F281" s="128">
        <v>46210.440277777801</v>
      </c>
      <c r="G281" s="7" t="s">
        <v>2123</v>
      </c>
      <c r="H281" s="7" t="s">
        <v>1255</v>
      </c>
      <c r="I281" s="7" t="s">
        <v>1299</v>
      </c>
      <c r="J281" s="7" t="s">
        <v>1755</v>
      </c>
      <c r="L281" s="7" t="s">
        <v>1258</v>
      </c>
      <c r="M281" s="7" t="s">
        <v>1294</v>
      </c>
      <c r="N281" s="7" t="s">
        <v>1260</v>
      </c>
      <c r="O281" s="7">
        <v>2</v>
      </c>
      <c r="P281" s="7">
        <v>2</v>
      </c>
      <c r="Q281" s="7">
        <v>3</v>
      </c>
      <c r="R281" s="7">
        <v>3</v>
      </c>
      <c r="S281" s="7">
        <v>2</v>
      </c>
      <c r="T281" s="7">
        <v>3</v>
      </c>
      <c r="U281" s="7">
        <v>2</v>
      </c>
      <c r="V281" s="7">
        <v>2</v>
      </c>
      <c r="W281" s="7">
        <v>1</v>
      </c>
      <c r="X281" s="7">
        <v>1</v>
      </c>
      <c r="Y281" s="7">
        <v>1</v>
      </c>
      <c r="Z281" s="7">
        <v>3</v>
      </c>
      <c r="AA281" s="7">
        <v>3</v>
      </c>
      <c r="AB281" s="7">
        <v>0</v>
      </c>
      <c r="AC281" s="7">
        <v>1</v>
      </c>
      <c r="AD281" s="7">
        <v>3</v>
      </c>
      <c r="AE281" s="7" t="s">
        <v>1300</v>
      </c>
      <c r="AF281" s="7" t="s">
        <v>1747</v>
      </c>
      <c r="AG281" s="7" t="s">
        <v>1363</v>
      </c>
      <c r="AH281" s="7" t="s">
        <v>2124</v>
      </c>
      <c r="AI281" s="7" t="s">
        <v>2125</v>
      </c>
    </row>
    <row r="282" spans="1:36" ht="15.75" customHeight="1">
      <c r="A282" s="48" t="b">
        <v>1</v>
      </c>
      <c r="B282" s="7" t="e">
        <f t="array" ref="B282">_xlfn.XLOOKUP(E282,#REF!,#REF!)</f>
        <v>#REF!</v>
      </c>
      <c r="C282" s="7" t="s">
        <v>1171</v>
      </c>
      <c r="E282" s="7" t="s">
        <v>6</v>
      </c>
      <c r="F282" s="128">
        <v>46210.525000000001</v>
      </c>
      <c r="G282" s="7" t="s">
        <v>2126</v>
      </c>
      <c r="H282" s="7" t="s">
        <v>1255</v>
      </c>
      <c r="I282" s="7" t="s">
        <v>1277</v>
      </c>
      <c r="J282" s="7" t="s">
        <v>1942</v>
      </c>
      <c r="L282" s="7" t="s">
        <v>1258</v>
      </c>
      <c r="M282" s="7" t="s">
        <v>1294</v>
      </c>
      <c r="N282" s="7" t="s">
        <v>1260</v>
      </c>
      <c r="O282" s="7">
        <v>2</v>
      </c>
      <c r="P282" s="7">
        <v>3</v>
      </c>
      <c r="Q282" s="7">
        <v>4</v>
      </c>
      <c r="R282" s="7">
        <v>4</v>
      </c>
      <c r="S282" s="7">
        <v>4</v>
      </c>
      <c r="T282" s="7">
        <v>4</v>
      </c>
      <c r="U282" s="7">
        <v>4</v>
      </c>
      <c r="V282" s="7">
        <v>3</v>
      </c>
      <c r="W282" s="7">
        <v>3</v>
      </c>
      <c r="X282" s="7">
        <v>2</v>
      </c>
      <c r="Y282" s="7">
        <v>3</v>
      </c>
      <c r="Z282" s="7">
        <v>3</v>
      </c>
      <c r="AA282" s="7">
        <v>3</v>
      </c>
      <c r="AB282" s="7">
        <v>2</v>
      </c>
      <c r="AC282" s="7">
        <v>2</v>
      </c>
      <c r="AD282" s="7">
        <v>3</v>
      </c>
      <c r="AE282" s="7" t="s">
        <v>1295</v>
      </c>
      <c r="AF282" s="7" t="s">
        <v>1301</v>
      </c>
      <c r="AG282" s="7" t="s">
        <v>1363</v>
      </c>
      <c r="AH282" s="7" t="s">
        <v>2127</v>
      </c>
      <c r="AI282" s="7" t="s">
        <v>1265</v>
      </c>
    </row>
    <row r="283" spans="1:36" ht="15.75" customHeight="1">
      <c r="A283" s="48" t="b">
        <v>1</v>
      </c>
      <c r="B283" s="7" t="e">
        <f t="array" ref="B283">_xlfn.XLOOKUP(E283,#REF!,#REF!)</f>
        <v>#REF!</v>
      </c>
      <c r="C283" s="7" t="s">
        <v>942</v>
      </c>
      <c r="E283" s="7" t="s">
        <v>218</v>
      </c>
      <c r="F283" s="128">
        <v>46210.561805555597</v>
      </c>
      <c r="G283" s="7" t="s">
        <v>2128</v>
      </c>
      <c r="H283" s="7" t="s">
        <v>1255</v>
      </c>
      <c r="I283" s="7" t="s">
        <v>1277</v>
      </c>
      <c r="J283" s="7" t="s">
        <v>1491</v>
      </c>
      <c r="L283" s="7" t="s">
        <v>1258</v>
      </c>
      <c r="M283" s="7" t="s">
        <v>1259</v>
      </c>
      <c r="N283" s="7" t="s">
        <v>1260</v>
      </c>
      <c r="O283" s="7">
        <v>0</v>
      </c>
      <c r="P283" s="7">
        <v>0</v>
      </c>
      <c r="Q283" s="7">
        <v>3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1</v>
      </c>
      <c r="X283" s="7">
        <v>1</v>
      </c>
      <c r="Y283" s="7">
        <v>1</v>
      </c>
      <c r="Z283" s="7">
        <v>3</v>
      </c>
      <c r="AA283" s="7">
        <v>0</v>
      </c>
      <c r="AB283" s="7">
        <v>1</v>
      </c>
      <c r="AC283" s="7">
        <v>0</v>
      </c>
      <c r="AD283" s="7">
        <v>2</v>
      </c>
      <c r="AE283" s="7" t="s">
        <v>1300</v>
      </c>
      <c r="AF283" s="7" t="s">
        <v>1308</v>
      </c>
      <c r="AG283" s="7" t="s">
        <v>1363</v>
      </c>
      <c r="AH283" s="7" t="s">
        <v>2129</v>
      </c>
      <c r="AI283" s="7" t="s">
        <v>875</v>
      </c>
    </row>
    <row r="284" spans="1:36" ht="15.75" customHeight="1">
      <c r="A284" s="48" t="b">
        <v>1</v>
      </c>
      <c r="B284" s="7" t="e">
        <f t="array" ref="B284">_xlfn.XLOOKUP(E284,#REF!,#REF!)</f>
        <v>#REF!</v>
      </c>
      <c r="C284" s="7" t="s">
        <v>1144</v>
      </c>
      <c r="E284" s="7" t="s">
        <v>493</v>
      </c>
      <c r="F284" s="128">
        <v>46210.559027777803</v>
      </c>
      <c r="G284" s="7" t="s">
        <v>2130</v>
      </c>
      <c r="H284" s="7" t="s">
        <v>1255</v>
      </c>
      <c r="I284" s="7" t="s">
        <v>1256</v>
      </c>
      <c r="J284" s="7" t="s">
        <v>2131</v>
      </c>
      <c r="K284" s="7" t="s">
        <v>2132</v>
      </c>
      <c r="L284" s="7" t="s">
        <v>1711</v>
      </c>
      <c r="M284" s="7" t="s">
        <v>1259</v>
      </c>
      <c r="N284" s="7" t="s">
        <v>1270</v>
      </c>
      <c r="O284" s="7">
        <v>3</v>
      </c>
      <c r="P284" s="7">
        <v>3</v>
      </c>
      <c r="Q284" s="7">
        <v>3</v>
      </c>
      <c r="R284" s="7">
        <v>1</v>
      </c>
      <c r="S284" s="7">
        <v>4</v>
      </c>
      <c r="T284" s="7">
        <v>2</v>
      </c>
      <c r="U284" s="7">
        <v>2</v>
      </c>
      <c r="V284" s="7">
        <v>2</v>
      </c>
      <c r="W284" s="7">
        <v>3</v>
      </c>
      <c r="X284" s="7">
        <v>3</v>
      </c>
      <c r="Y284" s="7">
        <v>3</v>
      </c>
      <c r="Z284" s="7">
        <v>2</v>
      </c>
      <c r="AA284" s="7">
        <v>4</v>
      </c>
      <c r="AB284" s="7">
        <v>2</v>
      </c>
      <c r="AC284" s="7">
        <v>4</v>
      </c>
      <c r="AD284" s="7">
        <v>4</v>
      </c>
      <c r="AE284" s="7" t="s">
        <v>1261</v>
      </c>
      <c r="AF284" s="7" t="s">
        <v>1747</v>
      </c>
      <c r="AG284" s="7" t="s">
        <v>1272</v>
      </c>
      <c r="AH284" s="7" t="s">
        <v>2133</v>
      </c>
      <c r="AI284" s="7" t="s">
        <v>2134</v>
      </c>
    </row>
    <row r="285" spans="1:36" ht="15.75" customHeight="1">
      <c r="A285" s="48" t="b">
        <v>1</v>
      </c>
      <c r="B285" s="7" t="e">
        <f t="array" ref="B285">_xlfn.XLOOKUP(E285,#REF!,#REF!)</f>
        <v>#REF!</v>
      </c>
      <c r="C285" s="7" t="s">
        <v>982</v>
      </c>
      <c r="E285" s="7" t="s">
        <v>299</v>
      </c>
      <c r="F285" s="128">
        <v>46210.609722222202</v>
      </c>
      <c r="G285" s="7" t="s">
        <v>2135</v>
      </c>
      <c r="H285" s="7" t="s">
        <v>1276</v>
      </c>
      <c r="I285" s="7" t="s">
        <v>1334</v>
      </c>
      <c r="J285" s="7" t="s">
        <v>1491</v>
      </c>
      <c r="L285" s="7" t="s">
        <v>1279</v>
      </c>
      <c r="M285" s="7" t="s">
        <v>1294</v>
      </c>
      <c r="N285" s="7" t="s">
        <v>1280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 t="s">
        <v>1300</v>
      </c>
      <c r="AF285" s="7" t="s">
        <v>1308</v>
      </c>
      <c r="AG285" s="7" t="s">
        <v>1272</v>
      </c>
      <c r="AH285" s="7" t="s">
        <v>2136</v>
      </c>
      <c r="AI285" s="7" t="s">
        <v>2137</v>
      </c>
    </row>
    <row r="286" spans="1:36" ht="15.75" customHeight="1">
      <c r="A286" s="48" t="b">
        <v>1</v>
      </c>
      <c r="B286" s="7" t="e">
        <f t="array" ref="B286">_xlfn.XLOOKUP(E286,#REF!,#REF!)</f>
        <v>#REF!</v>
      </c>
      <c r="C286" s="7" t="s">
        <v>917</v>
      </c>
      <c r="E286" s="7" t="s">
        <v>658</v>
      </c>
      <c r="F286" s="128">
        <v>46210.595833333296</v>
      </c>
      <c r="G286" s="7" t="s">
        <v>1940</v>
      </c>
      <c r="H286" s="7" t="s">
        <v>1276</v>
      </c>
      <c r="I286" s="7" t="s">
        <v>1334</v>
      </c>
      <c r="J286" s="7" t="s">
        <v>1268</v>
      </c>
      <c r="L286" s="7" t="s">
        <v>1258</v>
      </c>
      <c r="M286" s="7" t="s">
        <v>1294</v>
      </c>
      <c r="N286" s="7" t="s">
        <v>1288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4</v>
      </c>
      <c r="X286" s="7">
        <v>4</v>
      </c>
      <c r="Y286" s="7">
        <v>4</v>
      </c>
      <c r="Z286" s="7">
        <v>4</v>
      </c>
      <c r="AA286" s="7">
        <v>3</v>
      </c>
      <c r="AB286" s="7">
        <v>4</v>
      </c>
      <c r="AC286" s="7">
        <v>3</v>
      </c>
      <c r="AD286" s="7">
        <v>0</v>
      </c>
      <c r="AE286" s="7" t="s">
        <v>1300</v>
      </c>
      <c r="AF286" s="7" t="s">
        <v>1262</v>
      </c>
      <c r="AG286" s="7" t="s">
        <v>1272</v>
      </c>
      <c r="AH286" s="7" t="s">
        <v>2138</v>
      </c>
      <c r="AI286" s="7" t="s">
        <v>1940</v>
      </c>
    </row>
    <row r="287" spans="1:36" ht="15.75" customHeight="1">
      <c r="A287" s="48" t="b">
        <v>1</v>
      </c>
      <c r="B287" s="7" t="e">
        <f t="array" ref="B287">_xlfn.XLOOKUP(E287,#REF!,#REF!)</f>
        <v>#REF!</v>
      </c>
      <c r="C287" s="7" t="s">
        <v>1091</v>
      </c>
      <c r="E287" s="7" t="s">
        <v>226</v>
      </c>
      <c r="F287" s="128">
        <v>46210.5847222222</v>
      </c>
      <c r="G287" s="7" t="s">
        <v>2139</v>
      </c>
      <c r="H287" s="7" t="s">
        <v>1267</v>
      </c>
      <c r="I287" s="7" t="s">
        <v>1334</v>
      </c>
      <c r="J287" s="7" t="s">
        <v>1268</v>
      </c>
      <c r="L287" s="7" t="s">
        <v>1279</v>
      </c>
      <c r="M287" s="7" t="s">
        <v>1294</v>
      </c>
      <c r="N287" s="7" t="s">
        <v>1280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3</v>
      </c>
      <c r="X287" s="7">
        <v>3</v>
      </c>
      <c r="Y287" s="7">
        <v>3</v>
      </c>
      <c r="Z287" s="7">
        <v>3</v>
      </c>
      <c r="AA287" s="7">
        <v>3</v>
      </c>
      <c r="AB287" s="7">
        <v>0</v>
      </c>
      <c r="AC287" s="7">
        <v>0</v>
      </c>
      <c r="AD287" s="7">
        <v>0</v>
      </c>
      <c r="AE287" s="7" t="s">
        <v>1300</v>
      </c>
      <c r="AF287" s="7" t="s">
        <v>1262</v>
      </c>
      <c r="AG287" s="7" t="s">
        <v>1282</v>
      </c>
      <c r="AH287" s="7" t="s">
        <v>2140</v>
      </c>
      <c r="AI287" s="7" t="s">
        <v>1291</v>
      </c>
    </row>
    <row r="288" spans="1:36" ht="15.75" customHeight="1">
      <c r="A288" s="48" t="b">
        <v>1</v>
      </c>
      <c r="B288" s="7" t="e">
        <f t="array" ref="B288">_xlfn.XLOOKUP(E288,#REF!,#REF!)</f>
        <v>#REF!</v>
      </c>
      <c r="C288" s="7" t="s">
        <v>942</v>
      </c>
      <c r="E288" s="7" t="s">
        <v>218</v>
      </c>
      <c r="F288" s="128">
        <v>46210.561805555597</v>
      </c>
      <c r="G288" s="7" t="s">
        <v>2128</v>
      </c>
      <c r="H288" s="7" t="s">
        <v>1255</v>
      </c>
      <c r="I288" s="7" t="s">
        <v>1277</v>
      </c>
      <c r="J288" s="7" t="s">
        <v>1491</v>
      </c>
      <c r="L288" s="7" t="s">
        <v>1258</v>
      </c>
      <c r="M288" s="7" t="s">
        <v>1259</v>
      </c>
      <c r="N288" s="7" t="s">
        <v>1260</v>
      </c>
      <c r="O288" s="7">
        <v>0</v>
      </c>
      <c r="P288" s="7">
        <v>0</v>
      </c>
      <c r="Q288" s="7">
        <v>3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1</v>
      </c>
      <c r="X288" s="7">
        <v>1</v>
      </c>
      <c r="Y288" s="7">
        <v>1</v>
      </c>
      <c r="Z288" s="7">
        <v>3</v>
      </c>
      <c r="AA288" s="7">
        <v>0</v>
      </c>
      <c r="AB288" s="7">
        <v>1</v>
      </c>
      <c r="AC288" s="7">
        <v>0</v>
      </c>
      <c r="AD288" s="7">
        <v>2</v>
      </c>
      <c r="AE288" s="7" t="s">
        <v>1300</v>
      </c>
      <c r="AF288" s="7" t="s">
        <v>1308</v>
      </c>
      <c r="AG288" s="7" t="s">
        <v>1363</v>
      </c>
      <c r="AH288" s="7" t="s">
        <v>2129</v>
      </c>
      <c r="AI288" s="7" t="s">
        <v>875</v>
      </c>
    </row>
    <row r="289" spans="1:35" ht="15.75" customHeight="1">
      <c r="A289" s="48" t="b">
        <v>1</v>
      </c>
      <c r="B289" s="7" t="e">
        <f t="array" ref="B289">_xlfn.XLOOKUP(E289,#REF!,#REF!)</f>
        <v>#REF!</v>
      </c>
      <c r="C289" s="7" t="s">
        <v>1091</v>
      </c>
      <c r="E289" s="7" t="s">
        <v>226</v>
      </c>
      <c r="F289" s="128">
        <v>46210.5847222222</v>
      </c>
      <c r="G289" s="7" t="s">
        <v>2139</v>
      </c>
      <c r="H289" s="7" t="s">
        <v>1267</v>
      </c>
      <c r="I289" s="7" t="s">
        <v>1334</v>
      </c>
      <c r="J289" s="7" t="s">
        <v>1268</v>
      </c>
      <c r="L289" s="7" t="s">
        <v>1279</v>
      </c>
      <c r="M289" s="7" t="s">
        <v>1294</v>
      </c>
      <c r="N289" s="7" t="s">
        <v>1280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3</v>
      </c>
      <c r="X289" s="7">
        <v>3</v>
      </c>
      <c r="Y289" s="7">
        <v>3</v>
      </c>
      <c r="Z289" s="7">
        <v>3</v>
      </c>
      <c r="AA289" s="7">
        <v>3</v>
      </c>
      <c r="AB289" s="7">
        <v>0</v>
      </c>
      <c r="AC289" s="7">
        <v>0</v>
      </c>
      <c r="AD289" s="7">
        <v>0</v>
      </c>
      <c r="AE289" s="7" t="s">
        <v>1300</v>
      </c>
      <c r="AF289" s="7" t="s">
        <v>1262</v>
      </c>
      <c r="AG289" s="7" t="s">
        <v>1282</v>
      </c>
      <c r="AH289" s="7" t="s">
        <v>2140</v>
      </c>
      <c r="AI289" s="7" t="s">
        <v>1291</v>
      </c>
    </row>
    <row r="290" spans="1:35" ht="15.75" customHeight="1">
      <c r="A290" s="48" t="b">
        <v>1</v>
      </c>
      <c r="B290" s="7" t="e">
        <f t="array" ref="B290">_xlfn.XLOOKUP(E290,#REF!,#REF!)</f>
        <v>#REF!</v>
      </c>
      <c r="C290" s="7" t="s">
        <v>917</v>
      </c>
      <c r="E290" s="7" t="s">
        <v>658</v>
      </c>
      <c r="F290" s="128">
        <v>46210.595833333296</v>
      </c>
      <c r="G290" s="7" t="s">
        <v>1940</v>
      </c>
      <c r="H290" s="7" t="s">
        <v>1276</v>
      </c>
      <c r="I290" s="7" t="s">
        <v>1334</v>
      </c>
      <c r="J290" s="7" t="s">
        <v>1268</v>
      </c>
      <c r="L290" s="7" t="s">
        <v>1258</v>
      </c>
      <c r="M290" s="7" t="s">
        <v>1294</v>
      </c>
      <c r="N290" s="7" t="s">
        <v>1288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4</v>
      </c>
      <c r="X290" s="7">
        <v>4</v>
      </c>
      <c r="Y290" s="7">
        <v>4</v>
      </c>
      <c r="Z290" s="7">
        <v>4</v>
      </c>
      <c r="AA290" s="7">
        <v>3</v>
      </c>
      <c r="AB290" s="7">
        <v>4</v>
      </c>
      <c r="AC290" s="7">
        <v>3</v>
      </c>
      <c r="AD290" s="7">
        <v>0</v>
      </c>
      <c r="AE290" s="7" t="s">
        <v>1300</v>
      </c>
      <c r="AF290" s="7" t="s">
        <v>1262</v>
      </c>
      <c r="AG290" s="7" t="s">
        <v>1272</v>
      </c>
      <c r="AH290" s="7" t="s">
        <v>2138</v>
      </c>
      <c r="AI290" s="7" t="s">
        <v>1940</v>
      </c>
    </row>
    <row r="291" spans="1:35" ht="15.75" customHeight="1">
      <c r="A291" s="48" t="b">
        <v>1</v>
      </c>
      <c r="B291" s="7" t="e">
        <f t="array" ref="B291">_xlfn.XLOOKUP(E291,#REF!,#REF!)</f>
        <v>#REF!</v>
      </c>
      <c r="C291" s="7" t="s">
        <v>982</v>
      </c>
      <c r="E291" s="7" t="s">
        <v>299</v>
      </c>
      <c r="F291" s="128">
        <v>46210.609722222202</v>
      </c>
      <c r="G291" s="7" t="s">
        <v>2135</v>
      </c>
      <c r="H291" s="7" t="s">
        <v>1276</v>
      </c>
      <c r="I291" s="7" t="s">
        <v>1334</v>
      </c>
      <c r="J291" s="7" t="s">
        <v>1491</v>
      </c>
      <c r="L291" s="7" t="s">
        <v>1279</v>
      </c>
      <c r="M291" s="7" t="s">
        <v>1294</v>
      </c>
      <c r="N291" s="7" t="s">
        <v>1280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 t="s">
        <v>1300</v>
      </c>
      <c r="AF291" s="7" t="s">
        <v>1308</v>
      </c>
      <c r="AG291" s="7" t="s">
        <v>1272</v>
      </c>
      <c r="AH291" s="7" t="s">
        <v>2136</v>
      </c>
      <c r="AI291" s="7" t="s">
        <v>2137</v>
      </c>
    </row>
    <row r="292" spans="1:35" ht="15.75" customHeight="1">
      <c r="A292" s="48" t="b">
        <v>1</v>
      </c>
      <c r="B292" s="7" t="e">
        <f t="array" ref="B292">_xlfn.XLOOKUP(E292,#REF!,#REF!)</f>
        <v>#REF!</v>
      </c>
      <c r="C292" s="7" t="s">
        <v>1005</v>
      </c>
      <c r="E292" s="7" t="s">
        <v>732</v>
      </c>
      <c r="F292" s="128">
        <v>46210.7006944444</v>
      </c>
      <c r="G292" s="7" t="s">
        <v>1305</v>
      </c>
      <c r="H292" s="7" t="s">
        <v>1276</v>
      </c>
      <c r="I292" s="7" t="s">
        <v>1256</v>
      </c>
      <c r="J292" s="7" t="s">
        <v>1710</v>
      </c>
      <c r="L292" s="7" t="s">
        <v>1711</v>
      </c>
      <c r="M292" s="7" t="s">
        <v>1259</v>
      </c>
      <c r="N292" s="7" t="s">
        <v>1260</v>
      </c>
      <c r="O292" s="7">
        <v>3</v>
      </c>
      <c r="P292" s="7">
        <v>3</v>
      </c>
      <c r="Q292" s="7">
        <v>4</v>
      </c>
      <c r="R292" s="7">
        <v>4</v>
      </c>
      <c r="S292" s="7">
        <v>4</v>
      </c>
      <c r="T292" s="7">
        <v>3</v>
      </c>
      <c r="U292" s="7">
        <v>3</v>
      </c>
      <c r="V292" s="7">
        <v>4</v>
      </c>
      <c r="W292" s="7">
        <v>4</v>
      </c>
      <c r="X292" s="7">
        <v>4</v>
      </c>
      <c r="Y292" s="7">
        <v>3</v>
      </c>
      <c r="Z292" s="7">
        <v>3</v>
      </c>
      <c r="AA292" s="7">
        <v>3</v>
      </c>
      <c r="AB292" s="7">
        <v>4</v>
      </c>
      <c r="AC292" s="7">
        <v>3</v>
      </c>
      <c r="AD292" s="7">
        <v>3</v>
      </c>
      <c r="AE292" s="7" t="s">
        <v>1261</v>
      </c>
      <c r="AF292" s="7" t="s">
        <v>1308</v>
      </c>
      <c r="AG292" s="7" t="s">
        <v>1282</v>
      </c>
      <c r="AH292" s="7" t="s">
        <v>2141</v>
      </c>
      <c r="AI292" s="7" t="s">
        <v>875</v>
      </c>
    </row>
    <row r="293" spans="1:35" ht="15.75" customHeight="1">
      <c r="A293" s="48" t="b">
        <v>1</v>
      </c>
      <c r="B293" s="7" t="e">
        <f t="array" ref="B293">_xlfn.XLOOKUP(E293,#REF!,#REF!)</f>
        <v>#REF!</v>
      </c>
      <c r="C293" s="7" t="s">
        <v>1004</v>
      </c>
      <c r="E293" s="7" t="s">
        <v>628</v>
      </c>
      <c r="F293" s="128">
        <v>46210.711805555598</v>
      </c>
      <c r="G293" s="7" t="s">
        <v>2142</v>
      </c>
      <c r="H293" s="7" t="s">
        <v>1267</v>
      </c>
      <c r="I293" s="7" t="s">
        <v>1299</v>
      </c>
      <c r="J293" s="7" t="s">
        <v>1715</v>
      </c>
      <c r="L293" s="7" t="s">
        <v>1711</v>
      </c>
      <c r="M293" s="7" t="s">
        <v>1259</v>
      </c>
      <c r="N293" s="7" t="s">
        <v>1288</v>
      </c>
      <c r="O293" s="7">
        <v>3</v>
      </c>
      <c r="P293" s="7">
        <v>2</v>
      </c>
      <c r="Q293" s="7">
        <v>2</v>
      </c>
      <c r="R293" s="7">
        <v>2</v>
      </c>
      <c r="S293" s="7">
        <v>0</v>
      </c>
      <c r="T293" s="7">
        <v>1</v>
      </c>
      <c r="U293" s="7">
        <v>2</v>
      </c>
      <c r="V293" s="7">
        <v>3</v>
      </c>
      <c r="W293" s="7">
        <v>3</v>
      </c>
      <c r="X293" s="7">
        <v>3</v>
      </c>
      <c r="Y293" s="7">
        <v>3</v>
      </c>
      <c r="Z293" s="7">
        <v>3</v>
      </c>
      <c r="AA293" s="7">
        <v>2</v>
      </c>
      <c r="AB293" s="7">
        <v>1</v>
      </c>
      <c r="AC293" s="7">
        <v>3</v>
      </c>
      <c r="AD293" s="7">
        <v>2</v>
      </c>
      <c r="AE293" s="7" t="s">
        <v>1300</v>
      </c>
      <c r="AF293" s="7" t="s">
        <v>1697</v>
      </c>
      <c r="AG293" s="7" t="s">
        <v>1272</v>
      </c>
      <c r="AH293" s="7" t="s">
        <v>2143</v>
      </c>
      <c r="AI293" s="7" t="s">
        <v>2144</v>
      </c>
    </row>
    <row r="294" spans="1:35" ht="15.75" customHeight="1">
      <c r="A294" s="48" t="b">
        <v>1</v>
      </c>
      <c r="B294" s="7" t="e">
        <f t="array" ref="B294">_xlfn.XLOOKUP(E294,#REF!,#REF!)</f>
        <v>#REF!</v>
      </c>
      <c r="C294" s="7" t="s">
        <v>1122</v>
      </c>
      <c r="E294" s="7" t="s">
        <v>244</v>
      </c>
      <c r="F294" s="128">
        <v>46211.380555555603</v>
      </c>
      <c r="G294" s="7" t="s">
        <v>2145</v>
      </c>
      <c r="H294" s="7" t="s">
        <v>1267</v>
      </c>
      <c r="I294" s="7" t="s">
        <v>1334</v>
      </c>
      <c r="J294" s="7" t="s">
        <v>1268</v>
      </c>
      <c r="L294" s="7" t="s">
        <v>1279</v>
      </c>
      <c r="M294" s="7" t="s">
        <v>1294</v>
      </c>
      <c r="N294" s="7" t="s">
        <v>1280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4</v>
      </c>
      <c r="X294" s="7">
        <v>4</v>
      </c>
      <c r="Y294" s="7">
        <v>4</v>
      </c>
      <c r="Z294" s="7">
        <v>4</v>
      </c>
      <c r="AA294" s="7">
        <v>4</v>
      </c>
      <c r="AB294" s="7">
        <v>0</v>
      </c>
      <c r="AC294" s="7">
        <v>0</v>
      </c>
      <c r="AD294" s="7">
        <v>0</v>
      </c>
      <c r="AE294" s="7" t="s">
        <v>1300</v>
      </c>
      <c r="AF294" s="7" t="s">
        <v>1262</v>
      </c>
      <c r="AG294" s="7" t="s">
        <v>1272</v>
      </c>
      <c r="AH294" s="7" t="s">
        <v>2146</v>
      </c>
      <c r="AI294" s="7" t="s">
        <v>2145</v>
      </c>
    </row>
  </sheetData>
  <autoFilter ref="C1:AI1000" xr:uid="{00000000-0009-0000-0000-000004000000}"/>
  <mergeCells count="130">
    <mergeCell ref="J130:K130"/>
    <mergeCell ref="J131:K131"/>
    <mergeCell ref="J132:K132"/>
    <mergeCell ref="J133:K133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84:K84"/>
    <mergeCell ref="J85:K85"/>
    <mergeCell ref="J86:K86"/>
    <mergeCell ref="J87:K87"/>
    <mergeCell ref="J88:K88"/>
    <mergeCell ref="J89:K89"/>
    <mergeCell ref="J90:K90"/>
    <mergeCell ref="J91:K91"/>
    <mergeCell ref="J93:K93"/>
    <mergeCell ref="J74:K74"/>
    <mergeCell ref="J75:K75"/>
    <mergeCell ref="J77:K77"/>
    <mergeCell ref="J78:K78"/>
    <mergeCell ref="J79:K79"/>
    <mergeCell ref="J80:K80"/>
    <mergeCell ref="J81:K81"/>
    <mergeCell ref="J82:K82"/>
    <mergeCell ref="J83:K83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:K2"/>
    <mergeCell ref="J3:K3"/>
    <mergeCell ref="J4:K4"/>
    <mergeCell ref="J5:K5"/>
    <mergeCell ref="J6:K6"/>
    <mergeCell ref="J7:K7"/>
    <mergeCell ref="J8:K8"/>
    <mergeCell ref="J9:K9"/>
    <mergeCell ref="J10:K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201"/>
  <sheetViews>
    <sheetView workbookViewId="0"/>
  </sheetViews>
  <sheetFormatPr baseColWidth="10" defaultColWidth="12.6640625" defaultRowHeight="15.75" customHeight="1"/>
  <cols>
    <col min="1" max="1" width="16.5" customWidth="1"/>
  </cols>
  <sheetData>
    <row r="1" spans="1:3" ht="15.75" customHeight="1">
      <c r="A1" s="7" t="s">
        <v>2147</v>
      </c>
      <c r="B1" s="7" t="s">
        <v>2148</v>
      </c>
      <c r="C1" s="7" t="s">
        <v>2149</v>
      </c>
    </row>
    <row r="2" spans="1:3" ht="15.75" customHeight="1">
      <c r="A2" s="126">
        <v>46197.808437500003</v>
      </c>
      <c r="B2" s="7" t="s">
        <v>2150</v>
      </c>
      <c r="C2" s="7" t="s">
        <v>2151</v>
      </c>
    </row>
    <row r="3" spans="1:3" ht="15.75" customHeight="1">
      <c r="A3" s="126">
        <v>46197.808553240699</v>
      </c>
      <c r="B3" s="7" t="s">
        <v>2152</v>
      </c>
      <c r="C3" s="7" t="s">
        <v>2153</v>
      </c>
    </row>
    <row r="4" spans="1:3" ht="15.75" customHeight="1">
      <c r="A4" s="126">
        <v>46197.811863425901</v>
      </c>
      <c r="B4" s="7" t="s">
        <v>2154</v>
      </c>
      <c r="C4" s="7" t="s">
        <v>2155</v>
      </c>
    </row>
    <row r="5" spans="1:3" ht="15.75" customHeight="1">
      <c r="A5" s="126">
        <v>46197.812511574099</v>
      </c>
      <c r="B5" s="7" t="s">
        <v>2154</v>
      </c>
      <c r="C5" s="7" t="s">
        <v>2155</v>
      </c>
    </row>
    <row r="6" spans="1:3" ht="15.75" customHeight="1">
      <c r="A6" s="126">
        <v>46197.813518518502</v>
      </c>
      <c r="B6" s="7" t="s">
        <v>2154</v>
      </c>
      <c r="C6" s="7" t="s">
        <v>2155</v>
      </c>
    </row>
    <row r="7" spans="1:3" ht="15.75" customHeight="1">
      <c r="A7" s="126">
        <v>46197.834421296298</v>
      </c>
      <c r="B7" s="7" t="s">
        <v>2154</v>
      </c>
      <c r="C7" s="7" t="s">
        <v>2156</v>
      </c>
    </row>
    <row r="8" spans="1:3" ht="15.75" customHeight="1">
      <c r="A8" s="126">
        <v>46197.834780092599</v>
      </c>
      <c r="B8" s="7" t="s">
        <v>2150</v>
      </c>
      <c r="C8" s="7" t="s">
        <v>2157</v>
      </c>
    </row>
    <row r="9" spans="1:3" ht="15.75" customHeight="1">
      <c r="A9" s="126">
        <v>46197.835381944402</v>
      </c>
      <c r="B9" s="7" t="s">
        <v>2154</v>
      </c>
      <c r="C9" s="7" t="s">
        <v>2158</v>
      </c>
    </row>
    <row r="10" spans="1:3" ht="15.75" customHeight="1">
      <c r="A10" s="126">
        <v>46198.013449074097</v>
      </c>
      <c r="B10" s="7" t="s">
        <v>2154</v>
      </c>
      <c r="C10" s="7" t="s">
        <v>2158</v>
      </c>
    </row>
    <row r="11" spans="1:3" ht="15.75" customHeight="1">
      <c r="A11" s="126">
        <v>46198.262071759302</v>
      </c>
      <c r="B11" s="7" t="s">
        <v>2154</v>
      </c>
      <c r="C11" s="7" t="s">
        <v>2158</v>
      </c>
    </row>
    <row r="12" spans="1:3" ht="15.75" customHeight="1">
      <c r="A12" s="126">
        <v>46198.512083333299</v>
      </c>
      <c r="B12" s="7" t="s">
        <v>2154</v>
      </c>
      <c r="C12" s="7" t="s">
        <v>2158</v>
      </c>
    </row>
    <row r="13" spans="1:3" ht="15.75" customHeight="1">
      <c r="A13" s="126">
        <v>46198.762060185203</v>
      </c>
      <c r="B13" s="7" t="s">
        <v>2154</v>
      </c>
      <c r="C13" s="7" t="s">
        <v>2158</v>
      </c>
    </row>
    <row r="14" spans="1:3" ht="15.75" customHeight="1">
      <c r="A14" s="126">
        <v>46199.015092592599</v>
      </c>
      <c r="B14" s="7" t="s">
        <v>2154</v>
      </c>
      <c r="C14" s="7" t="s">
        <v>2158</v>
      </c>
    </row>
    <row r="15" spans="1:3" ht="15.75" customHeight="1">
      <c r="A15" s="126">
        <v>46199.262245370403</v>
      </c>
      <c r="B15" s="7" t="s">
        <v>2154</v>
      </c>
      <c r="C15" s="7" t="s">
        <v>2158</v>
      </c>
    </row>
    <row r="16" spans="1:3" ht="15.75" customHeight="1">
      <c r="A16" s="126">
        <v>46199.513229166703</v>
      </c>
      <c r="B16" s="7" t="s">
        <v>2154</v>
      </c>
      <c r="C16" s="7" t="s">
        <v>2158</v>
      </c>
    </row>
    <row r="17" spans="1:3" ht="15.75" customHeight="1">
      <c r="A17" s="126">
        <v>46199.762025463002</v>
      </c>
      <c r="B17" s="7" t="s">
        <v>2154</v>
      </c>
      <c r="C17" s="7" t="s">
        <v>2158</v>
      </c>
    </row>
    <row r="18" spans="1:3" ht="15.75" customHeight="1">
      <c r="A18" s="126">
        <v>46200.0135532407</v>
      </c>
      <c r="B18" s="7" t="s">
        <v>2154</v>
      </c>
      <c r="C18" s="7" t="s">
        <v>2158</v>
      </c>
    </row>
    <row r="19" spans="1:3" ht="15.75" customHeight="1">
      <c r="A19" s="126">
        <v>46200.262094907397</v>
      </c>
      <c r="B19" s="7" t="s">
        <v>2154</v>
      </c>
      <c r="C19" s="7" t="s">
        <v>2158</v>
      </c>
    </row>
    <row r="20" spans="1:3" ht="15.75" customHeight="1">
      <c r="A20" s="126">
        <v>46200.512187499997</v>
      </c>
      <c r="B20" s="7" t="s">
        <v>2154</v>
      </c>
      <c r="C20" s="7" t="s">
        <v>2158</v>
      </c>
    </row>
    <row r="21" spans="1:3" ht="15.75" customHeight="1">
      <c r="A21" s="126">
        <v>46200.762129629598</v>
      </c>
      <c r="B21" s="7" t="s">
        <v>2154</v>
      </c>
      <c r="C21" s="7" t="s">
        <v>2158</v>
      </c>
    </row>
    <row r="22" spans="1:3" ht="15.75" customHeight="1">
      <c r="A22" s="126">
        <v>46201.012129629598</v>
      </c>
      <c r="B22" s="7" t="s">
        <v>2154</v>
      </c>
      <c r="C22" s="7" t="s">
        <v>2158</v>
      </c>
    </row>
    <row r="23" spans="1:3" ht="15.75" customHeight="1">
      <c r="A23" s="126">
        <v>46201.262083333299</v>
      </c>
      <c r="B23" s="7" t="s">
        <v>2154</v>
      </c>
      <c r="C23" s="7" t="s">
        <v>2158</v>
      </c>
    </row>
    <row r="24" spans="1:3" ht="15.75" customHeight="1">
      <c r="A24" s="126">
        <v>46201.512835648202</v>
      </c>
      <c r="B24" s="7" t="s">
        <v>2154</v>
      </c>
      <c r="C24" s="7" t="s">
        <v>2158</v>
      </c>
    </row>
    <row r="25" spans="1:3" ht="15.75" customHeight="1">
      <c r="A25" s="126">
        <v>46201.762442129599</v>
      </c>
      <c r="B25" s="7" t="s">
        <v>2154</v>
      </c>
      <c r="C25" s="7" t="s">
        <v>2158</v>
      </c>
    </row>
    <row r="26" spans="1:3" ht="15.75" customHeight="1">
      <c r="A26" s="126">
        <v>46202.012233796297</v>
      </c>
      <c r="B26" s="7" t="s">
        <v>2154</v>
      </c>
      <c r="C26" s="7" t="s">
        <v>2158</v>
      </c>
    </row>
    <row r="27" spans="1:3" ht="15.75" customHeight="1">
      <c r="A27" s="126">
        <v>46202.262025463002</v>
      </c>
      <c r="B27" s="7" t="s">
        <v>2154</v>
      </c>
      <c r="C27" s="7" t="s">
        <v>2158</v>
      </c>
    </row>
    <row r="28" spans="1:3" ht="15.75" customHeight="1">
      <c r="A28" s="126">
        <v>46202.4709953704</v>
      </c>
      <c r="B28" s="7" t="s">
        <v>2154</v>
      </c>
      <c r="C28" s="7" t="s">
        <v>2159</v>
      </c>
    </row>
    <row r="29" spans="1:3" ht="15.75" customHeight="1">
      <c r="A29" s="126">
        <v>46202.473715277803</v>
      </c>
      <c r="B29" s="7" t="s">
        <v>2150</v>
      </c>
      <c r="C29" s="7" t="s">
        <v>2160</v>
      </c>
    </row>
    <row r="30" spans="1:3" ht="15.75" customHeight="1">
      <c r="A30" s="126">
        <v>46202.473831018498</v>
      </c>
      <c r="B30" s="7" t="s">
        <v>2152</v>
      </c>
      <c r="C30" s="7" t="s">
        <v>2161</v>
      </c>
    </row>
    <row r="31" spans="1:3" ht="15.75" customHeight="1">
      <c r="A31" s="126">
        <v>46202.474108796298</v>
      </c>
      <c r="B31" s="7" t="s">
        <v>2150</v>
      </c>
      <c r="C31" s="7" t="s">
        <v>2160</v>
      </c>
    </row>
    <row r="32" spans="1:3" ht="15.75" customHeight="1">
      <c r="A32" s="126">
        <v>46202.474328703698</v>
      </c>
      <c r="B32" s="7" t="s">
        <v>2150</v>
      </c>
      <c r="C32" s="7" t="s">
        <v>2160</v>
      </c>
    </row>
    <row r="33" spans="1:3" ht="15.75" customHeight="1">
      <c r="A33" s="126">
        <v>46202.474618055603</v>
      </c>
      <c r="B33" s="7" t="s">
        <v>2150</v>
      </c>
      <c r="C33" s="7" t="s">
        <v>2160</v>
      </c>
    </row>
    <row r="34" spans="1:3" ht="15.75" customHeight="1">
      <c r="A34" s="126">
        <v>46202.474791666697</v>
      </c>
      <c r="B34" s="7" t="s">
        <v>2154</v>
      </c>
      <c r="C34" s="7" t="s">
        <v>2159</v>
      </c>
    </row>
    <row r="35" spans="1:3" ht="15.75" customHeight="1">
      <c r="A35" s="126">
        <v>46202.475046296298</v>
      </c>
      <c r="B35" s="7" t="s">
        <v>2154</v>
      </c>
      <c r="C35" s="7" t="s">
        <v>2159</v>
      </c>
    </row>
    <row r="36" spans="1:3" ht="15.75" customHeight="1">
      <c r="A36" s="126">
        <v>46204.504097222198</v>
      </c>
      <c r="B36" s="7" t="s">
        <v>2154</v>
      </c>
      <c r="C36" s="7" t="s">
        <v>2162</v>
      </c>
    </row>
    <row r="37" spans="1:3" ht="15.75" customHeight="1">
      <c r="A37" s="126">
        <v>46204.514675925901</v>
      </c>
      <c r="B37" s="7" t="s">
        <v>2154</v>
      </c>
      <c r="C37" s="7" t="s">
        <v>2162</v>
      </c>
    </row>
    <row r="38" spans="1:3" ht="15.75" customHeight="1">
      <c r="A38" s="126">
        <v>46204.515196759297</v>
      </c>
      <c r="B38" s="7" t="s">
        <v>2154</v>
      </c>
      <c r="C38" s="7" t="s">
        <v>2162</v>
      </c>
    </row>
    <row r="39" spans="1:3" ht="15.75" customHeight="1">
      <c r="A39" s="126">
        <v>46204.603738425903</v>
      </c>
      <c r="B39" s="7" t="s">
        <v>2154</v>
      </c>
      <c r="C39" s="7" t="s">
        <v>2163</v>
      </c>
    </row>
    <row r="40" spans="1:3" ht="15.75" customHeight="1">
      <c r="A40" s="126">
        <v>46204.644375000003</v>
      </c>
      <c r="B40" s="7" t="s">
        <v>2154</v>
      </c>
      <c r="C40" s="7" t="s">
        <v>2164</v>
      </c>
    </row>
    <row r="41" spans="1:3" ht="15.75" customHeight="1">
      <c r="A41" s="126">
        <v>46204.731469907398</v>
      </c>
      <c r="B41" s="7" t="s">
        <v>2154</v>
      </c>
      <c r="C41" s="7" t="s">
        <v>2165</v>
      </c>
    </row>
    <row r="42" spans="1:3" ht="15.75" customHeight="1">
      <c r="A42" s="126">
        <v>46204.765243055597</v>
      </c>
      <c r="B42" s="7" t="s">
        <v>2154</v>
      </c>
      <c r="C42" s="7" t="s">
        <v>2166</v>
      </c>
    </row>
    <row r="43" spans="1:3" ht="15.75" customHeight="1">
      <c r="A43" s="126">
        <v>46204.777361111097</v>
      </c>
      <c r="B43" s="7" t="s">
        <v>2154</v>
      </c>
      <c r="C43" s="7" t="s">
        <v>2166</v>
      </c>
    </row>
    <row r="44" spans="1:3" ht="15.75" customHeight="1">
      <c r="A44" s="126">
        <v>46204.812152777798</v>
      </c>
      <c r="B44" s="7" t="s">
        <v>2154</v>
      </c>
      <c r="C44" s="7" t="s">
        <v>2167</v>
      </c>
    </row>
    <row r="45" spans="1:3" ht="15.75" customHeight="1">
      <c r="A45" s="126">
        <v>46205.0152662037</v>
      </c>
      <c r="B45" s="7" t="s">
        <v>2154</v>
      </c>
      <c r="C45" s="7" t="s">
        <v>2168</v>
      </c>
    </row>
    <row r="46" spans="1:3" ht="15.75" customHeight="1">
      <c r="A46" s="126">
        <v>46205.265243055597</v>
      </c>
      <c r="B46" s="7" t="s">
        <v>2154</v>
      </c>
      <c r="C46" s="7" t="s">
        <v>2169</v>
      </c>
    </row>
    <row r="47" spans="1:3" ht="15.75" customHeight="1">
      <c r="A47" s="126">
        <v>46205.515231481499</v>
      </c>
      <c r="B47" s="7" t="s">
        <v>2154</v>
      </c>
      <c r="C47" s="7" t="s">
        <v>2170</v>
      </c>
    </row>
    <row r="48" spans="1:3" ht="15.75" customHeight="1">
      <c r="A48" s="126">
        <v>46205.536412037</v>
      </c>
      <c r="B48" s="7" t="s">
        <v>2154</v>
      </c>
      <c r="C48" s="7" t="s">
        <v>2171</v>
      </c>
    </row>
    <row r="49" spans="1:3" ht="15.75" customHeight="1">
      <c r="A49" s="126">
        <v>46205.693090277797</v>
      </c>
      <c r="B49" s="7" t="s">
        <v>2154</v>
      </c>
      <c r="C49" s="7" t="s">
        <v>2172</v>
      </c>
    </row>
    <row r="50" spans="1:3" ht="15.75" customHeight="1">
      <c r="A50" s="126">
        <v>46205.746307870402</v>
      </c>
      <c r="B50" s="7" t="s">
        <v>2154</v>
      </c>
      <c r="C50" s="7" t="s">
        <v>2173</v>
      </c>
    </row>
    <row r="51" spans="1:3" ht="15.75" customHeight="1">
      <c r="A51" s="126">
        <v>46205.765254629601</v>
      </c>
      <c r="B51" s="7" t="s">
        <v>2154</v>
      </c>
      <c r="C51" s="7" t="s">
        <v>2173</v>
      </c>
    </row>
    <row r="52" spans="1:3" ht="15.75" customHeight="1">
      <c r="A52" s="126">
        <v>46205.848773148202</v>
      </c>
      <c r="B52" s="7" t="s">
        <v>2154</v>
      </c>
      <c r="C52" s="7" t="s">
        <v>2174</v>
      </c>
    </row>
    <row r="53" spans="1:3" ht="15.75" customHeight="1">
      <c r="A53" s="126">
        <v>46206.0152662037</v>
      </c>
      <c r="B53" s="7" t="s">
        <v>2154</v>
      </c>
      <c r="C53" s="7" t="s">
        <v>2175</v>
      </c>
    </row>
    <row r="54" spans="1:3" ht="15.75" customHeight="1">
      <c r="A54" s="126">
        <v>46206.265243055597</v>
      </c>
      <c r="B54" s="7" t="s">
        <v>2154</v>
      </c>
      <c r="C54" s="7" t="s">
        <v>2175</v>
      </c>
    </row>
    <row r="55" spans="1:3" ht="15.75" customHeight="1">
      <c r="A55" s="126">
        <v>46206.493819444397</v>
      </c>
      <c r="B55" s="7" t="s">
        <v>2154</v>
      </c>
      <c r="C55" s="7" t="s">
        <v>2176</v>
      </c>
    </row>
    <row r="56" spans="1:3" ht="15.75" customHeight="1">
      <c r="A56" s="126">
        <v>46206.515231481499</v>
      </c>
      <c r="B56" s="7" t="s">
        <v>2154</v>
      </c>
      <c r="C56" s="7" t="s">
        <v>2177</v>
      </c>
    </row>
    <row r="57" spans="1:3" ht="15.75" customHeight="1">
      <c r="A57" s="126">
        <v>46206.565081018503</v>
      </c>
      <c r="B57" s="7" t="s">
        <v>2154</v>
      </c>
      <c r="C57" s="7" t="s">
        <v>2178</v>
      </c>
    </row>
    <row r="58" spans="1:3" ht="15.75" customHeight="1">
      <c r="A58" s="126">
        <v>46206.652685185203</v>
      </c>
      <c r="B58" s="7" t="s">
        <v>2154</v>
      </c>
      <c r="C58" s="7" t="s">
        <v>2179</v>
      </c>
    </row>
    <row r="59" spans="1:3" ht="15.75" customHeight="1">
      <c r="A59" s="126">
        <v>46206.677129629599</v>
      </c>
      <c r="B59" s="7" t="s">
        <v>2154</v>
      </c>
      <c r="C59" s="7" t="s">
        <v>2180</v>
      </c>
    </row>
    <row r="60" spans="1:3" ht="15.75" customHeight="1">
      <c r="A60" s="126">
        <v>46206.765254629601</v>
      </c>
      <c r="B60" s="7" t="s">
        <v>2154</v>
      </c>
      <c r="C60" s="7" t="s">
        <v>2181</v>
      </c>
    </row>
    <row r="61" spans="1:3" ht="15.75" customHeight="1">
      <c r="A61" s="126">
        <v>46206.868217592601</v>
      </c>
      <c r="B61" s="7" t="s">
        <v>2154</v>
      </c>
      <c r="C61" s="7" t="s">
        <v>2182</v>
      </c>
    </row>
    <row r="62" spans="1:3" ht="15.75" customHeight="1">
      <c r="A62" s="126">
        <v>46207.015254629601</v>
      </c>
      <c r="B62" s="7" t="s">
        <v>2154</v>
      </c>
      <c r="C62" s="7" t="s">
        <v>2183</v>
      </c>
    </row>
    <row r="63" spans="1:3" ht="15.75" customHeight="1">
      <c r="A63" s="126">
        <v>46207.265162037002</v>
      </c>
      <c r="B63" s="7" t="s">
        <v>2150</v>
      </c>
      <c r="C63" s="7" t="s">
        <v>2184</v>
      </c>
    </row>
    <row r="64" spans="1:3" ht="15.75" customHeight="1">
      <c r="A64" s="126">
        <v>46207.5152662037</v>
      </c>
      <c r="B64" s="7" t="s">
        <v>2154</v>
      </c>
      <c r="C64" s="7" t="s">
        <v>2185</v>
      </c>
    </row>
    <row r="65" spans="1:3" ht="15.75" customHeight="1">
      <c r="A65" s="126">
        <v>46207.591435185197</v>
      </c>
      <c r="B65" s="7" t="s">
        <v>2154</v>
      </c>
      <c r="C65" s="7" t="s">
        <v>2186</v>
      </c>
    </row>
    <row r="66" spans="1:3" ht="15.75" customHeight="1">
      <c r="A66" s="126">
        <v>46207.594004629602</v>
      </c>
      <c r="B66" s="7" t="s">
        <v>2154</v>
      </c>
      <c r="C66" s="7" t="s">
        <v>2186</v>
      </c>
    </row>
    <row r="67" spans="1:3" ht="15.75" customHeight="1">
      <c r="A67" s="126">
        <v>46207.627349536997</v>
      </c>
      <c r="B67" s="7" t="s">
        <v>2154</v>
      </c>
      <c r="C67" s="7" t="s">
        <v>2187</v>
      </c>
    </row>
    <row r="68" spans="1:3" ht="15.75" customHeight="1">
      <c r="A68" s="126">
        <v>46207.646655092598</v>
      </c>
      <c r="B68" s="7" t="s">
        <v>2154</v>
      </c>
      <c r="C68" s="7" t="s">
        <v>2188</v>
      </c>
    </row>
    <row r="69" spans="1:3" ht="15.75" customHeight="1">
      <c r="A69" s="126">
        <v>46207.670462962997</v>
      </c>
      <c r="B69" s="7" t="s">
        <v>2154</v>
      </c>
      <c r="C69" s="7" t="s">
        <v>2189</v>
      </c>
    </row>
    <row r="70" spans="1:3" ht="15.75" customHeight="1">
      <c r="A70" s="126">
        <v>46207.719687500001</v>
      </c>
      <c r="B70" s="7" t="s">
        <v>2154</v>
      </c>
      <c r="C70" s="7" t="s">
        <v>2190</v>
      </c>
    </row>
    <row r="71" spans="1:3" ht="15.75" customHeight="1">
      <c r="A71" s="126">
        <v>46207.7653125</v>
      </c>
      <c r="B71" s="7" t="s">
        <v>2154</v>
      </c>
      <c r="C71" s="7" t="s">
        <v>2191</v>
      </c>
    </row>
    <row r="72" spans="1:3" ht="15.75" customHeight="1">
      <c r="A72" s="126">
        <v>46208.015243055597</v>
      </c>
      <c r="B72" s="7" t="s">
        <v>2154</v>
      </c>
      <c r="C72" s="7" t="s">
        <v>2192</v>
      </c>
    </row>
    <row r="73" spans="1:3" ht="15.75" customHeight="1">
      <c r="A73" s="126">
        <v>46208.265231481499</v>
      </c>
      <c r="B73" s="7" t="s">
        <v>2154</v>
      </c>
      <c r="C73" s="7" t="s">
        <v>2192</v>
      </c>
    </row>
    <row r="74" spans="1:3" ht="15.75" customHeight="1">
      <c r="A74" s="126">
        <v>46208.515231481499</v>
      </c>
      <c r="B74" s="7" t="s">
        <v>2154</v>
      </c>
      <c r="C74" s="7" t="s">
        <v>2193</v>
      </c>
    </row>
    <row r="75" spans="1:3" ht="15.75" customHeight="1">
      <c r="A75" s="126">
        <v>46208.519085648099</v>
      </c>
      <c r="B75" s="7" t="s">
        <v>2154</v>
      </c>
      <c r="C75" s="7" t="s">
        <v>2193</v>
      </c>
    </row>
    <row r="76" spans="1:3" ht="15.75" customHeight="1">
      <c r="A76" s="126">
        <v>46208.729641203703</v>
      </c>
      <c r="B76" s="7" t="s">
        <v>2154</v>
      </c>
      <c r="C76" s="7" t="s">
        <v>2194</v>
      </c>
    </row>
    <row r="77" spans="1:3" ht="15.75" customHeight="1">
      <c r="A77" s="126">
        <v>46208.7652662037</v>
      </c>
      <c r="B77" s="7" t="s">
        <v>2154</v>
      </c>
      <c r="C77" s="7" t="s">
        <v>2194</v>
      </c>
    </row>
    <row r="78" spans="1:3" ht="15.75" customHeight="1">
      <c r="A78" s="126">
        <v>46209.015254629601</v>
      </c>
      <c r="B78" s="7" t="s">
        <v>2154</v>
      </c>
      <c r="C78" s="7" t="s">
        <v>2195</v>
      </c>
    </row>
    <row r="79" spans="1:3" ht="15.75" customHeight="1">
      <c r="A79" s="126">
        <v>46209.265347222201</v>
      </c>
      <c r="B79" s="7" t="s">
        <v>2154</v>
      </c>
      <c r="C79" s="7" t="s">
        <v>2195</v>
      </c>
    </row>
    <row r="80" spans="1:3" ht="15.75" customHeight="1">
      <c r="A80" s="126">
        <v>46209.480381944399</v>
      </c>
      <c r="B80" s="7" t="s">
        <v>2154</v>
      </c>
      <c r="C80" s="7" t="s">
        <v>2196</v>
      </c>
    </row>
    <row r="81" spans="1:3" ht="15.75" customHeight="1">
      <c r="A81" s="126">
        <v>46209.483587962997</v>
      </c>
      <c r="B81" s="7" t="s">
        <v>2154</v>
      </c>
      <c r="C81" s="7" t="s">
        <v>2196</v>
      </c>
    </row>
    <row r="82" spans="1:3" ht="15.75" customHeight="1">
      <c r="A82" s="126">
        <v>46209.511898148201</v>
      </c>
      <c r="B82" s="7" t="s">
        <v>2154</v>
      </c>
      <c r="C82" s="7" t="s">
        <v>2197</v>
      </c>
    </row>
    <row r="83" spans="1:3" ht="15.75" customHeight="1">
      <c r="A83" s="126">
        <v>46209.513981481497</v>
      </c>
      <c r="B83" s="7" t="s">
        <v>2154</v>
      </c>
      <c r="C83" s="7" t="s">
        <v>2198</v>
      </c>
    </row>
    <row r="84" spans="1:3" ht="15.75" customHeight="1">
      <c r="A84" s="126">
        <v>46209.515231481499</v>
      </c>
      <c r="B84" s="7" t="s">
        <v>2154</v>
      </c>
      <c r="C84" s="7" t="s">
        <v>2198</v>
      </c>
    </row>
    <row r="85" spans="1:3" ht="15.75" customHeight="1">
      <c r="A85" s="126">
        <v>46209.520451388897</v>
      </c>
      <c r="B85" s="7" t="s">
        <v>2154</v>
      </c>
      <c r="C85" s="7" t="s">
        <v>2199</v>
      </c>
    </row>
    <row r="86" spans="1:3" ht="15.75" customHeight="1">
      <c r="A86" s="126">
        <v>46209.717685185198</v>
      </c>
      <c r="B86" s="7" t="s">
        <v>2154</v>
      </c>
      <c r="C86" s="7" t="s">
        <v>2200</v>
      </c>
    </row>
    <row r="87" spans="1:3" ht="15.75" customHeight="1">
      <c r="A87" s="126">
        <v>46209.7654861111</v>
      </c>
      <c r="B87" s="7" t="s">
        <v>2154</v>
      </c>
      <c r="C87" s="7" t="s">
        <v>2200</v>
      </c>
    </row>
    <row r="88" spans="1:3" ht="15.75" customHeight="1">
      <c r="A88" s="126">
        <v>46210.015393518501</v>
      </c>
      <c r="B88" s="7" t="s">
        <v>2154</v>
      </c>
      <c r="C88" s="7" t="s">
        <v>2200</v>
      </c>
    </row>
    <row r="89" spans="1:3" ht="15.75" customHeight="1">
      <c r="A89" s="126">
        <v>46210.265335648102</v>
      </c>
      <c r="B89" s="7" t="s">
        <v>2154</v>
      </c>
      <c r="C89" s="7" t="s">
        <v>2201</v>
      </c>
    </row>
    <row r="90" spans="1:3" ht="15.75" customHeight="1">
      <c r="A90" s="126">
        <v>46210.5153125</v>
      </c>
      <c r="B90" s="7" t="s">
        <v>2154</v>
      </c>
      <c r="C90" s="7" t="s">
        <v>2202</v>
      </c>
    </row>
    <row r="91" spans="1:3" ht="15.75" customHeight="1">
      <c r="A91" s="126">
        <v>46210.529305555603</v>
      </c>
      <c r="B91" s="7" t="s">
        <v>2154</v>
      </c>
      <c r="C91" s="7" t="s">
        <v>2202</v>
      </c>
    </row>
    <row r="92" spans="1:3" ht="15.75" customHeight="1">
      <c r="A92" s="126">
        <v>46210.588275463</v>
      </c>
      <c r="B92" s="7" t="s">
        <v>2154</v>
      </c>
      <c r="C92" s="7" t="s">
        <v>2203</v>
      </c>
    </row>
    <row r="93" spans="1:3" ht="15.75" customHeight="1">
      <c r="A93" s="126">
        <v>46210.6254513889</v>
      </c>
      <c r="B93" s="7" t="s">
        <v>2154</v>
      </c>
      <c r="C93" s="7" t="s">
        <v>2204</v>
      </c>
    </row>
    <row r="94" spans="1:3" ht="15.75" customHeight="1">
      <c r="A94" s="126">
        <v>46210.765462962998</v>
      </c>
      <c r="B94" s="7" t="s">
        <v>2154</v>
      </c>
      <c r="C94" s="7" t="s">
        <v>2204</v>
      </c>
    </row>
    <row r="95" spans="1:3" ht="15.75" customHeight="1">
      <c r="A95" s="126">
        <v>46211.015324074098</v>
      </c>
      <c r="B95" s="7" t="s">
        <v>2154</v>
      </c>
      <c r="C95" s="7" t="s">
        <v>2204</v>
      </c>
    </row>
    <row r="96" spans="1:3" ht="15.75" customHeight="1">
      <c r="A96" s="126">
        <v>46211.265324074098</v>
      </c>
      <c r="B96" s="7" t="s">
        <v>2154</v>
      </c>
      <c r="C96" s="7" t="s">
        <v>2204</v>
      </c>
    </row>
    <row r="97" spans="1:3" ht="15.75" customHeight="1">
      <c r="A97" s="126">
        <v>46211.5153587963</v>
      </c>
      <c r="B97" s="7" t="s">
        <v>2154</v>
      </c>
      <c r="C97" s="7" t="s">
        <v>2205</v>
      </c>
    </row>
    <row r="98" spans="1:3" ht="15.75" customHeight="1">
      <c r="A98" s="126">
        <v>46211.519560185203</v>
      </c>
      <c r="B98" s="7" t="s">
        <v>2154</v>
      </c>
      <c r="C98" s="7" t="s">
        <v>2205</v>
      </c>
    </row>
    <row r="99" spans="1:3" ht="15.75" customHeight="1">
      <c r="A99" s="126">
        <v>46211.765277777798</v>
      </c>
      <c r="B99" s="7" t="s">
        <v>2154</v>
      </c>
      <c r="C99" s="7" t="s">
        <v>2206</v>
      </c>
    </row>
    <row r="100" spans="1:3" ht="15.75" customHeight="1">
      <c r="A100" s="126">
        <v>46212.015324074098</v>
      </c>
      <c r="B100" s="7" t="s">
        <v>2154</v>
      </c>
      <c r="C100" s="7" t="s">
        <v>2206</v>
      </c>
    </row>
    <row r="101" spans="1:3" ht="15.75" customHeight="1">
      <c r="A101" s="126">
        <v>46212.265509259298</v>
      </c>
      <c r="B101" s="7" t="s">
        <v>2154</v>
      </c>
      <c r="C101" s="7" t="s">
        <v>2206</v>
      </c>
    </row>
    <row r="102" spans="1:3" ht="15.75" customHeight="1">
      <c r="A102" s="126">
        <v>46212.515740740702</v>
      </c>
      <c r="B102" s="7" t="s">
        <v>2154</v>
      </c>
      <c r="C102" s="7" t="s">
        <v>2206</v>
      </c>
    </row>
    <row r="103" spans="1:3" ht="15.75" customHeight="1">
      <c r="A103" s="126">
        <v>46212.618622685201</v>
      </c>
      <c r="B103" s="7" t="s">
        <v>2154</v>
      </c>
      <c r="C103" s="7" t="s">
        <v>2206</v>
      </c>
    </row>
    <row r="104" spans="1:3" ht="15.75" customHeight="1">
      <c r="A104" s="126">
        <v>46212.765300925901</v>
      </c>
      <c r="B104" s="7" t="s">
        <v>2154</v>
      </c>
      <c r="C104" s="7" t="s">
        <v>2206</v>
      </c>
    </row>
    <row r="105" spans="1:3" ht="15.75" customHeight="1">
      <c r="A105" s="126">
        <v>46213.015520833302</v>
      </c>
      <c r="B105" s="7" t="s">
        <v>2154</v>
      </c>
      <c r="C105" s="7" t="s">
        <v>2207</v>
      </c>
    </row>
    <row r="106" spans="1:3" ht="15.75" customHeight="1">
      <c r="A106" s="126">
        <v>46213.265300925901</v>
      </c>
      <c r="B106" s="7" t="s">
        <v>2154</v>
      </c>
      <c r="C106" s="7" t="s">
        <v>2207</v>
      </c>
    </row>
    <row r="107" spans="1:3" ht="15.75" customHeight="1">
      <c r="A107" s="126">
        <v>46213.516111111101</v>
      </c>
      <c r="B107" s="7" t="s">
        <v>2154</v>
      </c>
      <c r="C107" s="7" t="s">
        <v>2207</v>
      </c>
    </row>
    <row r="108" spans="1:3" ht="15.75" customHeight="1">
      <c r="A108" s="126">
        <v>46213.765335648102</v>
      </c>
      <c r="B108" s="7" t="s">
        <v>2154</v>
      </c>
      <c r="C108" s="7" t="s">
        <v>2207</v>
      </c>
    </row>
    <row r="109" spans="1:3" ht="15.75" customHeight="1">
      <c r="A109" s="126">
        <v>46214.015451388899</v>
      </c>
      <c r="B109" s="7" t="s">
        <v>2154</v>
      </c>
      <c r="C109" s="7" t="s">
        <v>2207</v>
      </c>
    </row>
    <row r="110" spans="1:3" ht="15.75" customHeight="1">
      <c r="A110" s="126">
        <v>46214.265347222201</v>
      </c>
      <c r="B110" s="7" t="s">
        <v>2154</v>
      </c>
      <c r="C110" s="7" t="s">
        <v>2207</v>
      </c>
    </row>
    <row r="111" spans="1:3" ht="15.75" customHeight="1">
      <c r="A111" s="126">
        <v>46214.515833333302</v>
      </c>
      <c r="B111" s="7" t="s">
        <v>2154</v>
      </c>
      <c r="C111" s="7" t="s">
        <v>2207</v>
      </c>
    </row>
    <row r="112" spans="1:3" ht="15.75" customHeight="1">
      <c r="A112" s="126">
        <v>46214.765393518501</v>
      </c>
      <c r="B112" s="7" t="s">
        <v>2154</v>
      </c>
      <c r="C112" s="7" t="s">
        <v>2207</v>
      </c>
    </row>
    <row r="113" spans="1:3" ht="15.75" customHeight="1">
      <c r="A113" s="126">
        <v>46215.015370370398</v>
      </c>
      <c r="B113" s="7" t="s">
        <v>2154</v>
      </c>
      <c r="C113" s="7" t="s">
        <v>2207</v>
      </c>
    </row>
    <row r="114" spans="1:3" ht="15.75" customHeight="1">
      <c r="A114" s="126">
        <v>46215.2653125</v>
      </c>
      <c r="B114" s="7" t="s">
        <v>2154</v>
      </c>
      <c r="C114" s="7" t="s">
        <v>2207</v>
      </c>
    </row>
    <row r="115" spans="1:3" ht="15.75" customHeight="1">
      <c r="A115" s="126">
        <v>46215.515393518501</v>
      </c>
      <c r="B115" s="7" t="s">
        <v>2154</v>
      </c>
      <c r="C115" s="7" t="s">
        <v>2207</v>
      </c>
    </row>
    <row r="116" spans="1:3" ht="15.75" customHeight="1">
      <c r="A116" s="126">
        <v>46215.765405092599</v>
      </c>
      <c r="B116" s="7" t="s">
        <v>2154</v>
      </c>
      <c r="C116" s="7" t="s">
        <v>2207</v>
      </c>
    </row>
    <row r="117" spans="1:3" ht="15.75" customHeight="1">
      <c r="A117" s="126">
        <v>46216.015393518501</v>
      </c>
      <c r="B117" s="7" t="s">
        <v>2154</v>
      </c>
      <c r="C117" s="7" t="s">
        <v>2208</v>
      </c>
    </row>
    <row r="118" spans="1:3" ht="15.75" customHeight="1">
      <c r="A118" s="126">
        <v>46216.265324074098</v>
      </c>
      <c r="B118" s="7" t="s">
        <v>2154</v>
      </c>
      <c r="C118" s="7" t="s">
        <v>2208</v>
      </c>
    </row>
    <row r="119" spans="1:3" ht="15.75" customHeight="1">
      <c r="A119" s="126">
        <v>46216.515324074098</v>
      </c>
      <c r="B119" s="7" t="s">
        <v>2154</v>
      </c>
      <c r="C119" s="7" t="s">
        <v>2208</v>
      </c>
    </row>
    <row r="120" spans="1:3" ht="15.75" customHeight="1">
      <c r="A120" s="126">
        <v>46216.523495370398</v>
      </c>
      <c r="B120" s="7" t="s">
        <v>2154</v>
      </c>
      <c r="C120" s="7" t="s">
        <v>2208</v>
      </c>
    </row>
    <row r="121" spans="1:3" ht="15.75" customHeight="1">
      <c r="A121" s="126">
        <v>46216.625300925902</v>
      </c>
      <c r="B121" s="7" t="s">
        <v>2154</v>
      </c>
      <c r="C121" s="7" t="s">
        <v>2208</v>
      </c>
    </row>
    <row r="122" spans="1:3" ht="15.75" customHeight="1">
      <c r="A122" s="126">
        <v>46216.629525463002</v>
      </c>
      <c r="B122" s="7" t="s">
        <v>2154</v>
      </c>
      <c r="C122" s="7" t="s">
        <v>2209</v>
      </c>
    </row>
    <row r="123" spans="1:3" ht="15.75" customHeight="1">
      <c r="A123" s="126">
        <v>46216.7655324074</v>
      </c>
      <c r="B123" s="7" t="s">
        <v>2154</v>
      </c>
      <c r="C123" s="7" t="s">
        <v>2209</v>
      </c>
    </row>
    <row r="124" spans="1:3" ht="15.75" customHeight="1">
      <c r="A124" s="126">
        <v>46216.790775463</v>
      </c>
      <c r="B124" s="7" t="s">
        <v>2154</v>
      </c>
      <c r="C124" s="7" t="s">
        <v>2209</v>
      </c>
    </row>
    <row r="125" spans="1:3" ht="15.75" customHeight="1">
      <c r="A125" s="126">
        <v>46217.017164351899</v>
      </c>
      <c r="B125" s="7" t="s">
        <v>2154</v>
      </c>
      <c r="C125" s="7" t="s">
        <v>2210</v>
      </c>
    </row>
    <row r="126" spans="1:3" ht="15.75" customHeight="1">
      <c r="A126" s="126">
        <v>46217.2656712963</v>
      </c>
      <c r="B126" s="7" t="s">
        <v>2154</v>
      </c>
      <c r="C126" s="7" t="s">
        <v>2210</v>
      </c>
    </row>
    <row r="127" spans="1:3" ht="15.75" customHeight="1">
      <c r="A127" s="126">
        <v>46217.515520833302</v>
      </c>
      <c r="B127" s="7" t="s">
        <v>2154</v>
      </c>
      <c r="C127" s="7" t="s">
        <v>2210</v>
      </c>
    </row>
    <row r="128" spans="1:3" ht="15.75" customHeight="1">
      <c r="A128" s="126">
        <v>46217.595162037003</v>
      </c>
      <c r="B128" s="7" t="s">
        <v>2154</v>
      </c>
      <c r="C128" s="7" t="s">
        <v>2210</v>
      </c>
    </row>
    <row r="129" spans="1:3" ht="15.75" customHeight="1">
      <c r="A129" s="126">
        <v>46217.765162037002</v>
      </c>
      <c r="B129" s="7" t="s">
        <v>2150</v>
      </c>
      <c r="C129" s="7" t="s">
        <v>2211</v>
      </c>
    </row>
    <row r="130" spans="1:3" ht="15.75" customHeight="1">
      <c r="A130" s="126">
        <v>46218.0151736111</v>
      </c>
      <c r="B130" s="7" t="s">
        <v>2150</v>
      </c>
      <c r="C130" s="7" t="s">
        <v>2211</v>
      </c>
    </row>
    <row r="131" spans="1:3" ht="15.75" customHeight="1">
      <c r="A131" s="126">
        <v>46218.265208333301</v>
      </c>
      <c r="B131" s="7" t="s">
        <v>2150</v>
      </c>
      <c r="C131" s="7" t="s">
        <v>2211</v>
      </c>
    </row>
    <row r="132" spans="1:3" ht="15.75" customHeight="1">
      <c r="A132" s="126">
        <v>46218.491817129601</v>
      </c>
      <c r="B132" s="7" t="s">
        <v>2150</v>
      </c>
      <c r="C132" s="7" t="s">
        <v>2211</v>
      </c>
    </row>
    <row r="133" spans="1:3" ht="15.75" customHeight="1">
      <c r="A133" s="126">
        <v>46218.494363425903</v>
      </c>
      <c r="B133" s="7" t="s">
        <v>2154</v>
      </c>
      <c r="C133" s="7" t="s">
        <v>2212</v>
      </c>
    </row>
    <row r="134" spans="1:3" ht="15.75" customHeight="1">
      <c r="A134" s="126">
        <v>46218.516655092601</v>
      </c>
      <c r="B134" s="7" t="s">
        <v>2154</v>
      </c>
      <c r="C134" s="7" t="s">
        <v>2212</v>
      </c>
    </row>
    <row r="135" spans="1:3" ht="15.75" customHeight="1">
      <c r="A135" s="126">
        <v>46218.743206018502</v>
      </c>
      <c r="B135" s="7" t="s">
        <v>2154</v>
      </c>
      <c r="C135" s="7" t="s">
        <v>2212</v>
      </c>
    </row>
    <row r="136" spans="1:3" ht="15.75" customHeight="1">
      <c r="A136" s="126">
        <v>46218.7444791667</v>
      </c>
      <c r="B136" s="7" t="s">
        <v>2154</v>
      </c>
      <c r="C136" s="7" t="s">
        <v>2212</v>
      </c>
    </row>
    <row r="137" spans="1:3" ht="15.75" customHeight="1">
      <c r="A137" s="126">
        <v>46218.765381944402</v>
      </c>
      <c r="B137" s="7" t="s">
        <v>2154</v>
      </c>
      <c r="C137" s="7" t="s">
        <v>2212</v>
      </c>
    </row>
    <row r="138" spans="1:3" ht="15.75" customHeight="1">
      <c r="A138" s="126">
        <v>46219.015821759298</v>
      </c>
      <c r="B138" s="7" t="s">
        <v>2154</v>
      </c>
      <c r="C138" s="7" t="s">
        <v>2212</v>
      </c>
    </row>
    <row r="139" spans="1:3" ht="15.75" customHeight="1">
      <c r="A139" s="126">
        <v>46219.267372685201</v>
      </c>
      <c r="B139" s="7" t="s">
        <v>2154</v>
      </c>
      <c r="C139" s="7" t="s">
        <v>2212</v>
      </c>
    </row>
    <row r="140" spans="1:3" ht="15.75" customHeight="1">
      <c r="A140" s="126">
        <v>46219.515844907401</v>
      </c>
      <c r="B140" s="7" t="s">
        <v>2154</v>
      </c>
      <c r="C140" s="7" t="s">
        <v>2212</v>
      </c>
    </row>
    <row r="141" spans="1:3" ht="15.75" customHeight="1">
      <c r="A141" s="126">
        <v>46219.765405092599</v>
      </c>
      <c r="B141" s="7" t="s">
        <v>2154</v>
      </c>
      <c r="C141" s="7" t="s">
        <v>2212</v>
      </c>
    </row>
    <row r="142" spans="1:3" ht="15.75" customHeight="1">
      <c r="A142" s="126">
        <v>46220.015347222201</v>
      </c>
      <c r="B142" s="7" t="s">
        <v>2154</v>
      </c>
      <c r="C142" s="7" t="s">
        <v>2212</v>
      </c>
    </row>
    <row r="143" spans="1:3" ht="15.75" customHeight="1">
      <c r="A143" s="126">
        <v>46220.265416666698</v>
      </c>
      <c r="B143" s="7" t="s">
        <v>2154</v>
      </c>
      <c r="C143" s="7" t="s">
        <v>2212</v>
      </c>
    </row>
    <row r="144" spans="1:3" ht="15.75" customHeight="1">
      <c r="A144" s="126">
        <v>46220.516145833302</v>
      </c>
      <c r="B144" s="7" t="s">
        <v>2154</v>
      </c>
      <c r="C144" s="7" t="s">
        <v>2212</v>
      </c>
    </row>
    <row r="145" spans="1:3" ht="15.75" customHeight="1">
      <c r="A145" s="126">
        <v>46220.765416666698</v>
      </c>
      <c r="B145" s="7" t="s">
        <v>2154</v>
      </c>
      <c r="C145" s="7" t="s">
        <v>2212</v>
      </c>
    </row>
    <row r="146" spans="1:3" ht="15.75" customHeight="1">
      <c r="A146" s="126">
        <v>46221.015405092599</v>
      </c>
      <c r="B146" s="7" t="s">
        <v>2154</v>
      </c>
      <c r="C146" s="7" t="s">
        <v>2212</v>
      </c>
    </row>
    <row r="147" spans="1:3" ht="15.75" customHeight="1">
      <c r="A147" s="126">
        <v>46221.265405092599</v>
      </c>
      <c r="B147" s="7" t="s">
        <v>2154</v>
      </c>
      <c r="C147" s="7" t="s">
        <v>2212</v>
      </c>
    </row>
    <row r="148" spans="1:3" ht="15.75" customHeight="1">
      <c r="A148" s="126">
        <v>46221.5153587963</v>
      </c>
      <c r="B148" s="7" t="s">
        <v>2154</v>
      </c>
      <c r="C148" s="7" t="s">
        <v>2212</v>
      </c>
    </row>
    <row r="149" spans="1:3" ht="15.75" customHeight="1">
      <c r="A149" s="126">
        <v>46221.765543981499</v>
      </c>
      <c r="B149" s="7" t="s">
        <v>2154</v>
      </c>
      <c r="C149" s="7" t="s">
        <v>2212</v>
      </c>
    </row>
    <row r="150" spans="1:3" ht="15.75" customHeight="1">
      <c r="A150" s="126">
        <v>46222.015347222201</v>
      </c>
      <c r="B150" s="7" t="s">
        <v>2154</v>
      </c>
      <c r="C150" s="7" t="s">
        <v>2212</v>
      </c>
    </row>
    <row r="151" spans="1:3" ht="15.75" customHeight="1">
      <c r="A151" s="126">
        <v>46222.2660300926</v>
      </c>
      <c r="B151" s="7" t="s">
        <v>2154</v>
      </c>
      <c r="C151" s="7" t="s">
        <v>2212</v>
      </c>
    </row>
    <row r="152" spans="1:3" ht="15.75" customHeight="1">
      <c r="A152" s="126">
        <v>46222.516250000001</v>
      </c>
      <c r="B152" s="7" t="s">
        <v>2154</v>
      </c>
      <c r="C152" s="7" t="s">
        <v>2212</v>
      </c>
    </row>
    <row r="153" spans="1:3" ht="15.75" customHeight="1">
      <c r="A153" s="126">
        <v>46222.765370370398</v>
      </c>
      <c r="B153" s="7" t="s">
        <v>2154</v>
      </c>
      <c r="C153" s="7" t="s">
        <v>2212</v>
      </c>
    </row>
    <row r="154" spans="1:3" ht="15.75" customHeight="1">
      <c r="A154" s="126">
        <v>46223.015347222201</v>
      </c>
      <c r="B154" s="7" t="s">
        <v>2154</v>
      </c>
      <c r="C154" s="7" t="s">
        <v>2212</v>
      </c>
    </row>
    <row r="155" spans="1:3" ht="15.75" customHeight="1">
      <c r="A155" s="126">
        <v>46223.266990740703</v>
      </c>
      <c r="B155" s="7" t="s">
        <v>2154</v>
      </c>
      <c r="C155" s="7" t="s">
        <v>2212</v>
      </c>
    </row>
    <row r="156" spans="1:3" ht="15.75" customHeight="1">
      <c r="A156" s="126">
        <v>46223.510659722197</v>
      </c>
      <c r="B156" s="7" t="s">
        <v>2154</v>
      </c>
      <c r="C156" s="7" t="s">
        <v>2212</v>
      </c>
    </row>
    <row r="157" spans="1:3" ht="15.75" customHeight="1">
      <c r="A157" s="126">
        <v>46223.5153587963</v>
      </c>
      <c r="B157" s="7" t="s">
        <v>2154</v>
      </c>
      <c r="C157" s="7" t="s">
        <v>2212</v>
      </c>
    </row>
    <row r="158" spans="1:3" ht="15.75" customHeight="1">
      <c r="A158" s="126">
        <v>46223.765439814801</v>
      </c>
      <c r="B158" s="7" t="s">
        <v>2154</v>
      </c>
      <c r="C158" s="7" t="s">
        <v>2212</v>
      </c>
    </row>
    <row r="159" spans="1:3" ht="15.75" customHeight="1">
      <c r="A159" s="126">
        <v>46224.015601851897</v>
      </c>
      <c r="B159" s="7" t="s">
        <v>2154</v>
      </c>
      <c r="C159" s="7" t="s">
        <v>2212</v>
      </c>
    </row>
    <row r="160" spans="1:3" ht="15.75" customHeight="1">
      <c r="A160" s="126">
        <v>46224.267719907402</v>
      </c>
      <c r="B160" s="7" t="s">
        <v>2154</v>
      </c>
      <c r="C160" s="7" t="s">
        <v>2212</v>
      </c>
    </row>
    <row r="161" spans="1:3" ht="15.75" customHeight="1">
      <c r="A161" s="126">
        <v>46224.515347222201</v>
      </c>
      <c r="B161" s="7" t="s">
        <v>2154</v>
      </c>
      <c r="C161" s="7" t="s">
        <v>2212</v>
      </c>
    </row>
    <row r="162" spans="1:3" ht="15.75" customHeight="1">
      <c r="A162" s="126">
        <v>46224.765347222201</v>
      </c>
      <c r="B162" s="7" t="s">
        <v>2154</v>
      </c>
      <c r="C162" s="7" t="s">
        <v>2212</v>
      </c>
    </row>
    <row r="163" spans="1:3" ht="15.75" customHeight="1">
      <c r="A163" s="126">
        <v>46225.018229166701</v>
      </c>
      <c r="B163" s="7" t="s">
        <v>2154</v>
      </c>
      <c r="C163" s="7" t="s">
        <v>2212</v>
      </c>
    </row>
    <row r="164" spans="1:3" ht="15.75" customHeight="1">
      <c r="A164" s="126">
        <v>46225.265370370398</v>
      </c>
      <c r="B164" s="7" t="s">
        <v>2154</v>
      </c>
      <c r="C164" s="7" t="s">
        <v>2212</v>
      </c>
    </row>
    <row r="165" spans="1:3" ht="15.75" customHeight="1">
      <c r="A165" s="126">
        <v>46225.515381944402</v>
      </c>
      <c r="B165" s="7" t="s">
        <v>2154</v>
      </c>
      <c r="C165" s="7" t="s">
        <v>2212</v>
      </c>
    </row>
    <row r="166" spans="1:3" ht="15.75" customHeight="1">
      <c r="A166" s="126">
        <v>46225.5805092593</v>
      </c>
      <c r="B166" s="7" t="s">
        <v>2154</v>
      </c>
      <c r="C166" s="7" t="s">
        <v>2212</v>
      </c>
    </row>
    <row r="167" spans="1:3" ht="15.75" customHeight="1">
      <c r="A167" s="126">
        <v>46225.765381944402</v>
      </c>
      <c r="B167" s="7" t="s">
        <v>2154</v>
      </c>
      <c r="C167" s="7" t="s">
        <v>2212</v>
      </c>
    </row>
    <row r="168" spans="1:3" ht="15.75" customHeight="1">
      <c r="A168" s="126">
        <v>46226.0160763889</v>
      </c>
      <c r="B168" s="7" t="s">
        <v>2154</v>
      </c>
      <c r="C168" s="7" t="s">
        <v>2212</v>
      </c>
    </row>
    <row r="169" spans="1:3" ht="15.75" customHeight="1">
      <c r="A169" s="126">
        <v>46226.2655324074</v>
      </c>
      <c r="B169" s="7" t="s">
        <v>2154</v>
      </c>
      <c r="C169" s="7" t="s">
        <v>2212</v>
      </c>
    </row>
    <row r="170" spans="1:3" ht="15.75" customHeight="1">
      <c r="A170" s="126">
        <v>46226.515381944402</v>
      </c>
      <c r="B170" s="7" t="s">
        <v>2154</v>
      </c>
      <c r="C170" s="7" t="s">
        <v>2213</v>
      </c>
    </row>
    <row r="171" spans="1:3" ht="15.75" customHeight="1">
      <c r="A171" s="126">
        <v>46226.7659375</v>
      </c>
      <c r="B171" s="7" t="s">
        <v>2154</v>
      </c>
      <c r="C171" s="7" t="s">
        <v>2212</v>
      </c>
    </row>
    <row r="172" spans="1:3" ht="15.75" customHeight="1">
      <c r="A172" s="126">
        <v>46227.015324074098</v>
      </c>
      <c r="B172" s="7" t="s">
        <v>2154</v>
      </c>
      <c r="C172" s="7" t="s">
        <v>2214</v>
      </c>
    </row>
    <row r="173" spans="1:3" ht="15.75" customHeight="1">
      <c r="A173" s="126">
        <v>46227.265694444402</v>
      </c>
      <c r="B173" s="7" t="s">
        <v>2154</v>
      </c>
      <c r="C173" s="7" t="s">
        <v>2214</v>
      </c>
    </row>
    <row r="174" spans="1:3" ht="15.75" customHeight="1">
      <c r="A174" s="126">
        <v>46227.476400462998</v>
      </c>
      <c r="B174" s="7" t="s">
        <v>2154</v>
      </c>
      <c r="C174" s="7" t="s">
        <v>2214</v>
      </c>
    </row>
    <row r="175" spans="1:3" ht="15.75" customHeight="1">
      <c r="A175" s="126">
        <v>46227.515451388899</v>
      </c>
      <c r="B175" s="7" t="s">
        <v>2154</v>
      </c>
      <c r="C175" s="7" t="s">
        <v>2214</v>
      </c>
    </row>
    <row r="176" spans="1:3" ht="15.75" customHeight="1">
      <c r="A176" s="126">
        <v>46227.765520833302</v>
      </c>
      <c r="B176" s="7" t="s">
        <v>2154</v>
      </c>
      <c r="C176" s="7" t="s">
        <v>2214</v>
      </c>
    </row>
    <row r="177" spans="1:3" ht="15.75" customHeight="1">
      <c r="A177" s="126">
        <v>46228.0156712963</v>
      </c>
      <c r="B177" s="7" t="s">
        <v>2154</v>
      </c>
      <c r="C177" s="7" t="s">
        <v>2214</v>
      </c>
    </row>
    <row r="178" spans="1:3" ht="15.75" customHeight="1">
      <c r="A178" s="126">
        <v>46228.265474537002</v>
      </c>
      <c r="B178" s="7" t="s">
        <v>2154</v>
      </c>
      <c r="C178" s="7" t="s">
        <v>2214</v>
      </c>
    </row>
    <row r="179" spans="1:3" ht="15.75" customHeight="1">
      <c r="A179" s="126">
        <v>46228.515370370398</v>
      </c>
      <c r="B179" s="7" t="s">
        <v>2154</v>
      </c>
      <c r="C179" s="7" t="s">
        <v>2214</v>
      </c>
    </row>
    <row r="180" spans="1:3" ht="15.75" customHeight="1">
      <c r="A180" s="126">
        <v>46228.705405092602</v>
      </c>
      <c r="B180" s="7" t="s">
        <v>2215</v>
      </c>
      <c r="C180" s="7" t="s">
        <v>2216</v>
      </c>
    </row>
    <row r="181" spans="1:3" ht="15.75" customHeight="1">
      <c r="A181" s="126">
        <v>46228.705543981501</v>
      </c>
      <c r="B181" s="7" t="s">
        <v>2217</v>
      </c>
      <c r="C181" s="7" t="s">
        <v>2218</v>
      </c>
    </row>
    <row r="182" spans="1:3" ht="15.75" customHeight="1">
      <c r="A182" s="126">
        <v>46228.705543981501</v>
      </c>
      <c r="B182" s="7" t="s">
        <v>2219</v>
      </c>
      <c r="C182" s="7" t="s">
        <v>2220</v>
      </c>
    </row>
    <row r="183" spans="1:3" ht="15.75" customHeight="1">
      <c r="A183" s="126">
        <v>46228.706643518497</v>
      </c>
      <c r="B183" s="7" t="s">
        <v>2215</v>
      </c>
      <c r="C183" s="7" t="s">
        <v>2221</v>
      </c>
    </row>
    <row r="184" spans="1:3" ht="15.75" customHeight="1">
      <c r="A184" s="126">
        <v>46228.715358796297</v>
      </c>
      <c r="B184" s="7" t="s">
        <v>2215</v>
      </c>
      <c r="C184" s="7" t="s">
        <v>2222</v>
      </c>
    </row>
    <row r="185" spans="1:3" ht="15.75" customHeight="1">
      <c r="A185" s="126">
        <v>46228.717766203699</v>
      </c>
      <c r="B185" s="7" t="s">
        <v>2154</v>
      </c>
      <c r="C185" s="7" t="s">
        <v>2223</v>
      </c>
    </row>
    <row r="186" spans="1:3" ht="15.75" customHeight="1">
      <c r="A186" s="126">
        <v>46228.717916666697</v>
      </c>
      <c r="B186" s="7" t="s">
        <v>2224</v>
      </c>
      <c r="C186" s="7" t="s">
        <v>2225</v>
      </c>
    </row>
    <row r="187" spans="1:3" ht="15.75" customHeight="1">
      <c r="A187" s="126">
        <v>46228.723530092597</v>
      </c>
      <c r="B187" s="7" t="s">
        <v>2217</v>
      </c>
      <c r="C187" s="7" t="s">
        <v>2226</v>
      </c>
    </row>
    <row r="188" spans="1:3" ht="15.75" customHeight="1">
      <c r="A188" s="126">
        <v>46228.723530092597</v>
      </c>
      <c r="B188" s="7" t="s">
        <v>2219</v>
      </c>
      <c r="C188" s="7" t="s">
        <v>2227</v>
      </c>
    </row>
    <row r="189" spans="1:3" ht="15.75" customHeight="1">
      <c r="A189" s="126">
        <v>46228.7250347222</v>
      </c>
      <c r="B189" s="7" t="s">
        <v>2224</v>
      </c>
      <c r="C189" s="7" t="s">
        <v>2225</v>
      </c>
    </row>
    <row r="190" spans="1:3" ht="15.75" customHeight="1">
      <c r="A190" s="126">
        <v>46228.7655787037</v>
      </c>
      <c r="B190" s="7" t="s">
        <v>2154</v>
      </c>
      <c r="C190" s="7" t="s">
        <v>2223</v>
      </c>
    </row>
    <row r="191" spans="1:3" ht="15.75" customHeight="1">
      <c r="A191" s="126">
        <v>46228.7658912037</v>
      </c>
      <c r="B191" s="7" t="s">
        <v>2224</v>
      </c>
      <c r="C191" s="7" t="s">
        <v>2228</v>
      </c>
    </row>
    <row r="192" spans="1:3" ht="15.75" customHeight="1">
      <c r="A192" s="126">
        <v>46229.015775462998</v>
      </c>
      <c r="B192" s="7" t="s">
        <v>2154</v>
      </c>
      <c r="C192" s="7" t="s">
        <v>2223</v>
      </c>
    </row>
    <row r="193" spans="1:3" ht="15.75" customHeight="1">
      <c r="A193" s="126">
        <v>46229.016087962998</v>
      </c>
      <c r="B193" s="7" t="s">
        <v>2224</v>
      </c>
      <c r="C193" s="7" t="s">
        <v>2229</v>
      </c>
    </row>
    <row r="194" spans="1:3" ht="15.75" customHeight="1">
      <c r="A194" s="126">
        <v>46229.265520833302</v>
      </c>
      <c r="B194" s="7" t="s">
        <v>2154</v>
      </c>
      <c r="C194" s="7" t="s">
        <v>2223</v>
      </c>
    </row>
    <row r="195" spans="1:3" ht="15.75" customHeight="1">
      <c r="A195" s="126">
        <v>46229.265729166698</v>
      </c>
      <c r="B195" s="7" t="s">
        <v>2224</v>
      </c>
      <c r="C195" s="7" t="s">
        <v>2230</v>
      </c>
    </row>
    <row r="196" spans="1:3" ht="15.75" customHeight="1">
      <c r="A196" s="126">
        <v>46229.516273148103</v>
      </c>
      <c r="B196" s="7" t="s">
        <v>2154</v>
      </c>
      <c r="C196" s="7" t="s">
        <v>2223</v>
      </c>
    </row>
    <row r="197" spans="1:3" ht="15.75" customHeight="1">
      <c r="A197" s="126">
        <v>46229.516689814802</v>
      </c>
      <c r="B197" s="7" t="s">
        <v>2224</v>
      </c>
      <c r="C197" s="7" t="s">
        <v>2231</v>
      </c>
    </row>
    <row r="198" spans="1:3" ht="15.75" customHeight="1">
      <c r="A198" s="126">
        <v>46229.7661689815</v>
      </c>
      <c r="B198" s="7" t="s">
        <v>2154</v>
      </c>
      <c r="C198" s="7" t="s">
        <v>2223</v>
      </c>
    </row>
    <row r="199" spans="1:3" ht="15.75" customHeight="1">
      <c r="A199" s="126">
        <v>46229.766655092601</v>
      </c>
      <c r="B199" s="7" t="s">
        <v>2224</v>
      </c>
      <c r="C199" s="7" t="s">
        <v>2232</v>
      </c>
    </row>
    <row r="200" spans="1:3" ht="15.75" customHeight="1">
      <c r="A200" s="126">
        <v>46230.015810185199</v>
      </c>
      <c r="B200" s="7" t="s">
        <v>2154</v>
      </c>
      <c r="C200" s="7" t="s">
        <v>2223</v>
      </c>
    </row>
    <row r="201" spans="1:3" ht="15.75" customHeight="1">
      <c r="A201" s="126">
        <v>46230.016064814801</v>
      </c>
      <c r="B201" s="7" t="s">
        <v>2224</v>
      </c>
      <c r="C201" s="7" t="s">
        <v>2233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V1002"/>
  <sheetViews>
    <sheetView workbookViewId="0"/>
  </sheetViews>
  <sheetFormatPr baseColWidth="10" defaultColWidth="12.6640625" defaultRowHeight="15.75" customHeight="1"/>
  <cols>
    <col min="4" max="4" width="75" customWidth="1"/>
    <col min="5" max="5" width="15.5" customWidth="1"/>
  </cols>
  <sheetData>
    <row r="1" spans="1:22" ht="15.75" customHeight="1">
      <c r="A1" s="57"/>
      <c r="B1" s="58"/>
      <c r="C1" s="58"/>
      <c r="D1" s="59"/>
      <c r="E1" s="60"/>
      <c r="F1" s="61"/>
    </row>
    <row r="2" spans="1:22" ht="15.75" customHeight="1">
      <c r="A2" s="62" t="s">
        <v>1224</v>
      </c>
      <c r="B2" s="63" t="s">
        <v>2147</v>
      </c>
      <c r="C2" s="63" t="s">
        <v>2234</v>
      </c>
      <c r="D2" s="64" t="s">
        <v>2235</v>
      </c>
      <c r="E2" s="65" t="s">
        <v>2236</v>
      </c>
      <c r="F2" s="61" t="s">
        <v>2237</v>
      </c>
    </row>
    <row r="3" spans="1:22" ht="15.75" customHeight="1">
      <c r="A3" s="155">
        <v>46209</v>
      </c>
      <c r="B3" s="66" t="s">
        <v>2238</v>
      </c>
      <c r="C3" s="67" t="s">
        <v>2239</v>
      </c>
      <c r="D3" s="68" t="s">
        <v>2240</v>
      </c>
      <c r="E3" s="69" t="s">
        <v>2241</v>
      </c>
    </row>
    <row r="4" spans="1:22" ht="15.75" customHeight="1">
      <c r="A4" s="156"/>
      <c r="B4" s="66" t="s">
        <v>2242</v>
      </c>
      <c r="C4" s="67" t="s">
        <v>2239</v>
      </c>
      <c r="D4" s="68" t="s">
        <v>2243</v>
      </c>
      <c r="E4" s="69" t="s">
        <v>2241</v>
      </c>
    </row>
    <row r="5" spans="1:22" ht="15.75" customHeight="1">
      <c r="A5" s="157"/>
      <c r="B5" s="70" t="s">
        <v>2244</v>
      </c>
      <c r="C5" s="70" t="s">
        <v>2239</v>
      </c>
      <c r="D5" s="71" t="s">
        <v>2245</v>
      </c>
      <c r="E5" s="72" t="s">
        <v>2241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</row>
    <row r="6" spans="1:22" ht="15.75" customHeight="1">
      <c r="A6" s="155">
        <v>46210</v>
      </c>
      <c r="B6" s="66" t="s">
        <v>2246</v>
      </c>
      <c r="C6" s="67" t="s">
        <v>2239</v>
      </c>
      <c r="D6" s="73" t="s">
        <v>2247</v>
      </c>
      <c r="E6" s="69" t="s">
        <v>2241</v>
      </c>
    </row>
    <row r="7" spans="1:22" ht="15.75" customHeight="1">
      <c r="A7" s="157"/>
      <c r="B7" s="74" t="s">
        <v>2248</v>
      </c>
      <c r="C7" s="75" t="s">
        <v>2239</v>
      </c>
      <c r="D7" s="71" t="s">
        <v>2249</v>
      </c>
      <c r="E7" s="76" t="s">
        <v>2241</v>
      </c>
    </row>
    <row r="8" spans="1:22" ht="15.75" customHeight="1">
      <c r="A8" s="155">
        <v>46211</v>
      </c>
      <c r="B8" s="66" t="s">
        <v>2246</v>
      </c>
      <c r="C8" s="67" t="s">
        <v>2239</v>
      </c>
      <c r="D8" s="68" t="s">
        <v>2250</v>
      </c>
      <c r="E8" s="69" t="s">
        <v>2241</v>
      </c>
    </row>
    <row r="9" spans="1:22" ht="15.75" customHeight="1">
      <c r="A9" s="157"/>
      <c r="B9" s="74" t="s">
        <v>2248</v>
      </c>
      <c r="C9" s="75" t="s">
        <v>2239</v>
      </c>
      <c r="D9" s="77" t="s">
        <v>2251</v>
      </c>
      <c r="E9" s="76" t="s">
        <v>2241</v>
      </c>
    </row>
    <row r="10" spans="1:22" ht="15.75" customHeight="1">
      <c r="A10" s="158">
        <v>46212</v>
      </c>
      <c r="B10" s="78" t="s">
        <v>2246</v>
      </c>
      <c r="C10" s="79" t="s">
        <v>2239</v>
      </c>
      <c r="D10" s="80" t="s">
        <v>2252</v>
      </c>
      <c r="E10" s="69" t="s">
        <v>2241</v>
      </c>
    </row>
    <row r="11" spans="1:22" ht="15.75" customHeight="1">
      <c r="A11" s="157"/>
      <c r="B11" s="81" t="s">
        <v>2248</v>
      </c>
      <c r="C11" s="82" t="s">
        <v>2239</v>
      </c>
      <c r="D11" s="83" t="s">
        <v>2253</v>
      </c>
      <c r="E11" s="76" t="s">
        <v>2241</v>
      </c>
    </row>
    <row r="12" spans="1:22" ht="15.75" customHeight="1">
      <c r="A12" s="84">
        <v>46213</v>
      </c>
      <c r="B12" s="81" t="s">
        <v>2254</v>
      </c>
      <c r="C12" s="82" t="s">
        <v>2239</v>
      </c>
      <c r="D12" s="85" t="s">
        <v>2255</v>
      </c>
      <c r="E12" s="76"/>
    </row>
    <row r="13" spans="1:22" ht="15.75" customHeight="1">
      <c r="A13" s="159">
        <v>46216</v>
      </c>
      <c r="B13" s="74" t="s">
        <v>2246</v>
      </c>
      <c r="C13" s="75" t="s">
        <v>2239</v>
      </c>
      <c r="D13" s="77" t="s">
        <v>2256</v>
      </c>
      <c r="E13" s="69" t="s">
        <v>2241</v>
      </c>
    </row>
    <row r="14" spans="1:22" ht="15.75" customHeight="1">
      <c r="A14" s="156"/>
      <c r="B14" s="86" t="s">
        <v>2248</v>
      </c>
      <c r="C14" s="87" t="s">
        <v>2239</v>
      </c>
      <c r="D14" s="88" t="s">
        <v>2257</v>
      </c>
      <c r="E14" s="69" t="s">
        <v>2241</v>
      </c>
    </row>
    <row r="15" spans="1:22" ht="15.75" customHeight="1">
      <c r="A15" s="156"/>
      <c r="B15" s="89" t="s">
        <v>2258</v>
      </c>
      <c r="C15" s="89" t="s">
        <v>2239</v>
      </c>
      <c r="D15" s="88" t="s">
        <v>2259</v>
      </c>
      <c r="E15" s="69" t="s">
        <v>2260</v>
      </c>
      <c r="F15" s="61"/>
    </row>
    <row r="16" spans="1:22" ht="15.75" customHeight="1">
      <c r="A16" s="157"/>
      <c r="B16" s="90" t="s">
        <v>2258</v>
      </c>
      <c r="C16" s="90" t="s">
        <v>2239</v>
      </c>
      <c r="D16" s="91" t="s">
        <v>2261</v>
      </c>
      <c r="E16" s="76" t="s">
        <v>2260</v>
      </c>
      <c r="F16" s="61"/>
    </row>
    <row r="17" spans="1:6" ht="15.75" customHeight="1">
      <c r="A17" s="159">
        <v>46217</v>
      </c>
      <c r="B17" s="92" t="s">
        <v>2262</v>
      </c>
      <c r="C17" s="89" t="s">
        <v>2239</v>
      </c>
      <c r="D17" s="88" t="s">
        <v>2263</v>
      </c>
      <c r="E17" s="69" t="s">
        <v>2264</v>
      </c>
    </row>
    <row r="18" spans="1:6" ht="15.75" customHeight="1">
      <c r="A18" s="157"/>
      <c r="B18" s="81" t="s">
        <v>2265</v>
      </c>
      <c r="C18" s="93" t="s">
        <v>2239</v>
      </c>
      <c r="D18" s="85" t="s">
        <v>2266</v>
      </c>
      <c r="E18" s="76"/>
    </row>
    <row r="19" spans="1:6" ht="15.75" customHeight="1">
      <c r="A19" s="158">
        <v>46218</v>
      </c>
      <c r="B19" s="79" t="s">
        <v>2267</v>
      </c>
      <c r="C19" s="94" t="s">
        <v>2239</v>
      </c>
      <c r="D19" s="95" t="s">
        <v>2268</v>
      </c>
      <c r="E19" s="166"/>
    </row>
    <row r="20" spans="1:6" ht="15.75" customHeight="1">
      <c r="A20" s="157"/>
      <c r="B20" s="82" t="s">
        <v>2269</v>
      </c>
      <c r="C20" s="93" t="s">
        <v>2239</v>
      </c>
      <c r="D20" s="85" t="s">
        <v>2268</v>
      </c>
      <c r="E20" s="167"/>
    </row>
    <row r="21" spans="1:6" ht="15.75" customHeight="1">
      <c r="A21" s="160">
        <v>46219</v>
      </c>
      <c r="B21" s="96" t="s">
        <v>2246</v>
      </c>
      <c r="C21" s="97" t="s">
        <v>2239</v>
      </c>
      <c r="D21" s="98" t="s">
        <v>2270</v>
      </c>
      <c r="E21" s="69" t="s">
        <v>2241</v>
      </c>
    </row>
    <row r="22" spans="1:6" ht="15.75" customHeight="1">
      <c r="A22" s="156"/>
      <c r="B22" s="96" t="s">
        <v>2271</v>
      </c>
      <c r="C22" s="97" t="s">
        <v>2239</v>
      </c>
      <c r="D22" s="98" t="s">
        <v>2272</v>
      </c>
      <c r="E22" s="69" t="s">
        <v>2241</v>
      </c>
    </row>
    <row r="23" spans="1:6" ht="15.75" customHeight="1">
      <c r="A23" s="157"/>
      <c r="B23" s="99" t="s">
        <v>2258</v>
      </c>
      <c r="C23" s="99" t="s">
        <v>2239</v>
      </c>
      <c r="D23" s="100" t="s">
        <v>2273</v>
      </c>
      <c r="E23" s="76" t="s">
        <v>2260</v>
      </c>
      <c r="F23" s="61" t="s">
        <v>2274</v>
      </c>
    </row>
    <row r="24" spans="1:6" ht="15.75" customHeight="1">
      <c r="A24" s="160">
        <v>46220</v>
      </c>
      <c r="B24" s="97" t="s">
        <v>2258</v>
      </c>
      <c r="C24" s="97" t="s">
        <v>2239</v>
      </c>
      <c r="D24" s="101" t="s">
        <v>2275</v>
      </c>
      <c r="E24" s="69" t="s">
        <v>2260</v>
      </c>
      <c r="F24" s="61"/>
    </row>
    <row r="25" spans="1:6" ht="15.75" customHeight="1">
      <c r="A25" s="157"/>
      <c r="B25" s="81" t="s">
        <v>2276</v>
      </c>
      <c r="C25" s="93" t="s">
        <v>2239</v>
      </c>
      <c r="D25" s="85" t="s">
        <v>2277</v>
      </c>
      <c r="E25" s="76"/>
    </row>
    <row r="26" spans="1:6" ht="15.75" customHeight="1">
      <c r="A26" s="160">
        <v>46223</v>
      </c>
      <c r="B26" s="97" t="s">
        <v>2258</v>
      </c>
      <c r="C26" s="97" t="s">
        <v>2239</v>
      </c>
      <c r="D26" s="98" t="s">
        <v>2278</v>
      </c>
      <c r="E26" s="69" t="s">
        <v>2260</v>
      </c>
      <c r="F26" s="61" t="s">
        <v>2274</v>
      </c>
    </row>
    <row r="27" spans="1:6" ht="15.75" customHeight="1">
      <c r="A27" s="157"/>
      <c r="B27" s="102" t="s">
        <v>2248</v>
      </c>
      <c r="C27" s="99" t="s">
        <v>2239</v>
      </c>
      <c r="D27" s="100" t="s">
        <v>2279</v>
      </c>
      <c r="E27" s="76"/>
    </row>
    <row r="28" spans="1:6" ht="15.75" customHeight="1">
      <c r="A28" s="161">
        <v>46224</v>
      </c>
      <c r="B28" s="103" t="s">
        <v>2280</v>
      </c>
      <c r="C28" s="104" t="s">
        <v>2239</v>
      </c>
      <c r="D28" s="105" t="s">
        <v>2281</v>
      </c>
      <c r="E28" s="69" t="s">
        <v>2241</v>
      </c>
    </row>
    <row r="29" spans="1:6" ht="15.75" customHeight="1">
      <c r="A29" s="156"/>
      <c r="B29" s="103" t="s">
        <v>2282</v>
      </c>
      <c r="C29" s="104" t="s">
        <v>2239</v>
      </c>
      <c r="D29" s="105" t="s">
        <v>2283</v>
      </c>
      <c r="E29" s="69" t="s">
        <v>2241</v>
      </c>
    </row>
    <row r="30" spans="1:6" ht="15.75" customHeight="1">
      <c r="A30" s="157"/>
      <c r="B30" s="106" t="s">
        <v>2258</v>
      </c>
      <c r="C30" s="106" t="s">
        <v>2239</v>
      </c>
      <c r="D30" s="107" t="s">
        <v>2284</v>
      </c>
      <c r="E30" s="76" t="s">
        <v>2260</v>
      </c>
      <c r="F30" s="61" t="s">
        <v>2274</v>
      </c>
    </row>
    <row r="31" spans="1:6" ht="15.75" customHeight="1">
      <c r="A31" s="161">
        <v>46225</v>
      </c>
      <c r="B31" s="103" t="s">
        <v>2280</v>
      </c>
      <c r="C31" s="104" t="s">
        <v>2239</v>
      </c>
      <c r="D31" s="105" t="s">
        <v>2285</v>
      </c>
      <c r="E31" s="69" t="s">
        <v>2264</v>
      </c>
    </row>
    <row r="32" spans="1:6" ht="15.75" customHeight="1">
      <c r="A32" s="156"/>
      <c r="B32" s="103" t="s">
        <v>2286</v>
      </c>
      <c r="C32" s="104" t="s">
        <v>2239</v>
      </c>
      <c r="D32" s="105" t="s">
        <v>2287</v>
      </c>
      <c r="E32" s="69" t="s">
        <v>2241</v>
      </c>
    </row>
    <row r="33" spans="1:5" ht="15.75" customHeight="1">
      <c r="A33" s="157"/>
      <c r="B33" s="82" t="s">
        <v>2288</v>
      </c>
      <c r="C33" s="93" t="s">
        <v>2239</v>
      </c>
      <c r="D33" s="108" t="s">
        <v>2289</v>
      </c>
      <c r="E33" s="76"/>
    </row>
    <row r="34" spans="1:5" ht="15.75" customHeight="1">
      <c r="A34" s="109">
        <v>46226</v>
      </c>
      <c r="B34" s="110" t="s">
        <v>2248</v>
      </c>
      <c r="C34" s="106" t="s">
        <v>2239</v>
      </c>
      <c r="D34" s="107" t="s">
        <v>2290</v>
      </c>
      <c r="E34" s="76" t="s">
        <v>2264</v>
      </c>
    </row>
    <row r="35" spans="1:5" ht="15.75" customHeight="1">
      <c r="A35" s="84">
        <v>46227</v>
      </c>
      <c r="B35" s="93" t="s">
        <v>2246</v>
      </c>
      <c r="C35" s="93" t="s">
        <v>2239</v>
      </c>
      <c r="D35" s="108" t="s">
        <v>2291</v>
      </c>
      <c r="E35" s="76" t="s">
        <v>2264</v>
      </c>
    </row>
    <row r="36" spans="1:5" ht="15.75" customHeight="1">
      <c r="A36" s="162">
        <v>46230</v>
      </c>
      <c r="B36" s="111" t="s">
        <v>2292</v>
      </c>
      <c r="C36" s="112" t="s">
        <v>2293</v>
      </c>
      <c r="D36" s="113" t="s">
        <v>2294</v>
      </c>
      <c r="E36" s="69"/>
    </row>
    <row r="37" spans="1:5" ht="15.75" customHeight="1">
      <c r="A37" s="156"/>
      <c r="B37" s="111" t="s">
        <v>2295</v>
      </c>
      <c r="C37" s="112" t="s">
        <v>2296</v>
      </c>
      <c r="D37" s="113" t="s">
        <v>2297</v>
      </c>
      <c r="E37" s="69" t="s">
        <v>2241</v>
      </c>
    </row>
    <row r="38" spans="1:5" ht="15.75" customHeight="1">
      <c r="A38" s="156"/>
      <c r="B38" s="111" t="s">
        <v>2298</v>
      </c>
      <c r="C38" s="112" t="s">
        <v>2296</v>
      </c>
      <c r="D38" s="114" t="s">
        <v>2299</v>
      </c>
      <c r="E38" s="69" t="s">
        <v>2241</v>
      </c>
    </row>
    <row r="39" spans="1:5" ht="15.75" customHeight="1">
      <c r="A39" s="156"/>
      <c r="B39" s="111" t="s">
        <v>2265</v>
      </c>
      <c r="C39" s="115"/>
      <c r="D39" s="114" t="s">
        <v>2300</v>
      </c>
      <c r="E39" s="69"/>
    </row>
    <row r="40" spans="1:5" ht="15.75" customHeight="1">
      <c r="A40" s="157"/>
      <c r="B40" s="116" t="s">
        <v>2301</v>
      </c>
      <c r="C40" s="117"/>
      <c r="D40" s="118" t="s">
        <v>2302</v>
      </c>
      <c r="E40" s="76"/>
    </row>
    <row r="41" spans="1:5" ht="15.75" customHeight="1">
      <c r="A41" s="163">
        <v>46231</v>
      </c>
      <c r="B41" s="111" t="s">
        <v>2292</v>
      </c>
      <c r="C41" s="115"/>
      <c r="D41" s="113" t="s">
        <v>2303</v>
      </c>
      <c r="E41" s="69"/>
    </row>
    <row r="42" spans="1:5" ht="15.75" customHeight="1">
      <c r="A42" s="164"/>
      <c r="B42" s="119" t="s">
        <v>2295</v>
      </c>
      <c r="C42" s="115"/>
      <c r="D42" s="113" t="s">
        <v>2304</v>
      </c>
      <c r="E42" s="69"/>
    </row>
    <row r="43" spans="1:5" ht="15.75" customHeight="1">
      <c r="A43" s="164"/>
      <c r="B43" s="119" t="s">
        <v>2305</v>
      </c>
      <c r="C43" s="115"/>
      <c r="D43" s="113" t="s">
        <v>2306</v>
      </c>
      <c r="E43" s="69"/>
    </row>
    <row r="44" spans="1:5" ht="15.75" customHeight="1">
      <c r="A44" s="165"/>
      <c r="B44" s="120" t="s">
        <v>2307</v>
      </c>
      <c r="C44" s="121" t="s">
        <v>2308</v>
      </c>
      <c r="D44" s="118" t="s">
        <v>2309</v>
      </c>
      <c r="E44" s="76"/>
    </row>
    <row r="45" spans="1:5" ht="15.75" customHeight="1">
      <c r="A45" s="163">
        <v>46232</v>
      </c>
      <c r="B45" s="111" t="s">
        <v>2292</v>
      </c>
      <c r="C45" s="115"/>
      <c r="D45" s="113" t="s">
        <v>2303</v>
      </c>
      <c r="E45" s="69"/>
    </row>
    <row r="46" spans="1:5" ht="15.75" customHeight="1">
      <c r="A46" s="164"/>
      <c r="B46" s="119" t="s">
        <v>2295</v>
      </c>
      <c r="C46" s="115"/>
      <c r="D46" s="113" t="s">
        <v>2304</v>
      </c>
      <c r="E46" s="69"/>
    </row>
    <row r="47" spans="1:5" ht="15.75" customHeight="1">
      <c r="A47" s="164"/>
      <c r="B47" s="119" t="s">
        <v>2305</v>
      </c>
      <c r="C47" s="115"/>
      <c r="D47" s="113" t="s">
        <v>2306</v>
      </c>
      <c r="E47" s="69"/>
    </row>
    <row r="48" spans="1:5" ht="15.75" customHeight="1">
      <c r="A48" s="165"/>
      <c r="B48" s="120" t="s">
        <v>2307</v>
      </c>
      <c r="C48" s="121" t="s">
        <v>2308</v>
      </c>
      <c r="D48" s="118" t="s">
        <v>2309</v>
      </c>
      <c r="E48" s="76"/>
    </row>
    <row r="49" spans="1:6" ht="15.75" customHeight="1">
      <c r="A49" s="163">
        <v>46233</v>
      </c>
      <c r="B49" s="111" t="s">
        <v>2310</v>
      </c>
      <c r="C49" s="115"/>
      <c r="D49" s="113" t="s">
        <v>2303</v>
      </c>
      <c r="E49" s="69"/>
    </row>
    <row r="50" spans="1:6" ht="15.75" customHeight="1">
      <c r="A50" s="164"/>
      <c r="B50" s="119" t="s">
        <v>2311</v>
      </c>
      <c r="C50" s="112" t="s">
        <v>2296</v>
      </c>
      <c r="D50" s="113" t="s">
        <v>2312</v>
      </c>
      <c r="E50" s="69"/>
    </row>
    <row r="51" spans="1:6" ht="15.75" customHeight="1">
      <c r="A51" s="164"/>
      <c r="B51" s="119" t="s">
        <v>2305</v>
      </c>
      <c r="C51" s="115"/>
      <c r="D51" s="113" t="s">
        <v>2306</v>
      </c>
      <c r="E51" s="69"/>
    </row>
    <row r="52" spans="1:6" ht="15.75" customHeight="1">
      <c r="A52" s="165"/>
      <c r="B52" s="116" t="s">
        <v>2313</v>
      </c>
      <c r="C52" s="121" t="s">
        <v>2296</v>
      </c>
      <c r="D52" s="118" t="s">
        <v>2312</v>
      </c>
      <c r="E52" s="76"/>
    </row>
    <row r="53" spans="1:6" ht="15.75" customHeight="1">
      <c r="A53" s="163">
        <v>46234</v>
      </c>
      <c r="B53" s="111" t="s">
        <v>2310</v>
      </c>
      <c r="C53" s="122"/>
      <c r="D53" s="113" t="s">
        <v>2303</v>
      </c>
      <c r="E53" s="69"/>
    </row>
    <row r="54" spans="1:6" ht="15.75" customHeight="1">
      <c r="A54" s="164"/>
      <c r="B54" s="119" t="s">
        <v>2311</v>
      </c>
      <c r="C54" s="112" t="s">
        <v>2296</v>
      </c>
      <c r="D54" s="113" t="s">
        <v>2312</v>
      </c>
      <c r="E54" s="69"/>
    </row>
    <row r="55" spans="1:6" ht="15.75" customHeight="1">
      <c r="A55" s="164"/>
      <c r="B55" s="119" t="s">
        <v>2305</v>
      </c>
      <c r="C55" s="122"/>
      <c r="D55" s="113" t="s">
        <v>2306</v>
      </c>
      <c r="E55" s="69"/>
    </row>
    <row r="56" spans="1:6" ht="15.75" customHeight="1">
      <c r="A56" s="164"/>
      <c r="B56" s="111" t="s">
        <v>2313</v>
      </c>
      <c r="C56" s="112" t="s">
        <v>2296</v>
      </c>
      <c r="D56" s="113" t="s">
        <v>2312</v>
      </c>
      <c r="E56" s="69"/>
    </row>
    <row r="57" spans="1:6" ht="15.75" customHeight="1">
      <c r="A57" s="165"/>
      <c r="B57" s="116" t="s">
        <v>2314</v>
      </c>
      <c r="C57" s="121" t="s">
        <v>2308</v>
      </c>
      <c r="D57" s="123" t="s">
        <v>2315</v>
      </c>
      <c r="E57" s="76"/>
    </row>
    <row r="58" spans="1:6" ht="15.75" customHeight="1">
      <c r="A58" s="124"/>
      <c r="D58" s="20"/>
      <c r="E58" s="125"/>
      <c r="F58" s="61"/>
    </row>
    <row r="59" spans="1:6" ht="15.75" customHeight="1">
      <c r="A59" s="124"/>
      <c r="D59" s="20"/>
      <c r="E59" s="125"/>
      <c r="F59" s="61"/>
    </row>
    <row r="60" spans="1:6" ht="15.75" customHeight="1">
      <c r="A60" s="124"/>
      <c r="D60" s="20"/>
      <c r="E60" s="125"/>
      <c r="F60" s="61"/>
    </row>
    <row r="61" spans="1:6" ht="15.75" customHeight="1">
      <c r="A61" s="124"/>
      <c r="D61" s="20"/>
      <c r="E61" s="125"/>
      <c r="F61" s="61"/>
    </row>
    <row r="62" spans="1:6" ht="15.75" customHeight="1">
      <c r="A62" s="124"/>
      <c r="D62" s="20"/>
      <c r="E62" s="125"/>
      <c r="F62" s="61"/>
    </row>
    <row r="63" spans="1:6" ht="15.75" customHeight="1">
      <c r="A63" s="124"/>
      <c r="D63" s="20"/>
      <c r="E63" s="125"/>
      <c r="F63" s="61"/>
    </row>
    <row r="64" spans="1:6" ht="15.75" customHeight="1">
      <c r="A64" s="124"/>
      <c r="D64" s="20"/>
      <c r="E64" s="125"/>
      <c r="F64" s="61"/>
    </row>
    <row r="65" spans="1:6" ht="15.75" customHeight="1">
      <c r="A65" s="124"/>
      <c r="D65" s="20"/>
      <c r="E65" s="125"/>
      <c r="F65" s="61"/>
    </row>
    <row r="66" spans="1:6" ht="15.75" customHeight="1">
      <c r="A66" s="124"/>
      <c r="D66" s="20"/>
      <c r="E66" s="125"/>
      <c r="F66" s="61"/>
    </row>
    <row r="67" spans="1:6" ht="15.75" customHeight="1">
      <c r="A67" s="124"/>
      <c r="D67" s="20"/>
      <c r="E67" s="125"/>
      <c r="F67" s="61"/>
    </row>
    <row r="68" spans="1:6" ht="15.75" customHeight="1">
      <c r="A68" s="124"/>
      <c r="D68" s="20"/>
      <c r="E68" s="125"/>
      <c r="F68" s="61"/>
    </row>
    <row r="69" spans="1:6" ht="15.75" customHeight="1">
      <c r="A69" s="124"/>
      <c r="D69" s="20"/>
      <c r="E69" s="125"/>
      <c r="F69" s="61"/>
    </row>
    <row r="70" spans="1:6" ht="15.75" customHeight="1">
      <c r="A70" s="124"/>
      <c r="D70" s="20"/>
      <c r="E70" s="125"/>
      <c r="F70" s="61"/>
    </row>
    <row r="71" spans="1:6" ht="15.75" customHeight="1">
      <c r="A71" s="124"/>
      <c r="D71" s="20"/>
      <c r="E71" s="125"/>
      <c r="F71" s="61"/>
    </row>
    <row r="72" spans="1:6" ht="15.75" customHeight="1">
      <c r="A72" s="124"/>
      <c r="D72" s="20"/>
      <c r="E72" s="125"/>
      <c r="F72" s="61"/>
    </row>
    <row r="73" spans="1:6" ht="15.75" customHeight="1">
      <c r="A73" s="124"/>
      <c r="D73" s="20"/>
      <c r="E73" s="125"/>
      <c r="F73" s="61"/>
    </row>
    <row r="74" spans="1:6" ht="15.75" customHeight="1">
      <c r="A74" s="124"/>
      <c r="D74" s="20"/>
      <c r="E74" s="125"/>
      <c r="F74" s="61"/>
    </row>
    <row r="75" spans="1:6" ht="15.75" customHeight="1">
      <c r="A75" s="124"/>
      <c r="D75" s="20"/>
      <c r="E75" s="125"/>
      <c r="F75" s="61"/>
    </row>
    <row r="76" spans="1:6" ht="15.75" customHeight="1">
      <c r="A76" s="124"/>
      <c r="D76" s="20"/>
      <c r="E76" s="125"/>
      <c r="F76" s="61"/>
    </row>
    <row r="77" spans="1:6" ht="15.75" customHeight="1">
      <c r="A77" s="124"/>
      <c r="D77" s="20"/>
      <c r="E77" s="125"/>
      <c r="F77" s="61"/>
    </row>
    <row r="78" spans="1:6" ht="15.75" customHeight="1">
      <c r="A78" s="124"/>
      <c r="D78" s="20"/>
      <c r="E78" s="125"/>
      <c r="F78" s="61"/>
    </row>
    <row r="79" spans="1:6" ht="15.75" customHeight="1">
      <c r="A79" s="124"/>
      <c r="D79" s="20"/>
      <c r="E79" s="125"/>
      <c r="F79" s="61"/>
    </row>
    <row r="80" spans="1:6" ht="15.75" customHeight="1">
      <c r="A80" s="124"/>
      <c r="D80" s="20"/>
      <c r="E80" s="125"/>
      <c r="F80" s="61"/>
    </row>
    <row r="81" spans="1:6" ht="15.75" customHeight="1">
      <c r="A81" s="124"/>
      <c r="D81" s="20"/>
      <c r="E81" s="125"/>
      <c r="F81" s="61"/>
    </row>
    <row r="82" spans="1:6" ht="15.75" customHeight="1">
      <c r="A82" s="124"/>
      <c r="D82" s="20"/>
      <c r="E82" s="125"/>
      <c r="F82" s="61"/>
    </row>
    <row r="83" spans="1:6" ht="15.75" customHeight="1">
      <c r="A83" s="124"/>
      <c r="D83" s="20"/>
      <c r="E83" s="125"/>
      <c r="F83" s="61"/>
    </row>
    <row r="84" spans="1:6" ht="15.75" customHeight="1">
      <c r="A84" s="124"/>
      <c r="D84" s="20"/>
      <c r="E84" s="125"/>
      <c r="F84" s="61"/>
    </row>
    <row r="85" spans="1:6" ht="15.75" customHeight="1">
      <c r="A85" s="124"/>
      <c r="D85" s="20"/>
      <c r="E85" s="125"/>
      <c r="F85" s="61"/>
    </row>
    <row r="86" spans="1:6" ht="15.75" customHeight="1">
      <c r="A86" s="124"/>
      <c r="D86" s="20"/>
      <c r="E86" s="125"/>
      <c r="F86" s="61"/>
    </row>
    <row r="87" spans="1:6" ht="15.75" customHeight="1">
      <c r="A87" s="124"/>
      <c r="D87" s="20"/>
      <c r="E87" s="125"/>
      <c r="F87" s="61"/>
    </row>
    <row r="88" spans="1:6" ht="15.75" customHeight="1">
      <c r="A88" s="124"/>
      <c r="D88" s="20"/>
      <c r="E88" s="125"/>
      <c r="F88" s="61"/>
    </row>
    <row r="89" spans="1:6" ht="15.75" customHeight="1">
      <c r="A89" s="124"/>
      <c r="D89" s="20"/>
      <c r="E89" s="125"/>
      <c r="F89" s="61"/>
    </row>
    <row r="90" spans="1:6" ht="15.75" customHeight="1">
      <c r="A90" s="124"/>
      <c r="D90" s="20"/>
      <c r="E90" s="125"/>
      <c r="F90" s="61"/>
    </row>
    <row r="91" spans="1:6" ht="15.75" customHeight="1">
      <c r="A91" s="124"/>
      <c r="D91" s="20"/>
      <c r="E91" s="125"/>
      <c r="F91" s="61"/>
    </row>
    <row r="92" spans="1:6" ht="15.75" customHeight="1">
      <c r="A92" s="124"/>
      <c r="D92" s="20"/>
      <c r="E92" s="125"/>
      <c r="F92" s="61"/>
    </row>
    <row r="93" spans="1:6" ht="15.75" customHeight="1">
      <c r="A93" s="124"/>
      <c r="D93" s="20"/>
      <c r="E93" s="125"/>
      <c r="F93" s="61"/>
    </row>
    <row r="94" spans="1:6" ht="15.75" customHeight="1">
      <c r="A94" s="124"/>
      <c r="D94" s="20"/>
      <c r="E94" s="125"/>
      <c r="F94" s="61"/>
    </row>
    <row r="95" spans="1:6" ht="15.75" customHeight="1">
      <c r="A95" s="124"/>
      <c r="D95" s="20"/>
      <c r="E95" s="125"/>
      <c r="F95" s="61"/>
    </row>
    <row r="96" spans="1:6" ht="15.75" customHeight="1">
      <c r="A96" s="124"/>
      <c r="D96" s="20"/>
      <c r="E96" s="125"/>
      <c r="F96" s="61"/>
    </row>
    <row r="97" spans="1:6" ht="15.75" customHeight="1">
      <c r="A97" s="124"/>
      <c r="D97" s="20"/>
      <c r="E97" s="125"/>
      <c r="F97" s="61"/>
    </row>
    <row r="98" spans="1:6" ht="15.75" customHeight="1">
      <c r="A98" s="124"/>
      <c r="D98" s="20"/>
      <c r="E98" s="125"/>
      <c r="F98" s="61"/>
    </row>
    <row r="99" spans="1:6" ht="15.75" customHeight="1">
      <c r="A99" s="124"/>
      <c r="D99" s="20"/>
      <c r="E99" s="125"/>
      <c r="F99" s="61"/>
    </row>
    <row r="100" spans="1:6" ht="15.75" customHeight="1">
      <c r="A100" s="124"/>
      <c r="D100" s="20"/>
      <c r="E100" s="125"/>
      <c r="F100" s="61"/>
    </row>
    <row r="101" spans="1:6" ht="15.75" customHeight="1">
      <c r="A101" s="124"/>
      <c r="D101" s="20"/>
      <c r="E101" s="125"/>
      <c r="F101" s="61"/>
    </row>
    <row r="102" spans="1:6" ht="15.75" customHeight="1">
      <c r="A102" s="124"/>
      <c r="D102" s="20"/>
      <c r="E102" s="125"/>
      <c r="F102" s="61"/>
    </row>
    <row r="103" spans="1:6" ht="15.75" customHeight="1">
      <c r="A103" s="124"/>
      <c r="D103" s="20"/>
      <c r="E103" s="125"/>
      <c r="F103" s="61"/>
    </row>
    <row r="104" spans="1:6" ht="15.75" customHeight="1">
      <c r="A104" s="124"/>
      <c r="D104" s="20"/>
      <c r="E104" s="125"/>
      <c r="F104" s="61"/>
    </row>
    <row r="105" spans="1:6" ht="15.75" customHeight="1">
      <c r="A105" s="124"/>
      <c r="D105" s="20"/>
      <c r="E105" s="125"/>
      <c r="F105" s="61"/>
    </row>
    <row r="106" spans="1:6" ht="15.75" customHeight="1">
      <c r="A106" s="124"/>
      <c r="D106" s="20"/>
      <c r="E106" s="125"/>
      <c r="F106" s="61"/>
    </row>
    <row r="107" spans="1:6" ht="15.75" customHeight="1">
      <c r="A107" s="124"/>
      <c r="D107" s="20"/>
      <c r="E107" s="125"/>
      <c r="F107" s="61"/>
    </row>
    <row r="108" spans="1:6" ht="15.75" customHeight="1">
      <c r="A108" s="124"/>
      <c r="D108" s="20"/>
      <c r="E108" s="125"/>
      <c r="F108" s="61"/>
    </row>
    <row r="109" spans="1:6" ht="15.75" customHeight="1">
      <c r="A109" s="124"/>
      <c r="D109" s="20"/>
      <c r="E109" s="125"/>
      <c r="F109" s="61"/>
    </row>
    <row r="110" spans="1:6" ht="15.75" customHeight="1">
      <c r="A110" s="124"/>
      <c r="D110" s="20"/>
      <c r="E110" s="125"/>
      <c r="F110" s="61"/>
    </row>
    <row r="111" spans="1:6" ht="15.75" customHeight="1">
      <c r="A111" s="124"/>
      <c r="D111" s="20"/>
      <c r="E111" s="125"/>
      <c r="F111" s="61"/>
    </row>
    <row r="112" spans="1:6" ht="15.75" customHeight="1">
      <c r="A112" s="124"/>
      <c r="D112" s="20"/>
      <c r="E112" s="125"/>
      <c r="F112" s="61"/>
    </row>
    <row r="113" spans="1:6" ht="15.75" customHeight="1">
      <c r="A113" s="124"/>
      <c r="D113" s="20"/>
      <c r="E113" s="125"/>
      <c r="F113" s="61"/>
    </row>
    <row r="114" spans="1:6" ht="15.75" customHeight="1">
      <c r="A114" s="124"/>
      <c r="D114" s="20"/>
      <c r="E114" s="125"/>
      <c r="F114" s="61"/>
    </row>
    <row r="115" spans="1:6" ht="15.75" customHeight="1">
      <c r="A115" s="124"/>
      <c r="D115" s="20"/>
      <c r="E115" s="125"/>
      <c r="F115" s="61"/>
    </row>
    <row r="116" spans="1:6" ht="15.75" customHeight="1">
      <c r="A116" s="124"/>
      <c r="D116" s="20"/>
      <c r="E116" s="125"/>
      <c r="F116" s="61"/>
    </row>
    <row r="117" spans="1:6" ht="15.75" customHeight="1">
      <c r="A117" s="124"/>
      <c r="D117" s="20"/>
      <c r="E117" s="125"/>
      <c r="F117" s="61"/>
    </row>
    <row r="118" spans="1:6" ht="15.75" customHeight="1">
      <c r="A118" s="124"/>
      <c r="D118" s="20"/>
      <c r="E118" s="125"/>
      <c r="F118" s="61"/>
    </row>
    <row r="119" spans="1:6" ht="15.75" customHeight="1">
      <c r="A119" s="124"/>
      <c r="D119" s="20"/>
      <c r="E119" s="125"/>
      <c r="F119" s="61"/>
    </row>
    <row r="120" spans="1:6" ht="15.75" customHeight="1">
      <c r="A120" s="124"/>
      <c r="D120" s="20"/>
      <c r="E120" s="125"/>
      <c r="F120" s="61"/>
    </row>
    <row r="121" spans="1:6" ht="15.75" customHeight="1">
      <c r="A121" s="124"/>
      <c r="D121" s="20"/>
      <c r="E121" s="125"/>
      <c r="F121" s="61"/>
    </row>
    <row r="122" spans="1:6" ht="15.75" customHeight="1">
      <c r="A122" s="124"/>
      <c r="D122" s="20"/>
      <c r="E122" s="125"/>
      <c r="F122" s="61"/>
    </row>
    <row r="123" spans="1:6" ht="15.75" customHeight="1">
      <c r="A123" s="124"/>
      <c r="D123" s="20"/>
      <c r="E123" s="125"/>
      <c r="F123" s="61"/>
    </row>
    <row r="124" spans="1:6" ht="15.75" customHeight="1">
      <c r="A124" s="124"/>
      <c r="D124" s="20"/>
      <c r="E124" s="125"/>
      <c r="F124" s="61"/>
    </row>
    <row r="125" spans="1:6" ht="15.75" customHeight="1">
      <c r="A125" s="124"/>
      <c r="D125" s="20"/>
      <c r="E125" s="125"/>
      <c r="F125" s="61"/>
    </row>
    <row r="126" spans="1:6" ht="15.75" customHeight="1">
      <c r="A126" s="124"/>
      <c r="D126" s="20"/>
      <c r="E126" s="125"/>
      <c r="F126" s="61"/>
    </row>
    <row r="127" spans="1:6" ht="15.75" customHeight="1">
      <c r="A127" s="124"/>
      <c r="D127" s="20"/>
      <c r="E127" s="125"/>
      <c r="F127" s="61"/>
    </row>
    <row r="128" spans="1:6" ht="15.75" customHeight="1">
      <c r="A128" s="124"/>
      <c r="D128" s="20"/>
      <c r="E128" s="125"/>
      <c r="F128" s="61"/>
    </row>
    <row r="129" spans="1:6" ht="15.75" customHeight="1">
      <c r="A129" s="124"/>
      <c r="D129" s="20"/>
      <c r="E129" s="125"/>
      <c r="F129" s="61"/>
    </row>
    <row r="130" spans="1:6" ht="15.75" customHeight="1">
      <c r="A130" s="124"/>
      <c r="D130" s="20"/>
      <c r="E130" s="125"/>
      <c r="F130" s="61"/>
    </row>
    <row r="131" spans="1:6" ht="15.75" customHeight="1">
      <c r="A131" s="124"/>
      <c r="D131" s="20"/>
      <c r="E131" s="125"/>
      <c r="F131" s="61"/>
    </row>
    <row r="132" spans="1:6" ht="15.75" customHeight="1">
      <c r="A132" s="124"/>
      <c r="D132" s="20"/>
      <c r="E132" s="125"/>
      <c r="F132" s="61"/>
    </row>
    <row r="133" spans="1:6" ht="15.75" customHeight="1">
      <c r="A133" s="124"/>
      <c r="D133" s="20"/>
      <c r="E133" s="125"/>
      <c r="F133" s="61"/>
    </row>
    <row r="134" spans="1:6" ht="15.75" customHeight="1">
      <c r="A134" s="124"/>
      <c r="D134" s="20"/>
      <c r="E134" s="125"/>
      <c r="F134" s="61"/>
    </row>
    <row r="135" spans="1:6" ht="15.75" customHeight="1">
      <c r="A135" s="124"/>
      <c r="D135" s="20"/>
      <c r="E135" s="125"/>
      <c r="F135" s="61"/>
    </row>
    <row r="136" spans="1:6" ht="15.75" customHeight="1">
      <c r="A136" s="124"/>
      <c r="D136" s="20"/>
      <c r="E136" s="125"/>
      <c r="F136" s="61"/>
    </row>
    <row r="137" spans="1:6" ht="15.75" customHeight="1">
      <c r="A137" s="124"/>
      <c r="D137" s="20"/>
      <c r="E137" s="125"/>
      <c r="F137" s="61"/>
    </row>
    <row r="138" spans="1:6" ht="15.75" customHeight="1">
      <c r="A138" s="124"/>
      <c r="D138" s="20"/>
      <c r="E138" s="125"/>
      <c r="F138" s="61"/>
    </row>
    <row r="139" spans="1:6" ht="15.75" customHeight="1">
      <c r="A139" s="124"/>
      <c r="D139" s="20"/>
      <c r="E139" s="125"/>
      <c r="F139" s="61"/>
    </row>
    <row r="140" spans="1:6" ht="15.75" customHeight="1">
      <c r="A140" s="124"/>
      <c r="D140" s="20"/>
      <c r="E140" s="125"/>
      <c r="F140" s="61"/>
    </row>
    <row r="141" spans="1:6" ht="15.75" customHeight="1">
      <c r="A141" s="124"/>
      <c r="D141" s="20"/>
      <c r="E141" s="125"/>
      <c r="F141" s="61"/>
    </row>
    <row r="142" spans="1:6" ht="15.75" customHeight="1">
      <c r="A142" s="124"/>
      <c r="D142" s="20"/>
      <c r="E142" s="125"/>
      <c r="F142" s="61"/>
    </row>
    <row r="143" spans="1:6" ht="15.75" customHeight="1">
      <c r="A143" s="124"/>
      <c r="D143" s="20"/>
      <c r="E143" s="125"/>
      <c r="F143" s="61"/>
    </row>
    <row r="144" spans="1:6" ht="15.75" customHeight="1">
      <c r="A144" s="124"/>
      <c r="D144" s="20"/>
      <c r="E144" s="125"/>
      <c r="F144" s="61"/>
    </row>
    <row r="145" spans="1:6" ht="15.75" customHeight="1">
      <c r="A145" s="124"/>
      <c r="D145" s="20"/>
      <c r="E145" s="125"/>
      <c r="F145" s="61"/>
    </row>
    <row r="146" spans="1:6" ht="15.75" customHeight="1">
      <c r="A146" s="124"/>
      <c r="D146" s="20"/>
      <c r="E146" s="125"/>
      <c r="F146" s="61"/>
    </row>
    <row r="147" spans="1:6" ht="15.75" customHeight="1">
      <c r="A147" s="124"/>
      <c r="D147" s="20"/>
      <c r="E147" s="125"/>
      <c r="F147" s="61"/>
    </row>
    <row r="148" spans="1:6" ht="15.75" customHeight="1">
      <c r="A148" s="124"/>
      <c r="D148" s="20"/>
      <c r="E148" s="125"/>
      <c r="F148" s="61"/>
    </row>
    <row r="149" spans="1:6" ht="15.75" customHeight="1">
      <c r="A149" s="124"/>
      <c r="D149" s="20"/>
      <c r="E149" s="125"/>
      <c r="F149" s="61"/>
    </row>
    <row r="150" spans="1:6" ht="15.75" customHeight="1">
      <c r="A150" s="124"/>
      <c r="D150" s="20"/>
      <c r="E150" s="125"/>
      <c r="F150" s="61"/>
    </row>
    <row r="151" spans="1:6" ht="15.75" customHeight="1">
      <c r="A151" s="124"/>
      <c r="D151" s="20"/>
      <c r="E151" s="125"/>
      <c r="F151" s="61"/>
    </row>
    <row r="152" spans="1:6" ht="15.75" customHeight="1">
      <c r="A152" s="124"/>
      <c r="D152" s="20"/>
      <c r="E152" s="125"/>
      <c r="F152" s="61"/>
    </row>
    <row r="153" spans="1:6" ht="15.75" customHeight="1">
      <c r="A153" s="124"/>
      <c r="D153" s="20"/>
      <c r="E153" s="125"/>
      <c r="F153" s="61"/>
    </row>
    <row r="154" spans="1:6" ht="15.75" customHeight="1">
      <c r="A154" s="124"/>
      <c r="D154" s="20"/>
      <c r="E154" s="125"/>
      <c r="F154" s="61"/>
    </row>
    <row r="155" spans="1:6" ht="15.75" customHeight="1">
      <c r="A155" s="124"/>
      <c r="D155" s="20"/>
      <c r="E155" s="125"/>
      <c r="F155" s="61"/>
    </row>
    <row r="156" spans="1:6" ht="15.75" customHeight="1">
      <c r="A156" s="124"/>
      <c r="D156" s="20"/>
      <c r="E156" s="125"/>
      <c r="F156" s="61"/>
    </row>
    <row r="157" spans="1:6" ht="15.75" customHeight="1">
      <c r="A157" s="124"/>
      <c r="D157" s="20"/>
      <c r="E157" s="125"/>
      <c r="F157" s="61"/>
    </row>
    <row r="158" spans="1:6" ht="15.75" customHeight="1">
      <c r="A158" s="124"/>
      <c r="D158" s="20"/>
      <c r="E158" s="125"/>
      <c r="F158" s="61"/>
    </row>
    <row r="159" spans="1:6" ht="15.75" customHeight="1">
      <c r="A159" s="124"/>
      <c r="D159" s="20"/>
      <c r="E159" s="125"/>
      <c r="F159" s="61"/>
    </row>
    <row r="160" spans="1:6" ht="15.75" customHeight="1">
      <c r="A160" s="124"/>
      <c r="D160" s="20"/>
      <c r="E160" s="125"/>
      <c r="F160" s="61"/>
    </row>
    <row r="161" spans="1:6" ht="15.75" customHeight="1">
      <c r="A161" s="124"/>
      <c r="D161" s="20"/>
      <c r="E161" s="125"/>
      <c r="F161" s="61"/>
    </row>
    <row r="162" spans="1:6" ht="15.75" customHeight="1">
      <c r="A162" s="124"/>
      <c r="D162" s="20"/>
      <c r="E162" s="125"/>
      <c r="F162" s="61"/>
    </row>
    <row r="163" spans="1:6" ht="15.75" customHeight="1">
      <c r="A163" s="124"/>
      <c r="D163" s="20"/>
      <c r="E163" s="125"/>
      <c r="F163" s="61"/>
    </row>
    <row r="164" spans="1:6" ht="15.75" customHeight="1">
      <c r="A164" s="124"/>
      <c r="D164" s="20"/>
      <c r="E164" s="125"/>
      <c r="F164" s="61"/>
    </row>
    <row r="165" spans="1:6" ht="15.75" customHeight="1">
      <c r="A165" s="124"/>
      <c r="D165" s="20"/>
      <c r="E165" s="125"/>
      <c r="F165" s="61"/>
    </row>
    <row r="166" spans="1:6" ht="15.75" customHeight="1">
      <c r="A166" s="124"/>
      <c r="D166" s="20"/>
      <c r="E166" s="125"/>
      <c r="F166" s="61"/>
    </row>
    <row r="167" spans="1:6" ht="15.75" customHeight="1">
      <c r="A167" s="124"/>
      <c r="D167" s="20"/>
      <c r="E167" s="125"/>
      <c r="F167" s="61"/>
    </row>
    <row r="168" spans="1:6" ht="15.75" customHeight="1">
      <c r="A168" s="124"/>
      <c r="D168" s="20"/>
      <c r="E168" s="125"/>
      <c r="F168" s="61"/>
    </row>
    <row r="169" spans="1:6" ht="15.75" customHeight="1">
      <c r="A169" s="124"/>
      <c r="D169" s="20"/>
      <c r="E169" s="125"/>
      <c r="F169" s="61"/>
    </row>
    <row r="170" spans="1:6" ht="15.75" customHeight="1">
      <c r="A170" s="124"/>
      <c r="D170" s="20"/>
      <c r="E170" s="125"/>
      <c r="F170" s="61"/>
    </row>
    <row r="171" spans="1:6" ht="15.75" customHeight="1">
      <c r="A171" s="124"/>
      <c r="D171" s="20"/>
      <c r="E171" s="125"/>
      <c r="F171" s="61"/>
    </row>
    <row r="172" spans="1:6" ht="15.75" customHeight="1">
      <c r="A172" s="124"/>
      <c r="D172" s="20"/>
      <c r="E172" s="125"/>
      <c r="F172" s="61"/>
    </row>
    <row r="173" spans="1:6" ht="15.75" customHeight="1">
      <c r="A173" s="124"/>
      <c r="D173" s="20"/>
      <c r="E173" s="125"/>
      <c r="F173" s="61"/>
    </row>
    <row r="174" spans="1:6" ht="15.75" customHeight="1">
      <c r="A174" s="124"/>
      <c r="D174" s="20"/>
      <c r="E174" s="125"/>
      <c r="F174" s="61"/>
    </row>
    <row r="175" spans="1:6" ht="15.75" customHeight="1">
      <c r="A175" s="124"/>
      <c r="D175" s="20"/>
      <c r="E175" s="125"/>
      <c r="F175" s="61"/>
    </row>
    <row r="176" spans="1:6" ht="15.75" customHeight="1">
      <c r="A176" s="124"/>
      <c r="D176" s="20"/>
      <c r="E176" s="125"/>
      <c r="F176" s="61"/>
    </row>
    <row r="177" spans="1:6" ht="15.75" customHeight="1">
      <c r="A177" s="124"/>
      <c r="D177" s="20"/>
      <c r="E177" s="125"/>
      <c r="F177" s="61"/>
    </row>
    <row r="178" spans="1:6" ht="15.75" customHeight="1">
      <c r="A178" s="124"/>
      <c r="D178" s="20"/>
      <c r="E178" s="125"/>
      <c r="F178" s="61"/>
    </row>
    <row r="179" spans="1:6" ht="15.75" customHeight="1">
      <c r="A179" s="124"/>
      <c r="D179" s="20"/>
      <c r="E179" s="125"/>
      <c r="F179" s="61"/>
    </row>
    <row r="180" spans="1:6" ht="15.75" customHeight="1">
      <c r="A180" s="124"/>
      <c r="D180" s="20"/>
      <c r="E180" s="125"/>
      <c r="F180" s="61"/>
    </row>
    <row r="181" spans="1:6" ht="15.75" customHeight="1">
      <c r="A181" s="124"/>
      <c r="D181" s="20"/>
      <c r="E181" s="125"/>
      <c r="F181" s="61"/>
    </row>
    <row r="182" spans="1:6" ht="15.75" customHeight="1">
      <c r="A182" s="124"/>
      <c r="D182" s="20"/>
      <c r="E182" s="125"/>
      <c r="F182" s="61"/>
    </row>
    <row r="183" spans="1:6" ht="15.75" customHeight="1">
      <c r="A183" s="124"/>
      <c r="D183" s="20"/>
      <c r="E183" s="125"/>
      <c r="F183" s="61"/>
    </row>
    <row r="184" spans="1:6" ht="15.75" customHeight="1">
      <c r="A184" s="124"/>
      <c r="D184" s="20"/>
      <c r="E184" s="125"/>
      <c r="F184" s="61"/>
    </row>
    <row r="185" spans="1:6" ht="15.75" customHeight="1">
      <c r="A185" s="124"/>
      <c r="D185" s="20"/>
      <c r="E185" s="125"/>
      <c r="F185" s="61"/>
    </row>
    <row r="186" spans="1:6" ht="15.75" customHeight="1">
      <c r="A186" s="124"/>
      <c r="D186" s="20"/>
      <c r="E186" s="125"/>
      <c r="F186" s="61"/>
    </row>
    <row r="187" spans="1:6" ht="15.75" customHeight="1">
      <c r="A187" s="124"/>
      <c r="D187" s="20"/>
      <c r="E187" s="125"/>
      <c r="F187" s="61"/>
    </row>
    <row r="188" spans="1:6" ht="15.75" customHeight="1">
      <c r="A188" s="124"/>
      <c r="D188" s="20"/>
      <c r="E188" s="125"/>
      <c r="F188" s="61"/>
    </row>
    <row r="189" spans="1:6" ht="15.75" customHeight="1">
      <c r="A189" s="124"/>
      <c r="D189" s="20"/>
      <c r="E189" s="125"/>
      <c r="F189" s="61"/>
    </row>
    <row r="190" spans="1:6" ht="15.75" customHeight="1">
      <c r="A190" s="124"/>
      <c r="D190" s="20"/>
      <c r="E190" s="125"/>
      <c r="F190" s="61"/>
    </row>
    <row r="191" spans="1:6" ht="15.75" customHeight="1">
      <c r="A191" s="124"/>
      <c r="D191" s="20"/>
      <c r="E191" s="125"/>
      <c r="F191" s="61"/>
    </row>
    <row r="192" spans="1:6" ht="15.75" customHeight="1">
      <c r="A192" s="124"/>
      <c r="D192" s="20"/>
      <c r="E192" s="125"/>
      <c r="F192" s="61"/>
    </row>
    <row r="193" spans="1:6" ht="15.75" customHeight="1">
      <c r="A193" s="124"/>
      <c r="D193" s="20"/>
      <c r="E193" s="125"/>
      <c r="F193" s="61"/>
    </row>
    <row r="194" spans="1:6" ht="15.75" customHeight="1">
      <c r="A194" s="124"/>
      <c r="D194" s="20"/>
      <c r="E194" s="125"/>
      <c r="F194" s="61"/>
    </row>
    <row r="195" spans="1:6" ht="15.75" customHeight="1">
      <c r="A195" s="124"/>
      <c r="D195" s="20"/>
      <c r="E195" s="125"/>
      <c r="F195" s="61"/>
    </row>
    <row r="196" spans="1:6" ht="15.75" customHeight="1">
      <c r="A196" s="124"/>
      <c r="D196" s="20"/>
      <c r="E196" s="125"/>
      <c r="F196" s="61"/>
    </row>
    <row r="197" spans="1:6" ht="15.75" customHeight="1">
      <c r="A197" s="124"/>
      <c r="D197" s="20"/>
      <c r="E197" s="125"/>
      <c r="F197" s="61"/>
    </row>
    <row r="198" spans="1:6" ht="15.75" customHeight="1">
      <c r="A198" s="124"/>
      <c r="D198" s="20"/>
      <c r="E198" s="125"/>
      <c r="F198" s="61"/>
    </row>
    <row r="199" spans="1:6" ht="15.75" customHeight="1">
      <c r="A199" s="124"/>
      <c r="D199" s="20"/>
      <c r="E199" s="125"/>
      <c r="F199" s="61"/>
    </row>
    <row r="200" spans="1:6" ht="15.75" customHeight="1">
      <c r="A200" s="124"/>
      <c r="D200" s="20"/>
      <c r="E200" s="125"/>
      <c r="F200" s="61"/>
    </row>
    <row r="201" spans="1:6" ht="15.75" customHeight="1">
      <c r="A201" s="124"/>
      <c r="D201" s="20"/>
      <c r="E201" s="125"/>
      <c r="F201" s="61"/>
    </row>
    <row r="202" spans="1:6" ht="15.75" customHeight="1">
      <c r="A202" s="124"/>
      <c r="D202" s="20"/>
      <c r="E202" s="125"/>
      <c r="F202" s="61"/>
    </row>
    <row r="203" spans="1:6" ht="15.75" customHeight="1">
      <c r="A203" s="124"/>
      <c r="D203" s="20"/>
      <c r="E203" s="125"/>
      <c r="F203" s="61"/>
    </row>
    <row r="204" spans="1:6" ht="15.75" customHeight="1">
      <c r="A204" s="124"/>
      <c r="D204" s="20"/>
      <c r="E204" s="125"/>
      <c r="F204" s="61"/>
    </row>
    <row r="205" spans="1:6" ht="15.75" customHeight="1">
      <c r="A205" s="124"/>
      <c r="D205" s="20"/>
      <c r="E205" s="125"/>
      <c r="F205" s="61"/>
    </row>
    <row r="206" spans="1:6" ht="15.75" customHeight="1">
      <c r="A206" s="124"/>
      <c r="D206" s="20"/>
      <c r="E206" s="125"/>
      <c r="F206" s="61"/>
    </row>
    <row r="207" spans="1:6" ht="15.75" customHeight="1">
      <c r="A207" s="124"/>
      <c r="D207" s="20"/>
      <c r="E207" s="125"/>
      <c r="F207" s="61"/>
    </row>
    <row r="208" spans="1:6" ht="15.75" customHeight="1">
      <c r="A208" s="124"/>
      <c r="D208" s="20"/>
      <c r="E208" s="125"/>
      <c r="F208" s="61"/>
    </row>
    <row r="209" spans="1:6" ht="15.75" customHeight="1">
      <c r="A209" s="124"/>
      <c r="D209" s="20"/>
      <c r="E209" s="125"/>
      <c r="F209" s="61"/>
    </row>
    <row r="210" spans="1:6" ht="15.75" customHeight="1">
      <c r="A210" s="124"/>
      <c r="D210" s="20"/>
      <c r="E210" s="125"/>
      <c r="F210" s="61"/>
    </row>
    <row r="211" spans="1:6" ht="15.75" customHeight="1">
      <c r="A211" s="124"/>
      <c r="D211" s="20"/>
      <c r="E211" s="125"/>
      <c r="F211" s="61"/>
    </row>
    <row r="212" spans="1:6" ht="15.75" customHeight="1">
      <c r="A212" s="124"/>
      <c r="D212" s="20"/>
      <c r="E212" s="125"/>
      <c r="F212" s="61"/>
    </row>
    <row r="213" spans="1:6" ht="15.75" customHeight="1">
      <c r="A213" s="124"/>
      <c r="D213" s="20"/>
      <c r="E213" s="125"/>
      <c r="F213" s="61"/>
    </row>
    <row r="214" spans="1:6" ht="15.75" customHeight="1">
      <c r="A214" s="124"/>
      <c r="D214" s="20"/>
      <c r="E214" s="125"/>
      <c r="F214" s="61"/>
    </row>
    <row r="215" spans="1:6" ht="15.75" customHeight="1">
      <c r="A215" s="124"/>
      <c r="D215" s="20"/>
      <c r="E215" s="125"/>
      <c r="F215" s="61"/>
    </row>
    <row r="216" spans="1:6" ht="15.75" customHeight="1">
      <c r="A216" s="124"/>
      <c r="D216" s="20"/>
      <c r="E216" s="125"/>
      <c r="F216" s="61"/>
    </row>
    <row r="217" spans="1:6" ht="15.75" customHeight="1">
      <c r="A217" s="124"/>
      <c r="D217" s="20"/>
      <c r="E217" s="125"/>
      <c r="F217" s="61"/>
    </row>
    <row r="218" spans="1:6" ht="15.75" customHeight="1">
      <c r="A218" s="124"/>
      <c r="D218" s="20"/>
      <c r="E218" s="125"/>
      <c r="F218" s="61"/>
    </row>
    <row r="219" spans="1:6" ht="15.75" customHeight="1">
      <c r="A219" s="124"/>
      <c r="D219" s="20"/>
      <c r="E219" s="125"/>
      <c r="F219" s="61"/>
    </row>
    <row r="220" spans="1:6" ht="15.75" customHeight="1">
      <c r="A220" s="124"/>
      <c r="D220" s="20"/>
      <c r="E220" s="125"/>
      <c r="F220" s="61"/>
    </row>
    <row r="221" spans="1:6" ht="15.75" customHeight="1">
      <c r="A221" s="124"/>
      <c r="D221" s="20"/>
      <c r="E221" s="125"/>
      <c r="F221" s="61"/>
    </row>
    <row r="222" spans="1:6" ht="15.75" customHeight="1">
      <c r="A222" s="124"/>
      <c r="D222" s="20"/>
      <c r="E222" s="125"/>
      <c r="F222" s="61"/>
    </row>
    <row r="223" spans="1:6" ht="15.75" customHeight="1">
      <c r="A223" s="124"/>
      <c r="D223" s="20"/>
      <c r="E223" s="125"/>
      <c r="F223" s="61"/>
    </row>
    <row r="224" spans="1:6" ht="15.75" customHeight="1">
      <c r="A224" s="124"/>
      <c r="D224" s="20"/>
      <c r="E224" s="125"/>
      <c r="F224" s="61"/>
    </row>
    <row r="225" spans="1:6" ht="15.75" customHeight="1">
      <c r="A225" s="124"/>
      <c r="D225" s="20"/>
      <c r="E225" s="125"/>
      <c r="F225" s="61"/>
    </row>
    <row r="226" spans="1:6" ht="15.75" customHeight="1">
      <c r="A226" s="124"/>
      <c r="D226" s="20"/>
      <c r="E226" s="125"/>
      <c r="F226" s="61"/>
    </row>
    <row r="227" spans="1:6" ht="15.75" customHeight="1">
      <c r="A227" s="124"/>
      <c r="D227" s="20"/>
      <c r="E227" s="125"/>
      <c r="F227" s="61"/>
    </row>
    <row r="228" spans="1:6" ht="15.75" customHeight="1">
      <c r="A228" s="124"/>
      <c r="D228" s="20"/>
      <c r="E228" s="125"/>
      <c r="F228" s="61"/>
    </row>
    <row r="229" spans="1:6" ht="15.75" customHeight="1">
      <c r="A229" s="124"/>
      <c r="D229" s="20"/>
      <c r="E229" s="125"/>
      <c r="F229" s="61"/>
    </row>
    <row r="230" spans="1:6" ht="15.75" customHeight="1">
      <c r="A230" s="124"/>
      <c r="D230" s="20"/>
      <c r="E230" s="125"/>
      <c r="F230" s="61"/>
    </row>
    <row r="231" spans="1:6" ht="15.75" customHeight="1">
      <c r="A231" s="124"/>
      <c r="D231" s="20"/>
      <c r="E231" s="125"/>
      <c r="F231" s="61"/>
    </row>
    <row r="232" spans="1:6" ht="15.75" customHeight="1">
      <c r="A232" s="124"/>
      <c r="D232" s="20"/>
      <c r="E232" s="125"/>
      <c r="F232" s="61"/>
    </row>
    <row r="233" spans="1:6" ht="15.75" customHeight="1">
      <c r="A233" s="124"/>
      <c r="D233" s="20"/>
      <c r="E233" s="125"/>
      <c r="F233" s="61"/>
    </row>
    <row r="234" spans="1:6" ht="15.75" customHeight="1">
      <c r="A234" s="124"/>
      <c r="D234" s="20"/>
      <c r="E234" s="125"/>
      <c r="F234" s="61"/>
    </row>
    <row r="235" spans="1:6" ht="15.75" customHeight="1">
      <c r="A235" s="124"/>
      <c r="D235" s="20"/>
      <c r="E235" s="125"/>
      <c r="F235" s="61"/>
    </row>
    <row r="236" spans="1:6" ht="15.75" customHeight="1">
      <c r="A236" s="124"/>
      <c r="D236" s="20"/>
      <c r="E236" s="125"/>
      <c r="F236" s="61"/>
    </row>
    <row r="237" spans="1:6" ht="15.75" customHeight="1">
      <c r="A237" s="124"/>
      <c r="D237" s="20"/>
      <c r="E237" s="125"/>
      <c r="F237" s="61"/>
    </row>
    <row r="238" spans="1:6" ht="15.75" customHeight="1">
      <c r="A238" s="124"/>
      <c r="D238" s="20"/>
      <c r="E238" s="125"/>
      <c r="F238" s="61"/>
    </row>
    <row r="239" spans="1:6" ht="15.75" customHeight="1">
      <c r="A239" s="124"/>
      <c r="D239" s="20"/>
      <c r="E239" s="125"/>
      <c r="F239" s="61"/>
    </row>
    <row r="240" spans="1:6" ht="15.75" customHeight="1">
      <c r="A240" s="124"/>
      <c r="D240" s="20"/>
      <c r="E240" s="125"/>
      <c r="F240" s="61"/>
    </row>
    <row r="241" spans="1:6" ht="15.75" customHeight="1">
      <c r="A241" s="124"/>
      <c r="D241" s="20"/>
      <c r="E241" s="125"/>
      <c r="F241" s="61"/>
    </row>
    <row r="242" spans="1:6" ht="15.75" customHeight="1">
      <c r="A242" s="124"/>
      <c r="D242" s="20"/>
      <c r="E242" s="125"/>
      <c r="F242" s="61"/>
    </row>
    <row r="243" spans="1:6" ht="15.75" customHeight="1">
      <c r="A243" s="124"/>
      <c r="D243" s="20"/>
      <c r="E243" s="125"/>
      <c r="F243" s="61"/>
    </row>
    <row r="244" spans="1:6" ht="15.75" customHeight="1">
      <c r="A244" s="124"/>
      <c r="D244" s="20"/>
      <c r="E244" s="125"/>
      <c r="F244" s="61"/>
    </row>
    <row r="245" spans="1:6" ht="15.75" customHeight="1">
      <c r="A245" s="124"/>
      <c r="D245" s="20"/>
      <c r="E245" s="125"/>
      <c r="F245" s="61"/>
    </row>
    <row r="246" spans="1:6" ht="15.75" customHeight="1">
      <c r="A246" s="124"/>
      <c r="D246" s="20"/>
      <c r="E246" s="125"/>
      <c r="F246" s="61"/>
    </row>
    <row r="247" spans="1:6" ht="15.75" customHeight="1">
      <c r="A247" s="124"/>
      <c r="D247" s="20"/>
      <c r="E247" s="125"/>
      <c r="F247" s="61"/>
    </row>
    <row r="248" spans="1:6" ht="15.75" customHeight="1">
      <c r="A248" s="124"/>
      <c r="D248" s="20"/>
      <c r="E248" s="125"/>
      <c r="F248" s="61"/>
    </row>
    <row r="249" spans="1:6" ht="15.75" customHeight="1">
      <c r="A249" s="124"/>
      <c r="D249" s="20"/>
      <c r="E249" s="125"/>
      <c r="F249" s="61"/>
    </row>
    <row r="250" spans="1:6" ht="15.75" customHeight="1">
      <c r="A250" s="124"/>
      <c r="D250" s="20"/>
      <c r="E250" s="125"/>
      <c r="F250" s="61"/>
    </row>
    <row r="251" spans="1:6" ht="15.75" customHeight="1">
      <c r="A251" s="124"/>
      <c r="D251" s="20"/>
      <c r="E251" s="125"/>
      <c r="F251" s="61"/>
    </row>
    <row r="252" spans="1:6" ht="15.75" customHeight="1">
      <c r="A252" s="124"/>
      <c r="D252" s="20"/>
      <c r="E252" s="125"/>
      <c r="F252" s="61"/>
    </row>
    <row r="253" spans="1:6" ht="15.75" customHeight="1">
      <c r="A253" s="124"/>
      <c r="D253" s="20"/>
      <c r="E253" s="125"/>
      <c r="F253" s="61"/>
    </row>
    <row r="254" spans="1:6" ht="15.75" customHeight="1">
      <c r="A254" s="124"/>
      <c r="D254" s="20"/>
      <c r="E254" s="125"/>
      <c r="F254" s="61"/>
    </row>
    <row r="255" spans="1:6" ht="15.75" customHeight="1">
      <c r="A255" s="124"/>
      <c r="D255" s="20"/>
      <c r="E255" s="125"/>
      <c r="F255" s="61"/>
    </row>
    <row r="256" spans="1:6" ht="15.75" customHeight="1">
      <c r="A256" s="124"/>
      <c r="D256" s="20"/>
      <c r="E256" s="125"/>
      <c r="F256" s="61"/>
    </row>
    <row r="257" spans="1:6" ht="15.75" customHeight="1">
      <c r="A257" s="124"/>
      <c r="D257" s="20"/>
      <c r="E257" s="125"/>
      <c r="F257" s="61"/>
    </row>
    <row r="258" spans="1:6" ht="15.75" customHeight="1">
      <c r="A258" s="124"/>
      <c r="D258" s="20"/>
      <c r="E258" s="125"/>
      <c r="F258" s="61"/>
    </row>
    <row r="259" spans="1:6" ht="15.75" customHeight="1">
      <c r="A259" s="124"/>
      <c r="D259" s="20"/>
      <c r="E259" s="125"/>
      <c r="F259" s="61"/>
    </row>
    <row r="260" spans="1:6" ht="15.75" customHeight="1">
      <c r="A260" s="124"/>
      <c r="D260" s="20"/>
      <c r="E260" s="125"/>
      <c r="F260" s="61"/>
    </row>
    <row r="261" spans="1:6" ht="15.75" customHeight="1">
      <c r="A261" s="124"/>
      <c r="D261" s="20"/>
      <c r="E261" s="125"/>
      <c r="F261" s="61"/>
    </row>
    <row r="262" spans="1:6" ht="15.75" customHeight="1">
      <c r="A262" s="124"/>
      <c r="D262" s="20"/>
      <c r="E262" s="125"/>
      <c r="F262" s="61"/>
    </row>
    <row r="263" spans="1:6" ht="15.75" customHeight="1">
      <c r="A263" s="124"/>
      <c r="D263" s="20"/>
      <c r="E263" s="125"/>
      <c r="F263" s="61"/>
    </row>
    <row r="264" spans="1:6" ht="15.75" customHeight="1">
      <c r="A264" s="124"/>
      <c r="D264" s="20"/>
      <c r="E264" s="125"/>
      <c r="F264" s="61"/>
    </row>
    <row r="265" spans="1:6" ht="15.75" customHeight="1">
      <c r="A265" s="124"/>
      <c r="D265" s="20"/>
      <c r="E265" s="125"/>
      <c r="F265" s="61"/>
    </row>
    <row r="266" spans="1:6" ht="15.75" customHeight="1">
      <c r="A266" s="124"/>
      <c r="D266" s="20"/>
      <c r="E266" s="125"/>
      <c r="F266" s="61"/>
    </row>
    <row r="267" spans="1:6" ht="15.75" customHeight="1">
      <c r="A267" s="124"/>
      <c r="D267" s="20"/>
      <c r="E267" s="125"/>
      <c r="F267" s="61"/>
    </row>
    <row r="268" spans="1:6" ht="15.75" customHeight="1">
      <c r="A268" s="124"/>
      <c r="D268" s="20"/>
      <c r="E268" s="125"/>
      <c r="F268" s="61"/>
    </row>
    <row r="269" spans="1:6" ht="15.75" customHeight="1">
      <c r="A269" s="124"/>
      <c r="D269" s="20"/>
      <c r="E269" s="125"/>
      <c r="F269" s="61"/>
    </row>
    <row r="270" spans="1:6" ht="15.75" customHeight="1">
      <c r="A270" s="124"/>
      <c r="D270" s="20"/>
      <c r="E270" s="125"/>
      <c r="F270" s="61"/>
    </row>
    <row r="271" spans="1:6" ht="15.75" customHeight="1">
      <c r="A271" s="124"/>
      <c r="D271" s="20"/>
      <c r="E271" s="125"/>
      <c r="F271" s="61"/>
    </row>
    <row r="272" spans="1:6" ht="15.75" customHeight="1">
      <c r="A272" s="124"/>
      <c r="D272" s="20"/>
      <c r="E272" s="125"/>
      <c r="F272" s="61"/>
    </row>
    <row r="273" spans="1:6" ht="15.75" customHeight="1">
      <c r="A273" s="124"/>
      <c r="D273" s="20"/>
      <c r="E273" s="125"/>
      <c r="F273" s="61"/>
    </row>
    <row r="274" spans="1:6" ht="15.75" customHeight="1">
      <c r="A274" s="124"/>
      <c r="D274" s="20"/>
      <c r="E274" s="125"/>
      <c r="F274" s="61"/>
    </row>
    <row r="275" spans="1:6" ht="15.75" customHeight="1">
      <c r="A275" s="124"/>
      <c r="D275" s="20"/>
      <c r="E275" s="125"/>
      <c r="F275" s="61"/>
    </row>
    <row r="276" spans="1:6" ht="15.75" customHeight="1">
      <c r="A276" s="124"/>
      <c r="D276" s="20"/>
      <c r="E276" s="125"/>
      <c r="F276" s="61"/>
    </row>
    <row r="277" spans="1:6" ht="15.75" customHeight="1">
      <c r="A277" s="124"/>
      <c r="D277" s="20"/>
      <c r="E277" s="125"/>
      <c r="F277" s="61"/>
    </row>
    <row r="278" spans="1:6" ht="15.75" customHeight="1">
      <c r="A278" s="124"/>
      <c r="D278" s="20"/>
      <c r="E278" s="125"/>
      <c r="F278" s="61"/>
    </row>
    <row r="279" spans="1:6" ht="15.75" customHeight="1">
      <c r="A279" s="124"/>
      <c r="D279" s="20"/>
      <c r="E279" s="125"/>
      <c r="F279" s="61"/>
    </row>
    <row r="280" spans="1:6" ht="15.75" customHeight="1">
      <c r="A280" s="124"/>
      <c r="D280" s="20"/>
      <c r="E280" s="125"/>
      <c r="F280" s="61"/>
    </row>
    <row r="281" spans="1:6" ht="15.75" customHeight="1">
      <c r="A281" s="124"/>
      <c r="D281" s="20"/>
      <c r="E281" s="125"/>
      <c r="F281" s="61"/>
    </row>
    <row r="282" spans="1:6" ht="15.75" customHeight="1">
      <c r="A282" s="124"/>
      <c r="D282" s="20"/>
      <c r="E282" s="125"/>
      <c r="F282" s="61"/>
    </row>
    <row r="283" spans="1:6" ht="15.75" customHeight="1">
      <c r="A283" s="124"/>
      <c r="D283" s="20"/>
      <c r="E283" s="125"/>
      <c r="F283" s="61"/>
    </row>
    <row r="284" spans="1:6" ht="15.75" customHeight="1">
      <c r="A284" s="124"/>
      <c r="D284" s="20"/>
      <c r="E284" s="125"/>
      <c r="F284" s="61"/>
    </row>
    <row r="285" spans="1:6" ht="15.75" customHeight="1">
      <c r="A285" s="124"/>
      <c r="D285" s="20"/>
      <c r="E285" s="125"/>
      <c r="F285" s="61"/>
    </row>
    <row r="286" spans="1:6" ht="15.75" customHeight="1">
      <c r="A286" s="124"/>
      <c r="D286" s="20"/>
      <c r="E286" s="125"/>
      <c r="F286" s="61"/>
    </row>
    <row r="287" spans="1:6" ht="15.75" customHeight="1">
      <c r="A287" s="124"/>
      <c r="D287" s="20"/>
      <c r="E287" s="125"/>
      <c r="F287" s="61"/>
    </row>
    <row r="288" spans="1:6" ht="15.75" customHeight="1">
      <c r="A288" s="124"/>
      <c r="D288" s="20"/>
      <c r="E288" s="125"/>
      <c r="F288" s="61"/>
    </row>
    <row r="289" spans="1:6" ht="15.75" customHeight="1">
      <c r="A289" s="124"/>
      <c r="D289" s="20"/>
      <c r="E289" s="125"/>
      <c r="F289" s="61"/>
    </row>
    <row r="290" spans="1:6" ht="15.75" customHeight="1">
      <c r="A290" s="124"/>
      <c r="D290" s="20"/>
      <c r="E290" s="125"/>
      <c r="F290" s="61"/>
    </row>
    <row r="291" spans="1:6" ht="15.75" customHeight="1">
      <c r="A291" s="124"/>
      <c r="D291" s="20"/>
      <c r="E291" s="125"/>
      <c r="F291" s="61"/>
    </row>
    <row r="292" spans="1:6" ht="15.75" customHeight="1">
      <c r="A292" s="124"/>
      <c r="D292" s="20"/>
      <c r="E292" s="125"/>
      <c r="F292" s="61"/>
    </row>
    <row r="293" spans="1:6" ht="15.75" customHeight="1">
      <c r="A293" s="124"/>
      <c r="D293" s="20"/>
      <c r="E293" s="125"/>
      <c r="F293" s="61"/>
    </row>
    <row r="294" spans="1:6" ht="15.75" customHeight="1">
      <c r="A294" s="124"/>
      <c r="D294" s="20"/>
      <c r="E294" s="125"/>
      <c r="F294" s="61"/>
    </row>
    <row r="295" spans="1:6" ht="15.75" customHeight="1">
      <c r="A295" s="124"/>
      <c r="D295" s="20"/>
      <c r="E295" s="125"/>
      <c r="F295" s="61"/>
    </row>
    <row r="296" spans="1:6" ht="15.75" customHeight="1">
      <c r="A296" s="124"/>
      <c r="D296" s="20"/>
      <c r="E296" s="125"/>
      <c r="F296" s="61"/>
    </row>
    <row r="297" spans="1:6" ht="15.75" customHeight="1">
      <c r="A297" s="124"/>
      <c r="D297" s="20"/>
      <c r="E297" s="125"/>
      <c r="F297" s="61"/>
    </row>
    <row r="298" spans="1:6" ht="15.75" customHeight="1">
      <c r="A298" s="124"/>
      <c r="D298" s="20"/>
      <c r="E298" s="125"/>
      <c r="F298" s="61"/>
    </row>
    <row r="299" spans="1:6" ht="15.75" customHeight="1">
      <c r="A299" s="124"/>
      <c r="D299" s="20"/>
      <c r="E299" s="125"/>
      <c r="F299" s="61"/>
    </row>
    <row r="300" spans="1:6" ht="15.75" customHeight="1">
      <c r="A300" s="124"/>
      <c r="D300" s="20"/>
      <c r="E300" s="125"/>
      <c r="F300" s="61"/>
    </row>
    <row r="301" spans="1:6" ht="15.75" customHeight="1">
      <c r="A301" s="124"/>
      <c r="D301" s="20"/>
      <c r="E301" s="125"/>
      <c r="F301" s="61"/>
    </row>
    <row r="302" spans="1:6" ht="15.75" customHeight="1">
      <c r="A302" s="124"/>
      <c r="D302" s="20"/>
      <c r="E302" s="125"/>
      <c r="F302" s="61"/>
    </row>
    <row r="303" spans="1:6" ht="15.75" customHeight="1">
      <c r="A303" s="124"/>
      <c r="D303" s="20"/>
      <c r="E303" s="125"/>
      <c r="F303" s="61"/>
    </row>
    <row r="304" spans="1:6" ht="15.75" customHeight="1">
      <c r="A304" s="124"/>
      <c r="D304" s="20"/>
      <c r="E304" s="125"/>
      <c r="F304" s="61"/>
    </row>
    <row r="305" spans="1:6" ht="15.75" customHeight="1">
      <c r="A305" s="124"/>
      <c r="D305" s="20"/>
      <c r="E305" s="125"/>
      <c r="F305" s="61"/>
    </row>
    <row r="306" spans="1:6" ht="15.75" customHeight="1">
      <c r="A306" s="124"/>
      <c r="D306" s="20"/>
      <c r="E306" s="125"/>
      <c r="F306" s="61"/>
    </row>
    <row r="307" spans="1:6" ht="15.75" customHeight="1">
      <c r="A307" s="124"/>
      <c r="D307" s="20"/>
      <c r="E307" s="125"/>
      <c r="F307" s="61"/>
    </row>
    <row r="308" spans="1:6" ht="15.75" customHeight="1">
      <c r="A308" s="124"/>
      <c r="D308" s="20"/>
      <c r="E308" s="125"/>
      <c r="F308" s="61"/>
    </row>
    <row r="309" spans="1:6" ht="15.75" customHeight="1">
      <c r="A309" s="124"/>
      <c r="D309" s="20"/>
      <c r="E309" s="125"/>
      <c r="F309" s="61"/>
    </row>
    <row r="310" spans="1:6" ht="15.75" customHeight="1">
      <c r="A310" s="124"/>
      <c r="D310" s="20"/>
      <c r="E310" s="125"/>
      <c r="F310" s="61"/>
    </row>
    <row r="311" spans="1:6" ht="15.75" customHeight="1">
      <c r="A311" s="124"/>
      <c r="D311" s="20"/>
      <c r="E311" s="125"/>
      <c r="F311" s="61"/>
    </row>
    <row r="312" spans="1:6" ht="15.75" customHeight="1">
      <c r="A312" s="124"/>
      <c r="D312" s="20"/>
      <c r="E312" s="125"/>
      <c r="F312" s="61"/>
    </row>
    <row r="313" spans="1:6" ht="15.75" customHeight="1">
      <c r="A313" s="124"/>
      <c r="D313" s="20"/>
      <c r="E313" s="125"/>
      <c r="F313" s="61"/>
    </row>
    <row r="314" spans="1:6" ht="15.75" customHeight="1">
      <c r="A314" s="124"/>
      <c r="D314" s="20"/>
      <c r="E314" s="125"/>
      <c r="F314" s="61"/>
    </row>
    <row r="315" spans="1:6" ht="15.75" customHeight="1">
      <c r="A315" s="124"/>
      <c r="D315" s="20"/>
      <c r="E315" s="125"/>
      <c r="F315" s="61"/>
    </row>
    <row r="316" spans="1:6" ht="15.75" customHeight="1">
      <c r="A316" s="124"/>
      <c r="D316" s="20"/>
      <c r="E316" s="125"/>
      <c r="F316" s="61"/>
    </row>
    <row r="317" spans="1:6" ht="15.75" customHeight="1">
      <c r="A317" s="124"/>
      <c r="D317" s="20"/>
      <c r="E317" s="125"/>
      <c r="F317" s="61"/>
    </row>
    <row r="318" spans="1:6" ht="15.75" customHeight="1">
      <c r="A318" s="124"/>
      <c r="D318" s="20"/>
      <c r="E318" s="125"/>
      <c r="F318" s="61"/>
    </row>
    <row r="319" spans="1:6" ht="15.75" customHeight="1">
      <c r="A319" s="124"/>
      <c r="D319" s="20"/>
      <c r="E319" s="125"/>
      <c r="F319" s="61"/>
    </row>
    <row r="320" spans="1:6" ht="15.75" customHeight="1">
      <c r="A320" s="124"/>
      <c r="D320" s="20"/>
      <c r="E320" s="125"/>
      <c r="F320" s="61"/>
    </row>
    <row r="321" spans="1:6" ht="15.75" customHeight="1">
      <c r="A321" s="124"/>
      <c r="D321" s="20"/>
      <c r="E321" s="125"/>
      <c r="F321" s="61"/>
    </row>
    <row r="322" spans="1:6" ht="15.75" customHeight="1">
      <c r="A322" s="124"/>
      <c r="D322" s="20"/>
      <c r="E322" s="125"/>
      <c r="F322" s="61"/>
    </row>
    <row r="323" spans="1:6" ht="15.75" customHeight="1">
      <c r="A323" s="124"/>
      <c r="D323" s="20"/>
      <c r="E323" s="125"/>
      <c r="F323" s="61"/>
    </row>
    <row r="324" spans="1:6" ht="15.75" customHeight="1">
      <c r="A324" s="124"/>
      <c r="D324" s="20"/>
      <c r="E324" s="125"/>
      <c r="F324" s="61"/>
    </row>
    <row r="325" spans="1:6" ht="15.75" customHeight="1">
      <c r="A325" s="124"/>
      <c r="D325" s="20"/>
      <c r="E325" s="125"/>
      <c r="F325" s="61"/>
    </row>
    <row r="326" spans="1:6" ht="15.75" customHeight="1">
      <c r="A326" s="124"/>
      <c r="D326" s="20"/>
      <c r="E326" s="125"/>
      <c r="F326" s="61"/>
    </row>
    <row r="327" spans="1:6" ht="15.75" customHeight="1">
      <c r="A327" s="124"/>
      <c r="D327" s="20"/>
      <c r="E327" s="125"/>
      <c r="F327" s="61"/>
    </row>
    <row r="328" spans="1:6" ht="15.75" customHeight="1">
      <c r="A328" s="124"/>
      <c r="D328" s="20"/>
      <c r="E328" s="125"/>
      <c r="F328" s="61"/>
    </row>
    <row r="329" spans="1:6" ht="15.75" customHeight="1">
      <c r="A329" s="124"/>
      <c r="D329" s="20"/>
      <c r="E329" s="125"/>
      <c r="F329" s="61"/>
    </row>
    <row r="330" spans="1:6" ht="15.75" customHeight="1">
      <c r="A330" s="124"/>
      <c r="D330" s="20"/>
      <c r="E330" s="125"/>
      <c r="F330" s="61"/>
    </row>
    <row r="331" spans="1:6" ht="15.75" customHeight="1">
      <c r="A331" s="124"/>
      <c r="D331" s="20"/>
      <c r="E331" s="125"/>
      <c r="F331" s="61"/>
    </row>
    <row r="332" spans="1:6" ht="15.75" customHeight="1">
      <c r="A332" s="124"/>
      <c r="D332" s="20"/>
      <c r="E332" s="125"/>
      <c r="F332" s="61"/>
    </row>
    <row r="333" spans="1:6" ht="15.75" customHeight="1">
      <c r="A333" s="124"/>
      <c r="D333" s="20"/>
      <c r="E333" s="125"/>
      <c r="F333" s="61"/>
    </row>
    <row r="334" spans="1:6" ht="15.75" customHeight="1">
      <c r="A334" s="124"/>
      <c r="D334" s="20"/>
      <c r="E334" s="125"/>
      <c r="F334" s="61"/>
    </row>
    <row r="335" spans="1:6" ht="15.75" customHeight="1">
      <c r="A335" s="124"/>
      <c r="D335" s="20"/>
      <c r="E335" s="125"/>
      <c r="F335" s="61"/>
    </row>
    <row r="336" spans="1:6" ht="15.75" customHeight="1">
      <c r="A336" s="124"/>
      <c r="D336" s="20"/>
      <c r="E336" s="125"/>
      <c r="F336" s="61"/>
    </row>
    <row r="337" spans="1:6" ht="15.75" customHeight="1">
      <c r="A337" s="124"/>
      <c r="D337" s="20"/>
      <c r="E337" s="125"/>
      <c r="F337" s="61"/>
    </row>
    <row r="338" spans="1:6" ht="15.75" customHeight="1">
      <c r="A338" s="124"/>
      <c r="D338" s="20"/>
      <c r="E338" s="125"/>
      <c r="F338" s="61"/>
    </row>
    <row r="339" spans="1:6" ht="15.75" customHeight="1">
      <c r="A339" s="124"/>
      <c r="D339" s="20"/>
      <c r="E339" s="125"/>
      <c r="F339" s="61"/>
    </row>
    <row r="340" spans="1:6" ht="15.75" customHeight="1">
      <c r="A340" s="124"/>
      <c r="D340" s="20"/>
      <c r="E340" s="125"/>
      <c r="F340" s="61"/>
    </row>
    <row r="341" spans="1:6" ht="15.75" customHeight="1">
      <c r="A341" s="124"/>
      <c r="D341" s="20"/>
      <c r="E341" s="125"/>
      <c r="F341" s="61"/>
    </row>
    <row r="342" spans="1:6" ht="15.75" customHeight="1">
      <c r="A342" s="124"/>
      <c r="D342" s="20"/>
      <c r="E342" s="125"/>
      <c r="F342" s="61"/>
    </row>
    <row r="343" spans="1:6" ht="15.75" customHeight="1">
      <c r="A343" s="124"/>
      <c r="D343" s="20"/>
      <c r="E343" s="125"/>
      <c r="F343" s="61"/>
    </row>
    <row r="344" spans="1:6" ht="15.75" customHeight="1">
      <c r="A344" s="124"/>
      <c r="D344" s="20"/>
      <c r="E344" s="125"/>
      <c r="F344" s="61"/>
    </row>
    <row r="345" spans="1:6" ht="15.75" customHeight="1">
      <c r="A345" s="124"/>
      <c r="D345" s="20"/>
      <c r="E345" s="125"/>
      <c r="F345" s="61"/>
    </row>
    <row r="346" spans="1:6" ht="15.75" customHeight="1">
      <c r="A346" s="124"/>
      <c r="D346" s="20"/>
      <c r="E346" s="125"/>
      <c r="F346" s="61"/>
    </row>
    <row r="347" spans="1:6" ht="15.75" customHeight="1">
      <c r="A347" s="124"/>
      <c r="D347" s="20"/>
      <c r="E347" s="125"/>
      <c r="F347" s="61"/>
    </row>
    <row r="348" spans="1:6" ht="15.75" customHeight="1">
      <c r="A348" s="124"/>
      <c r="D348" s="20"/>
      <c r="E348" s="125"/>
      <c r="F348" s="61"/>
    </row>
    <row r="349" spans="1:6" ht="15.75" customHeight="1">
      <c r="A349" s="124"/>
      <c r="D349" s="20"/>
      <c r="E349" s="125"/>
      <c r="F349" s="61"/>
    </row>
    <row r="350" spans="1:6" ht="15.75" customHeight="1">
      <c r="A350" s="124"/>
      <c r="D350" s="20"/>
      <c r="E350" s="125"/>
      <c r="F350" s="61"/>
    </row>
    <row r="351" spans="1:6" ht="15.75" customHeight="1">
      <c r="A351" s="124"/>
      <c r="D351" s="20"/>
      <c r="E351" s="125"/>
      <c r="F351" s="61"/>
    </row>
    <row r="352" spans="1:6" ht="15.75" customHeight="1">
      <c r="A352" s="124"/>
      <c r="D352" s="20"/>
      <c r="E352" s="125"/>
      <c r="F352" s="61"/>
    </row>
    <row r="353" spans="1:6" ht="15.75" customHeight="1">
      <c r="A353" s="124"/>
      <c r="D353" s="20"/>
      <c r="E353" s="125"/>
      <c r="F353" s="61"/>
    </row>
    <row r="354" spans="1:6" ht="15.75" customHeight="1">
      <c r="A354" s="124"/>
      <c r="D354" s="20"/>
      <c r="E354" s="125"/>
      <c r="F354" s="61"/>
    </row>
    <row r="355" spans="1:6" ht="15.75" customHeight="1">
      <c r="A355" s="124"/>
      <c r="D355" s="20"/>
      <c r="E355" s="125"/>
      <c r="F355" s="61"/>
    </row>
    <row r="356" spans="1:6" ht="15.75" customHeight="1">
      <c r="A356" s="124"/>
      <c r="D356" s="20"/>
      <c r="E356" s="125"/>
      <c r="F356" s="61"/>
    </row>
    <row r="357" spans="1:6" ht="15.75" customHeight="1">
      <c r="A357" s="124"/>
      <c r="D357" s="20"/>
      <c r="E357" s="125"/>
      <c r="F357" s="61"/>
    </row>
    <row r="358" spans="1:6" ht="15.75" customHeight="1">
      <c r="A358" s="124"/>
      <c r="D358" s="20"/>
      <c r="E358" s="125"/>
      <c r="F358" s="61"/>
    </row>
    <row r="359" spans="1:6" ht="15.75" customHeight="1">
      <c r="A359" s="124"/>
      <c r="D359" s="20"/>
      <c r="E359" s="125"/>
      <c r="F359" s="61"/>
    </row>
    <row r="360" spans="1:6" ht="15.75" customHeight="1">
      <c r="A360" s="124"/>
      <c r="D360" s="20"/>
      <c r="E360" s="125"/>
      <c r="F360" s="61"/>
    </row>
    <row r="361" spans="1:6" ht="15.75" customHeight="1">
      <c r="A361" s="124"/>
      <c r="D361" s="20"/>
      <c r="E361" s="125"/>
      <c r="F361" s="61"/>
    </row>
    <row r="362" spans="1:6" ht="15.75" customHeight="1">
      <c r="A362" s="124"/>
      <c r="D362" s="20"/>
      <c r="E362" s="125"/>
      <c r="F362" s="61"/>
    </row>
    <row r="363" spans="1:6" ht="15.75" customHeight="1">
      <c r="A363" s="124"/>
      <c r="D363" s="20"/>
      <c r="E363" s="125"/>
      <c r="F363" s="61"/>
    </row>
    <row r="364" spans="1:6" ht="15.75" customHeight="1">
      <c r="A364" s="124"/>
      <c r="D364" s="20"/>
      <c r="E364" s="125"/>
      <c r="F364" s="61"/>
    </row>
    <row r="365" spans="1:6" ht="15.75" customHeight="1">
      <c r="A365" s="124"/>
      <c r="D365" s="20"/>
      <c r="E365" s="125"/>
      <c r="F365" s="61"/>
    </row>
    <row r="366" spans="1:6" ht="15.75" customHeight="1">
      <c r="A366" s="124"/>
      <c r="D366" s="20"/>
      <c r="E366" s="125"/>
      <c r="F366" s="61"/>
    </row>
    <row r="367" spans="1:6" ht="15.75" customHeight="1">
      <c r="A367" s="124"/>
      <c r="D367" s="20"/>
      <c r="E367" s="125"/>
      <c r="F367" s="61"/>
    </row>
    <row r="368" spans="1:6" ht="15.75" customHeight="1">
      <c r="A368" s="124"/>
      <c r="D368" s="20"/>
      <c r="E368" s="125"/>
      <c r="F368" s="61"/>
    </row>
    <row r="369" spans="1:6" ht="15.75" customHeight="1">
      <c r="A369" s="124"/>
      <c r="D369" s="20"/>
      <c r="E369" s="125"/>
      <c r="F369" s="61"/>
    </row>
    <row r="370" spans="1:6" ht="15.75" customHeight="1">
      <c r="A370" s="124"/>
      <c r="D370" s="20"/>
      <c r="E370" s="125"/>
      <c r="F370" s="61"/>
    </row>
    <row r="371" spans="1:6" ht="15.75" customHeight="1">
      <c r="A371" s="124"/>
      <c r="D371" s="20"/>
      <c r="E371" s="125"/>
      <c r="F371" s="61"/>
    </row>
    <row r="372" spans="1:6" ht="15.75" customHeight="1">
      <c r="A372" s="124"/>
      <c r="D372" s="20"/>
      <c r="E372" s="125"/>
      <c r="F372" s="61"/>
    </row>
    <row r="373" spans="1:6" ht="15.75" customHeight="1">
      <c r="A373" s="124"/>
      <c r="D373" s="20"/>
      <c r="E373" s="125"/>
      <c r="F373" s="61"/>
    </row>
    <row r="374" spans="1:6" ht="15.75" customHeight="1">
      <c r="A374" s="124"/>
      <c r="D374" s="20"/>
      <c r="E374" s="125"/>
      <c r="F374" s="61"/>
    </row>
    <row r="375" spans="1:6" ht="15.75" customHeight="1">
      <c r="A375" s="124"/>
      <c r="D375" s="20"/>
      <c r="E375" s="125"/>
      <c r="F375" s="61"/>
    </row>
    <row r="376" spans="1:6" ht="15.75" customHeight="1">
      <c r="A376" s="124"/>
      <c r="D376" s="20"/>
      <c r="E376" s="125"/>
      <c r="F376" s="61"/>
    </row>
    <row r="377" spans="1:6" ht="15.75" customHeight="1">
      <c r="A377" s="124"/>
      <c r="D377" s="20"/>
      <c r="E377" s="125"/>
      <c r="F377" s="61"/>
    </row>
    <row r="378" spans="1:6" ht="15.75" customHeight="1">
      <c r="A378" s="124"/>
      <c r="D378" s="20"/>
      <c r="E378" s="125"/>
      <c r="F378" s="61"/>
    </row>
    <row r="379" spans="1:6" ht="15.75" customHeight="1">
      <c r="A379" s="124"/>
      <c r="D379" s="20"/>
      <c r="E379" s="125"/>
      <c r="F379" s="61"/>
    </row>
    <row r="380" spans="1:6" ht="15.75" customHeight="1">
      <c r="A380" s="124"/>
      <c r="D380" s="20"/>
      <c r="E380" s="125"/>
      <c r="F380" s="61"/>
    </row>
    <row r="381" spans="1:6" ht="15.75" customHeight="1">
      <c r="A381" s="124"/>
      <c r="D381" s="20"/>
      <c r="E381" s="125"/>
      <c r="F381" s="61"/>
    </row>
    <row r="382" spans="1:6" ht="15.75" customHeight="1">
      <c r="A382" s="124"/>
      <c r="D382" s="20"/>
      <c r="E382" s="125"/>
      <c r="F382" s="61"/>
    </row>
    <row r="383" spans="1:6" ht="15.75" customHeight="1">
      <c r="A383" s="124"/>
      <c r="D383" s="20"/>
      <c r="E383" s="125"/>
      <c r="F383" s="61"/>
    </row>
    <row r="384" spans="1:6" ht="15.75" customHeight="1">
      <c r="A384" s="124"/>
      <c r="D384" s="20"/>
      <c r="E384" s="125"/>
      <c r="F384" s="61"/>
    </row>
    <row r="385" spans="1:6" ht="15.75" customHeight="1">
      <c r="A385" s="124"/>
      <c r="D385" s="20"/>
      <c r="E385" s="125"/>
      <c r="F385" s="61"/>
    </row>
    <row r="386" spans="1:6" ht="15.75" customHeight="1">
      <c r="A386" s="124"/>
      <c r="D386" s="20"/>
      <c r="E386" s="125"/>
      <c r="F386" s="61"/>
    </row>
    <row r="387" spans="1:6" ht="15.75" customHeight="1">
      <c r="A387" s="124"/>
      <c r="D387" s="20"/>
      <c r="E387" s="125"/>
      <c r="F387" s="61"/>
    </row>
    <row r="388" spans="1:6" ht="15.75" customHeight="1">
      <c r="A388" s="124"/>
      <c r="D388" s="20"/>
      <c r="E388" s="125"/>
      <c r="F388" s="61"/>
    </row>
    <row r="389" spans="1:6" ht="15.75" customHeight="1">
      <c r="A389" s="124"/>
      <c r="D389" s="20"/>
      <c r="E389" s="125"/>
      <c r="F389" s="61"/>
    </row>
    <row r="390" spans="1:6" ht="15.75" customHeight="1">
      <c r="A390" s="124"/>
      <c r="D390" s="20"/>
      <c r="E390" s="125"/>
      <c r="F390" s="61"/>
    </row>
    <row r="391" spans="1:6" ht="15.75" customHeight="1">
      <c r="A391" s="124"/>
      <c r="D391" s="20"/>
      <c r="E391" s="125"/>
      <c r="F391" s="61"/>
    </row>
    <row r="392" spans="1:6" ht="15.75" customHeight="1">
      <c r="A392" s="124"/>
      <c r="D392" s="20"/>
      <c r="E392" s="125"/>
      <c r="F392" s="61"/>
    </row>
    <row r="393" spans="1:6" ht="15.75" customHeight="1">
      <c r="A393" s="124"/>
      <c r="D393" s="20"/>
      <c r="E393" s="125"/>
      <c r="F393" s="61"/>
    </row>
    <row r="394" spans="1:6" ht="15.75" customHeight="1">
      <c r="A394" s="124"/>
      <c r="D394" s="20"/>
      <c r="E394" s="125"/>
      <c r="F394" s="61"/>
    </row>
    <row r="395" spans="1:6" ht="15.75" customHeight="1">
      <c r="A395" s="124"/>
      <c r="D395" s="20"/>
      <c r="E395" s="125"/>
      <c r="F395" s="61"/>
    </row>
    <row r="396" spans="1:6" ht="15.75" customHeight="1">
      <c r="A396" s="124"/>
      <c r="D396" s="20"/>
      <c r="E396" s="125"/>
      <c r="F396" s="61"/>
    </row>
    <row r="397" spans="1:6" ht="15.75" customHeight="1">
      <c r="A397" s="124"/>
      <c r="D397" s="20"/>
      <c r="E397" s="125"/>
      <c r="F397" s="61"/>
    </row>
    <row r="398" spans="1:6" ht="15.75" customHeight="1">
      <c r="A398" s="124"/>
      <c r="D398" s="20"/>
      <c r="E398" s="125"/>
      <c r="F398" s="61"/>
    </row>
    <row r="399" spans="1:6" ht="15.75" customHeight="1">
      <c r="A399" s="124"/>
      <c r="D399" s="20"/>
      <c r="E399" s="125"/>
      <c r="F399" s="61"/>
    </row>
    <row r="400" spans="1:6" ht="15.75" customHeight="1">
      <c r="A400" s="124"/>
      <c r="D400" s="20"/>
      <c r="E400" s="125"/>
      <c r="F400" s="61"/>
    </row>
    <row r="401" spans="1:6" ht="15.75" customHeight="1">
      <c r="A401" s="124"/>
      <c r="D401" s="20"/>
      <c r="E401" s="125"/>
      <c r="F401" s="61"/>
    </row>
    <row r="402" spans="1:6" ht="15.75" customHeight="1">
      <c r="A402" s="124"/>
      <c r="D402" s="20"/>
      <c r="E402" s="125"/>
      <c r="F402" s="61"/>
    </row>
    <row r="403" spans="1:6" ht="15.75" customHeight="1">
      <c r="A403" s="124"/>
      <c r="D403" s="20"/>
      <c r="E403" s="125"/>
      <c r="F403" s="61"/>
    </row>
    <row r="404" spans="1:6" ht="15.75" customHeight="1">
      <c r="A404" s="124"/>
      <c r="D404" s="20"/>
      <c r="E404" s="125"/>
      <c r="F404" s="61"/>
    </row>
    <row r="405" spans="1:6" ht="15.75" customHeight="1">
      <c r="A405" s="124"/>
      <c r="D405" s="20"/>
      <c r="E405" s="125"/>
      <c r="F405" s="61"/>
    </row>
    <row r="406" spans="1:6" ht="15.75" customHeight="1">
      <c r="A406" s="124"/>
      <c r="D406" s="20"/>
      <c r="E406" s="125"/>
      <c r="F406" s="61"/>
    </row>
    <row r="407" spans="1:6" ht="15.75" customHeight="1">
      <c r="A407" s="124"/>
      <c r="D407" s="20"/>
      <c r="E407" s="125"/>
      <c r="F407" s="61"/>
    </row>
    <row r="408" spans="1:6" ht="15.75" customHeight="1">
      <c r="A408" s="124"/>
      <c r="D408" s="20"/>
      <c r="E408" s="125"/>
      <c r="F408" s="61"/>
    </row>
    <row r="409" spans="1:6" ht="15.75" customHeight="1">
      <c r="A409" s="124"/>
      <c r="D409" s="20"/>
      <c r="E409" s="125"/>
      <c r="F409" s="61"/>
    </row>
    <row r="410" spans="1:6" ht="15.75" customHeight="1">
      <c r="A410" s="124"/>
      <c r="D410" s="20"/>
      <c r="E410" s="125"/>
      <c r="F410" s="61"/>
    </row>
    <row r="411" spans="1:6" ht="15.75" customHeight="1">
      <c r="A411" s="124"/>
      <c r="D411" s="20"/>
      <c r="E411" s="125"/>
      <c r="F411" s="61"/>
    </row>
    <row r="412" spans="1:6" ht="15.75" customHeight="1">
      <c r="A412" s="124"/>
      <c r="D412" s="20"/>
      <c r="E412" s="125"/>
      <c r="F412" s="61"/>
    </row>
    <row r="413" spans="1:6" ht="15.75" customHeight="1">
      <c r="A413" s="124"/>
      <c r="D413" s="20"/>
      <c r="E413" s="125"/>
      <c r="F413" s="61"/>
    </row>
    <row r="414" spans="1:6" ht="15.75" customHeight="1">
      <c r="A414" s="124"/>
      <c r="D414" s="20"/>
      <c r="E414" s="125"/>
      <c r="F414" s="61"/>
    </row>
    <row r="415" spans="1:6" ht="15.75" customHeight="1">
      <c r="A415" s="124"/>
      <c r="D415" s="20"/>
      <c r="E415" s="125"/>
      <c r="F415" s="61"/>
    </row>
    <row r="416" spans="1:6" ht="15.75" customHeight="1">
      <c r="A416" s="124"/>
      <c r="D416" s="20"/>
      <c r="E416" s="125"/>
      <c r="F416" s="61"/>
    </row>
    <row r="417" spans="1:6" ht="15.75" customHeight="1">
      <c r="A417" s="124"/>
      <c r="D417" s="20"/>
      <c r="E417" s="125"/>
      <c r="F417" s="61"/>
    </row>
    <row r="418" spans="1:6" ht="15.75" customHeight="1">
      <c r="A418" s="124"/>
      <c r="D418" s="20"/>
      <c r="E418" s="125"/>
      <c r="F418" s="61"/>
    </row>
    <row r="419" spans="1:6" ht="15.75" customHeight="1">
      <c r="A419" s="124"/>
      <c r="D419" s="20"/>
      <c r="E419" s="125"/>
      <c r="F419" s="61"/>
    </row>
    <row r="420" spans="1:6" ht="15.75" customHeight="1">
      <c r="A420" s="124"/>
      <c r="D420" s="20"/>
      <c r="E420" s="125"/>
      <c r="F420" s="61"/>
    </row>
    <row r="421" spans="1:6" ht="15.75" customHeight="1">
      <c r="A421" s="124"/>
      <c r="D421" s="20"/>
      <c r="E421" s="125"/>
      <c r="F421" s="61"/>
    </row>
    <row r="422" spans="1:6" ht="15.75" customHeight="1">
      <c r="A422" s="124"/>
      <c r="D422" s="20"/>
      <c r="E422" s="125"/>
      <c r="F422" s="61"/>
    </row>
    <row r="423" spans="1:6" ht="15.75" customHeight="1">
      <c r="A423" s="124"/>
      <c r="D423" s="20"/>
      <c r="E423" s="125"/>
      <c r="F423" s="61"/>
    </row>
    <row r="424" spans="1:6" ht="15.75" customHeight="1">
      <c r="A424" s="124"/>
      <c r="D424" s="20"/>
      <c r="E424" s="125"/>
      <c r="F424" s="61"/>
    </row>
    <row r="425" spans="1:6" ht="15.75" customHeight="1">
      <c r="A425" s="124"/>
      <c r="D425" s="20"/>
      <c r="E425" s="125"/>
      <c r="F425" s="61"/>
    </row>
    <row r="426" spans="1:6" ht="15.75" customHeight="1">
      <c r="A426" s="124"/>
      <c r="D426" s="20"/>
      <c r="E426" s="125"/>
      <c r="F426" s="61"/>
    </row>
    <row r="427" spans="1:6" ht="15.75" customHeight="1">
      <c r="A427" s="124"/>
      <c r="D427" s="20"/>
      <c r="E427" s="125"/>
      <c r="F427" s="61"/>
    </row>
    <row r="428" spans="1:6" ht="15.75" customHeight="1">
      <c r="A428" s="124"/>
      <c r="D428" s="20"/>
      <c r="E428" s="125"/>
      <c r="F428" s="61"/>
    </row>
    <row r="429" spans="1:6" ht="15.75" customHeight="1">
      <c r="A429" s="124"/>
      <c r="D429" s="20"/>
      <c r="E429" s="125"/>
      <c r="F429" s="61"/>
    </row>
    <row r="430" spans="1:6" ht="15.75" customHeight="1">
      <c r="A430" s="124"/>
      <c r="D430" s="20"/>
      <c r="E430" s="125"/>
      <c r="F430" s="61"/>
    </row>
    <row r="431" spans="1:6" ht="15.75" customHeight="1">
      <c r="A431" s="124"/>
      <c r="D431" s="20"/>
      <c r="E431" s="125"/>
      <c r="F431" s="61"/>
    </row>
    <row r="432" spans="1:6" ht="15.75" customHeight="1">
      <c r="A432" s="124"/>
      <c r="D432" s="20"/>
      <c r="E432" s="125"/>
      <c r="F432" s="61"/>
    </row>
    <row r="433" spans="1:6" ht="15.75" customHeight="1">
      <c r="A433" s="124"/>
      <c r="D433" s="20"/>
      <c r="E433" s="125"/>
      <c r="F433" s="61"/>
    </row>
    <row r="434" spans="1:6" ht="15.75" customHeight="1">
      <c r="A434" s="124"/>
      <c r="D434" s="20"/>
      <c r="E434" s="125"/>
      <c r="F434" s="61"/>
    </row>
    <row r="435" spans="1:6" ht="15.75" customHeight="1">
      <c r="A435" s="124"/>
      <c r="D435" s="20"/>
      <c r="E435" s="125"/>
      <c r="F435" s="61"/>
    </row>
    <row r="436" spans="1:6" ht="15.75" customHeight="1">
      <c r="A436" s="124"/>
      <c r="D436" s="20"/>
      <c r="E436" s="125"/>
      <c r="F436" s="61"/>
    </row>
    <row r="437" spans="1:6" ht="15.75" customHeight="1">
      <c r="A437" s="124"/>
      <c r="D437" s="20"/>
      <c r="E437" s="125"/>
      <c r="F437" s="61"/>
    </row>
    <row r="438" spans="1:6" ht="15.75" customHeight="1">
      <c r="A438" s="124"/>
      <c r="D438" s="20"/>
      <c r="E438" s="125"/>
      <c r="F438" s="61"/>
    </row>
    <row r="439" spans="1:6" ht="15.75" customHeight="1">
      <c r="A439" s="124"/>
      <c r="D439" s="20"/>
      <c r="E439" s="125"/>
      <c r="F439" s="61"/>
    </row>
    <row r="440" spans="1:6" ht="15.75" customHeight="1">
      <c r="A440" s="124"/>
      <c r="D440" s="20"/>
      <c r="E440" s="125"/>
      <c r="F440" s="61"/>
    </row>
    <row r="441" spans="1:6" ht="15.75" customHeight="1">
      <c r="A441" s="124"/>
      <c r="D441" s="20"/>
      <c r="E441" s="125"/>
      <c r="F441" s="61"/>
    </row>
    <row r="442" spans="1:6" ht="15.75" customHeight="1">
      <c r="A442" s="124"/>
      <c r="D442" s="20"/>
      <c r="E442" s="125"/>
      <c r="F442" s="61"/>
    </row>
    <row r="443" spans="1:6" ht="15.75" customHeight="1">
      <c r="A443" s="124"/>
      <c r="D443" s="20"/>
      <c r="E443" s="125"/>
      <c r="F443" s="61"/>
    </row>
    <row r="444" spans="1:6" ht="15.75" customHeight="1">
      <c r="A444" s="124"/>
      <c r="D444" s="20"/>
      <c r="E444" s="125"/>
      <c r="F444" s="61"/>
    </row>
    <row r="445" spans="1:6" ht="15.75" customHeight="1">
      <c r="A445" s="124"/>
      <c r="D445" s="20"/>
      <c r="E445" s="125"/>
      <c r="F445" s="61"/>
    </row>
    <row r="446" spans="1:6" ht="15.75" customHeight="1">
      <c r="A446" s="124"/>
      <c r="D446" s="20"/>
      <c r="E446" s="125"/>
      <c r="F446" s="61"/>
    </row>
    <row r="447" spans="1:6" ht="15.75" customHeight="1">
      <c r="A447" s="124"/>
      <c r="D447" s="20"/>
      <c r="E447" s="125"/>
      <c r="F447" s="61"/>
    </row>
    <row r="448" spans="1:6" ht="15.75" customHeight="1">
      <c r="A448" s="124"/>
      <c r="D448" s="20"/>
      <c r="E448" s="125"/>
      <c r="F448" s="61"/>
    </row>
    <row r="449" spans="1:6" ht="15.75" customHeight="1">
      <c r="A449" s="124"/>
      <c r="D449" s="20"/>
      <c r="E449" s="125"/>
      <c r="F449" s="61"/>
    </row>
    <row r="450" spans="1:6" ht="15.75" customHeight="1">
      <c r="A450" s="124"/>
      <c r="D450" s="20"/>
      <c r="E450" s="125"/>
      <c r="F450" s="61"/>
    </row>
    <row r="451" spans="1:6" ht="15.75" customHeight="1">
      <c r="A451" s="124"/>
      <c r="D451" s="20"/>
      <c r="E451" s="125"/>
      <c r="F451" s="61"/>
    </row>
    <row r="452" spans="1:6" ht="15.75" customHeight="1">
      <c r="A452" s="124"/>
      <c r="D452" s="20"/>
      <c r="E452" s="125"/>
      <c r="F452" s="61"/>
    </row>
    <row r="453" spans="1:6" ht="15.75" customHeight="1">
      <c r="A453" s="124"/>
      <c r="D453" s="20"/>
      <c r="E453" s="125"/>
      <c r="F453" s="61"/>
    </row>
    <row r="454" spans="1:6" ht="15.75" customHeight="1">
      <c r="A454" s="124"/>
      <c r="D454" s="20"/>
      <c r="E454" s="125"/>
      <c r="F454" s="61"/>
    </row>
    <row r="455" spans="1:6" ht="15.75" customHeight="1">
      <c r="A455" s="124"/>
      <c r="D455" s="20"/>
      <c r="E455" s="125"/>
      <c r="F455" s="61"/>
    </row>
    <row r="456" spans="1:6" ht="15.75" customHeight="1">
      <c r="A456" s="124"/>
      <c r="D456" s="20"/>
      <c r="E456" s="125"/>
      <c r="F456" s="61"/>
    </row>
    <row r="457" spans="1:6" ht="15.75" customHeight="1">
      <c r="A457" s="124"/>
      <c r="D457" s="20"/>
      <c r="E457" s="125"/>
      <c r="F457" s="61"/>
    </row>
    <row r="458" spans="1:6" ht="15.75" customHeight="1">
      <c r="A458" s="124"/>
      <c r="D458" s="20"/>
      <c r="E458" s="125"/>
      <c r="F458" s="61"/>
    </row>
    <row r="459" spans="1:6" ht="15.75" customHeight="1">
      <c r="A459" s="124"/>
      <c r="D459" s="20"/>
      <c r="E459" s="125"/>
      <c r="F459" s="61"/>
    </row>
    <row r="460" spans="1:6" ht="15.75" customHeight="1">
      <c r="A460" s="124"/>
      <c r="D460" s="20"/>
      <c r="E460" s="125"/>
      <c r="F460" s="61"/>
    </row>
    <row r="461" spans="1:6" ht="15.75" customHeight="1">
      <c r="A461" s="124"/>
      <c r="D461" s="20"/>
      <c r="E461" s="125"/>
      <c r="F461" s="61"/>
    </row>
    <row r="462" spans="1:6" ht="15.75" customHeight="1">
      <c r="A462" s="124"/>
      <c r="D462" s="20"/>
      <c r="E462" s="125"/>
      <c r="F462" s="61"/>
    </row>
    <row r="463" spans="1:6" ht="15.75" customHeight="1">
      <c r="A463" s="124"/>
      <c r="D463" s="20"/>
      <c r="E463" s="125"/>
      <c r="F463" s="61"/>
    </row>
    <row r="464" spans="1:6" ht="15.75" customHeight="1">
      <c r="A464" s="124"/>
      <c r="D464" s="20"/>
      <c r="E464" s="125"/>
      <c r="F464" s="61"/>
    </row>
    <row r="465" spans="1:6" ht="15.75" customHeight="1">
      <c r="A465" s="124"/>
      <c r="D465" s="20"/>
      <c r="E465" s="125"/>
      <c r="F465" s="61"/>
    </row>
    <row r="466" spans="1:6" ht="15.75" customHeight="1">
      <c r="A466" s="124"/>
      <c r="D466" s="20"/>
      <c r="E466" s="125"/>
      <c r="F466" s="61"/>
    </row>
    <row r="467" spans="1:6" ht="15.75" customHeight="1">
      <c r="A467" s="124"/>
      <c r="D467" s="20"/>
      <c r="E467" s="125"/>
      <c r="F467" s="61"/>
    </row>
    <row r="468" spans="1:6" ht="15.75" customHeight="1">
      <c r="A468" s="124"/>
      <c r="D468" s="20"/>
      <c r="E468" s="125"/>
      <c r="F468" s="61"/>
    </row>
    <row r="469" spans="1:6" ht="15.75" customHeight="1">
      <c r="A469" s="124"/>
      <c r="D469" s="20"/>
      <c r="E469" s="125"/>
      <c r="F469" s="61"/>
    </row>
    <row r="470" spans="1:6" ht="15.75" customHeight="1">
      <c r="A470" s="124"/>
      <c r="D470" s="20"/>
      <c r="E470" s="125"/>
      <c r="F470" s="61"/>
    </row>
    <row r="471" spans="1:6" ht="15.75" customHeight="1">
      <c r="A471" s="124"/>
      <c r="D471" s="20"/>
      <c r="E471" s="125"/>
      <c r="F471" s="61"/>
    </row>
    <row r="472" spans="1:6" ht="15.75" customHeight="1">
      <c r="A472" s="124"/>
      <c r="D472" s="20"/>
      <c r="E472" s="125"/>
      <c r="F472" s="61"/>
    </row>
    <row r="473" spans="1:6" ht="15.75" customHeight="1">
      <c r="A473" s="124"/>
      <c r="D473" s="20"/>
      <c r="E473" s="125"/>
      <c r="F473" s="61"/>
    </row>
    <row r="474" spans="1:6" ht="15.75" customHeight="1">
      <c r="A474" s="124"/>
      <c r="D474" s="20"/>
      <c r="E474" s="125"/>
      <c r="F474" s="61"/>
    </row>
    <row r="475" spans="1:6" ht="15.75" customHeight="1">
      <c r="A475" s="124"/>
      <c r="D475" s="20"/>
      <c r="E475" s="125"/>
      <c r="F475" s="61"/>
    </row>
    <row r="476" spans="1:6" ht="15.75" customHeight="1">
      <c r="A476" s="124"/>
      <c r="D476" s="20"/>
      <c r="E476" s="125"/>
      <c r="F476" s="61"/>
    </row>
    <row r="477" spans="1:6" ht="15.75" customHeight="1">
      <c r="A477" s="124"/>
      <c r="D477" s="20"/>
      <c r="E477" s="125"/>
      <c r="F477" s="61"/>
    </row>
    <row r="478" spans="1:6" ht="15.75" customHeight="1">
      <c r="A478" s="124"/>
      <c r="D478" s="20"/>
      <c r="E478" s="125"/>
      <c r="F478" s="61"/>
    </row>
    <row r="479" spans="1:6" ht="15.75" customHeight="1">
      <c r="A479" s="124"/>
      <c r="D479" s="20"/>
      <c r="E479" s="125"/>
      <c r="F479" s="61"/>
    </row>
    <row r="480" spans="1:6" ht="15.75" customHeight="1">
      <c r="A480" s="124"/>
      <c r="D480" s="20"/>
      <c r="E480" s="125"/>
      <c r="F480" s="61"/>
    </row>
    <row r="481" spans="1:6" ht="15.75" customHeight="1">
      <c r="A481" s="124"/>
      <c r="D481" s="20"/>
      <c r="E481" s="125"/>
      <c r="F481" s="61"/>
    </row>
    <row r="482" spans="1:6" ht="15.75" customHeight="1">
      <c r="A482" s="124"/>
      <c r="D482" s="20"/>
      <c r="E482" s="125"/>
      <c r="F482" s="61"/>
    </row>
    <row r="483" spans="1:6" ht="15.75" customHeight="1">
      <c r="A483" s="124"/>
      <c r="D483" s="20"/>
      <c r="E483" s="125"/>
      <c r="F483" s="61"/>
    </row>
    <row r="484" spans="1:6" ht="15.75" customHeight="1">
      <c r="A484" s="124"/>
      <c r="D484" s="20"/>
      <c r="E484" s="125"/>
      <c r="F484" s="61"/>
    </row>
    <row r="485" spans="1:6" ht="15.75" customHeight="1">
      <c r="A485" s="124"/>
      <c r="D485" s="20"/>
      <c r="E485" s="125"/>
      <c r="F485" s="61"/>
    </row>
    <row r="486" spans="1:6" ht="15.75" customHeight="1">
      <c r="A486" s="124"/>
      <c r="D486" s="20"/>
      <c r="E486" s="125"/>
      <c r="F486" s="61"/>
    </row>
    <row r="487" spans="1:6" ht="15.75" customHeight="1">
      <c r="A487" s="124"/>
      <c r="D487" s="20"/>
      <c r="E487" s="125"/>
      <c r="F487" s="61"/>
    </row>
    <row r="488" spans="1:6" ht="15.75" customHeight="1">
      <c r="A488" s="124"/>
      <c r="D488" s="20"/>
      <c r="E488" s="125"/>
      <c r="F488" s="61"/>
    </row>
    <row r="489" spans="1:6" ht="15.75" customHeight="1">
      <c r="A489" s="124"/>
      <c r="D489" s="20"/>
      <c r="E489" s="125"/>
      <c r="F489" s="61"/>
    </row>
    <row r="490" spans="1:6" ht="15.75" customHeight="1">
      <c r="A490" s="124"/>
      <c r="D490" s="20"/>
      <c r="E490" s="125"/>
      <c r="F490" s="61"/>
    </row>
    <row r="491" spans="1:6" ht="15.75" customHeight="1">
      <c r="A491" s="124"/>
      <c r="D491" s="20"/>
      <c r="E491" s="125"/>
      <c r="F491" s="61"/>
    </row>
    <row r="492" spans="1:6" ht="15.75" customHeight="1">
      <c r="A492" s="124"/>
      <c r="D492" s="20"/>
      <c r="E492" s="125"/>
      <c r="F492" s="61"/>
    </row>
    <row r="493" spans="1:6" ht="15.75" customHeight="1">
      <c r="A493" s="124"/>
      <c r="D493" s="20"/>
      <c r="E493" s="125"/>
      <c r="F493" s="61"/>
    </row>
    <row r="494" spans="1:6" ht="15.75" customHeight="1">
      <c r="A494" s="124"/>
      <c r="D494" s="20"/>
      <c r="E494" s="125"/>
      <c r="F494" s="61"/>
    </row>
    <row r="495" spans="1:6" ht="15.75" customHeight="1">
      <c r="A495" s="124"/>
      <c r="D495" s="20"/>
      <c r="E495" s="125"/>
      <c r="F495" s="61"/>
    </row>
    <row r="496" spans="1:6" ht="15.75" customHeight="1">
      <c r="A496" s="124"/>
      <c r="D496" s="20"/>
      <c r="E496" s="125"/>
      <c r="F496" s="61"/>
    </row>
    <row r="497" spans="1:6" ht="15.75" customHeight="1">
      <c r="A497" s="124"/>
      <c r="D497" s="20"/>
      <c r="E497" s="125"/>
      <c r="F497" s="61"/>
    </row>
    <row r="498" spans="1:6" ht="15.75" customHeight="1">
      <c r="A498" s="124"/>
      <c r="D498" s="20"/>
      <c r="E498" s="125"/>
      <c r="F498" s="61"/>
    </row>
    <row r="499" spans="1:6" ht="15.75" customHeight="1">
      <c r="A499" s="124"/>
      <c r="D499" s="20"/>
      <c r="E499" s="125"/>
      <c r="F499" s="61"/>
    </row>
    <row r="500" spans="1:6" ht="15.75" customHeight="1">
      <c r="A500" s="124"/>
      <c r="D500" s="20"/>
      <c r="E500" s="125"/>
      <c r="F500" s="61"/>
    </row>
    <row r="501" spans="1:6" ht="15.75" customHeight="1">
      <c r="A501" s="124"/>
      <c r="D501" s="20"/>
      <c r="E501" s="125"/>
      <c r="F501" s="61"/>
    </row>
    <row r="502" spans="1:6" ht="15.75" customHeight="1">
      <c r="A502" s="124"/>
      <c r="D502" s="20"/>
      <c r="E502" s="125"/>
      <c r="F502" s="61"/>
    </row>
    <row r="503" spans="1:6" ht="15.75" customHeight="1">
      <c r="A503" s="124"/>
      <c r="D503" s="20"/>
      <c r="E503" s="125"/>
      <c r="F503" s="61"/>
    </row>
    <row r="504" spans="1:6" ht="15.75" customHeight="1">
      <c r="A504" s="124"/>
      <c r="D504" s="20"/>
      <c r="E504" s="125"/>
      <c r="F504" s="61"/>
    </row>
    <row r="505" spans="1:6" ht="15.75" customHeight="1">
      <c r="A505" s="124"/>
      <c r="D505" s="20"/>
      <c r="E505" s="125"/>
      <c r="F505" s="61"/>
    </row>
    <row r="506" spans="1:6" ht="15.75" customHeight="1">
      <c r="A506" s="124"/>
      <c r="D506" s="20"/>
      <c r="E506" s="125"/>
      <c r="F506" s="61"/>
    </row>
    <row r="507" spans="1:6" ht="15.75" customHeight="1">
      <c r="A507" s="124"/>
      <c r="D507" s="20"/>
      <c r="E507" s="125"/>
      <c r="F507" s="61"/>
    </row>
    <row r="508" spans="1:6" ht="15.75" customHeight="1">
      <c r="A508" s="124"/>
      <c r="D508" s="20"/>
      <c r="E508" s="125"/>
      <c r="F508" s="61"/>
    </row>
    <row r="509" spans="1:6" ht="15.75" customHeight="1">
      <c r="A509" s="124"/>
      <c r="D509" s="20"/>
      <c r="E509" s="125"/>
      <c r="F509" s="61"/>
    </row>
    <row r="510" spans="1:6" ht="15.75" customHeight="1">
      <c r="A510" s="124"/>
      <c r="D510" s="20"/>
      <c r="E510" s="125"/>
      <c r="F510" s="61"/>
    </row>
    <row r="511" spans="1:6" ht="15.75" customHeight="1">
      <c r="A511" s="124"/>
      <c r="D511" s="20"/>
      <c r="E511" s="125"/>
      <c r="F511" s="61"/>
    </row>
    <row r="512" spans="1:6" ht="15.75" customHeight="1">
      <c r="A512" s="124"/>
      <c r="D512" s="20"/>
      <c r="E512" s="125"/>
      <c r="F512" s="61"/>
    </row>
    <row r="513" spans="1:6" ht="15.75" customHeight="1">
      <c r="A513" s="124"/>
      <c r="D513" s="20"/>
      <c r="E513" s="125"/>
      <c r="F513" s="61"/>
    </row>
    <row r="514" spans="1:6" ht="15.75" customHeight="1">
      <c r="A514" s="124"/>
      <c r="D514" s="20"/>
      <c r="E514" s="125"/>
      <c r="F514" s="61"/>
    </row>
    <row r="515" spans="1:6" ht="15.75" customHeight="1">
      <c r="A515" s="124"/>
      <c r="D515" s="20"/>
      <c r="E515" s="125"/>
      <c r="F515" s="61"/>
    </row>
    <row r="516" spans="1:6" ht="15.75" customHeight="1">
      <c r="A516" s="124"/>
      <c r="D516" s="20"/>
      <c r="E516" s="125"/>
      <c r="F516" s="61"/>
    </row>
    <row r="517" spans="1:6" ht="15.75" customHeight="1">
      <c r="A517" s="124"/>
      <c r="D517" s="20"/>
      <c r="E517" s="125"/>
      <c r="F517" s="61"/>
    </row>
    <row r="518" spans="1:6" ht="15.75" customHeight="1">
      <c r="A518" s="124"/>
      <c r="D518" s="20"/>
      <c r="E518" s="125"/>
      <c r="F518" s="61"/>
    </row>
    <row r="519" spans="1:6" ht="15.75" customHeight="1">
      <c r="A519" s="124"/>
      <c r="D519" s="20"/>
      <c r="E519" s="125"/>
      <c r="F519" s="61"/>
    </row>
    <row r="520" spans="1:6" ht="15.75" customHeight="1">
      <c r="A520" s="124"/>
      <c r="D520" s="20"/>
      <c r="E520" s="125"/>
      <c r="F520" s="61"/>
    </row>
    <row r="521" spans="1:6" ht="15.75" customHeight="1">
      <c r="A521" s="124"/>
      <c r="D521" s="20"/>
      <c r="E521" s="125"/>
      <c r="F521" s="61"/>
    </row>
    <row r="522" spans="1:6" ht="15.75" customHeight="1">
      <c r="A522" s="124"/>
      <c r="D522" s="20"/>
      <c r="E522" s="125"/>
      <c r="F522" s="61"/>
    </row>
    <row r="523" spans="1:6" ht="15.75" customHeight="1">
      <c r="A523" s="124"/>
      <c r="D523" s="20"/>
      <c r="E523" s="125"/>
      <c r="F523" s="61"/>
    </row>
    <row r="524" spans="1:6" ht="15.75" customHeight="1">
      <c r="A524" s="124"/>
      <c r="D524" s="20"/>
      <c r="E524" s="125"/>
      <c r="F524" s="61"/>
    </row>
    <row r="525" spans="1:6" ht="15.75" customHeight="1">
      <c r="A525" s="124"/>
      <c r="D525" s="20"/>
      <c r="E525" s="125"/>
      <c r="F525" s="61"/>
    </row>
    <row r="526" spans="1:6" ht="15.75" customHeight="1">
      <c r="A526" s="124"/>
      <c r="D526" s="20"/>
      <c r="E526" s="125"/>
      <c r="F526" s="61"/>
    </row>
    <row r="527" spans="1:6" ht="15.75" customHeight="1">
      <c r="A527" s="124"/>
      <c r="D527" s="20"/>
      <c r="E527" s="125"/>
      <c r="F527" s="61"/>
    </row>
    <row r="528" spans="1:6" ht="15.75" customHeight="1">
      <c r="A528" s="124"/>
      <c r="D528" s="20"/>
      <c r="E528" s="125"/>
      <c r="F528" s="61"/>
    </row>
    <row r="529" spans="1:6" ht="15.75" customHeight="1">
      <c r="A529" s="124"/>
      <c r="D529" s="20"/>
      <c r="E529" s="125"/>
      <c r="F529" s="61"/>
    </row>
    <row r="530" spans="1:6" ht="15.75" customHeight="1">
      <c r="A530" s="124"/>
      <c r="D530" s="20"/>
      <c r="E530" s="125"/>
      <c r="F530" s="61"/>
    </row>
    <row r="531" spans="1:6" ht="15.75" customHeight="1">
      <c r="A531" s="124"/>
      <c r="D531" s="20"/>
      <c r="E531" s="125"/>
      <c r="F531" s="61"/>
    </row>
    <row r="532" spans="1:6" ht="15.75" customHeight="1">
      <c r="A532" s="124"/>
      <c r="D532" s="20"/>
      <c r="E532" s="125"/>
      <c r="F532" s="61"/>
    </row>
    <row r="533" spans="1:6" ht="15.75" customHeight="1">
      <c r="A533" s="124"/>
      <c r="D533" s="20"/>
      <c r="E533" s="125"/>
      <c r="F533" s="61"/>
    </row>
    <row r="534" spans="1:6" ht="15.75" customHeight="1">
      <c r="A534" s="124"/>
      <c r="D534" s="20"/>
      <c r="E534" s="125"/>
      <c r="F534" s="61"/>
    </row>
    <row r="535" spans="1:6" ht="15.75" customHeight="1">
      <c r="A535" s="124"/>
      <c r="D535" s="20"/>
      <c r="E535" s="125"/>
      <c r="F535" s="61"/>
    </row>
    <row r="536" spans="1:6" ht="15.75" customHeight="1">
      <c r="A536" s="124"/>
      <c r="D536" s="20"/>
      <c r="E536" s="125"/>
      <c r="F536" s="61"/>
    </row>
    <row r="537" spans="1:6" ht="15.75" customHeight="1">
      <c r="A537" s="124"/>
      <c r="D537" s="20"/>
      <c r="E537" s="125"/>
      <c r="F537" s="61"/>
    </row>
    <row r="538" spans="1:6" ht="15.75" customHeight="1">
      <c r="A538" s="124"/>
      <c r="D538" s="20"/>
      <c r="E538" s="125"/>
      <c r="F538" s="61"/>
    </row>
    <row r="539" spans="1:6" ht="15.75" customHeight="1">
      <c r="A539" s="124"/>
      <c r="D539" s="20"/>
      <c r="E539" s="125"/>
      <c r="F539" s="61"/>
    </row>
    <row r="540" spans="1:6" ht="15.75" customHeight="1">
      <c r="A540" s="124"/>
      <c r="D540" s="20"/>
      <c r="E540" s="125"/>
      <c r="F540" s="61"/>
    </row>
    <row r="541" spans="1:6" ht="15.75" customHeight="1">
      <c r="A541" s="124"/>
      <c r="D541" s="20"/>
      <c r="E541" s="125"/>
      <c r="F541" s="61"/>
    </row>
    <row r="542" spans="1:6" ht="15.75" customHeight="1">
      <c r="A542" s="124"/>
      <c r="D542" s="20"/>
      <c r="E542" s="125"/>
      <c r="F542" s="61"/>
    </row>
    <row r="543" spans="1:6" ht="15.75" customHeight="1">
      <c r="A543" s="124"/>
      <c r="D543" s="20"/>
      <c r="E543" s="125"/>
      <c r="F543" s="61"/>
    </row>
    <row r="544" spans="1:6" ht="15.75" customHeight="1">
      <c r="A544" s="124"/>
      <c r="D544" s="20"/>
      <c r="E544" s="125"/>
      <c r="F544" s="61"/>
    </row>
    <row r="545" spans="1:6" ht="15.75" customHeight="1">
      <c r="A545" s="124"/>
      <c r="D545" s="20"/>
      <c r="E545" s="125"/>
      <c r="F545" s="61"/>
    </row>
    <row r="546" spans="1:6" ht="15.75" customHeight="1">
      <c r="A546" s="124"/>
      <c r="D546" s="20"/>
      <c r="E546" s="125"/>
      <c r="F546" s="61"/>
    </row>
    <row r="547" spans="1:6" ht="15.75" customHeight="1">
      <c r="A547" s="124"/>
      <c r="D547" s="20"/>
      <c r="E547" s="125"/>
      <c r="F547" s="61"/>
    </row>
    <row r="548" spans="1:6" ht="15.75" customHeight="1">
      <c r="A548" s="124"/>
      <c r="D548" s="20"/>
      <c r="E548" s="125"/>
      <c r="F548" s="61"/>
    </row>
    <row r="549" spans="1:6" ht="15.75" customHeight="1">
      <c r="A549" s="124"/>
      <c r="D549" s="20"/>
      <c r="E549" s="125"/>
      <c r="F549" s="61"/>
    </row>
    <row r="550" spans="1:6" ht="15.75" customHeight="1">
      <c r="A550" s="124"/>
      <c r="D550" s="20"/>
      <c r="E550" s="125"/>
      <c r="F550" s="61"/>
    </row>
    <row r="551" spans="1:6" ht="15.75" customHeight="1">
      <c r="A551" s="124"/>
      <c r="D551" s="20"/>
      <c r="E551" s="125"/>
      <c r="F551" s="61"/>
    </row>
    <row r="552" spans="1:6" ht="15.75" customHeight="1">
      <c r="A552" s="124"/>
      <c r="D552" s="20"/>
      <c r="E552" s="125"/>
      <c r="F552" s="61"/>
    </row>
    <row r="553" spans="1:6" ht="15.75" customHeight="1">
      <c r="A553" s="124"/>
      <c r="D553" s="20"/>
      <c r="E553" s="125"/>
      <c r="F553" s="61"/>
    </row>
    <row r="554" spans="1:6" ht="15.75" customHeight="1">
      <c r="A554" s="124"/>
      <c r="D554" s="20"/>
      <c r="E554" s="125"/>
      <c r="F554" s="61"/>
    </row>
    <row r="555" spans="1:6" ht="15.75" customHeight="1">
      <c r="A555" s="124"/>
      <c r="D555" s="20"/>
      <c r="E555" s="125"/>
      <c r="F555" s="61"/>
    </row>
    <row r="556" spans="1:6" ht="15.75" customHeight="1">
      <c r="A556" s="124"/>
      <c r="D556" s="20"/>
      <c r="E556" s="125"/>
      <c r="F556" s="61"/>
    </row>
    <row r="557" spans="1:6" ht="15.75" customHeight="1">
      <c r="A557" s="124"/>
      <c r="D557" s="20"/>
      <c r="E557" s="125"/>
      <c r="F557" s="61"/>
    </row>
    <row r="558" spans="1:6" ht="15.75" customHeight="1">
      <c r="A558" s="124"/>
      <c r="D558" s="20"/>
      <c r="E558" s="125"/>
      <c r="F558" s="61"/>
    </row>
    <row r="559" spans="1:6" ht="15.75" customHeight="1">
      <c r="A559" s="124"/>
      <c r="D559" s="20"/>
      <c r="E559" s="125"/>
      <c r="F559" s="61"/>
    </row>
    <row r="560" spans="1:6" ht="15.75" customHeight="1">
      <c r="A560" s="124"/>
      <c r="D560" s="20"/>
      <c r="E560" s="125"/>
      <c r="F560" s="61"/>
    </row>
    <row r="561" spans="1:6" ht="15.75" customHeight="1">
      <c r="A561" s="124"/>
      <c r="D561" s="20"/>
      <c r="E561" s="125"/>
      <c r="F561" s="61"/>
    </row>
    <row r="562" spans="1:6" ht="15.75" customHeight="1">
      <c r="A562" s="124"/>
      <c r="D562" s="20"/>
      <c r="E562" s="125"/>
      <c r="F562" s="61"/>
    </row>
    <row r="563" spans="1:6" ht="15.75" customHeight="1">
      <c r="A563" s="124"/>
      <c r="D563" s="20"/>
      <c r="E563" s="125"/>
      <c r="F563" s="61"/>
    </row>
    <row r="564" spans="1:6" ht="15.75" customHeight="1">
      <c r="A564" s="124"/>
      <c r="D564" s="20"/>
      <c r="E564" s="125"/>
      <c r="F564" s="61"/>
    </row>
    <row r="565" spans="1:6" ht="15.75" customHeight="1">
      <c r="A565" s="124"/>
      <c r="D565" s="20"/>
      <c r="E565" s="125"/>
      <c r="F565" s="61"/>
    </row>
    <row r="566" spans="1:6" ht="15.75" customHeight="1">
      <c r="A566" s="124"/>
      <c r="D566" s="20"/>
      <c r="E566" s="125"/>
      <c r="F566" s="61"/>
    </row>
    <row r="567" spans="1:6" ht="15.75" customHeight="1">
      <c r="A567" s="124"/>
      <c r="D567" s="20"/>
      <c r="E567" s="125"/>
      <c r="F567" s="61"/>
    </row>
    <row r="568" spans="1:6" ht="15.75" customHeight="1">
      <c r="A568" s="124"/>
      <c r="D568" s="20"/>
      <c r="E568" s="125"/>
      <c r="F568" s="61"/>
    </row>
    <row r="569" spans="1:6" ht="15.75" customHeight="1">
      <c r="A569" s="124"/>
      <c r="D569" s="20"/>
      <c r="E569" s="125"/>
      <c r="F569" s="61"/>
    </row>
    <row r="570" spans="1:6" ht="15.75" customHeight="1">
      <c r="A570" s="124"/>
      <c r="D570" s="20"/>
      <c r="E570" s="125"/>
      <c r="F570" s="61"/>
    </row>
    <row r="571" spans="1:6" ht="15.75" customHeight="1">
      <c r="A571" s="124"/>
      <c r="D571" s="20"/>
      <c r="E571" s="125"/>
      <c r="F571" s="61"/>
    </row>
    <row r="572" spans="1:6" ht="15.75" customHeight="1">
      <c r="A572" s="124"/>
      <c r="D572" s="20"/>
      <c r="E572" s="125"/>
      <c r="F572" s="61"/>
    </row>
    <row r="573" spans="1:6" ht="15.75" customHeight="1">
      <c r="A573" s="124"/>
      <c r="D573" s="20"/>
      <c r="E573" s="125"/>
      <c r="F573" s="61"/>
    </row>
    <row r="574" spans="1:6" ht="15.75" customHeight="1">
      <c r="A574" s="124"/>
      <c r="D574" s="20"/>
      <c r="E574" s="125"/>
      <c r="F574" s="61"/>
    </row>
    <row r="575" spans="1:6" ht="15.75" customHeight="1">
      <c r="A575" s="124"/>
      <c r="D575" s="20"/>
      <c r="E575" s="125"/>
      <c r="F575" s="61"/>
    </row>
    <row r="576" spans="1:6" ht="15.75" customHeight="1">
      <c r="A576" s="124"/>
      <c r="D576" s="20"/>
      <c r="E576" s="125"/>
      <c r="F576" s="61"/>
    </row>
    <row r="577" spans="1:6" ht="15.75" customHeight="1">
      <c r="A577" s="124"/>
      <c r="D577" s="20"/>
      <c r="E577" s="125"/>
      <c r="F577" s="61"/>
    </row>
    <row r="578" spans="1:6" ht="15.75" customHeight="1">
      <c r="A578" s="124"/>
      <c r="D578" s="20"/>
      <c r="E578" s="125"/>
      <c r="F578" s="61"/>
    </row>
    <row r="579" spans="1:6" ht="15.75" customHeight="1">
      <c r="A579" s="124"/>
      <c r="D579" s="20"/>
      <c r="E579" s="125"/>
      <c r="F579" s="61"/>
    </row>
    <row r="580" spans="1:6" ht="15.75" customHeight="1">
      <c r="A580" s="124"/>
      <c r="D580" s="20"/>
      <c r="E580" s="125"/>
      <c r="F580" s="61"/>
    </row>
    <row r="581" spans="1:6" ht="15.75" customHeight="1">
      <c r="A581" s="124"/>
      <c r="D581" s="20"/>
      <c r="E581" s="125"/>
      <c r="F581" s="61"/>
    </row>
    <row r="582" spans="1:6" ht="15.75" customHeight="1">
      <c r="A582" s="124"/>
      <c r="D582" s="20"/>
      <c r="E582" s="125"/>
      <c r="F582" s="61"/>
    </row>
    <row r="583" spans="1:6" ht="15.75" customHeight="1">
      <c r="A583" s="124"/>
      <c r="D583" s="20"/>
      <c r="E583" s="125"/>
      <c r="F583" s="61"/>
    </row>
    <row r="584" spans="1:6" ht="15.75" customHeight="1">
      <c r="A584" s="124"/>
      <c r="D584" s="20"/>
      <c r="E584" s="125"/>
      <c r="F584" s="61"/>
    </row>
    <row r="585" spans="1:6" ht="15.75" customHeight="1">
      <c r="A585" s="124"/>
      <c r="D585" s="20"/>
      <c r="E585" s="125"/>
      <c r="F585" s="61"/>
    </row>
    <row r="586" spans="1:6" ht="15.75" customHeight="1">
      <c r="A586" s="124"/>
      <c r="D586" s="20"/>
      <c r="E586" s="125"/>
      <c r="F586" s="61"/>
    </row>
    <row r="587" spans="1:6" ht="15.75" customHeight="1">
      <c r="A587" s="124"/>
      <c r="D587" s="20"/>
      <c r="E587" s="125"/>
      <c r="F587" s="61"/>
    </row>
    <row r="588" spans="1:6" ht="15.75" customHeight="1">
      <c r="A588" s="124"/>
      <c r="D588" s="20"/>
      <c r="E588" s="125"/>
      <c r="F588" s="61"/>
    </row>
    <row r="589" spans="1:6" ht="15.75" customHeight="1">
      <c r="A589" s="124"/>
      <c r="D589" s="20"/>
      <c r="E589" s="125"/>
      <c r="F589" s="61"/>
    </row>
    <row r="590" spans="1:6" ht="15.75" customHeight="1">
      <c r="A590" s="124"/>
      <c r="D590" s="20"/>
      <c r="E590" s="125"/>
      <c r="F590" s="61"/>
    </row>
    <row r="591" spans="1:6" ht="15.75" customHeight="1">
      <c r="A591" s="124"/>
      <c r="D591" s="20"/>
      <c r="E591" s="125"/>
      <c r="F591" s="61"/>
    </row>
    <row r="592" spans="1:6" ht="15.75" customHeight="1">
      <c r="A592" s="124"/>
      <c r="D592" s="20"/>
      <c r="E592" s="125"/>
      <c r="F592" s="61"/>
    </row>
    <row r="593" spans="1:6" ht="15.75" customHeight="1">
      <c r="A593" s="124"/>
      <c r="D593" s="20"/>
      <c r="E593" s="125"/>
      <c r="F593" s="61"/>
    </row>
    <row r="594" spans="1:6" ht="15.75" customHeight="1">
      <c r="A594" s="124"/>
      <c r="D594" s="20"/>
      <c r="E594" s="125"/>
      <c r="F594" s="61"/>
    </row>
    <row r="595" spans="1:6" ht="15.75" customHeight="1">
      <c r="A595" s="124"/>
      <c r="D595" s="20"/>
      <c r="E595" s="125"/>
      <c r="F595" s="61"/>
    </row>
    <row r="596" spans="1:6" ht="15.75" customHeight="1">
      <c r="A596" s="124"/>
      <c r="D596" s="20"/>
      <c r="E596" s="125"/>
      <c r="F596" s="61"/>
    </row>
    <row r="597" spans="1:6" ht="15.75" customHeight="1">
      <c r="A597" s="124"/>
      <c r="D597" s="20"/>
      <c r="E597" s="125"/>
      <c r="F597" s="61"/>
    </row>
    <row r="598" spans="1:6" ht="15.75" customHeight="1">
      <c r="A598" s="124"/>
      <c r="D598" s="20"/>
      <c r="E598" s="125"/>
      <c r="F598" s="61"/>
    </row>
    <row r="599" spans="1:6" ht="15.75" customHeight="1">
      <c r="A599" s="124"/>
      <c r="D599" s="20"/>
      <c r="E599" s="125"/>
      <c r="F599" s="61"/>
    </row>
    <row r="600" spans="1:6" ht="15.75" customHeight="1">
      <c r="A600" s="124"/>
      <c r="D600" s="20"/>
      <c r="E600" s="125"/>
      <c r="F600" s="61"/>
    </row>
    <row r="601" spans="1:6" ht="15.75" customHeight="1">
      <c r="A601" s="124"/>
      <c r="D601" s="20"/>
      <c r="E601" s="125"/>
      <c r="F601" s="61"/>
    </row>
    <row r="602" spans="1:6" ht="15.75" customHeight="1">
      <c r="A602" s="124"/>
      <c r="D602" s="20"/>
      <c r="E602" s="125"/>
      <c r="F602" s="61"/>
    </row>
    <row r="603" spans="1:6" ht="15.75" customHeight="1">
      <c r="A603" s="124"/>
      <c r="D603" s="20"/>
      <c r="E603" s="125"/>
      <c r="F603" s="61"/>
    </row>
    <row r="604" spans="1:6" ht="15.75" customHeight="1">
      <c r="A604" s="124"/>
      <c r="D604" s="20"/>
      <c r="E604" s="125"/>
      <c r="F604" s="61"/>
    </row>
    <row r="605" spans="1:6" ht="15.75" customHeight="1">
      <c r="A605" s="124"/>
      <c r="D605" s="20"/>
      <c r="E605" s="125"/>
      <c r="F605" s="61"/>
    </row>
    <row r="606" spans="1:6" ht="15.75" customHeight="1">
      <c r="A606" s="124"/>
      <c r="D606" s="20"/>
      <c r="E606" s="125"/>
      <c r="F606" s="61"/>
    </row>
    <row r="607" spans="1:6" ht="15.75" customHeight="1">
      <c r="A607" s="124"/>
      <c r="D607" s="20"/>
      <c r="E607" s="125"/>
      <c r="F607" s="61"/>
    </row>
    <row r="608" spans="1:6" ht="15.75" customHeight="1">
      <c r="A608" s="124"/>
      <c r="D608" s="20"/>
      <c r="E608" s="125"/>
      <c r="F608" s="61"/>
    </row>
    <row r="609" spans="1:6" ht="15.75" customHeight="1">
      <c r="A609" s="124"/>
      <c r="D609" s="20"/>
      <c r="E609" s="125"/>
      <c r="F609" s="61"/>
    </row>
    <row r="610" spans="1:6" ht="15.75" customHeight="1">
      <c r="A610" s="124"/>
      <c r="D610" s="20"/>
      <c r="E610" s="125"/>
      <c r="F610" s="61"/>
    </row>
    <row r="611" spans="1:6" ht="15.75" customHeight="1">
      <c r="A611" s="124"/>
      <c r="D611" s="20"/>
      <c r="E611" s="125"/>
      <c r="F611" s="61"/>
    </row>
    <row r="612" spans="1:6" ht="15.75" customHeight="1">
      <c r="A612" s="124"/>
      <c r="D612" s="20"/>
      <c r="E612" s="125"/>
      <c r="F612" s="61"/>
    </row>
    <row r="613" spans="1:6" ht="15.75" customHeight="1">
      <c r="A613" s="124"/>
      <c r="D613" s="20"/>
      <c r="E613" s="125"/>
      <c r="F613" s="61"/>
    </row>
    <row r="614" spans="1:6" ht="15.75" customHeight="1">
      <c r="A614" s="124"/>
      <c r="D614" s="20"/>
      <c r="E614" s="125"/>
      <c r="F614" s="61"/>
    </row>
    <row r="615" spans="1:6" ht="15.75" customHeight="1">
      <c r="A615" s="124"/>
      <c r="D615" s="20"/>
      <c r="E615" s="125"/>
      <c r="F615" s="61"/>
    </row>
    <row r="616" spans="1:6" ht="15.75" customHeight="1">
      <c r="A616" s="124"/>
      <c r="D616" s="20"/>
      <c r="E616" s="125"/>
      <c r="F616" s="61"/>
    </row>
    <row r="617" spans="1:6" ht="15.75" customHeight="1">
      <c r="A617" s="124"/>
      <c r="D617" s="20"/>
      <c r="E617" s="125"/>
      <c r="F617" s="61"/>
    </row>
    <row r="618" spans="1:6" ht="15.75" customHeight="1">
      <c r="A618" s="124"/>
      <c r="D618" s="20"/>
      <c r="E618" s="125"/>
      <c r="F618" s="61"/>
    </row>
    <row r="619" spans="1:6" ht="15.75" customHeight="1">
      <c r="A619" s="124"/>
      <c r="D619" s="20"/>
      <c r="E619" s="125"/>
      <c r="F619" s="61"/>
    </row>
    <row r="620" spans="1:6" ht="15.75" customHeight="1">
      <c r="A620" s="124"/>
      <c r="D620" s="20"/>
      <c r="E620" s="125"/>
      <c r="F620" s="61"/>
    </row>
    <row r="621" spans="1:6" ht="15.75" customHeight="1">
      <c r="A621" s="124"/>
      <c r="D621" s="20"/>
      <c r="E621" s="125"/>
      <c r="F621" s="61"/>
    </row>
    <row r="622" spans="1:6" ht="15.75" customHeight="1">
      <c r="A622" s="124"/>
      <c r="D622" s="20"/>
      <c r="E622" s="125"/>
      <c r="F622" s="61"/>
    </row>
    <row r="623" spans="1:6" ht="15.75" customHeight="1">
      <c r="A623" s="124"/>
      <c r="D623" s="20"/>
      <c r="E623" s="125"/>
      <c r="F623" s="61"/>
    </row>
    <row r="624" spans="1:6" ht="15.75" customHeight="1">
      <c r="A624" s="124"/>
      <c r="D624" s="20"/>
      <c r="E624" s="125"/>
      <c r="F624" s="61"/>
    </row>
    <row r="625" spans="1:6" ht="15.75" customHeight="1">
      <c r="A625" s="124"/>
      <c r="D625" s="20"/>
      <c r="E625" s="125"/>
      <c r="F625" s="61"/>
    </row>
    <row r="626" spans="1:6" ht="15.75" customHeight="1">
      <c r="A626" s="124"/>
      <c r="D626" s="20"/>
      <c r="E626" s="125"/>
      <c r="F626" s="61"/>
    </row>
    <row r="627" spans="1:6" ht="15.75" customHeight="1">
      <c r="A627" s="124"/>
      <c r="D627" s="20"/>
      <c r="E627" s="125"/>
      <c r="F627" s="61"/>
    </row>
    <row r="628" spans="1:6" ht="15.75" customHeight="1">
      <c r="A628" s="124"/>
      <c r="D628" s="20"/>
      <c r="E628" s="125"/>
      <c r="F628" s="61"/>
    </row>
    <row r="629" spans="1:6" ht="15.75" customHeight="1">
      <c r="A629" s="124"/>
      <c r="D629" s="20"/>
      <c r="E629" s="125"/>
      <c r="F629" s="61"/>
    </row>
    <row r="630" spans="1:6" ht="15.75" customHeight="1">
      <c r="A630" s="124"/>
      <c r="D630" s="20"/>
      <c r="E630" s="125"/>
      <c r="F630" s="61"/>
    </row>
    <row r="631" spans="1:6" ht="15.75" customHeight="1">
      <c r="A631" s="124"/>
      <c r="D631" s="20"/>
      <c r="E631" s="125"/>
      <c r="F631" s="61"/>
    </row>
    <row r="632" spans="1:6" ht="15.75" customHeight="1">
      <c r="A632" s="124"/>
      <c r="D632" s="20"/>
      <c r="E632" s="125"/>
      <c r="F632" s="61"/>
    </row>
    <row r="633" spans="1:6" ht="15.75" customHeight="1">
      <c r="A633" s="124"/>
      <c r="D633" s="20"/>
      <c r="E633" s="125"/>
      <c r="F633" s="61"/>
    </row>
    <row r="634" spans="1:6" ht="15.75" customHeight="1">
      <c r="A634" s="124"/>
      <c r="D634" s="20"/>
      <c r="E634" s="125"/>
      <c r="F634" s="61"/>
    </row>
    <row r="635" spans="1:6" ht="15.75" customHeight="1">
      <c r="A635" s="124"/>
      <c r="D635" s="20"/>
      <c r="E635" s="125"/>
      <c r="F635" s="61"/>
    </row>
    <row r="636" spans="1:6" ht="15.75" customHeight="1">
      <c r="A636" s="124"/>
      <c r="D636" s="20"/>
      <c r="E636" s="125"/>
      <c r="F636" s="61"/>
    </row>
    <row r="637" spans="1:6" ht="15.75" customHeight="1">
      <c r="A637" s="124"/>
      <c r="D637" s="20"/>
      <c r="E637" s="125"/>
      <c r="F637" s="61"/>
    </row>
    <row r="638" spans="1:6" ht="15.75" customHeight="1">
      <c r="A638" s="124"/>
      <c r="D638" s="20"/>
      <c r="E638" s="125"/>
      <c r="F638" s="61"/>
    </row>
    <row r="639" spans="1:6" ht="15.75" customHeight="1">
      <c r="A639" s="124"/>
      <c r="D639" s="20"/>
      <c r="E639" s="125"/>
      <c r="F639" s="61"/>
    </row>
    <row r="640" spans="1:6" ht="15.75" customHeight="1">
      <c r="A640" s="124"/>
      <c r="D640" s="20"/>
      <c r="E640" s="125"/>
      <c r="F640" s="61"/>
    </row>
    <row r="641" spans="1:6" ht="15.75" customHeight="1">
      <c r="A641" s="124"/>
      <c r="D641" s="20"/>
      <c r="E641" s="125"/>
      <c r="F641" s="61"/>
    </row>
    <row r="642" spans="1:6" ht="15.75" customHeight="1">
      <c r="A642" s="124"/>
      <c r="D642" s="20"/>
      <c r="E642" s="125"/>
      <c r="F642" s="61"/>
    </row>
    <row r="643" spans="1:6" ht="15.75" customHeight="1">
      <c r="A643" s="124"/>
      <c r="D643" s="20"/>
      <c r="E643" s="125"/>
      <c r="F643" s="61"/>
    </row>
    <row r="644" spans="1:6" ht="15.75" customHeight="1">
      <c r="A644" s="124"/>
      <c r="D644" s="20"/>
      <c r="E644" s="125"/>
      <c r="F644" s="61"/>
    </row>
    <row r="645" spans="1:6" ht="15.75" customHeight="1">
      <c r="A645" s="124"/>
      <c r="D645" s="20"/>
      <c r="E645" s="125"/>
      <c r="F645" s="61"/>
    </row>
    <row r="646" spans="1:6" ht="15.75" customHeight="1">
      <c r="A646" s="124"/>
      <c r="D646" s="20"/>
      <c r="E646" s="125"/>
      <c r="F646" s="61"/>
    </row>
    <row r="647" spans="1:6" ht="15.75" customHeight="1">
      <c r="A647" s="124"/>
      <c r="D647" s="20"/>
      <c r="E647" s="125"/>
      <c r="F647" s="61"/>
    </row>
    <row r="648" spans="1:6" ht="15.75" customHeight="1">
      <c r="A648" s="124"/>
      <c r="D648" s="20"/>
      <c r="E648" s="125"/>
      <c r="F648" s="61"/>
    </row>
    <row r="649" spans="1:6" ht="15.75" customHeight="1">
      <c r="A649" s="124"/>
      <c r="D649" s="20"/>
      <c r="E649" s="125"/>
      <c r="F649" s="61"/>
    </row>
    <row r="650" spans="1:6" ht="15.75" customHeight="1">
      <c r="A650" s="124"/>
      <c r="D650" s="20"/>
      <c r="E650" s="125"/>
      <c r="F650" s="61"/>
    </row>
    <row r="651" spans="1:6" ht="15.75" customHeight="1">
      <c r="A651" s="124"/>
      <c r="D651" s="20"/>
      <c r="E651" s="125"/>
      <c r="F651" s="61"/>
    </row>
    <row r="652" spans="1:6" ht="15.75" customHeight="1">
      <c r="A652" s="124"/>
      <c r="D652" s="20"/>
      <c r="E652" s="125"/>
      <c r="F652" s="61"/>
    </row>
    <row r="653" spans="1:6" ht="15.75" customHeight="1">
      <c r="A653" s="124"/>
      <c r="D653" s="20"/>
      <c r="E653" s="125"/>
      <c r="F653" s="61"/>
    </row>
    <row r="654" spans="1:6" ht="15.75" customHeight="1">
      <c r="A654" s="124"/>
      <c r="D654" s="20"/>
      <c r="E654" s="125"/>
      <c r="F654" s="61"/>
    </row>
    <row r="655" spans="1:6" ht="15.75" customHeight="1">
      <c r="A655" s="124"/>
      <c r="D655" s="20"/>
      <c r="E655" s="125"/>
      <c r="F655" s="61"/>
    </row>
    <row r="656" spans="1:6" ht="15.75" customHeight="1">
      <c r="A656" s="124"/>
      <c r="D656" s="20"/>
      <c r="E656" s="125"/>
      <c r="F656" s="61"/>
    </row>
    <row r="657" spans="1:6" ht="15.75" customHeight="1">
      <c r="A657" s="124"/>
      <c r="D657" s="20"/>
      <c r="E657" s="125"/>
      <c r="F657" s="61"/>
    </row>
    <row r="658" spans="1:6" ht="15.75" customHeight="1">
      <c r="A658" s="124"/>
      <c r="D658" s="20"/>
      <c r="E658" s="125"/>
      <c r="F658" s="61"/>
    </row>
    <row r="659" spans="1:6" ht="15.75" customHeight="1">
      <c r="A659" s="124"/>
      <c r="D659" s="20"/>
      <c r="E659" s="125"/>
      <c r="F659" s="61"/>
    </row>
    <row r="660" spans="1:6" ht="15.75" customHeight="1">
      <c r="A660" s="124"/>
      <c r="D660" s="20"/>
      <c r="E660" s="125"/>
      <c r="F660" s="61"/>
    </row>
    <row r="661" spans="1:6" ht="15.75" customHeight="1">
      <c r="A661" s="124"/>
      <c r="D661" s="20"/>
      <c r="E661" s="125"/>
      <c r="F661" s="61"/>
    </row>
    <row r="662" spans="1:6" ht="15.75" customHeight="1">
      <c r="A662" s="124"/>
      <c r="D662" s="20"/>
      <c r="E662" s="125"/>
      <c r="F662" s="61"/>
    </row>
    <row r="663" spans="1:6" ht="15.75" customHeight="1">
      <c r="A663" s="124"/>
      <c r="D663" s="20"/>
      <c r="E663" s="125"/>
      <c r="F663" s="61"/>
    </row>
    <row r="664" spans="1:6" ht="15.75" customHeight="1">
      <c r="A664" s="124"/>
      <c r="D664" s="20"/>
      <c r="E664" s="125"/>
      <c r="F664" s="61"/>
    </row>
    <row r="665" spans="1:6" ht="15.75" customHeight="1">
      <c r="A665" s="124"/>
      <c r="D665" s="20"/>
      <c r="E665" s="125"/>
      <c r="F665" s="61"/>
    </row>
    <row r="666" spans="1:6" ht="15.75" customHeight="1">
      <c r="A666" s="124"/>
      <c r="D666" s="20"/>
      <c r="E666" s="125"/>
      <c r="F666" s="61"/>
    </row>
    <row r="667" spans="1:6" ht="15.75" customHeight="1">
      <c r="A667" s="124"/>
      <c r="D667" s="20"/>
      <c r="E667" s="125"/>
      <c r="F667" s="61"/>
    </row>
    <row r="668" spans="1:6" ht="15.75" customHeight="1">
      <c r="A668" s="124"/>
      <c r="D668" s="20"/>
      <c r="E668" s="125"/>
      <c r="F668" s="61"/>
    </row>
    <row r="669" spans="1:6" ht="15.75" customHeight="1">
      <c r="A669" s="124"/>
      <c r="D669" s="20"/>
      <c r="E669" s="125"/>
      <c r="F669" s="61"/>
    </row>
    <row r="670" spans="1:6" ht="15.75" customHeight="1">
      <c r="A670" s="124"/>
      <c r="D670" s="20"/>
      <c r="E670" s="125"/>
      <c r="F670" s="61"/>
    </row>
    <row r="671" spans="1:6" ht="15.75" customHeight="1">
      <c r="A671" s="124"/>
      <c r="D671" s="20"/>
      <c r="E671" s="125"/>
      <c r="F671" s="61"/>
    </row>
    <row r="672" spans="1:6" ht="15.75" customHeight="1">
      <c r="A672" s="124"/>
      <c r="D672" s="20"/>
      <c r="E672" s="125"/>
      <c r="F672" s="61"/>
    </row>
    <row r="673" spans="1:6" ht="15.75" customHeight="1">
      <c r="A673" s="124"/>
      <c r="D673" s="20"/>
      <c r="E673" s="125"/>
      <c r="F673" s="61"/>
    </row>
    <row r="674" spans="1:6" ht="15.75" customHeight="1">
      <c r="A674" s="124"/>
      <c r="D674" s="20"/>
      <c r="E674" s="125"/>
      <c r="F674" s="61"/>
    </row>
    <row r="675" spans="1:6" ht="15.75" customHeight="1">
      <c r="A675" s="124"/>
      <c r="D675" s="20"/>
      <c r="E675" s="125"/>
      <c r="F675" s="61"/>
    </row>
    <row r="676" spans="1:6" ht="15.75" customHeight="1">
      <c r="A676" s="124"/>
      <c r="D676" s="20"/>
      <c r="E676" s="125"/>
      <c r="F676" s="61"/>
    </row>
    <row r="677" spans="1:6" ht="15.75" customHeight="1">
      <c r="A677" s="124"/>
      <c r="D677" s="20"/>
      <c r="E677" s="125"/>
      <c r="F677" s="61"/>
    </row>
    <row r="678" spans="1:6" ht="15.75" customHeight="1">
      <c r="A678" s="124"/>
      <c r="D678" s="20"/>
      <c r="E678" s="125"/>
      <c r="F678" s="61"/>
    </row>
    <row r="679" spans="1:6" ht="15.75" customHeight="1">
      <c r="A679" s="124"/>
      <c r="D679" s="20"/>
      <c r="E679" s="125"/>
      <c r="F679" s="61"/>
    </row>
    <row r="680" spans="1:6" ht="15.75" customHeight="1">
      <c r="A680" s="124"/>
      <c r="D680" s="20"/>
      <c r="E680" s="125"/>
      <c r="F680" s="61"/>
    </row>
    <row r="681" spans="1:6" ht="15.75" customHeight="1">
      <c r="A681" s="124"/>
      <c r="D681" s="20"/>
      <c r="E681" s="125"/>
      <c r="F681" s="61"/>
    </row>
    <row r="682" spans="1:6" ht="15.75" customHeight="1">
      <c r="A682" s="124"/>
      <c r="D682" s="20"/>
      <c r="E682" s="125"/>
      <c r="F682" s="61"/>
    </row>
    <row r="683" spans="1:6" ht="15.75" customHeight="1">
      <c r="A683" s="124"/>
      <c r="D683" s="20"/>
      <c r="E683" s="125"/>
      <c r="F683" s="61"/>
    </row>
    <row r="684" spans="1:6" ht="15.75" customHeight="1">
      <c r="A684" s="124"/>
      <c r="D684" s="20"/>
      <c r="E684" s="125"/>
      <c r="F684" s="61"/>
    </row>
    <row r="685" spans="1:6" ht="15.75" customHeight="1">
      <c r="A685" s="124"/>
      <c r="D685" s="20"/>
      <c r="E685" s="125"/>
      <c r="F685" s="61"/>
    </row>
    <row r="686" spans="1:6" ht="15.75" customHeight="1">
      <c r="A686" s="124"/>
      <c r="D686" s="20"/>
      <c r="E686" s="125"/>
      <c r="F686" s="61"/>
    </row>
    <row r="687" spans="1:6" ht="15.75" customHeight="1">
      <c r="A687" s="124"/>
      <c r="D687" s="20"/>
      <c r="E687" s="125"/>
      <c r="F687" s="61"/>
    </row>
    <row r="688" spans="1:6" ht="15.75" customHeight="1">
      <c r="A688" s="124"/>
      <c r="D688" s="20"/>
      <c r="E688" s="125"/>
      <c r="F688" s="61"/>
    </row>
    <row r="689" spans="1:6" ht="15.75" customHeight="1">
      <c r="A689" s="124"/>
      <c r="D689" s="20"/>
      <c r="E689" s="125"/>
      <c r="F689" s="61"/>
    </row>
    <row r="690" spans="1:6" ht="15.75" customHeight="1">
      <c r="A690" s="124"/>
      <c r="D690" s="20"/>
      <c r="E690" s="125"/>
      <c r="F690" s="61"/>
    </row>
    <row r="691" spans="1:6" ht="15.75" customHeight="1">
      <c r="A691" s="124"/>
      <c r="D691" s="20"/>
      <c r="E691" s="125"/>
      <c r="F691" s="61"/>
    </row>
    <row r="692" spans="1:6" ht="15.75" customHeight="1">
      <c r="A692" s="124"/>
      <c r="D692" s="20"/>
      <c r="E692" s="125"/>
      <c r="F692" s="61"/>
    </row>
    <row r="693" spans="1:6" ht="15.75" customHeight="1">
      <c r="A693" s="124"/>
      <c r="D693" s="20"/>
      <c r="E693" s="125"/>
      <c r="F693" s="61"/>
    </row>
    <row r="694" spans="1:6" ht="15.75" customHeight="1">
      <c r="A694" s="124"/>
      <c r="D694" s="20"/>
      <c r="E694" s="125"/>
      <c r="F694" s="61"/>
    </row>
    <row r="695" spans="1:6" ht="15.75" customHeight="1">
      <c r="A695" s="124"/>
      <c r="D695" s="20"/>
      <c r="E695" s="125"/>
      <c r="F695" s="61"/>
    </row>
    <row r="696" spans="1:6" ht="15.75" customHeight="1">
      <c r="A696" s="124"/>
      <c r="D696" s="20"/>
      <c r="E696" s="125"/>
      <c r="F696" s="61"/>
    </row>
    <row r="697" spans="1:6" ht="15.75" customHeight="1">
      <c r="A697" s="124"/>
      <c r="D697" s="20"/>
      <c r="E697" s="125"/>
      <c r="F697" s="61"/>
    </row>
    <row r="698" spans="1:6" ht="15.75" customHeight="1">
      <c r="A698" s="124"/>
      <c r="D698" s="20"/>
      <c r="E698" s="125"/>
      <c r="F698" s="61"/>
    </row>
    <row r="699" spans="1:6" ht="15.75" customHeight="1">
      <c r="A699" s="124"/>
      <c r="D699" s="20"/>
      <c r="E699" s="125"/>
      <c r="F699" s="61"/>
    </row>
    <row r="700" spans="1:6" ht="15.75" customHeight="1">
      <c r="A700" s="124"/>
      <c r="D700" s="20"/>
      <c r="E700" s="125"/>
      <c r="F700" s="61"/>
    </row>
    <row r="701" spans="1:6" ht="15.75" customHeight="1">
      <c r="A701" s="124"/>
      <c r="D701" s="20"/>
      <c r="E701" s="125"/>
      <c r="F701" s="61"/>
    </row>
    <row r="702" spans="1:6" ht="15.75" customHeight="1">
      <c r="A702" s="124"/>
      <c r="D702" s="20"/>
      <c r="E702" s="125"/>
      <c r="F702" s="61"/>
    </row>
    <row r="703" spans="1:6" ht="15.75" customHeight="1">
      <c r="A703" s="124"/>
      <c r="D703" s="20"/>
      <c r="E703" s="125"/>
      <c r="F703" s="61"/>
    </row>
    <row r="704" spans="1:6" ht="15.75" customHeight="1">
      <c r="A704" s="124"/>
      <c r="D704" s="20"/>
      <c r="E704" s="125"/>
      <c r="F704" s="61"/>
    </row>
    <row r="705" spans="1:6" ht="15.75" customHeight="1">
      <c r="A705" s="124"/>
      <c r="D705" s="20"/>
      <c r="E705" s="125"/>
      <c r="F705" s="61"/>
    </row>
    <row r="706" spans="1:6" ht="15.75" customHeight="1">
      <c r="A706" s="124"/>
      <c r="D706" s="20"/>
      <c r="E706" s="125"/>
      <c r="F706" s="61"/>
    </row>
    <row r="707" spans="1:6" ht="15.75" customHeight="1">
      <c r="A707" s="124"/>
      <c r="D707" s="20"/>
      <c r="E707" s="125"/>
      <c r="F707" s="61"/>
    </row>
    <row r="708" spans="1:6" ht="15.75" customHeight="1">
      <c r="A708" s="124"/>
      <c r="D708" s="20"/>
      <c r="E708" s="125"/>
      <c r="F708" s="61"/>
    </row>
    <row r="709" spans="1:6" ht="15.75" customHeight="1">
      <c r="A709" s="124"/>
      <c r="D709" s="20"/>
      <c r="E709" s="125"/>
      <c r="F709" s="61"/>
    </row>
    <row r="710" spans="1:6" ht="15.75" customHeight="1">
      <c r="A710" s="124"/>
      <c r="D710" s="20"/>
      <c r="E710" s="125"/>
      <c r="F710" s="61"/>
    </row>
    <row r="711" spans="1:6" ht="15.75" customHeight="1">
      <c r="A711" s="124"/>
      <c r="D711" s="20"/>
      <c r="E711" s="125"/>
      <c r="F711" s="61"/>
    </row>
    <row r="712" spans="1:6" ht="15.75" customHeight="1">
      <c r="A712" s="124"/>
      <c r="D712" s="20"/>
      <c r="E712" s="125"/>
      <c r="F712" s="61"/>
    </row>
    <row r="713" spans="1:6" ht="15.75" customHeight="1">
      <c r="A713" s="124"/>
      <c r="D713" s="20"/>
      <c r="E713" s="125"/>
      <c r="F713" s="61"/>
    </row>
    <row r="714" spans="1:6" ht="15.75" customHeight="1">
      <c r="A714" s="124"/>
      <c r="D714" s="20"/>
      <c r="E714" s="125"/>
      <c r="F714" s="61"/>
    </row>
    <row r="715" spans="1:6" ht="15.75" customHeight="1">
      <c r="A715" s="124"/>
      <c r="D715" s="20"/>
      <c r="E715" s="125"/>
      <c r="F715" s="61"/>
    </row>
    <row r="716" spans="1:6" ht="15.75" customHeight="1">
      <c r="A716" s="124"/>
      <c r="D716" s="20"/>
      <c r="E716" s="125"/>
      <c r="F716" s="61"/>
    </row>
    <row r="717" spans="1:6" ht="15.75" customHeight="1">
      <c r="A717" s="124"/>
      <c r="D717" s="20"/>
      <c r="E717" s="125"/>
      <c r="F717" s="61"/>
    </row>
    <row r="718" spans="1:6" ht="15.75" customHeight="1">
      <c r="A718" s="124"/>
      <c r="D718" s="20"/>
      <c r="E718" s="125"/>
      <c r="F718" s="61"/>
    </row>
    <row r="719" spans="1:6" ht="15.75" customHeight="1">
      <c r="A719" s="124"/>
      <c r="D719" s="20"/>
      <c r="E719" s="125"/>
      <c r="F719" s="61"/>
    </row>
    <row r="720" spans="1:6" ht="15.75" customHeight="1">
      <c r="A720" s="124"/>
      <c r="D720" s="20"/>
      <c r="E720" s="125"/>
      <c r="F720" s="61"/>
    </row>
    <row r="721" spans="1:6" ht="15.75" customHeight="1">
      <c r="A721" s="124"/>
      <c r="D721" s="20"/>
      <c r="E721" s="125"/>
      <c r="F721" s="61"/>
    </row>
    <row r="722" spans="1:6" ht="15.75" customHeight="1">
      <c r="A722" s="124"/>
      <c r="D722" s="20"/>
      <c r="E722" s="125"/>
      <c r="F722" s="61"/>
    </row>
    <row r="723" spans="1:6" ht="15.75" customHeight="1">
      <c r="A723" s="124"/>
      <c r="D723" s="20"/>
      <c r="E723" s="125"/>
      <c r="F723" s="61"/>
    </row>
    <row r="724" spans="1:6" ht="15.75" customHeight="1">
      <c r="A724" s="124"/>
      <c r="D724" s="20"/>
      <c r="E724" s="125"/>
      <c r="F724" s="61"/>
    </row>
    <row r="725" spans="1:6" ht="15.75" customHeight="1">
      <c r="A725" s="124"/>
      <c r="D725" s="20"/>
      <c r="E725" s="125"/>
      <c r="F725" s="61"/>
    </row>
    <row r="726" spans="1:6" ht="15.75" customHeight="1">
      <c r="A726" s="124"/>
      <c r="D726" s="20"/>
      <c r="E726" s="125"/>
      <c r="F726" s="61"/>
    </row>
    <row r="727" spans="1:6" ht="15.75" customHeight="1">
      <c r="A727" s="124"/>
      <c r="D727" s="20"/>
      <c r="E727" s="125"/>
      <c r="F727" s="61"/>
    </row>
    <row r="728" spans="1:6" ht="15.75" customHeight="1">
      <c r="A728" s="124"/>
      <c r="D728" s="20"/>
      <c r="E728" s="125"/>
      <c r="F728" s="61"/>
    </row>
    <row r="729" spans="1:6" ht="15.75" customHeight="1">
      <c r="A729" s="124"/>
      <c r="D729" s="20"/>
      <c r="E729" s="125"/>
      <c r="F729" s="61"/>
    </row>
    <row r="730" spans="1:6" ht="15.75" customHeight="1">
      <c r="A730" s="124"/>
      <c r="D730" s="20"/>
      <c r="E730" s="125"/>
      <c r="F730" s="61"/>
    </row>
    <row r="731" spans="1:6" ht="15.75" customHeight="1">
      <c r="A731" s="124"/>
      <c r="D731" s="20"/>
      <c r="E731" s="125"/>
      <c r="F731" s="61"/>
    </row>
    <row r="732" spans="1:6" ht="15.75" customHeight="1">
      <c r="A732" s="124"/>
      <c r="D732" s="20"/>
      <c r="E732" s="125"/>
      <c r="F732" s="61"/>
    </row>
    <row r="733" spans="1:6" ht="15.75" customHeight="1">
      <c r="A733" s="124"/>
      <c r="D733" s="20"/>
      <c r="E733" s="125"/>
      <c r="F733" s="61"/>
    </row>
    <row r="734" spans="1:6" ht="15.75" customHeight="1">
      <c r="A734" s="124"/>
      <c r="D734" s="20"/>
      <c r="E734" s="125"/>
      <c r="F734" s="61"/>
    </row>
    <row r="735" spans="1:6" ht="15.75" customHeight="1">
      <c r="A735" s="124"/>
      <c r="D735" s="20"/>
      <c r="E735" s="125"/>
      <c r="F735" s="61"/>
    </row>
    <row r="736" spans="1:6" ht="15.75" customHeight="1">
      <c r="A736" s="124"/>
      <c r="D736" s="20"/>
      <c r="E736" s="125"/>
      <c r="F736" s="61"/>
    </row>
    <row r="737" spans="1:6" ht="15.75" customHeight="1">
      <c r="A737" s="124"/>
      <c r="D737" s="20"/>
      <c r="E737" s="125"/>
      <c r="F737" s="61"/>
    </row>
    <row r="738" spans="1:6" ht="15.75" customHeight="1">
      <c r="A738" s="124"/>
      <c r="D738" s="20"/>
      <c r="E738" s="125"/>
      <c r="F738" s="61"/>
    </row>
    <row r="739" spans="1:6" ht="15.75" customHeight="1">
      <c r="A739" s="124"/>
      <c r="D739" s="20"/>
      <c r="E739" s="125"/>
      <c r="F739" s="61"/>
    </row>
    <row r="740" spans="1:6" ht="15.75" customHeight="1">
      <c r="A740" s="124"/>
      <c r="D740" s="20"/>
      <c r="E740" s="125"/>
      <c r="F740" s="61"/>
    </row>
    <row r="741" spans="1:6" ht="15.75" customHeight="1">
      <c r="A741" s="124"/>
      <c r="D741" s="20"/>
      <c r="E741" s="125"/>
      <c r="F741" s="61"/>
    </row>
    <row r="742" spans="1:6" ht="15.75" customHeight="1">
      <c r="A742" s="124"/>
      <c r="D742" s="20"/>
      <c r="E742" s="125"/>
      <c r="F742" s="61"/>
    </row>
    <row r="743" spans="1:6" ht="15.75" customHeight="1">
      <c r="A743" s="124"/>
      <c r="D743" s="20"/>
      <c r="E743" s="125"/>
      <c r="F743" s="61"/>
    </row>
    <row r="744" spans="1:6" ht="15.75" customHeight="1">
      <c r="A744" s="124"/>
      <c r="D744" s="20"/>
      <c r="E744" s="125"/>
      <c r="F744" s="61"/>
    </row>
    <row r="745" spans="1:6" ht="15.75" customHeight="1">
      <c r="A745" s="124"/>
      <c r="D745" s="20"/>
      <c r="E745" s="125"/>
      <c r="F745" s="61"/>
    </row>
    <row r="746" spans="1:6" ht="15.75" customHeight="1">
      <c r="A746" s="124"/>
      <c r="D746" s="20"/>
      <c r="E746" s="125"/>
      <c r="F746" s="61"/>
    </row>
    <row r="747" spans="1:6" ht="15.75" customHeight="1">
      <c r="A747" s="124"/>
      <c r="D747" s="20"/>
      <c r="E747" s="125"/>
      <c r="F747" s="61"/>
    </row>
    <row r="748" spans="1:6" ht="15.75" customHeight="1">
      <c r="A748" s="124"/>
      <c r="D748" s="20"/>
      <c r="E748" s="125"/>
      <c r="F748" s="61"/>
    </row>
    <row r="749" spans="1:6" ht="15.75" customHeight="1">
      <c r="A749" s="124"/>
      <c r="D749" s="20"/>
      <c r="E749" s="125"/>
      <c r="F749" s="61"/>
    </row>
    <row r="750" spans="1:6" ht="15.75" customHeight="1">
      <c r="A750" s="124"/>
      <c r="D750" s="20"/>
      <c r="E750" s="125"/>
      <c r="F750" s="61"/>
    </row>
    <row r="751" spans="1:6" ht="15.75" customHeight="1">
      <c r="A751" s="124"/>
      <c r="D751" s="20"/>
      <c r="E751" s="125"/>
      <c r="F751" s="61"/>
    </row>
    <row r="752" spans="1:6" ht="15.75" customHeight="1">
      <c r="A752" s="124"/>
      <c r="D752" s="20"/>
      <c r="E752" s="125"/>
      <c r="F752" s="61"/>
    </row>
    <row r="753" spans="1:6" ht="15.75" customHeight="1">
      <c r="A753" s="124"/>
      <c r="D753" s="20"/>
      <c r="E753" s="125"/>
      <c r="F753" s="61"/>
    </row>
    <row r="754" spans="1:6" ht="15.75" customHeight="1">
      <c r="A754" s="124"/>
      <c r="D754" s="20"/>
      <c r="E754" s="125"/>
      <c r="F754" s="61"/>
    </row>
    <row r="755" spans="1:6" ht="15.75" customHeight="1">
      <c r="A755" s="124"/>
      <c r="D755" s="20"/>
      <c r="E755" s="125"/>
      <c r="F755" s="61"/>
    </row>
    <row r="756" spans="1:6" ht="15.75" customHeight="1">
      <c r="A756" s="124"/>
      <c r="D756" s="20"/>
      <c r="E756" s="125"/>
      <c r="F756" s="61"/>
    </row>
    <row r="757" spans="1:6" ht="15.75" customHeight="1">
      <c r="A757" s="124"/>
      <c r="D757" s="20"/>
      <c r="E757" s="125"/>
      <c r="F757" s="61"/>
    </row>
    <row r="758" spans="1:6" ht="15.75" customHeight="1">
      <c r="A758" s="124"/>
      <c r="D758" s="20"/>
      <c r="E758" s="125"/>
      <c r="F758" s="61"/>
    </row>
    <row r="759" spans="1:6" ht="15.75" customHeight="1">
      <c r="A759" s="124"/>
      <c r="D759" s="20"/>
      <c r="E759" s="125"/>
      <c r="F759" s="61"/>
    </row>
    <row r="760" spans="1:6" ht="15.75" customHeight="1">
      <c r="A760" s="124"/>
      <c r="D760" s="20"/>
      <c r="E760" s="125"/>
      <c r="F760" s="61"/>
    </row>
    <row r="761" spans="1:6" ht="15.75" customHeight="1">
      <c r="A761" s="124"/>
      <c r="D761" s="20"/>
      <c r="E761" s="125"/>
      <c r="F761" s="61"/>
    </row>
    <row r="762" spans="1:6" ht="15.75" customHeight="1">
      <c r="A762" s="124"/>
      <c r="D762" s="20"/>
      <c r="E762" s="125"/>
      <c r="F762" s="61"/>
    </row>
    <row r="763" spans="1:6" ht="15.75" customHeight="1">
      <c r="A763" s="124"/>
      <c r="D763" s="20"/>
      <c r="E763" s="125"/>
      <c r="F763" s="61"/>
    </row>
    <row r="764" spans="1:6" ht="15.75" customHeight="1">
      <c r="A764" s="124"/>
      <c r="D764" s="20"/>
      <c r="E764" s="125"/>
      <c r="F764" s="61"/>
    </row>
    <row r="765" spans="1:6" ht="15.75" customHeight="1">
      <c r="A765" s="124"/>
      <c r="D765" s="20"/>
      <c r="E765" s="125"/>
      <c r="F765" s="61"/>
    </row>
    <row r="766" spans="1:6" ht="15.75" customHeight="1">
      <c r="A766" s="124"/>
      <c r="D766" s="20"/>
      <c r="E766" s="125"/>
      <c r="F766" s="61"/>
    </row>
    <row r="767" spans="1:6" ht="15.75" customHeight="1">
      <c r="A767" s="124"/>
      <c r="D767" s="20"/>
      <c r="E767" s="125"/>
      <c r="F767" s="61"/>
    </row>
    <row r="768" spans="1:6" ht="15.75" customHeight="1">
      <c r="A768" s="124"/>
      <c r="D768" s="20"/>
      <c r="E768" s="125"/>
      <c r="F768" s="61"/>
    </row>
    <row r="769" spans="1:6" ht="15.75" customHeight="1">
      <c r="A769" s="124"/>
      <c r="D769" s="20"/>
      <c r="E769" s="125"/>
      <c r="F769" s="61"/>
    </row>
    <row r="770" spans="1:6" ht="15.75" customHeight="1">
      <c r="A770" s="124"/>
      <c r="D770" s="20"/>
      <c r="E770" s="125"/>
      <c r="F770" s="61"/>
    </row>
    <row r="771" spans="1:6" ht="15.75" customHeight="1">
      <c r="A771" s="124"/>
      <c r="D771" s="20"/>
      <c r="E771" s="125"/>
      <c r="F771" s="61"/>
    </row>
    <row r="772" spans="1:6" ht="15.75" customHeight="1">
      <c r="A772" s="124"/>
      <c r="D772" s="20"/>
      <c r="E772" s="125"/>
      <c r="F772" s="61"/>
    </row>
    <row r="773" spans="1:6" ht="15.75" customHeight="1">
      <c r="A773" s="124"/>
      <c r="D773" s="20"/>
      <c r="E773" s="125"/>
      <c r="F773" s="61"/>
    </row>
    <row r="774" spans="1:6" ht="15.75" customHeight="1">
      <c r="A774" s="124"/>
      <c r="D774" s="20"/>
      <c r="E774" s="125"/>
      <c r="F774" s="61"/>
    </row>
    <row r="775" spans="1:6" ht="15.75" customHeight="1">
      <c r="A775" s="124"/>
      <c r="D775" s="20"/>
      <c r="E775" s="125"/>
      <c r="F775" s="61"/>
    </row>
    <row r="776" spans="1:6" ht="15.75" customHeight="1">
      <c r="A776" s="124"/>
      <c r="D776" s="20"/>
      <c r="E776" s="125"/>
      <c r="F776" s="61"/>
    </row>
    <row r="777" spans="1:6" ht="15.75" customHeight="1">
      <c r="A777" s="124"/>
      <c r="D777" s="20"/>
      <c r="E777" s="125"/>
      <c r="F777" s="61"/>
    </row>
    <row r="778" spans="1:6" ht="15.75" customHeight="1">
      <c r="A778" s="124"/>
      <c r="D778" s="20"/>
      <c r="E778" s="125"/>
      <c r="F778" s="61"/>
    </row>
    <row r="779" spans="1:6" ht="15.75" customHeight="1">
      <c r="A779" s="124"/>
      <c r="D779" s="20"/>
      <c r="E779" s="125"/>
      <c r="F779" s="61"/>
    </row>
    <row r="780" spans="1:6" ht="15.75" customHeight="1">
      <c r="A780" s="124"/>
      <c r="D780" s="20"/>
      <c r="E780" s="125"/>
      <c r="F780" s="61"/>
    </row>
    <row r="781" spans="1:6" ht="15.75" customHeight="1">
      <c r="A781" s="124"/>
      <c r="D781" s="20"/>
      <c r="E781" s="125"/>
      <c r="F781" s="61"/>
    </row>
    <row r="782" spans="1:6" ht="15.75" customHeight="1">
      <c r="A782" s="124"/>
      <c r="D782" s="20"/>
      <c r="E782" s="125"/>
      <c r="F782" s="61"/>
    </row>
    <row r="783" spans="1:6" ht="15.75" customHeight="1">
      <c r="A783" s="124"/>
      <c r="D783" s="20"/>
      <c r="E783" s="125"/>
      <c r="F783" s="61"/>
    </row>
    <row r="784" spans="1:6" ht="15.75" customHeight="1">
      <c r="A784" s="124"/>
      <c r="D784" s="20"/>
      <c r="E784" s="125"/>
      <c r="F784" s="61"/>
    </row>
    <row r="785" spans="1:6" ht="15.75" customHeight="1">
      <c r="A785" s="124"/>
      <c r="D785" s="20"/>
      <c r="E785" s="125"/>
      <c r="F785" s="61"/>
    </row>
    <row r="786" spans="1:6" ht="15.75" customHeight="1">
      <c r="A786" s="124"/>
      <c r="D786" s="20"/>
      <c r="E786" s="125"/>
      <c r="F786" s="61"/>
    </row>
    <row r="787" spans="1:6" ht="15.75" customHeight="1">
      <c r="A787" s="124"/>
      <c r="D787" s="20"/>
      <c r="E787" s="125"/>
      <c r="F787" s="61"/>
    </row>
    <row r="788" spans="1:6" ht="15.75" customHeight="1">
      <c r="A788" s="124"/>
      <c r="D788" s="20"/>
      <c r="E788" s="125"/>
      <c r="F788" s="61"/>
    </row>
    <row r="789" spans="1:6" ht="15.75" customHeight="1">
      <c r="A789" s="124"/>
      <c r="D789" s="20"/>
      <c r="E789" s="125"/>
      <c r="F789" s="61"/>
    </row>
    <row r="790" spans="1:6" ht="15.75" customHeight="1">
      <c r="A790" s="124"/>
      <c r="D790" s="20"/>
      <c r="E790" s="125"/>
      <c r="F790" s="61"/>
    </row>
    <row r="791" spans="1:6" ht="15.75" customHeight="1">
      <c r="A791" s="124"/>
      <c r="D791" s="20"/>
      <c r="E791" s="125"/>
      <c r="F791" s="61"/>
    </row>
    <row r="792" spans="1:6" ht="15.75" customHeight="1">
      <c r="A792" s="124"/>
      <c r="D792" s="20"/>
      <c r="E792" s="125"/>
      <c r="F792" s="61"/>
    </row>
    <row r="793" spans="1:6" ht="15.75" customHeight="1">
      <c r="A793" s="124"/>
      <c r="D793" s="20"/>
      <c r="E793" s="125"/>
      <c r="F793" s="61"/>
    </row>
    <row r="794" spans="1:6" ht="15.75" customHeight="1">
      <c r="A794" s="124"/>
      <c r="D794" s="20"/>
      <c r="E794" s="125"/>
      <c r="F794" s="61"/>
    </row>
    <row r="795" spans="1:6" ht="15.75" customHeight="1">
      <c r="A795" s="124"/>
      <c r="D795" s="20"/>
      <c r="E795" s="125"/>
      <c r="F795" s="61"/>
    </row>
    <row r="796" spans="1:6" ht="15.75" customHeight="1">
      <c r="A796" s="124"/>
      <c r="D796" s="20"/>
      <c r="E796" s="125"/>
      <c r="F796" s="61"/>
    </row>
    <row r="797" spans="1:6" ht="15.75" customHeight="1">
      <c r="A797" s="124"/>
      <c r="D797" s="20"/>
      <c r="E797" s="125"/>
      <c r="F797" s="61"/>
    </row>
    <row r="798" spans="1:6" ht="15.75" customHeight="1">
      <c r="A798" s="124"/>
      <c r="D798" s="20"/>
      <c r="E798" s="125"/>
      <c r="F798" s="61"/>
    </row>
    <row r="799" spans="1:6" ht="15.75" customHeight="1">
      <c r="A799" s="124"/>
      <c r="D799" s="20"/>
      <c r="E799" s="125"/>
      <c r="F799" s="61"/>
    </row>
    <row r="800" spans="1:6" ht="15.75" customHeight="1">
      <c r="A800" s="124"/>
      <c r="D800" s="20"/>
      <c r="E800" s="125"/>
      <c r="F800" s="61"/>
    </row>
    <row r="801" spans="1:6" ht="15.75" customHeight="1">
      <c r="A801" s="124"/>
      <c r="D801" s="20"/>
      <c r="E801" s="125"/>
      <c r="F801" s="61"/>
    </row>
    <row r="802" spans="1:6" ht="15.75" customHeight="1">
      <c r="A802" s="124"/>
      <c r="D802" s="20"/>
      <c r="E802" s="125"/>
      <c r="F802" s="61"/>
    </row>
    <row r="803" spans="1:6" ht="15.75" customHeight="1">
      <c r="A803" s="124"/>
      <c r="D803" s="20"/>
      <c r="E803" s="125"/>
      <c r="F803" s="61"/>
    </row>
    <row r="804" spans="1:6" ht="15.75" customHeight="1">
      <c r="A804" s="124"/>
      <c r="D804" s="20"/>
      <c r="E804" s="125"/>
      <c r="F804" s="61"/>
    </row>
    <row r="805" spans="1:6" ht="15.75" customHeight="1">
      <c r="A805" s="124"/>
      <c r="D805" s="20"/>
      <c r="E805" s="125"/>
      <c r="F805" s="61"/>
    </row>
    <row r="806" spans="1:6" ht="15.75" customHeight="1">
      <c r="A806" s="124"/>
      <c r="D806" s="20"/>
      <c r="E806" s="125"/>
      <c r="F806" s="61"/>
    </row>
    <row r="807" spans="1:6" ht="15.75" customHeight="1">
      <c r="A807" s="124"/>
      <c r="D807" s="20"/>
      <c r="E807" s="125"/>
      <c r="F807" s="61"/>
    </row>
    <row r="808" spans="1:6" ht="15.75" customHeight="1">
      <c r="A808" s="124"/>
      <c r="D808" s="20"/>
      <c r="E808" s="125"/>
      <c r="F808" s="61"/>
    </row>
    <row r="809" spans="1:6" ht="15.75" customHeight="1">
      <c r="A809" s="124"/>
      <c r="D809" s="20"/>
      <c r="E809" s="125"/>
      <c r="F809" s="61"/>
    </row>
    <row r="810" spans="1:6" ht="15.75" customHeight="1">
      <c r="A810" s="124"/>
      <c r="D810" s="20"/>
      <c r="E810" s="125"/>
      <c r="F810" s="61"/>
    </row>
    <row r="811" spans="1:6" ht="15.75" customHeight="1">
      <c r="A811" s="124"/>
      <c r="D811" s="20"/>
      <c r="E811" s="125"/>
      <c r="F811" s="61"/>
    </row>
    <row r="812" spans="1:6" ht="15.75" customHeight="1">
      <c r="A812" s="124"/>
      <c r="D812" s="20"/>
      <c r="E812" s="125"/>
      <c r="F812" s="61"/>
    </row>
    <row r="813" spans="1:6" ht="15.75" customHeight="1">
      <c r="A813" s="124"/>
      <c r="D813" s="20"/>
      <c r="E813" s="125"/>
      <c r="F813" s="61"/>
    </row>
    <row r="814" spans="1:6" ht="15.75" customHeight="1">
      <c r="A814" s="124"/>
      <c r="D814" s="20"/>
      <c r="E814" s="125"/>
      <c r="F814" s="61"/>
    </row>
    <row r="815" spans="1:6" ht="15.75" customHeight="1">
      <c r="A815" s="124"/>
      <c r="D815" s="20"/>
      <c r="E815" s="125"/>
      <c r="F815" s="61"/>
    </row>
    <row r="816" spans="1:6" ht="15.75" customHeight="1">
      <c r="A816" s="124"/>
      <c r="D816" s="20"/>
      <c r="E816" s="125"/>
      <c r="F816" s="61"/>
    </row>
    <row r="817" spans="1:6" ht="15.75" customHeight="1">
      <c r="A817" s="124"/>
      <c r="D817" s="20"/>
      <c r="E817" s="125"/>
      <c r="F817" s="61"/>
    </row>
    <row r="818" spans="1:6" ht="15.75" customHeight="1">
      <c r="A818" s="124"/>
      <c r="D818" s="20"/>
      <c r="E818" s="125"/>
      <c r="F818" s="61"/>
    </row>
    <row r="819" spans="1:6" ht="15.75" customHeight="1">
      <c r="A819" s="124"/>
      <c r="D819" s="20"/>
      <c r="E819" s="125"/>
      <c r="F819" s="61"/>
    </row>
    <row r="820" spans="1:6" ht="15.75" customHeight="1">
      <c r="A820" s="124"/>
      <c r="D820" s="20"/>
      <c r="E820" s="125"/>
      <c r="F820" s="61"/>
    </row>
    <row r="821" spans="1:6" ht="15.75" customHeight="1">
      <c r="A821" s="124"/>
      <c r="D821" s="20"/>
      <c r="E821" s="125"/>
      <c r="F821" s="61"/>
    </row>
    <row r="822" spans="1:6" ht="15.75" customHeight="1">
      <c r="A822" s="124"/>
      <c r="D822" s="20"/>
      <c r="E822" s="125"/>
      <c r="F822" s="61"/>
    </row>
    <row r="823" spans="1:6" ht="15.75" customHeight="1">
      <c r="A823" s="124"/>
      <c r="D823" s="20"/>
      <c r="E823" s="125"/>
      <c r="F823" s="61"/>
    </row>
    <row r="824" spans="1:6" ht="15.75" customHeight="1">
      <c r="A824" s="124"/>
      <c r="D824" s="20"/>
      <c r="E824" s="125"/>
      <c r="F824" s="61"/>
    </row>
    <row r="825" spans="1:6" ht="15.75" customHeight="1">
      <c r="A825" s="124"/>
      <c r="D825" s="20"/>
      <c r="E825" s="125"/>
      <c r="F825" s="61"/>
    </row>
    <row r="826" spans="1:6" ht="15.75" customHeight="1">
      <c r="A826" s="124"/>
      <c r="D826" s="20"/>
      <c r="E826" s="125"/>
      <c r="F826" s="61"/>
    </row>
    <row r="827" spans="1:6" ht="15.75" customHeight="1">
      <c r="A827" s="124"/>
      <c r="D827" s="20"/>
      <c r="E827" s="125"/>
      <c r="F827" s="61"/>
    </row>
    <row r="828" spans="1:6" ht="15.75" customHeight="1">
      <c r="A828" s="124"/>
      <c r="D828" s="20"/>
      <c r="E828" s="125"/>
      <c r="F828" s="61"/>
    </row>
    <row r="829" spans="1:6" ht="15.75" customHeight="1">
      <c r="A829" s="124"/>
      <c r="D829" s="20"/>
      <c r="E829" s="125"/>
      <c r="F829" s="61"/>
    </row>
    <row r="830" spans="1:6" ht="15.75" customHeight="1">
      <c r="A830" s="124"/>
      <c r="D830" s="20"/>
      <c r="E830" s="125"/>
      <c r="F830" s="61"/>
    </row>
    <row r="831" spans="1:6" ht="15.75" customHeight="1">
      <c r="A831" s="124"/>
      <c r="D831" s="20"/>
      <c r="E831" s="125"/>
      <c r="F831" s="61"/>
    </row>
    <row r="832" spans="1:6" ht="15.75" customHeight="1">
      <c r="A832" s="124"/>
      <c r="D832" s="20"/>
      <c r="E832" s="125"/>
      <c r="F832" s="61"/>
    </row>
    <row r="833" spans="1:6" ht="15.75" customHeight="1">
      <c r="A833" s="124"/>
      <c r="D833" s="20"/>
      <c r="E833" s="125"/>
      <c r="F833" s="61"/>
    </row>
    <row r="834" spans="1:6" ht="15.75" customHeight="1">
      <c r="A834" s="124"/>
      <c r="D834" s="20"/>
      <c r="E834" s="125"/>
      <c r="F834" s="61"/>
    </row>
    <row r="835" spans="1:6" ht="15.75" customHeight="1">
      <c r="A835" s="124"/>
      <c r="D835" s="20"/>
      <c r="E835" s="125"/>
      <c r="F835" s="61"/>
    </row>
    <row r="836" spans="1:6" ht="15.75" customHeight="1">
      <c r="A836" s="124"/>
      <c r="D836" s="20"/>
      <c r="E836" s="125"/>
      <c r="F836" s="61"/>
    </row>
    <row r="837" spans="1:6" ht="15.75" customHeight="1">
      <c r="A837" s="124"/>
      <c r="D837" s="20"/>
      <c r="E837" s="125"/>
      <c r="F837" s="61"/>
    </row>
    <row r="838" spans="1:6" ht="15.75" customHeight="1">
      <c r="A838" s="124"/>
      <c r="D838" s="20"/>
      <c r="E838" s="125"/>
      <c r="F838" s="61"/>
    </row>
    <row r="839" spans="1:6" ht="15.75" customHeight="1">
      <c r="A839" s="124"/>
      <c r="D839" s="20"/>
      <c r="E839" s="125"/>
      <c r="F839" s="61"/>
    </row>
    <row r="840" spans="1:6" ht="15.75" customHeight="1">
      <c r="A840" s="124"/>
      <c r="D840" s="20"/>
      <c r="E840" s="125"/>
      <c r="F840" s="61"/>
    </row>
    <row r="841" spans="1:6" ht="15.75" customHeight="1">
      <c r="A841" s="124"/>
      <c r="D841" s="20"/>
      <c r="E841" s="125"/>
      <c r="F841" s="61"/>
    </row>
    <row r="842" spans="1:6" ht="15.75" customHeight="1">
      <c r="A842" s="124"/>
      <c r="D842" s="20"/>
      <c r="E842" s="125"/>
      <c r="F842" s="61"/>
    </row>
    <row r="843" spans="1:6" ht="15.75" customHeight="1">
      <c r="A843" s="124"/>
      <c r="D843" s="20"/>
      <c r="E843" s="125"/>
      <c r="F843" s="61"/>
    </row>
    <row r="844" spans="1:6" ht="15.75" customHeight="1">
      <c r="A844" s="124"/>
      <c r="D844" s="20"/>
      <c r="E844" s="125"/>
      <c r="F844" s="61"/>
    </row>
    <row r="845" spans="1:6" ht="15.75" customHeight="1">
      <c r="A845" s="124"/>
      <c r="D845" s="20"/>
      <c r="E845" s="125"/>
      <c r="F845" s="61"/>
    </row>
    <row r="846" spans="1:6" ht="15.75" customHeight="1">
      <c r="A846" s="124"/>
      <c r="D846" s="20"/>
      <c r="E846" s="125"/>
      <c r="F846" s="61"/>
    </row>
    <row r="847" spans="1:6" ht="15.75" customHeight="1">
      <c r="A847" s="124"/>
      <c r="D847" s="20"/>
      <c r="E847" s="125"/>
      <c r="F847" s="61"/>
    </row>
    <row r="848" spans="1:6" ht="15.75" customHeight="1">
      <c r="A848" s="124"/>
      <c r="D848" s="20"/>
      <c r="E848" s="125"/>
      <c r="F848" s="61"/>
    </row>
    <row r="849" spans="1:6" ht="15.75" customHeight="1">
      <c r="A849" s="124"/>
      <c r="D849" s="20"/>
      <c r="E849" s="125"/>
      <c r="F849" s="61"/>
    </row>
    <row r="850" spans="1:6" ht="15.75" customHeight="1">
      <c r="A850" s="124"/>
      <c r="D850" s="20"/>
      <c r="E850" s="125"/>
      <c r="F850" s="61"/>
    </row>
    <row r="851" spans="1:6" ht="15.75" customHeight="1">
      <c r="A851" s="124"/>
      <c r="D851" s="20"/>
      <c r="E851" s="125"/>
      <c r="F851" s="61"/>
    </row>
    <row r="852" spans="1:6" ht="15.75" customHeight="1">
      <c r="A852" s="124"/>
      <c r="D852" s="20"/>
      <c r="E852" s="125"/>
      <c r="F852" s="61"/>
    </row>
    <row r="853" spans="1:6" ht="15.75" customHeight="1">
      <c r="A853" s="124"/>
      <c r="D853" s="20"/>
      <c r="E853" s="125"/>
      <c r="F853" s="61"/>
    </row>
    <row r="854" spans="1:6" ht="15.75" customHeight="1">
      <c r="A854" s="124"/>
      <c r="D854" s="20"/>
      <c r="E854" s="125"/>
      <c r="F854" s="61"/>
    </row>
    <row r="855" spans="1:6" ht="15.75" customHeight="1">
      <c r="A855" s="124"/>
      <c r="D855" s="20"/>
      <c r="E855" s="125"/>
      <c r="F855" s="61"/>
    </row>
    <row r="856" spans="1:6" ht="15.75" customHeight="1">
      <c r="A856" s="124"/>
      <c r="D856" s="20"/>
      <c r="E856" s="125"/>
      <c r="F856" s="61"/>
    </row>
    <row r="857" spans="1:6" ht="15.75" customHeight="1">
      <c r="A857" s="124"/>
      <c r="D857" s="20"/>
      <c r="E857" s="125"/>
      <c r="F857" s="61"/>
    </row>
    <row r="858" spans="1:6" ht="15.75" customHeight="1">
      <c r="A858" s="124"/>
      <c r="D858" s="20"/>
      <c r="E858" s="125"/>
      <c r="F858" s="61"/>
    </row>
    <row r="859" spans="1:6" ht="15.75" customHeight="1">
      <c r="A859" s="124"/>
      <c r="D859" s="20"/>
      <c r="E859" s="125"/>
      <c r="F859" s="61"/>
    </row>
    <row r="860" spans="1:6" ht="15.75" customHeight="1">
      <c r="A860" s="124"/>
      <c r="D860" s="20"/>
      <c r="E860" s="125"/>
      <c r="F860" s="61"/>
    </row>
    <row r="861" spans="1:6" ht="15.75" customHeight="1">
      <c r="A861" s="124"/>
      <c r="D861" s="20"/>
      <c r="E861" s="125"/>
      <c r="F861" s="61"/>
    </row>
    <row r="862" spans="1:6" ht="15.75" customHeight="1">
      <c r="A862" s="124"/>
      <c r="D862" s="20"/>
      <c r="E862" s="125"/>
      <c r="F862" s="61"/>
    </row>
    <row r="863" spans="1:6" ht="15.75" customHeight="1">
      <c r="A863" s="124"/>
      <c r="D863" s="20"/>
      <c r="E863" s="125"/>
      <c r="F863" s="61"/>
    </row>
    <row r="864" spans="1:6" ht="15.75" customHeight="1">
      <c r="A864" s="124"/>
      <c r="D864" s="20"/>
      <c r="E864" s="125"/>
      <c r="F864" s="61"/>
    </row>
    <row r="865" spans="1:6" ht="15.75" customHeight="1">
      <c r="A865" s="124"/>
      <c r="D865" s="20"/>
      <c r="E865" s="125"/>
      <c r="F865" s="61"/>
    </row>
    <row r="866" spans="1:6" ht="15.75" customHeight="1">
      <c r="A866" s="124"/>
      <c r="D866" s="20"/>
      <c r="E866" s="125"/>
      <c r="F866" s="61"/>
    </row>
    <row r="867" spans="1:6" ht="15.75" customHeight="1">
      <c r="A867" s="124"/>
      <c r="D867" s="20"/>
      <c r="E867" s="125"/>
      <c r="F867" s="61"/>
    </row>
    <row r="868" spans="1:6" ht="15.75" customHeight="1">
      <c r="A868" s="124"/>
      <c r="D868" s="20"/>
      <c r="E868" s="125"/>
      <c r="F868" s="61"/>
    </row>
    <row r="869" spans="1:6" ht="15.75" customHeight="1">
      <c r="A869" s="124"/>
      <c r="D869" s="20"/>
      <c r="E869" s="125"/>
      <c r="F869" s="61"/>
    </row>
    <row r="870" spans="1:6" ht="15.75" customHeight="1">
      <c r="A870" s="124"/>
      <c r="D870" s="20"/>
      <c r="E870" s="125"/>
      <c r="F870" s="61"/>
    </row>
    <row r="871" spans="1:6" ht="15.75" customHeight="1">
      <c r="A871" s="124"/>
      <c r="D871" s="20"/>
      <c r="E871" s="125"/>
      <c r="F871" s="61"/>
    </row>
    <row r="872" spans="1:6" ht="15.75" customHeight="1">
      <c r="A872" s="124"/>
      <c r="D872" s="20"/>
      <c r="E872" s="125"/>
      <c r="F872" s="61"/>
    </row>
    <row r="873" spans="1:6" ht="15.75" customHeight="1">
      <c r="A873" s="124"/>
      <c r="D873" s="20"/>
      <c r="E873" s="125"/>
      <c r="F873" s="61"/>
    </row>
    <row r="874" spans="1:6" ht="15.75" customHeight="1">
      <c r="A874" s="124"/>
      <c r="D874" s="20"/>
      <c r="E874" s="125"/>
      <c r="F874" s="61"/>
    </row>
    <row r="875" spans="1:6" ht="15.75" customHeight="1">
      <c r="A875" s="124"/>
      <c r="D875" s="20"/>
      <c r="E875" s="125"/>
      <c r="F875" s="61"/>
    </row>
    <row r="876" spans="1:6" ht="15.75" customHeight="1">
      <c r="A876" s="124"/>
      <c r="D876" s="20"/>
      <c r="E876" s="125"/>
      <c r="F876" s="61"/>
    </row>
    <row r="877" spans="1:6" ht="15.75" customHeight="1">
      <c r="A877" s="124"/>
      <c r="D877" s="20"/>
      <c r="E877" s="125"/>
      <c r="F877" s="61"/>
    </row>
    <row r="878" spans="1:6" ht="15.75" customHeight="1">
      <c r="A878" s="124"/>
      <c r="D878" s="20"/>
      <c r="E878" s="125"/>
      <c r="F878" s="61"/>
    </row>
    <row r="879" spans="1:6" ht="15.75" customHeight="1">
      <c r="A879" s="124"/>
      <c r="D879" s="20"/>
      <c r="E879" s="125"/>
      <c r="F879" s="61"/>
    </row>
    <row r="880" spans="1:6" ht="15.75" customHeight="1">
      <c r="A880" s="124"/>
      <c r="D880" s="20"/>
      <c r="E880" s="125"/>
      <c r="F880" s="61"/>
    </row>
    <row r="881" spans="1:6" ht="15.75" customHeight="1">
      <c r="A881" s="124"/>
      <c r="D881" s="20"/>
      <c r="E881" s="125"/>
      <c r="F881" s="61"/>
    </row>
    <row r="882" spans="1:6" ht="15.75" customHeight="1">
      <c r="A882" s="124"/>
      <c r="D882" s="20"/>
      <c r="E882" s="125"/>
      <c r="F882" s="61"/>
    </row>
    <row r="883" spans="1:6" ht="15.75" customHeight="1">
      <c r="A883" s="124"/>
      <c r="D883" s="20"/>
      <c r="E883" s="125"/>
      <c r="F883" s="61"/>
    </row>
    <row r="884" spans="1:6" ht="15.75" customHeight="1">
      <c r="A884" s="124"/>
      <c r="D884" s="20"/>
      <c r="E884" s="125"/>
      <c r="F884" s="61"/>
    </row>
    <row r="885" spans="1:6" ht="15.75" customHeight="1">
      <c r="A885" s="124"/>
      <c r="D885" s="20"/>
      <c r="E885" s="125"/>
      <c r="F885" s="61"/>
    </row>
    <row r="886" spans="1:6" ht="15.75" customHeight="1">
      <c r="A886" s="124"/>
      <c r="D886" s="20"/>
      <c r="E886" s="125"/>
      <c r="F886" s="61"/>
    </row>
    <row r="887" spans="1:6" ht="15.75" customHeight="1">
      <c r="A887" s="124"/>
      <c r="D887" s="20"/>
      <c r="E887" s="125"/>
      <c r="F887" s="61"/>
    </row>
    <row r="888" spans="1:6" ht="15.75" customHeight="1">
      <c r="A888" s="124"/>
      <c r="D888" s="20"/>
      <c r="E888" s="125"/>
      <c r="F888" s="61"/>
    </row>
    <row r="889" spans="1:6" ht="15.75" customHeight="1">
      <c r="A889" s="124"/>
      <c r="D889" s="20"/>
      <c r="E889" s="125"/>
      <c r="F889" s="61"/>
    </row>
    <row r="890" spans="1:6" ht="15.75" customHeight="1">
      <c r="A890" s="124"/>
      <c r="D890" s="20"/>
      <c r="E890" s="125"/>
      <c r="F890" s="61"/>
    </row>
    <row r="891" spans="1:6" ht="15.75" customHeight="1">
      <c r="A891" s="124"/>
      <c r="D891" s="20"/>
      <c r="E891" s="125"/>
      <c r="F891" s="61"/>
    </row>
    <row r="892" spans="1:6" ht="15.75" customHeight="1">
      <c r="A892" s="124"/>
      <c r="D892" s="20"/>
      <c r="E892" s="125"/>
      <c r="F892" s="61"/>
    </row>
    <row r="893" spans="1:6" ht="15.75" customHeight="1">
      <c r="A893" s="124"/>
      <c r="D893" s="20"/>
      <c r="E893" s="125"/>
      <c r="F893" s="61"/>
    </row>
    <row r="894" spans="1:6" ht="15.75" customHeight="1">
      <c r="A894" s="124"/>
      <c r="D894" s="20"/>
      <c r="E894" s="125"/>
      <c r="F894" s="61"/>
    </row>
    <row r="895" spans="1:6" ht="15.75" customHeight="1">
      <c r="A895" s="124"/>
      <c r="D895" s="20"/>
      <c r="E895" s="125"/>
      <c r="F895" s="61"/>
    </row>
    <row r="896" spans="1:6" ht="15.75" customHeight="1">
      <c r="A896" s="124"/>
      <c r="D896" s="20"/>
      <c r="E896" s="125"/>
      <c r="F896" s="61"/>
    </row>
    <row r="897" spans="1:6" ht="15.75" customHeight="1">
      <c r="A897" s="124"/>
      <c r="D897" s="20"/>
      <c r="E897" s="125"/>
      <c r="F897" s="61"/>
    </row>
    <row r="898" spans="1:6" ht="15.75" customHeight="1">
      <c r="A898" s="124"/>
      <c r="D898" s="20"/>
      <c r="E898" s="125"/>
      <c r="F898" s="61"/>
    </row>
    <row r="899" spans="1:6" ht="15.75" customHeight="1">
      <c r="A899" s="124"/>
      <c r="D899" s="20"/>
      <c r="E899" s="125"/>
      <c r="F899" s="61"/>
    </row>
    <row r="900" spans="1:6" ht="15.75" customHeight="1">
      <c r="A900" s="124"/>
      <c r="D900" s="20"/>
      <c r="E900" s="125"/>
      <c r="F900" s="61"/>
    </row>
    <row r="901" spans="1:6" ht="15.75" customHeight="1">
      <c r="A901" s="124"/>
      <c r="D901" s="20"/>
      <c r="E901" s="125"/>
      <c r="F901" s="61"/>
    </row>
    <row r="902" spans="1:6" ht="15.75" customHeight="1">
      <c r="A902" s="124"/>
      <c r="D902" s="20"/>
      <c r="E902" s="125"/>
      <c r="F902" s="61"/>
    </row>
    <row r="903" spans="1:6" ht="15.75" customHeight="1">
      <c r="A903" s="124"/>
      <c r="D903" s="20"/>
      <c r="E903" s="125"/>
      <c r="F903" s="61"/>
    </row>
    <row r="904" spans="1:6" ht="15.75" customHeight="1">
      <c r="A904" s="124"/>
      <c r="D904" s="20"/>
      <c r="E904" s="125"/>
      <c r="F904" s="61"/>
    </row>
    <row r="905" spans="1:6" ht="15.75" customHeight="1">
      <c r="A905" s="124"/>
      <c r="D905" s="20"/>
      <c r="E905" s="125"/>
      <c r="F905" s="61"/>
    </row>
    <row r="906" spans="1:6" ht="15.75" customHeight="1">
      <c r="A906" s="124"/>
      <c r="D906" s="20"/>
      <c r="E906" s="125"/>
      <c r="F906" s="61"/>
    </row>
    <row r="907" spans="1:6" ht="15.75" customHeight="1">
      <c r="A907" s="124"/>
      <c r="D907" s="20"/>
      <c r="E907" s="125"/>
      <c r="F907" s="61"/>
    </row>
    <row r="908" spans="1:6" ht="15.75" customHeight="1">
      <c r="A908" s="124"/>
      <c r="D908" s="20"/>
      <c r="E908" s="125"/>
      <c r="F908" s="61"/>
    </row>
    <row r="909" spans="1:6" ht="15.75" customHeight="1">
      <c r="A909" s="124"/>
      <c r="D909" s="20"/>
      <c r="E909" s="125"/>
      <c r="F909" s="61"/>
    </row>
    <row r="910" spans="1:6" ht="15.75" customHeight="1">
      <c r="A910" s="124"/>
      <c r="D910" s="20"/>
      <c r="E910" s="125"/>
      <c r="F910" s="61"/>
    </row>
    <row r="911" spans="1:6" ht="15.75" customHeight="1">
      <c r="A911" s="124"/>
      <c r="D911" s="20"/>
      <c r="E911" s="125"/>
      <c r="F911" s="61"/>
    </row>
    <row r="912" spans="1:6" ht="15.75" customHeight="1">
      <c r="A912" s="124"/>
      <c r="D912" s="20"/>
      <c r="E912" s="125"/>
      <c r="F912" s="61"/>
    </row>
    <row r="913" spans="1:6" ht="15.75" customHeight="1">
      <c r="A913" s="124"/>
      <c r="D913" s="20"/>
      <c r="E913" s="125"/>
      <c r="F913" s="61"/>
    </row>
    <row r="914" spans="1:6" ht="15.75" customHeight="1">
      <c r="A914" s="124"/>
      <c r="D914" s="20"/>
      <c r="E914" s="125"/>
      <c r="F914" s="61"/>
    </row>
    <row r="915" spans="1:6" ht="15.75" customHeight="1">
      <c r="A915" s="124"/>
      <c r="D915" s="20"/>
      <c r="E915" s="125"/>
      <c r="F915" s="61"/>
    </row>
    <row r="916" spans="1:6" ht="15.75" customHeight="1">
      <c r="A916" s="124"/>
      <c r="D916" s="20"/>
      <c r="E916" s="125"/>
      <c r="F916" s="61"/>
    </row>
    <row r="917" spans="1:6" ht="15.75" customHeight="1">
      <c r="A917" s="124"/>
      <c r="D917" s="20"/>
      <c r="E917" s="125"/>
      <c r="F917" s="61"/>
    </row>
    <row r="918" spans="1:6" ht="15.75" customHeight="1">
      <c r="A918" s="124"/>
      <c r="D918" s="20"/>
      <c r="E918" s="125"/>
      <c r="F918" s="61"/>
    </row>
    <row r="919" spans="1:6" ht="15.75" customHeight="1">
      <c r="A919" s="124"/>
      <c r="D919" s="20"/>
      <c r="E919" s="125"/>
      <c r="F919" s="61"/>
    </row>
    <row r="920" spans="1:6" ht="15.75" customHeight="1">
      <c r="A920" s="124"/>
      <c r="D920" s="20"/>
      <c r="E920" s="125"/>
      <c r="F920" s="61"/>
    </row>
    <row r="921" spans="1:6" ht="15.75" customHeight="1">
      <c r="A921" s="124"/>
      <c r="D921" s="20"/>
      <c r="E921" s="125"/>
      <c r="F921" s="61"/>
    </row>
    <row r="922" spans="1:6" ht="15.75" customHeight="1">
      <c r="A922" s="124"/>
      <c r="D922" s="20"/>
      <c r="E922" s="125"/>
      <c r="F922" s="61"/>
    </row>
    <row r="923" spans="1:6" ht="15.75" customHeight="1">
      <c r="A923" s="124"/>
      <c r="D923" s="20"/>
      <c r="E923" s="125"/>
      <c r="F923" s="61"/>
    </row>
    <row r="924" spans="1:6" ht="15.75" customHeight="1">
      <c r="A924" s="124"/>
      <c r="D924" s="20"/>
      <c r="E924" s="125"/>
      <c r="F924" s="61"/>
    </row>
    <row r="925" spans="1:6" ht="15.75" customHeight="1">
      <c r="A925" s="124"/>
      <c r="D925" s="20"/>
      <c r="E925" s="125"/>
      <c r="F925" s="61"/>
    </row>
    <row r="926" spans="1:6" ht="15.75" customHeight="1">
      <c r="A926" s="124"/>
      <c r="D926" s="20"/>
      <c r="E926" s="125"/>
      <c r="F926" s="61"/>
    </row>
    <row r="927" spans="1:6" ht="15.75" customHeight="1">
      <c r="A927" s="124"/>
      <c r="D927" s="20"/>
      <c r="E927" s="125"/>
      <c r="F927" s="61"/>
    </row>
    <row r="928" spans="1:6" ht="15.75" customHeight="1">
      <c r="A928" s="124"/>
      <c r="D928" s="20"/>
      <c r="E928" s="125"/>
      <c r="F928" s="61"/>
    </row>
    <row r="929" spans="1:6" ht="15.75" customHeight="1">
      <c r="A929" s="124"/>
      <c r="D929" s="20"/>
      <c r="E929" s="125"/>
      <c r="F929" s="61"/>
    </row>
    <row r="930" spans="1:6" ht="15.75" customHeight="1">
      <c r="A930" s="124"/>
      <c r="D930" s="20"/>
      <c r="E930" s="125"/>
      <c r="F930" s="61"/>
    </row>
    <row r="931" spans="1:6" ht="15.75" customHeight="1">
      <c r="A931" s="124"/>
      <c r="D931" s="20"/>
      <c r="E931" s="125"/>
      <c r="F931" s="61"/>
    </row>
    <row r="932" spans="1:6" ht="15.75" customHeight="1">
      <c r="A932" s="124"/>
      <c r="D932" s="20"/>
      <c r="E932" s="125"/>
      <c r="F932" s="61"/>
    </row>
    <row r="933" spans="1:6" ht="15.75" customHeight="1">
      <c r="A933" s="124"/>
      <c r="D933" s="20"/>
      <c r="E933" s="125"/>
      <c r="F933" s="61"/>
    </row>
    <row r="934" spans="1:6" ht="15.75" customHeight="1">
      <c r="A934" s="124"/>
      <c r="D934" s="20"/>
      <c r="E934" s="125"/>
      <c r="F934" s="61"/>
    </row>
    <row r="935" spans="1:6" ht="15.75" customHeight="1">
      <c r="A935" s="124"/>
      <c r="D935" s="20"/>
      <c r="E935" s="125"/>
      <c r="F935" s="61"/>
    </row>
    <row r="936" spans="1:6" ht="15.75" customHeight="1">
      <c r="A936" s="124"/>
      <c r="D936" s="20"/>
      <c r="E936" s="125"/>
      <c r="F936" s="61"/>
    </row>
    <row r="937" spans="1:6" ht="15.75" customHeight="1">
      <c r="A937" s="124"/>
      <c r="D937" s="20"/>
      <c r="E937" s="125"/>
      <c r="F937" s="61"/>
    </row>
    <row r="938" spans="1:6" ht="15.75" customHeight="1">
      <c r="A938" s="124"/>
      <c r="D938" s="20"/>
      <c r="E938" s="125"/>
      <c r="F938" s="61"/>
    </row>
    <row r="939" spans="1:6" ht="15.75" customHeight="1">
      <c r="A939" s="124"/>
      <c r="D939" s="20"/>
      <c r="E939" s="125"/>
      <c r="F939" s="61"/>
    </row>
    <row r="940" spans="1:6" ht="15.75" customHeight="1">
      <c r="A940" s="124"/>
      <c r="D940" s="20"/>
      <c r="E940" s="125"/>
      <c r="F940" s="61"/>
    </row>
    <row r="941" spans="1:6" ht="15.75" customHeight="1">
      <c r="A941" s="124"/>
      <c r="D941" s="20"/>
      <c r="E941" s="125"/>
      <c r="F941" s="61"/>
    </row>
    <row r="942" spans="1:6" ht="15.75" customHeight="1">
      <c r="A942" s="124"/>
      <c r="D942" s="20"/>
      <c r="E942" s="125"/>
      <c r="F942" s="61"/>
    </row>
    <row r="943" spans="1:6" ht="15.75" customHeight="1">
      <c r="A943" s="124"/>
      <c r="D943" s="20"/>
      <c r="E943" s="125"/>
      <c r="F943" s="61"/>
    </row>
    <row r="944" spans="1:6" ht="15.75" customHeight="1">
      <c r="A944" s="124"/>
      <c r="D944" s="20"/>
      <c r="E944" s="125"/>
      <c r="F944" s="61"/>
    </row>
    <row r="945" spans="1:6" ht="15.75" customHeight="1">
      <c r="A945" s="124"/>
      <c r="D945" s="20"/>
      <c r="E945" s="125"/>
      <c r="F945" s="61"/>
    </row>
    <row r="946" spans="1:6" ht="15.75" customHeight="1">
      <c r="A946" s="124"/>
      <c r="D946" s="20"/>
      <c r="E946" s="125"/>
      <c r="F946" s="61"/>
    </row>
    <row r="947" spans="1:6" ht="15.75" customHeight="1">
      <c r="A947" s="124"/>
      <c r="D947" s="20"/>
      <c r="E947" s="125"/>
      <c r="F947" s="61"/>
    </row>
    <row r="948" spans="1:6" ht="15.75" customHeight="1">
      <c r="A948" s="124"/>
      <c r="D948" s="20"/>
      <c r="E948" s="125"/>
      <c r="F948" s="61"/>
    </row>
    <row r="949" spans="1:6" ht="15.75" customHeight="1">
      <c r="A949" s="124"/>
      <c r="D949" s="20"/>
      <c r="E949" s="125"/>
      <c r="F949" s="61"/>
    </row>
    <row r="950" spans="1:6" ht="15.75" customHeight="1">
      <c r="A950" s="124"/>
      <c r="D950" s="20"/>
      <c r="E950" s="125"/>
      <c r="F950" s="61"/>
    </row>
    <row r="951" spans="1:6" ht="15.75" customHeight="1">
      <c r="A951" s="124"/>
      <c r="D951" s="20"/>
      <c r="E951" s="125"/>
      <c r="F951" s="61"/>
    </row>
    <row r="952" spans="1:6" ht="15.75" customHeight="1">
      <c r="A952" s="124"/>
      <c r="D952" s="20"/>
      <c r="E952" s="125"/>
      <c r="F952" s="61"/>
    </row>
    <row r="953" spans="1:6" ht="15.75" customHeight="1">
      <c r="A953" s="124"/>
      <c r="D953" s="20"/>
      <c r="E953" s="125"/>
      <c r="F953" s="61"/>
    </row>
    <row r="954" spans="1:6" ht="15.75" customHeight="1">
      <c r="A954" s="124"/>
      <c r="D954" s="20"/>
      <c r="E954" s="125"/>
      <c r="F954" s="61"/>
    </row>
    <row r="955" spans="1:6" ht="15.75" customHeight="1">
      <c r="A955" s="124"/>
      <c r="D955" s="20"/>
      <c r="E955" s="125"/>
      <c r="F955" s="61"/>
    </row>
    <row r="956" spans="1:6" ht="15.75" customHeight="1">
      <c r="A956" s="124"/>
      <c r="D956" s="20"/>
      <c r="E956" s="125"/>
      <c r="F956" s="61"/>
    </row>
    <row r="957" spans="1:6" ht="15.75" customHeight="1">
      <c r="A957" s="124"/>
      <c r="D957" s="20"/>
      <c r="E957" s="125"/>
      <c r="F957" s="61"/>
    </row>
    <row r="958" spans="1:6" ht="15.75" customHeight="1">
      <c r="A958" s="124"/>
      <c r="D958" s="20"/>
      <c r="E958" s="125"/>
      <c r="F958" s="61"/>
    </row>
    <row r="959" spans="1:6" ht="15.75" customHeight="1">
      <c r="A959" s="124"/>
      <c r="D959" s="20"/>
      <c r="E959" s="125"/>
      <c r="F959" s="61"/>
    </row>
    <row r="960" spans="1:6" ht="15.75" customHeight="1">
      <c r="A960" s="124"/>
      <c r="D960" s="20"/>
      <c r="E960" s="125"/>
      <c r="F960" s="61"/>
    </row>
    <row r="961" spans="1:6" ht="15.75" customHeight="1">
      <c r="A961" s="124"/>
      <c r="D961" s="20"/>
      <c r="E961" s="125"/>
      <c r="F961" s="61"/>
    </row>
    <row r="962" spans="1:6" ht="15.75" customHeight="1">
      <c r="A962" s="124"/>
      <c r="D962" s="20"/>
      <c r="E962" s="125"/>
      <c r="F962" s="61"/>
    </row>
    <row r="963" spans="1:6" ht="15.75" customHeight="1">
      <c r="A963" s="124"/>
      <c r="D963" s="20"/>
      <c r="E963" s="125"/>
      <c r="F963" s="61"/>
    </row>
    <row r="964" spans="1:6" ht="15.75" customHeight="1">
      <c r="A964" s="124"/>
      <c r="D964" s="20"/>
      <c r="E964" s="125"/>
      <c r="F964" s="61"/>
    </row>
    <row r="965" spans="1:6" ht="15.75" customHeight="1">
      <c r="A965" s="124"/>
      <c r="D965" s="20"/>
      <c r="E965" s="125"/>
      <c r="F965" s="61"/>
    </row>
    <row r="966" spans="1:6" ht="15.75" customHeight="1">
      <c r="A966" s="124"/>
      <c r="D966" s="20"/>
      <c r="E966" s="125"/>
      <c r="F966" s="61"/>
    </row>
    <row r="967" spans="1:6" ht="15.75" customHeight="1">
      <c r="A967" s="124"/>
      <c r="D967" s="20"/>
      <c r="E967" s="125"/>
      <c r="F967" s="61"/>
    </row>
    <row r="968" spans="1:6" ht="15.75" customHeight="1">
      <c r="A968" s="124"/>
      <c r="D968" s="20"/>
      <c r="E968" s="125"/>
      <c r="F968" s="61"/>
    </row>
    <row r="969" spans="1:6" ht="15.75" customHeight="1">
      <c r="A969" s="124"/>
      <c r="D969" s="20"/>
      <c r="E969" s="125"/>
      <c r="F969" s="61"/>
    </row>
    <row r="970" spans="1:6" ht="15.75" customHeight="1">
      <c r="A970" s="124"/>
      <c r="D970" s="20"/>
      <c r="E970" s="125"/>
      <c r="F970" s="61"/>
    </row>
    <row r="971" spans="1:6" ht="15.75" customHeight="1">
      <c r="A971" s="124"/>
      <c r="D971" s="20"/>
      <c r="E971" s="125"/>
      <c r="F971" s="61"/>
    </row>
    <row r="972" spans="1:6" ht="15.75" customHeight="1">
      <c r="A972" s="124"/>
      <c r="D972" s="20"/>
      <c r="E972" s="125"/>
      <c r="F972" s="61"/>
    </row>
    <row r="973" spans="1:6" ht="15.75" customHeight="1">
      <c r="A973" s="124"/>
      <c r="D973" s="20"/>
      <c r="E973" s="125"/>
      <c r="F973" s="61"/>
    </row>
    <row r="974" spans="1:6" ht="15.75" customHeight="1">
      <c r="A974" s="124"/>
      <c r="D974" s="20"/>
      <c r="E974" s="125"/>
      <c r="F974" s="61"/>
    </row>
    <row r="975" spans="1:6" ht="15.75" customHeight="1">
      <c r="A975" s="124"/>
      <c r="D975" s="20"/>
      <c r="E975" s="125"/>
      <c r="F975" s="61"/>
    </row>
    <row r="976" spans="1:6" ht="15.75" customHeight="1">
      <c r="A976" s="124"/>
      <c r="D976" s="20"/>
      <c r="E976" s="125"/>
      <c r="F976" s="61"/>
    </row>
    <row r="977" spans="1:6" ht="15.75" customHeight="1">
      <c r="A977" s="124"/>
      <c r="D977" s="20"/>
      <c r="E977" s="125"/>
      <c r="F977" s="61"/>
    </row>
    <row r="978" spans="1:6" ht="15.75" customHeight="1">
      <c r="A978" s="124"/>
      <c r="D978" s="20"/>
      <c r="E978" s="125"/>
      <c r="F978" s="61"/>
    </row>
    <row r="979" spans="1:6" ht="15.75" customHeight="1">
      <c r="A979" s="124"/>
      <c r="D979" s="20"/>
      <c r="E979" s="125"/>
      <c r="F979" s="61"/>
    </row>
    <row r="980" spans="1:6" ht="15.75" customHeight="1">
      <c r="A980" s="124"/>
      <c r="D980" s="20"/>
      <c r="E980" s="125"/>
      <c r="F980" s="61"/>
    </row>
    <row r="981" spans="1:6" ht="15.75" customHeight="1">
      <c r="A981" s="124"/>
      <c r="D981" s="20"/>
      <c r="E981" s="125"/>
      <c r="F981" s="61"/>
    </row>
    <row r="982" spans="1:6" ht="15.75" customHeight="1">
      <c r="A982" s="124"/>
      <c r="D982" s="20"/>
      <c r="E982" s="125"/>
      <c r="F982" s="61"/>
    </row>
    <row r="983" spans="1:6" ht="15.75" customHeight="1">
      <c r="A983" s="124"/>
      <c r="D983" s="20"/>
      <c r="E983" s="125"/>
      <c r="F983" s="61"/>
    </row>
    <row r="984" spans="1:6" ht="15.75" customHeight="1">
      <c r="A984" s="124"/>
      <c r="D984" s="20"/>
      <c r="E984" s="125"/>
      <c r="F984" s="61"/>
    </row>
    <row r="985" spans="1:6" ht="15.75" customHeight="1">
      <c r="A985" s="124"/>
      <c r="D985" s="20"/>
      <c r="E985" s="125"/>
      <c r="F985" s="61"/>
    </row>
    <row r="986" spans="1:6" ht="15.75" customHeight="1">
      <c r="A986" s="124"/>
      <c r="D986" s="20"/>
      <c r="E986" s="125"/>
      <c r="F986" s="61"/>
    </row>
    <row r="987" spans="1:6" ht="15.75" customHeight="1">
      <c r="A987" s="124"/>
      <c r="D987" s="20"/>
      <c r="E987" s="125"/>
      <c r="F987" s="61"/>
    </row>
    <row r="988" spans="1:6" ht="15.75" customHeight="1">
      <c r="A988" s="124"/>
      <c r="D988" s="20"/>
      <c r="E988" s="125"/>
      <c r="F988" s="61"/>
    </row>
    <row r="989" spans="1:6" ht="15.75" customHeight="1">
      <c r="A989" s="124"/>
      <c r="D989" s="20"/>
      <c r="E989" s="125"/>
      <c r="F989" s="61"/>
    </row>
    <row r="990" spans="1:6" ht="15.75" customHeight="1">
      <c r="A990" s="124"/>
      <c r="D990" s="20"/>
      <c r="E990" s="125"/>
      <c r="F990" s="61"/>
    </row>
    <row r="991" spans="1:6" ht="15.75" customHeight="1">
      <c r="A991" s="124"/>
      <c r="D991" s="20"/>
      <c r="E991" s="125"/>
      <c r="F991" s="61"/>
    </row>
    <row r="992" spans="1:6" ht="15.75" customHeight="1">
      <c r="A992" s="124"/>
      <c r="D992" s="20"/>
      <c r="E992" s="125"/>
      <c r="F992" s="61"/>
    </row>
    <row r="993" spans="1:6" ht="15.75" customHeight="1">
      <c r="A993" s="124"/>
      <c r="D993" s="20"/>
      <c r="E993" s="125"/>
      <c r="F993" s="61"/>
    </row>
    <row r="994" spans="1:6" ht="15.75" customHeight="1">
      <c r="A994" s="124"/>
      <c r="D994" s="20"/>
      <c r="E994" s="125"/>
      <c r="F994" s="61"/>
    </row>
    <row r="995" spans="1:6" ht="15.75" customHeight="1">
      <c r="A995" s="124"/>
      <c r="D995" s="20"/>
      <c r="E995" s="125"/>
      <c r="F995" s="61"/>
    </row>
    <row r="996" spans="1:6" ht="15.75" customHeight="1">
      <c r="A996" s="124"/>
      <c r="D996" s="20"/>
      <c r="E996" s="125"/>
      <c r="F996" s="61"/>
    </row>
    <row r="997" spans="1:6" ht="15.75" customHeight="1">
      <c r="A997" s="124"/>
      <c r="D997" s="20"/>
      <c r="E997" s="125"/>
      <c r="F997" s="61"/>
    </row>
    <row r="998" spans="1:6" ht="15.75" customHeight="1">
      <c r="A998" s="124"/>
      <c r="D998" s="20"/>
      <c r="E998" s="125"/>
      <c r="F998" s="61"/>
    </row>
    <row r="999" spans="1:6" ht="15.75" customHeight="1">
      <c r="A999" s="124"/>
      <c r="D999" s="20"/>
      <c r="E999" s="125"/>
      <c r="F999" s="61"/>
    </row>
    <row r="1000" spans="1:6" ht="15.75" customHeight="1">
      <c r="A1000" s="124"/>
      <c r="D1000" s="20"/>
      <c r="E1000" s="125"/>
      <c r="F1000" s="61"/>
    </row>
    <row r="1001" spans="1:6" ht="15.75" customHeight="1">
      <c r="A1001" s="124"/>
      <c r="D1001" s="20"/>
      <c r="E1001" s="125"/>
      <c r="F1001" s="61"/>
    </row>
    <row r="1002" spans="1:6" ht="15.75" customHeight="1">
      <c r="A1002" s="124"/>
      <c r="D1002" s="20"/>
      <c r="E1002" s="125"/>
      <c r="F1002" s="61"/>
    </row>
  </sheetData>
  <autoFilter ref="A2:F57" xr:uid="{00000000-0009-0000-0000-000006000000}"/>
  <mergeCells count="18">
    <mergeCell ref="A49:A52"/>
    <mergeCell ref="A53:A57"/>
    <mergeCell ref="E19:E20"/>
    <mergeCell ref="A28:A30"/>
    <mergeCell ref="A31:A33"/>
    <mergeCell ref="A36:A40"/>
    <mergeCell ref="A41:A44"/>
    <mergeCell ref="A45:A48"/>
    <mergeCell ref="A17:A18"/>
    <mergeCell ref="A19:A20"/>
    <mergeCell ref="A21:A23"/>
    <mergeCell ref="A24:A25"/>
    <mergeCell ref="A26:A27"/>
    <mergeCell ref="A3:A5"/>
    <mergeCell ref="A6:A7"/>
    <mergeCell ref="A8:A9"/>
    <mergeCell ref="A10:A11"/>
    <mergeCell ref="A13:A16"/>
  </mergeCells>
  <dataValidations count="1">
    <dataValidation type="list" allowBlank="1" showErrorMessage="1" sqref="E50 E52 E54 E56 E3:E19 E21:E35 E37:E38" xr:uid="{00000000-0002-0000-0600-000000000000}">
      <formula1>"Да,Нет, ждем,Очно,согласование не нужно, ассинхрон"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1007"/>
  <sheetViews>
    <sheetView workbookViewId="0"/>
  </sheetViews>
  <sheetFormatPr baseColWidth="10" defaultColWidth="12.6640625" defaultRowHeight="15.75" customHeight="1"/>
  <cols>
    <col min="2" max="2" width="7.33203125" customWidth="1"/>
    <col min="3" max="3" width="17.6640625" customWidth="1"/>
    <col min="4" max="4" width="14.33203125" customWidth="1"/>
    <col min="5" max="5" width="15.5" customWidth="1"/>
    <col min="7" max="7" width="5.1640625" customWidth="1"/>
    <col min="8" max="8" width="14" customWidth="1"/>
    <col min="9" max="10" width="26.83203125" customWidth="1"/>
  </cols>
  <sheetData>
    <row r="1" spans="1:13" ht="15.75" customHeight="1">
      <c r="B1" s="47"/>
      <c r="C1" s="47"/>
      <c r="D1" s="48" t="s">
        <v>2316</v>
      </c>
      <c r="G1" s="7" t="s">
        <v>824</v>
      </c>
      <c r="H1" s="7" t="s">
        <v>0</v>
      </c>
      <c r="I1" s="7" t="s">
        <v>2317</v>
      </c>
      <c r="J1" s="7" t="s">
        <v>2318</v>
      </c>
      <c r="K1" s="7" t="s">
        <v>2319</v>
      </c>
      <c r="L1" s="7" t="s">
        <v>2320</v>
      </c>
      <c r="M1" s="7" t="s">
        <v>2321</v>
      </c>
    </row>
    <row r="2" spans="1:13" ht="15.75" customHeight="1">
      <c r="A2" s="49"/>
      <c r="B2" s="50">
        <v>1</v>
      </c>
      <c r="C2" s="48" t="s">
        <v>2322</v>
      </c>
      <c r="D2" s="51">
        <v>4</v>
      </c>
      <c r="E2" s="39" t="s">
        <v>2323</v>
      </c>
      <c r="G2" s="52" t="b">
        <v>1</v>
      </c>
      <c r="H2" s="7" t="s">
        <v>2322</v>
      </c>
      <c r="I2" s="7" t="s">
        <v>2324</v>
      </c>
      <c r="J2" s="42" t="s">
        <v>2325</v>
      </c>
      <c r="K2" s="7" t="b">
        <v>1</v>
      </c>
      <c r="L2" s="7" t="b">
        <v>1</v>
      </c>
    </row>
    <row r="3" spans="1:13" ht="15.75" customHeight="1">
      <c r="A3" s="49"/>
      <c r="B3" s="50">
        <v>2</v>
      </c>
      <c r="C3" s="48" t="s">
        <v>2326</v>
      </c>
      <c r="D3" s="51">
        <v>4</v>
      </c>
      <c r="E3" s="39" t="s">
        <v>2327</v>
      </c>
      <c r="G3" s="52" t="b">
        <v>1</v>
      </c>
      <c r="H3" s="7" t="s">
        <v>2326</v>
      </c>
      <c r="I3" s="7" t="s">
        <v>2328</v>
      </c>
      <c r="J3" s="42" t="s">
        <v>2329</v>
      </c>
      <c r="K3" s="7" t="b">
        <v>1</v>
      </c>
      <c r="L3" s="7" t="b">
        <v>1</v>
      </c>
    </row>
    <row r="4" spans="1:13" ht="15.75" customHeight="1">
      <c r="A4" s="49"/>
      <c r="B4" s="50">
        <v>3</v>
      </c>
      <c r="C4" s="48" t="s">
        <v>2330</v>
      </c>
      <c r="D4" s="51">
        <v>2</v>
      </c>
      <c r="E4" s="7" t="s">
        <v>2331</v>
      </c>
      <c r="G4" s="52" t="b">
        <v>1</v>
      </c>
      <c r="H4" s="7" t="s">
        <v>2330</v>
      </c>
      <c r="I4" s="7" t="s">
        <v>2332</v>
      </c>
      <c r="J4" s="42" t="s">
        <v>2333</v>
      </c>
      <c r="K4" s="7" t="b">
        <v>1</v>
      </c>
      <c r="L4" s="7" t="b">
        <v>1</v>
      </c>
    </row>
    <row r="5" spans="1:13" ht="15.75" customHeight="1">
      <c r="A5" s="49"/>
      <c r="B5" s="50">
        <v>4</v>
      </c>
      <c r="C5" s="48" t="s">
        <v>2334</v>
      </c>
      <c r="D5" s="51">
        <v>4</v>
      </c>
      <c r="E5" s="39" t="s">
        <v>2335</v>
      </c>
      <c r="G5" s="52" t="b">
        <v>1</v>
      </c>
      <c r="H5" s="7" t="s">
        <v>2334</v>
      </c>
      <c r="I5" s="7" t="s">
        <v>2336</v>
      </c>
      <c r="J5" s="42" t="s">
        <v>2337</v>
      </c>
      <c r="K5" s="7" t="b">
        <v>1</v>
      </c>
      <c r="L5" s="7" t="b">
        <v>1</v>
      </c>
    </row>
    <row r="6" spans="1:13" ht="15.75" customHeight="1">
      <c r="A6" s="49"/>
      <c r="B6" s="50">
        <v>5</v>
      </c>
      <c r="C6" s="48" t="s">
        <v>2338</v>
      </c>
      <c r="D6" s="51">
        <v>1</v>
      </c>
      <c r="E6" s="7" t="s">
        <v>2339</v>
      </c>
      <c r="G6" s="52" t="b">
        <v>1</v>
      </c>
      <c r="H6" s="7" t="s">
        <v>2338</v>
      </c>
      <c r="I6" s="7" t="s">
        <v>53</v>
      </c>
      <c r="J6" s="42" t="s">
        <v>2340</v>
      </c>
      <c r="K6" s="7" t="b">
        <v>1</v>
      </c>
      <c r="L6" s="7" t="b">
        <v>1</v>
      </c>
    </row>
    <row r="7" spans="1:13" ht="15.75" customHeight="1">
      <c r="A7" s="49"/>
      <c r="B7" s="50">
        <v>6</v>
      </c>
      <c r="C7" s="48" t="s">
        <v>2341</v>
      </c>
      <c r="D7" s="51">
        <v>4</v>
      </c>
      <c r="E7" s="7" t="s">
        <v>2342</v>
      </c>
      <c r="G7" s="52" t="b">
        <v>1</v>
      </c>
      <c r="H7" s="7" t="s">
        <v>2341</v>
      </c>
      <c r="I7" s="7" t="s">
        <v>2343</v>
      </c>
      <c r="J7" s="42" t="s">
        <v>2344</v>
      </c>
      <c r="K7" s="7" t="b">
        <v>1</v>
      </c>
      <c r="L7" s="7" t="b">
        <v>1</v>
      </c>
    </row>
    <row r="8" spans="1:13" ht="15.75" customHeight="1">
      <c r="A8" s="49"/>
      <c r="B8" s="50">
        <v>7</v>
      </c>
      <c r="C8" s="48" t="s">
        <v>2345</v>
      </c>
      <c r="D8" s="51">
        <v>2</v>
      </c>
      <c r="E8" s="7" t="s">
        <v>2346</v>
      </c>
      <c r="G8" s="52" t="b">
        <v>1</v>
      </c>
      <c r="H8" s="7" t="s">
        <v>2345</v>
      </c>
      <c r="I8" s="7" t="s">
        <v>2347</v>
      </c>
      <c r="J8" s="42" t="s">
        <v>2348</v>
      </c>
      <c r="K8" s="7" t="b">
        <v>1</v>
      </c>
      <c r="L8" s="7" t="b">
        <v>1</v>
      </c>
    </row>
    <row r="9" spans="1:13" ht="15.75" customHeight="1">
      <c r="A9" s="49"/>
      <c r="B9" s="50">
        <v>8</v>
      </c>
      <c r="C9" s="48" t="s">
        <v>2349</v>
      </c>
      <c r="D9" s="51">
        <v>3</v>
      </c>
      <c r="E9" s="39" t="s">
        <v>2350</v>
      </c>
      <c r="G9" s="52" t="b">
        <v>1</v>
      </c>
      <c r="H9" s="7" t="s">
        <v>2349</v>
      </c>
      <c r="I9" s="7" t="s">
        <v>83</v>
      </c>
      <c r="J9" s="42" t="s">
        <v>2351</v>
      </c>
      <c r="K9" s="7" t="b">
        <v>1</v>
      </c>
      <c r="L9" s="7" t="b">
        <v>1</v>
      </c>
    </row>
    <row r="10" spans="1:13" ht="15.75" customHeight="1">
      <c r="A10" s="49"/>
      <c r="B10" s="50">
        <v>9</v>
      </c>
      <c r="C10" s="48" t="s">
        <v>2352</v>
      </c>
      <c r="D10" s="51">
        <v>1</v>
      </c>
      <c r="E10" s="39" t="s">
        <v>2353</v>
      </c>
      <c r="G10" s="52" t="b">
        <v>1</v>
      </c>
      <c r="H10" s="7" t="s">
        <v>2352</v>
      </c>
      <c r="I10" s="7" t="s">
        <v>2354</v>
      </c>
      <c r="J10" s="42" t="s">
        <v>2355</v>
      </c>
      <c r="K10" s="7" t="b">
        <v>1</v>
      </c>
      <c r="L10" s="7" t="b">
        <v>1</v>
      </c>
    </row>
    <row r="11" spans="1:13" ht="15.75" customHeight="1">
      <c r="A11" s="49"/>
      <c r="B11" s="50">
        <v>10</v>
      </c>
      <c r="C11" s="48" t="s">
        <v>2356</v>
      </c>
      <c r="D11" s="51">
        <v>1</v>
      </c>
      <c r="E11" s="39" t="s">
        <v>2357</v>
      </c>
      <c r="G11" s="52" t="b">
        <v>1</v>
      </c>
      <c r="H11" s="7" t="s">
        <v>2356</v>
      </c>
      <c r="I11" s="7" t="s">
        <v>2358</v>
      </c>
      <c r="J11" s="42" t="s">
        <v>2359</v>
      </c>
      <c r="K11" s="7" t="b">
        <v>1</v>
      </c>
      <c r="L11" s="7" t="b">
        <v>1</v>
      </c>
    </row>
    <row r="12" spans="1:13" ht="15.75" customHeight="1">
      <c r="A12" s="49"/>
      <c r="B12" s="50">
        <v>11</v>
      </c>
      <c r="C12" s="48" t="s">
        <v>2360</v>
      </c>
      <c r="D12" s="51">
        <v>1</v>
      </c>
      <c r="E12" s="7" t="s">
        <v>2361</v>
      </c>
      <c r="G12" s="52" t="b">
        <v>1</v>
      </c>
      <c r="H12" s="7" t="s">
        <v>2360</v>
      </c>
      <c r="I12" s="7" t="s">
        <v>2362</v>
      </c>
      <c r="J12" s="42" t="s">
        <v>2363</v>
      </c>
      <c r="K12" s="40" t="b">
        <v>1</v>
      </c>
      <c r="L12" s="40" t="b">
        <v>1</v>
      </c>
    </row>
    <row r="13" spans="1:13" ht="15.75" customHeight="1">
      <c r="A13" s="49"/>
      <c r="B13" s="50">
        <v>12</v>
      </c>
      <c r="C13" s="53" t="s">
        <v>2364</v>
      </c>
      <c r="D13" s="51">
        <v>3</v>
      </c>
      <c r="E13" s="7" t="s">
        <v>2365</v>
      </c>
      <c r="G13" s="52" t="b">
        <v>1</v>
      </c>
      <c r="H13" s="7" t="s">
        <v>2364</v>
      </c>
      <c r="I13" s="7" t="s">
        <v>85</v>
      </c>
      <c r="J13" s="42" t="s">
        <v>2366</v>
      </c>
      <c r="K13" s="7" t="b">
        <v>1</v>
      </c>
      <c r="L13" s="7" t="b">
        <v>1</v>
      </c>
    </row>
    <row r="14" spans="1:13" ht="15.75" customHeight="1">
      <c r="A14" s="49"/>
      <c r="B14" s="50">
        <v>13</v>
      </c>
      <c r="C14" s="53" t="s">
        <v>2367</v>
      </c>
      <c r="D14" s="51">
        <v>3</v>
      </c>
      <c r="E14" s="7" t="s">
        <v>2368</v>
      </c>
      <c r="G14" s="52" t="b">
        <v>1</v>
      </c>
      <c r="H14" s="7" t="s">
        <v>2367</v>
      </c>
      <c r="I14" s="7" t="s">
        <v>99</v>
      </c>
      <c r="J14" s="42" t="s">
        <v>2369</v>
      </c>
      <c r="K14" s="7" t="b">
        <v>1</v>
      </c>
      <c r="L14" s="7" t="b">
        <v>1</v>
      </c>
    </row>
    <row r="15" spans="1:13" ht="15.75" customHeight="1">
      <c r="A15" s="49"/>
      <c r="B15" s="50">
        <v>14</v>
      </c>
      <c r="C15" s="53" t="s">
        <v>2370</v>
      </c>
      <c r="D15" s="51">
        <v>3</v>
      </c>
      <c r="E15" s="7" t="s">
        <v>2371</v>
      </c>
      <c r="G15" s="52" t="b">
        <v>1</v>
      </c>
      <c r="H15" s="7" t="s">
        <v>2370</v>
      </c>
      <c r="I15" s="7" t="s">
        <v>56</v>
      </c>
      <c r="J15" s="42" t="s">
        <v>2372</v>
      </c>
      <c r="K15" s="7" t="b">
        <v>1</v>
      </c>
      <c r="L15" s="7" t="b">
        <v>1</v>
      </c>
    </row>
    <row r="16" spans="1:13" ht="15.75" customHeight="1">
      <c r="A16" s="49"/>
      <c r="B16" s="50">
        <v>15</v>
      </c>
      <c r="C16" s="53" t="s">
        <v>2373</v>
      </c>
      <c r="D16" s="51">
        <v>2</v>
      </c>
      <c r="E16" s="7" t="s">
        <v>2374</v>
      </c>
      <c r="F16" s="7" t="s">
        <v>2375</v>
      </c>
      <c r="G16" s="52" t="b">
        <v>1</v>
      </c>
      <c r="H16" s="7" t="s">
        <v>2373</v>
      </c>
      <c r="I16" s="7" t="s">
        <v>2376</v>
      </c>
      <c r="J16" s="42" t="s">
        <v>2377</v>
      </c>
      <c r="K16" s="7" t="b">
        <v>1</v>
      </c>
      <c r="L16" s="7" t="b">
        <v>1</v>
      </c>
    </row>
    <row r="17" spans="1:12" ht="15.75" customHeight="1">
      <c r="A17" s="49"/>
      <c r="B17" s="50">
        <v>16</v>
      </c>
      <c r="C17" s="53" t="s">
        <v>2378</v>
      </c>
      <c r="D17" s="51">
        <v>3</v>
      </c>
      <c r="E17" s="7" t="s">
        <v>2379</v>
      </c>
      <c r="F17" s="7" t="s">
        <v>2375</v>
      </c>
      <c r="G17" s="52" t="b">
        <v>1</v>
      </c>
      <c r="H17" s="7" t="s">
        <v>2378</v>
      </c>
      <c r="I17" s="7" t="s">
        <v>2380</v>
      </c>
      <c r="J17" s="42" t="s">
        <v>2381</v>
      </c>
      <c r="K17" s="7" t="b">
        <v>1</v>
      </c>
      <c r="L17" s="7" t="b">
        <v>1</v>
      </c>
    </row>
    <row r="18" spans="1:12" ht="15.75" customHeight="1">
      <c r="A18" s="49"/>
      <c r="B18" s="50">
        <v>17</v>
      </c>
      <c r="C18" s="53" t="s">
        <v>2382</v>
      </c>
      <c r="D18" s="51">
        <v>3</v>
      </c>
      <c r="E18" s="7" t="s">
        <v>2383</v>
      </c>
      <c r="F18" s="7" t="s">
        <v>2375</v>
      </c>
      <c r="G18" s="52" t="b">
        <v>1</v>
      </c>
      <c r="H18" s="7" t="s">
        <v>2382</v>
      </c>
      <c r="I18" s="7" t="s">
        <v>2384</v>
      </c>
      <c r="J18" s="42" t="s">
        <v>2385</v>
      </c>
      <c r="K18" s="7" t="b">
        <v>1</v>
      </c>
      <c r="L18" s="7" t="b">
        <v>1</v>
      </c>
    </row>
    <row r="19" spans="1:12" ht="15.75" customHeight="1">
      <c r="A19" s="49"/>
      <c r="B19" s="50">
        <v>18</v>
      </c>
      <c r="C19" s="54" t="s">
        <v>2386</v>
      </c>
      <c r="D19" s="51">
        <v>3</v>
      </c>
      <c r="E19" s="7" t="s">
        <v>2387</v>
      </c>
      <c r="F19" s="7" t="s">
        <v>2375</v>
      </c>
      <c r="G19" s="52" t="b">
        <v>1</v>
      </c>
      <c r="H19" s="7" t="s">
        <v>2386</v>
      </c>
      <c r="I19" s="7" t="s">
        <v>2388</v>
      </c>
      <c r="J19" s="42" t="s">
        <v>2389</v>
      </c>
      <c r="K19" s="7" t="b">
        <v>1</v>
      </c>
      <c r="L19" s="7" t="b">
        <v>1</v>
      </c>
    </row>
    <row r="20" spans="1:12" ht="15.75" customHeight="1">
      <c r="A20" s="49"/>
      <c r="B20" s="50">
        <v>19</v>
      </c>
      <c r="C20" s="53" t="s">
        <v>2390</v>
      </c>
      <c r="D20" s="51">
        <v>3</v>
      </c>
      <c r="E20" s="7" t="s">
        <v>2391</v>
      </c>
      <c r="F20" s="7" t="s">
        <v>2375</v>
      </c>
      <c r="G20" s="52" t="b">
        <v>1</v>
      </c>
      <c r="H20" s="7" t="s">
        <v>2390</v>
      </c>
      <c r="I20" s="7" t="s">
        <v>2392</v>
      </c>
      <c r="J20" s="42" t="s">
        <v>2393</v>
      </c>
      <c r="K20" s="7" t="b">
        <v>1</v>
      </c>
      <c r="L20" s="7" t="b">
        <v>1</v>
      </c>
    </row>
    <row r="21" spans="1:12" ht="15.75" customHeight="1">
      <c r="A21" s="55"/>
      <c r="B21" s="50">
        <v>20</v>
      </c>
      <c r="C21" s="48" t="s">
        <v>2394</v>
      </c>
      <c r="D21" s="51">
        <v>4</v>
      </c>
      <c r="G21" s="52" t="b">
        <v>1</v>
      </c>
      <c r="H21" s="7" t="s">
        <v>2394</v>
      </c>
      <c r="I21" s="7" t="s">
        <v>2395</v>
      </c>
      <c r="J21" s="42" t="s">
        <v>2396</v>
      </c>
      <c r="K21" s="7" t="b">
        <v>1</v>
      </c>
      <c r="L21" s="7" t="b">
        <v>1</v>
      </c>
    </row>
    <row r="22" spans="1:12" ht="15.75" customHeight="1">
      <c r="A22" s="55"/>
      <c r="B22" s="48"/>
      <c r="C22" s="48"/>
      <c r="D22" s="51">
        <v>54</v>
      </c>
      <c r="E22" s="35">
        <f>SUM(D1:D21)</f>
        <v>54</v>
      </c>
      <c r="H22" s="7">
        <f>C22</f>
        <v>0</v>
      </c>
    </row>
    <row r="23" spans="1:12" ht="15.75" customHeight="1">
      <c r="A23" s="55"/>
      <c r="B23" s="48"/>
      <c r="C23" s="48"/>
      <c r="D23" s="51"/>
    </row>
    <row r="24" spans="1:12" ht="15.75" customHeight="1">
      <c r="A24" s="55"/>
      <c r="B24" s="48"/>
      <c r="C24" s="48"/>
      <c r="D24" s="51">
        <f>D22-E22</f>
        <v>0</v>
      </c>
    </row>
    <row r="25" spans="1:12" ht="15.75" customHeight="1">
      <c r="A25" s="55"/>
      <c r="B25" s="48"/>
      <c r="C25" s="48"/>
      <c r="D25" s="51">
        <v>9</v>
      </c>
    </row>
    <row r="26" spans="1:12" ht="15.75" customHeight="1">
      <c r="B26" s="47"/>
      <c r="C26" s="47"/>
      <c r="D26" s="56"/>
    </row>
    <row r="27" spans="1:12" ht="15.75" customHeight="1">
      <c r="B27" s="47"/>
      <c r="C27" s="47"/>
      <c r="D27" s="56"/>
    </row>
    <row r="28" spans="1:12" ht="15.75" customHeight="1">
      <c r="B28" s="47"/>
      <c r="C28" s="47"/>
      <c r="D28" s="56"/>
    </row>
    <row r="29" spans="1:12" ht="15.75" customHeight="1">
      <c r="B29" s="47"/>
      <c r="C29" s="47"/>
      <c r="D29" s="56"/>
    </row>
    <row r="30" spans="1:12" ht="15.75" customHeight="1">
      <c r="B30" s="47"/>
      <c r="C30" s="47"/>
      <c r="D30" s="56"/>
    </row>
    <row r="31" spans="1:12" ht="15.75" customHeight="1">
      <c r="B31" s="47"/>
      <c r="C31" s="47"/>
      <c r="D31" s="56"/>
    </row>
    <row r="32" spans="1:12" ht="15.75" customHeight="1">
      <c r="B32" s="47"/>
      <c r="C32" s="47"/>
      <c r="D32" s="56"/>
    </row>
    <row r="33" spans="2:4" ht="15.75" customHeight="1">
      <c r="B33" s="47"/>
      <c r="C33" s="47"/>
      <c r="D33" s="56"/>
    </row>
    <row r="34" spans="2:4" ht="15.75" customHeight="1">
      <c r="B34" s="47"/>
      <c r="C34" s="47"/>
      <c r="D34" s="56"/>
    </row>
    <row r="35" spans="2:4" ht="15.75" customHeight="1">
      <c r="B35" s="47"/>
      <c r="C35" s="47"/>
      <c r="D35" s="56"/>
    </row>
    <row r="36" spans="2:4" ht="15.75" customHeight="1">
      <c r="B36" s="47"/>
      <c r="C36" s="47"/>
      <c r="D36" s="56"/>
    </row>
    <row r="37" spans="2:4" ht="15.75" customHeight="1">
      <c r="B37" s="47"/>
      <c r="C37" s="47"/>
      <c r="D37" s="56"/>
    </row>
    <row r="38" spans="2:4" ht="15.75" customHeight="1">
      <c r="B38" s="47"/>
      <c r="C38" s="47"/>
      <c r="D38" s="56"/>
    </row>
    <row r="39" spans="2:4" ht="15.75" customHeight="1">
      <c r="B39" s="47"/>
      <c r="C39" s="47"/>
      <c r="D39" s="56"/>
    </row>
    <row r="40" spans="2:4" ht="15.75" customHeight="1">
      <c r="B40" s="47"/>
      <c r="C40" s="47"/>
      <c r="D40" s="56"/>
    </row>
    <row r="41" spans="2:4" ht="15.75" customHeight="1">
      <c r="B41" s="47"/>
      <c r="C41" s="47"/>
      <c r="D41" s="56"/>
    </row>
    <row r="42" spans="2:4" ht="15.75" customHeight="1">
      <c r="B42" s="47"/>
      <c r="C42" s="47"/>
      <c r="D42" s="56"/>
    </row>
    <row r="43" spans="2:4" ht="15.75" customHeight="1">
      <c r="B43" s="47"/>
      <c r="C43" s="47"/>
      <c r="D43" s="56"/>
    </row>
    <row r="44" spans="2:4" ht="15.75" customHeight="1">
      <c r="B44" s="47"/>
      <c r="C44" s="47"/>
      <c r="D44" s="56"/>
    </row>
    <row r="45" spans="2:4" ht="15.75" customHeight="1">
      <c r="B45" s="47"/>
      <c r="C45" s="47"/>
      <c r="D45" s="56"/>
    </row>
    <row r="46" spans="2:4" ht="15.75" customHeight="1">
      <c r="B46" s="47"/>
      <c r="C46" s="47"/>
      <c r="D46" s="56"/>
    </row>
    <row r="47" spans="2:4" ht="15.75" customHeight="1">
      <c r="B47" s="47"/>
      <c r="C47" s="47"/>
      <c r="D47" s="56"/>
    </row>
    <row r="48" spans="2:4" ht="15.75" customHeight="1">
      <c r="B48" s="47"/>
      <c r="C48" s="47"/>
      <c r="D48" s="56"/>
    </row>
    <row r="49" spans="2:4" ht="15.75" customHeight="1">
      <c r="B49" s="47"/>
      <c r="C49" s="47"/>
      <c r="D49" s="56"/>
    </row>
    <row r="50" spans="2:4" ht="15.75" customHeight="1">
      <c r="B50" s="47"/>
      <c r="C50" s="47"/>
      <c r="D50" s="56"/>
    </row>
    <row r="51" spans="2:4" ht="15.75" customHeight="1">
      <c r="B51" s="47"/>
      <c r="C51" s="47"/>
      <c r="D51" s="56"/>
    </row>
    <row r="52" spans="2:4" ht="15.75" customHeight="1">
      <c r="B52" s="47"/>
      <c r="C52" s="47"/>
      <c r="D52" s="56"/>
    </row>
    <row r="53" spans="2:4" ht="15.75" customHeight="1">
      <c r="B53" s="47"/>
      <c r="C53" s="47"/>
      <c r="D53" s="56"/>
    </row>
    <row r="54" spans="2:4" ht="15.75" customHeight="1">
      <c r="B54" s="47"/>
      <c r="C54" s="47"/>
      <c r="D54" s="56"/>
    </row>
    <row r="55" spans="2:4" ht="15.75" customHeight="1">
      <c r="B55" s="47"/>
      <c r="C55" s="47"/>
      <c r="D55" s="56"/>
    </row>
    <row r="56" spans="2:4" ht="15.75" customHeight="1">
      <c r="B56" s="47"/>
      <c r="C56" s="47"/>
      <c r="D56" s="56"/>
    </row>
    <row r="57" spans="2:4" ht="15.75" customHeight="1">
      <c r="B57" s="47"/>
      <c r="C57" s="47"/>
      <c r="D57" s="56"/>
    </row>
    <row r="58" spans="2:4" ht="15.75" customHeight="1">
      <c r="B58" s="47"/>
      <c r="C58" s="47"/>
      <c r="D58" s="56"/>
    </row>
    <row r="59" spans="2:4" ht="15.75" customHeight="1">
      <c r="B59" s="47"/>
      <c r="C59" s="47"/>
      <c r="D59" s="56"/>
    </row>
    <row r="60" spans="2:4" ht="15.75" customHeight="1">
      <c r="B60" s="47"/>
      <c r="C60" s="47"/>
      <c r="D60" s="56"/>
    </row>
    <row r="61" spans="2:4" ht="15.75" customHeight="1">
      <c r="B61" s="47"/>
      <c r="C61" s="47"/>
      <c r="D61" s="56"/>
    </row>
    <row r="62" spans="2:4" ht="15.75" customHeight="1">
      <c r="B62" s="47"/>
      <c r="C62" s="47"/>
      <c r="D62" s="56"/>
    </row>
    <row r="63" spans="2:4" ht="15.75" customHeight="1">
      <c r="B63" s="47"/>
      <c r="C63" s="47"/>
      <c r="D63" s="56"/>
    </row>
    <row r="64" spans="2:4" ht="15.75" customHeight="1">
      <c r="B64" s="47"/>
      <c r="C64" s="47"/>
      <c r="D64" s="56"/>
    </row>
    <row r="65" spans="2:4" ht="15.75" customHeight="1">
      <c r="B65" s="47"/>
      <c r="C65" s="47"/>
      <c r="D65" s="56"/>
    </row>
    <row r="66" spans="2:4" ht="15.75" customHeight="1">
      <c r="B66" s="47"/>
      <c r="C66" s="47"/>
      <c r="D66" s="56"/>
    </row>
    <row r="67" spans="2:4" ht="15.75" customHeight="1">
      <c r="B67" s="47"/>
      <c r="C67" s="47"/>
      <c r="D67" s="56"/>
    </row>
    <row r="68" spans="2:4" ht="15.75" customHeight="1">
      <c r="B68" s="47"/>
      <c r="C68" s="47"/>
      <c r="D68" s="56"/>
    </row>
    <row r="69" spans="2:4" ht="15.75" customHeight="1">
      <c r="B69" s="47"/>
      <c r="C69" s="47"/>
      <c r="D69" s="56"/>
    </row>
    <row r="70" spans="2:4" ht="15.75" customHeight="1">
      <c r="B70" s="47"/>
      <c r="C70" s="47"/>
      <c r="D70" s="56"/>
    </row>
    <row r="71" spans="2:4" ht="15.75" customHeight="1">
      <c r="B71" s="47"/>
      <c r="C71" s="47"/>
      <c r="D71" s="56"/>
    </row>
    <row r="72" spans="2:4" ht="15.75" customHeight="1">
      <c r="B72" s="47"/>
      <c r="C72" s="47"/>
      <c r="D72" s="56"/>
    </row>
    <row r="73" spans="2:4" ht="15.75" customHeight="1">
      <c r="B73" s="47"/>
      <c r="C73" s="47"/>
      <c r="D73" s="56"/>
    </row>
    <row r="74" spans="2:4" ht="15.75" customHeight="1">
      <c r="B74" s="47"/>
      <c r="C74" s="47"/>
      <c r="D74" s="56"/>
    </row>
    <row r="75" spans="2:4" ht="15.75" customHeight="1">
      <c r="B75" s="47"/>
      <c r="C75" s="47"/>
      <c r="D75" s="56"/>
    </row>
    <row r="76" spans="2:4" ht="15.75" customHeight="1">
      <c r="B76" s="47"/>
      <c r="C76" s="47"/>
      <c r="D76" s="56"/>
    </row>
    <row r="77" spans="2:4" ht="15.75" customHeight="1">
      <c r="B77" s="47"/>
      <c r="C77" s="47"/>
      <c r="D77" s="56"/>
    </row>
    <row r="78" spans="2:4" ht="15.75" customHeight="1">
      <c r="B78" s="47"/>
      <c r="C78" s="47"/>
      <c r="D78" s="56"/>
    </row>
    <row r="79" spans="2:4" ht="15.75" customHeight="1">
      <c r="B79" s="47"/>
      <c r="C79" s="47"/>
      <c r="D79" s="56"/>
    </row>
    <row r="80" spans="2:4" ht="15.75" customHeight="1">
      <c r="B80" s="47"/>
      <c r="C80" s="47"/>
      <c r="D80" s="56"/>
    </row>
    <row r="81" spans="2:4" ht="15.75" customHeight="1">
      <c r="B81" s="47"/>
      <c r="C81" s="47"/>
      <c r="D81" s="56"/>
    </row>
    <row r="82" spans="2:4" ht="15.75" customHeight="1">
      <c r="B82" s="47"/>
      <c r="C82" s="47"/>
      <c r="D82" s="56"/>
    </row>
    <row r="83" spans="2:4" ht="15.75" customHeight="1">
      <c r="B83" s="47"/>
      <c r="C83" s="47"/>
      <c r="D83" s="56"/>
    </row>
    <row r="84" spans="2:4" ht="15.75" customHeight="1">
      <c r="B84" s="47"/>
      <c r="C84" s="47"/>
      <c r="D84" s="56"/>
    </row>
    <row r="85" spans="2:4" ht="15.75" customHeight="1">
      <c r="B85" s="47"/>
      <c r="C85" s="47"/>
      <c r="D85" s="56"/>
    </row>
    <row r="86" spans="2:4" ht="15.75" customHeight="1">
      <c r="B86" s="47"/>
      <c r="C86" s="47"/>
      <c r="D86" s="56"/>
    </row>
    <row r="87" spans="2:4" ht="15.75" customHeight="1">
      <c r="B87" s="47"/>
      <c r="C87" s="47"/>
      <c r="D87" s="56"/>
    </row>
    <row r="88" spans="2:4" ht="15.75" customHeight="1">
      <c r="B88" s="47"/>
      <c r="C88" s="47"/>
      <c r="D88" s="56"/>
    </row>
    <row r="89" spans="2:4" ht="15.75" customHeight="1">
      <c r="B89" s="47"/>
      <c r="C89" s="47"/>
      <c r="D89" s="56"/>
    </row>
    <row r="90" spans="2:4" ht="15.75" customHeight="1">
      <c r="B90" s="47"/>
      <c r="C90" s="47"/>
      <c r="D90" s="56"/>
    </row>
    <row r="91" spans="2:4" ht="15.75" customHeight="1">
      <c r="B91" s="47"/>
      <c r="C91" s="47"/>
      <c r="D91" s="56"/>
    </row>
    <row r="92" spans="2:4" ht="15.75" customHeight="1">
      <c r="B92" s="47"/>
      <c r="C92" s="47"/>
      <c r="D92" s="56"/>
    </row>
    <row r="93" spans="2:4" ht="15.75" customHeight="1">
      <c r="B93" s="47"/>
      <c r="C93" s="47"/>
      <c r="D93" s="56"/>
    </row>
    <row r="94" spans="2:4" ht="15.75" customHeight="1">
      <c r="B94" s="47"/>
      <c r="C94" s="47"/>
      <c r="D94" s="56"/>
    </row>
    <row r="95" spans="2:4" ht="15.75" customHeight="1">
      <c r="B95" s="47"/>
      <c r="C95" s="47"/>
      <c r="D95" s="56"/>
    </row>
    <row r="96" spans="2:4" ht="15.75" customHeight="1">
      <c r="B96" s="47"/>
      <c r="C96" s="47"/>
      <c r="D96" s="56"/>
    </row>
    <row r="97" spans="2:4" ht="15.75" customHeight="1">
      <c r="B97" s="47"/>
      <c r="C97" s="47"/>
      <c r="D97" s="56"/>
    </row>
    <row r="98" spans="2:4" ht="15.75" customHeight="1">
      <c r="B98" s="47"/>
      <c r="C98" s="47"/>
      <c r="D98" s="56"/>
    </row>
    <row r="99" spans="2:4" ht="15.75" customHeight="1">
      <c r="B99" s="47"/>
      <c r="C99" s="47"/>
      <c r="D99" s="56"/>
    </row>
    <row r="100" spans="2:4" ht="15.75" customHeight="1">
      <c r="B100" s="47"/>
      <c r="C100" s="47"/>
      <c r="D100" s="56"/>
    </row>
    <row r="101" spans="2:4" ht="15.75" customHeight="1">
      <c r="B101" s="47"/>
      <c r="C101" s="47"/>
      <c r="D101" s="56"/>
    </row>
    <row r="102" spans="2:4" ht="15.75" customHeight="1">
      <c r="B102" s="47"/>
      <c r="C102" s="47"/>
      <c r="D102" s="56"/>
    </row>
    <row r="103" spans="2:4" ht="15.75" customHeight="1">
      <c r="B103" s="47"/>
      <c r="C103" s="47"/>
      <c r="D103" s="56"/>
    </row>
    <row r="104" spans="2:4" ht="15.75" customHeight="1">
      <c r="B104" s="47"/>
      <c r="C104" s="47"/>
      <c r="D104" s="56"/>
    </row>
    <row r="105" spans="2:4" ht="15.75" customHeight="1">
      <c r="B105" s="47"/>
      <c r="C105" s="47"/>
      <c r="D105" s="56"/>
    </row>
    <row r="106" spans="2:4" ht="15.75" customHeight="1">
      <c r="B106" s="47"/>
      <c r="C106" s="47"/>
      <c r="D106" s="56"/>
    </row>
    <row r="107" spans="2:4" ht="15.75" customHeight="1">
      <c r="B107" s="47"/>
      <c r="C107" s="47"/>
      <c r="D107" s="56"/>
    </row>
    <row r="108" spans="2:4" ht="15.75" customHeight="1">
      <c r="B108" s="47"/>
      <c r="C108" s="47"/>
      <c r="D108" s="56"/>
    </row>
    <row r="109" spans="2:4" ht="15.75" customHeight="1">
      <c r="B109" s="47"/>
      <c r="C109" s="47"/>
      <c r="D109" s="56"/>
    </row>
    <row r="110" spans="2:4" ht="15.75" customHeight="1">
      <c r="B110" s="47"/>
      <c r="C110" s="47"/>
      <c r="D110" s="56"/>
    </row>
    <row r="111" spans="2:4" ht="15.75" customHeight="1">
      <c r="B111" s="47"/>
      <c r="C111" s="47"/>
      <c r="D111" s="56"/>
    </row>
    <row r="112" spans="2:4" ht="15.75" customHeight="1">
      <c r="B112" s="47"/>
      <c r="C112" s="47"/>
      <c r="D112" s="56"/>
    </row>
    <row r="113" spans="2:4" ht="15.75" customHeight="1">
      <c r="B113" s="47"/>
      <c r="C113" s="47"/>
      <c r="D113" s="56"/>
    </row>
    <row r="114" spans="2:4" ht="15.75" customHeight="1">
      <c r="B114" s="47"/>
      <c r="C114" s="47"/>
      <c r="D114" s="56"/>
    </row>
    <row r="115" spans="2:4" ht="15.75" customHeight="1">
      <c r="B115" s="47"/>
      <c r="C115" s="47"/>
      <c r="D115" s="56"/>
    </row>
    <row r="116" spans="2:4" ht="15.75" customHeight="1">
      <c r="B116" s="47"/>
      <c r="C116" s="47"/>
      <c r="D116" s="56"/>
    </row>
    <row r="117" spans="2:4" ht="15.75" customHeight="1">
      <c r="B117" s="47"/>
      <c r="C117" s="47"/>
      <c r="D117" s="56"/>
    </row>
    <row r="118" spans="2:4" ht="15.75" customHeight="1">
      <c r="B118" s="47"/>
      <c r="C118" s="47"/>
      <c r="D118" s="56"/>
    </row>
    <row r="119" spans="2:4" ht="15.75" customHeight="1">
      <c r="B119" s="47"/>
      <c r="C119" s="47"/>
      <c r="D119" s="56"/>
    </row>
    <row r="120" spans="2:4" ht="15.75" customHeight="1">
      <c r="B120" s="47"/>
      <c r="C120" s="47"/>
      <c r="D120" s="56"/>
    </row>
    <row r="121" spans="2:4" ht="15.75" customHeight="1">
      <c r="B121" s="47"/>
      <c r="C121" s="47"/>
      <c r="D121" s="56"/>
    </row>
    <row r="122" spans="2:4" ht="15.75" customHeight="1">
      <c r="B122" s="47"/>
      <c r="C122" s="47"/>
      <c r="D122" s="56"/>
    </row>
    <row r="123" spans="2:4" ht="15.75" customHeight="1">
      <c r="B123" s="47"/>
      <c r="C123" s="47"/>
      <c r="D123" s="56"/>
    </row>
    <row r="124" spans="2:4" ht="15.75" customHeight="1">
      <c r="B124" s="47"/>
      <c r="C124" s="47"/>
      <c r="D124" s="56"/>
    </row>
    <row r="125" spans="2:4" ht="15.75" customHeight="1">
      <c r="B125" s="47"/>
      <c r="C125" s="47"/>
      <c r="D125" s="56"/>
    </row>
    <row r="126" spans="2:4" ht="15.75" customHeight="1">
      <c r="B126" s="47"/>
      <c r="C126" s="47"/>
      <c r="D126" s="56"/>
    </row>
    <row r="127" spans="2:4" ht="15.75" customHeight="1">
      <c r="B127" s="47"/>
      <c r="C127" s="47"/>
      <c r="D127" s="56"/>
    </row>
    <row r="128" spans="2:4" ht="15.75" customHeight="1">
      <c r="B128" s="47"/>
      <c r="C128" s="47"/>
      <c r="D128" s="56"/>
    </row>
    <row r="129" spans="2:4" ht="15.75" customHeight="1">
      <c r="B129" s="47"/>
      <c r="C129" s="47"/>
      <c r="D129" s="56"/>
    </row>
    <row r="130" spans="2:4" ht="15.75" customHeight="1">
      <c r="B130" s="47"/>
      <c r="C130" s="47"/>
      <c r="D130" s="56"/>
    </row>
    <row r="131" spans="2:4" ht="15.75" customHeight="1">
      <c r="B131" s="47"/>
      <c r="C131" s="47"/>
      <c r="D131" s="56"/>
    </row>
    <row r="132" spans="2:4" ht="15.75" customHeight="1">
      <c r="B132" s="47"/>
      <c r="C132" s="47"/>
      <c r="D132" s="56"/>
    </row>
    <row r="133" spans="2:4" ht="15.75" customHeight="1">
      <c r="B133" s="47"/>
      <c r="C133" s="47"/>
      <c r="D133" s="56"/>
    </row>
    <row r="134" spans="2:4" ht="15.75" customHeight="1">
      <c r="B134" s="47"/>
      <c r="C134" s="47"/>
      <c r="D134" s="56"/>
    </row>
    <row r="135" spans="2:4" ht="15.75" customHeight="1">
      <c r="B135" s="47"/>
      <c r="C135" s="47"/>
      <c r="D135" s="56"/>
    </row>
    <row r="136" spans="2:4" ht="15.75" customHeight="1">
      <c r="B136" s="47"/>
      <c r="C136" s="47"/>
      <c r="D136" s="56"/>
    </row>
    <row r="137" spans="2:4" ht="15.75" customHeight="1">
      <c r="B137" s="47"/>
      <c r="C137" s="47"/>
      <c r="D137" s="56"/>
    </row>
    <row r="138" spans="2:4" ht="15.75" customHeight="1">
      <c r="B138" s="47"/>
      <c r="C138" s="47"/>
      <c r="D138" s="56"/>
    </row>
    <row r="139" spans="2:4" ht="15.75" customHeight="1">
      <c r="B139" s="47"/>
      <c r="C139" s="47"/>
      <c r="D139" s="56"/>
    </row>
    <row r="140" spans="2:4" ht="15.75" customHeight="1">
      <c r="B140" s="47"/>
      <c r="C140" s="47"/>
      <c r="D140" s="56"/>
    </row>
    <row r="141" spans="2:4" ht="15.75" customHeight="1">
      <c r="B141" s="47"/>
      <c r="C141" s="47"/>
      <c r="D141" s="56"/>
    </row>
    <row r="142" spans="2:4" ht="15.75" customHeight="1">
      <c r="B142" s="47"/>
      <c r="C142" s="47"/>
      <c r="D142" s="56"/>
    </row>
    <row r="143" spans="2:4" ht="15.75" customHeight="1">
      <c r="B143" s="47"/>
      <c r="C143" s="47"/>
      <c r="D143" s="56"/>
    </row>
    <row r="144" spans="2:4" ht="15.75" customHeight="1">
      <c r="B144" s="47"/>
      <c r="C144" s="47"/>
      <c r="D144" s="56"/>
    </row>
    <row r="145" spans="2:4" ht="15.75" customHeight="1">
      <c r="B145" s="47"/>
      <c r="C145" s="47"/>
      <c r="D145" s="56"/>
    </row>
    <row r="146" spans="2:4" ht="15.75" customHeight="1">
      <c r="B146" s="47"/>
      <c r="C146" s="47"/>
      <c r="D146" s="56"/>
    </row>
    <row r="147" spans="2:4" ht="15.75" customHeight="1">
      <c r="B147" s="47"/>
      <c r="C147" s="47"/>
      <c r="D147" s="56"/>
    </row>
    <row r="148" spans="2:4" ht="15.75" customHeight="1">
      <c r="B148" s="47"/>
      <c r="C148" s="47"/>
      <c r="D148" s="56"/>
    </row>
    <row r="149" spans="2:4" ht="15.75" customHeight="1">
      <c r="B149" s="47"/>
      <c r="C149" s="47"/>
      <c r="D149" s="56"/>
    </row>
    <row r="150" spans="2:4" ht="15.75" customHeight="1">
      <c r="B150" s="47"/>
      <c r="C150" s="47"/>
      <c r="D150" s="56"/>
    </row>
    <row r="151" spans="2:4" ht="15.75" customHeight="1">
      <c r="B151" s="47"/>
      <c r="C151" s="47"/>
      <c r="D151" s="56"/>
    </row>
    <row r="152" spans="2:4" ht="15.75" customHeight="1">
      <c r="B152" s="47"/>
      <c r="C152" s="47"/>
      <c r="D152" s="56"/>
    </row>
    <row r="153" spans="2:4" ht="15.75" customHeight="1">
      <c r="B153" s="47"/>
      <c r="C153" s="47"/>
      <c r="D153" s="56"/>
    </row>
    <row r="154" spans="2:4" ht="15.75" customHeight="1">
      <c r="B154" s="47"/>
      <c r="C154" s="47"/>
      <c r="D154" s="56"/>
    </row>
    <row r="155" spans="2:4" ht="15.75" customHeight="1">
      <c r="B155" s="47"/>
      <c r="C155" s="47"/>
      <c r="D155" s="56"/>
    </row>
    <row r="156" spans="2:4" ht="15.75" customHeight="1">
      <c r="B156" s="47"/>
      <c r="C156" s="47"/>
      <c r="D156" s="56"/>
    </row>
    <row r="157" spans="2:4" ht="15.75" customHeight="1">
      <c r="B157" s="47"/>
      <c r="C157" s="47"/>
      <c r="D157" s="56"/>
    </row>
    <row r="158" spans="2:4" ht="15.75" customHeight="1">
      <c r="B158" s="47"/>
      <c r="C158" s="47"/>
      <c r="D158" s="56"/>
    </row>
    <row r="159" spans="2:4" ht="15.75" customHeight="1">
      <c r="B159" s="47"/>
      <c r="C159" s="47"/>
      <c r="D159" s="56"/>
    </row>
    <row r="160" spans="2:4" ht="15.75" customHeight="1">
      <c r="B160" s="47"/>
      <c r="C160" s="47"/>
      <c r="D160" s="56"/>
    </row>
    <row r="161" spans="2:4" ht="15.75" customHeight="1">
      <c r="B161" s="47"/>
      <c r="C161" s="47"/>
      <c r="D161" s="56"/>
    </row>
    <row r="162" spans="2:4" ht="15.75" customHeight="1">
      <c r="B162" s="47"/>
      <c r="C162" s="47"/>
      <c r="D162" s="56"/>
    </row>
    <row r="163" spans="2:4" ht="15.75" customHeight="1">
      <c r="B163" s="47"/>
      <c r="C163" s="47"/>
      <c r="D163" s="56"/>
    </row>
    <row r="164" spans="2:4" ht="15.75" customHeight="1">
      <c r="B164" s="47"/>
      <c r="C164" s="47"/>
      <c r="D164" s="56"/>
    </row>
    <row r="165" spans="2:4" ht="15.75" customHeight="1">
      <c r="B165" s="47"/>
      <c r="C165" s="47"/>
      <c r="D165" s="56"/>
    </row>
    <row r="166" spans="2:4" ht="15.75" customHeight="1">
      <c r="B166" s="47"/>
      <c r="C166" s="47"/>
      <c r="D166" s="56"/>
    </row>
    <row r="167" spans="2:4" ht="15.75" customHeight="1">
      <c r="B167" s="47"/>
      <c r="C167" s="47"/>
      <c r="D167" s="56"/>
    </row>
    <row r="168" spans="2:4" ht="15.75" customHeight="1">
      <c r="B168" s="47"/>
      <c r="C168" s="47"/>
      <c r="D168" s="56"/>
    </row>
    <row r="169" spans="2:4" ht="15.75" customHeight="1">
      <c r="B169" s="47"/>
      <c r="C169" s="47"/>
      <c r="D169" s="56"/>
    </row>
    <row r="170" spans="2:4" ht="15.75" customHeight="1">
      <c r="B170" s="47"/>
      <c r="C170" s="47"/>
      <c r="D170" s="56"/>
    </row>
    <row r="171" spans="2:4" ht="15.75" customHeight="1">
      <c r="B171" s="47"/>
      <c r="C171" s="47"/>
      <c r="D171" s="56"/>
    </row>
    <row r="172" spans="2:4" ht="15.75" customHeight="1">
      <c r="B172" s="47"/>
      <c r="C172" s="47"/>
      <c r="D172" s="56"/>
    </row>
    <row r="173" spans="2:4" ht="15.75" customHeight="1">
      <c r="B173" s="47"/>
      <c r="C173" s="47"/>
      <c r="D173" s="56"/>
    </row>
    <row r="174" spans="2:4" ht="15.75" customHeight="1">
      <c r="B174" s="47"/>
      <c r="C174" s="47"/>
      <c r="D174" s="56"/>
    </row>
    <row r="175" spans="2:4" ht="15.75" customHeight="1">
      <c r="B175" s="47"/>
      <c r="C175" s="47"/>
      <c r="D175" s="56"/>
    </row>
    <row r="176" spans="2:4" ht="15.75" customHeight="1">
      <c r="B176" s="47"/>
      <c r="C176" s="47"/>
      <c r="D176" s="56"/>
    </row>
    <row r="177" spans="2:4" ht="15.75" customHeight="1">
      <c r="B177" s="47"/>
      <c r="C177" s="47"/>
      <c r="D177" s="56"/>
    </row>
    <row r="178" spans="2:4" ht="15.75" customHeight="1">
      <c r="B178" s="47"/>
      <c r="C178" s="47"/>
      <c r="D178" s="56"/>
    </row>
    <row r="179" spans="2:4" ht="15.75" customHeight="1">
      <c r="B179" s="47"/>
      <c r="C179" s="47"/>
      <c r="D179" s="56"/>
    </row>
    <row r="180" spans="2:4" ht="15.75" customHeight="1">
      <c r="B180" s="47"/>
      <c r="C180" s="47"/>
      <c r="D180" s="56"/>
    </row>
    <row r="181" spans="2:4" ht="15.75" customHeight="1">
      <c r="B181" s="47"/>
      <c r="C181" s="47"/>
      <c r="D181" s="56"/>
    </row>
    <row r="182" spans="2:4" ht="15.75" customHeight="1">
      <c r="B182" s="47"/>
      <c r="C182" s="47"/>
      <c r="D182" s="56"/>
    </row>
    <row r="183" spans="2:4" ht="15.75" customHeight="1">
      <c r="B183" s="47"/>
      <c r="C183" s="47"/>
      <c r="D183" s="56"/>
    </row>
    <row r="184" spans="2:4" ht="15.75" customHeight="1">
      <c r="B184" s="47"/>
      <c r="C184" s="47"/>
      <c r="D184" s="56"/>
    </row>
    <row r="185" spans="2:4" ht="15.75" customHeight="1">
      <c r="B185" s="47"/>
      <c r="C185" s="47"/>
      <c r="D185" s="56"/>
    </row>
    <row r="186" spans="2:4" ht="15.75" customHeight="1">
      <c r="B186" s="47"/>
      <c r="C186" s="47"/>
      <c r="D186" s="56"/>
    </row>
    <row r="187" spans="2:4" ht="15.75" customHeight="1">
      <c r="B187" s="47"/>
      <c r="C187" s="47"/>
      <c r="D187" s="56"/>
    </row>
    <row r="188" spans="2:4" ht="15.75" customHeight="1">
      <c r="B188" s="47"/>
      <c r="C188" s="47"/>
      <c r="D188" s="56"/>
    </row>
    <row r="189" spans="2:4" ht="15.75" customHeight="1">
      <c r="B189" s="47"/>
      <c r="C189" s="47"/>
      <c r="D189" s="56"/>
    </row>
    <row r="190" spans="2:4" ht="15.75" customHeight="1">
      <c r="B190" s="47"/>
      <c r="C190" s="47"/>
      <c r="D190" s="56"/>
    </row>
    <row r="191" spans="2:4" ht="15.75" customHeight="1">
      <c r="B191" s="47"/>
      <c r="C191" s="47"/>
      <c r="D191" s="56"/>
    </row>
    <row r="192" spans="2:4" ht="15.75" customHeight="1">
      <c r="B192" s="47"/>
      <c r="C192" s="47"/>
      <c r="D192" s="56"/>
    </row>
    <row r="193" spans="2:4" ht="15.75" customHeight="1">
      <c r="B193" s="47"/>
      <c r="C193" s="47"/>
      <c r="D193" s="56"/>
    </row>
    <row r="194" spans="2:4" ht="15.75" customHeight="1">
      <c r="B194" s="47"/>
      <c r="C194" s="47"/>
      <c r="D194" s="56"/>
    </row>
    <row r="195" spans="2:4" ht="15.75" customHeight="1">
      <c r="B195" s="47"/>
      <c r="C195" s="47"/>
      <c r="D195" s="56"/>
    </row>
    <row r="196" spans="2:4" ht="15.75" customHeight="1">
      <c r="B196" s="47"/>
      <c r="C196" s="47"/>
      <c r="D196" s="56"/>
    </row>
    <row r="197" spans="2:4" ht="15.75" customHeight="1">
      <c r="B197" s="47"/>
      <c r="C197" s="47"/>
      <c r="D197" s="56"/>
    </row>
    <row r="198" spans="2:4" ht="15.75" customHeight="1">
      <c r="B198" s="47"/>
      <c r="C198" s="47"/>
      <c r="D198" s="56"/>
    </row>
    <row r="199" spans="2:4" ht="15.75" customHeight="1">
      <c r="B199" s="47"/>
      <c r="C199" s="47"/>
      <c r="D199" s="56"/>
    </row>
    <row r="200" spans="2:4" ht="15.75" customHeight="1">
      <c r="B200" s="47"/>
      <c r="C200" s="47"/>
      <c r="D200" s="56"/>
    </row>
    <row r="201" spans="2:4" ht="15.75" customHeight="1">
      <c r="B201" s="47"/>
      <c r="C201" s="47"/>
      <c r="D201" s="56"/>
    </row>
    <row r="202" spans="2:4" ht="15.75" customHeight="1">
      <c r="B202" s="47"/>
      <c r="C202" s="47"/>
      <c r="D202" s="56"/>
    </row>
    <row r="203" spans="2:4" ht="15.75" customHeight="1">
      <c r="B203" s="47"/>
      <c r="C203" s="47"/>
      <c r="D203" s="56"/>
    </row>
    <row r="204" spans="2:4" ht="15.75" customHeight="1">
      <c r="B204" s="47"/>
      <c r="C204" s="47"/>
      <c r="D204" s="56"/>
    </row>
    <row r="205" spans="2:4" ht="15.75" customHeight="1">
      <c r="B205" s="47"/>
      <c r="C205" s="47"/>
      <c r="D205" s="56"/>
    </row>
    <row r="206" spans="2:4" ht="15.75" customHeight="1">
      <c r="B206" s="47"/>
      <c r="C206" s="47"/>
      <c r="D206" s="56"/>
    </row>
    <row r="207" spans="2:4" ht="15.75" customHeight="1">
      <c r="B207" s="47"/>
      <c r="C207" s="47"/>
      <c r="D207" s="56"/>
    </row>
    <row r="208" spans="2:4" ht="15.75" customHeight="1">
      <c r="B208" s="47"/>
      <c r="C208" s="47"/>
      <c r="D208" s="56"/>
    </row>
    <row r="209" spans="2:4" ht="15.75" customHeight="1">
      <c r="B209" s="47"/>
      <c r="C209" s="47"/>
      <c r="D209" s="56"/>
    </row>
    <row r="210" spans="2:4" ht="15.75" customHeight="1">
      <c r="B210" s="47"/>
      <c r="C210" s="47"/>
      <c r="D210" s="56"/>
    </row>
    <row r="211" spans="2:4" ht="15.75" customHeight="1">
      <c r="B211" s="47"/>
      <c r="C211" s="47"/>
      <c r="D211" s="56"/>
    </row>
    <row r="212" spans="2:4" ht="15.75" customHeight="1">
      <c r="B212" s="47"/>
      <c r="C212" s="47"/>
      <c r="D212" s="56"/>
    </row>
    <row r="213" spans="2:4" ht="15.75" customHeight="1">
      <c r="B213" s="47"/>
      <c r="C213" s="47"/>
      <c r="D213" s="56"/>
    </row>
    <row r="214" spans="2:4" ht="15.75" customHeight="1">
      <c r="B214" s="47"/>
      <c r="C214" s="47"/>
      <c r="D214" s="56"/>
    </row>
    <row r="215" spans="2:4" ht="15.75" customHeight="1">
      <c r="B215" s="47"/>
      <c r="C215" s="47"/>
      <c r="D215" s="56"/>
    </row>
    <row r="216" spans="2:4" ht="15.75" customHeight="1">
      <c r="B216" s="47"/>
      <c r="C216" s="47"/>
      <c r="D216" s="56"/>
    </row>
    <row r="217" spans="2:4" ht="15.75" customHeight="1">
      <c r="B217" s="47"/>
      <c r="C217" s="47"/>
      <c r="D217" s="56"/>
    </row>
    <row r="218" spans="2:4" ht="15.75" customHeight="1">
      <c r="B218" s="47"/>
      <c r="C218" s="47"/>
      <c r="D218" s="56"/>
    </row>
    <row r="219" spans="2:4" ht="15.75" customHeight="1">
      <c r="B219" s="47"/>
      <c r="C219" s="47"/>
      <c r="D219" s="56"/>
    </row>
    <row r="220" spans="2:4" ht="15.75" customHeight="1">
      <c r="B220" s="47"/>
      <c r="C220" s="47"/>
      <c r="D220" s="56"/>
    </row>
    <row r="221" spans="2:4" ht="15.75" customHeight="1">
      <c r="B221" s="47"/>
      <c r="C221" s="47"/>
      <c r="D221" s="56"/>
    </row>
    <row r="222" spans="2:4" ht="15.75" customHeight="1">
      <c r="B222" s="47"/>
      <c r="C222" s="47"/>
      <c r="D222" s="56"/>
    </row>
    <row r="223" spans="2:4" ht="15.75" customHeight="1">
      <c r="B223" s="47"/>
      <c r="C223" s="47"/>
      <c r="D223" s="56"/>
    </row>
    <row r="224" spans="2:4" ht="15.75" customHeight="1">
      <c r="B224" s="47"/>
      <c r="C224" s="47"/>
      <c r="D224" s="56"/>
    </row>
    <row r="225" spans="2:4" ht="15.75" customHeight="1">
      <c r="B225" s="47"/>
      <c r="C225" s="47"/>
      <c r="D225" s="56"/>
    </row>
    <row r="226" spans="2:4" ht="15.75" customHeight="1">
      <c r="B226" s="47"/>
      <c r="C226" s="47"/>
      <c r="D226" s="56"/>
    </row>
    <row r="227" spans="2:4" ht="15.75" customHeight="1">
      <c r="B227" s="47"/>
      <c r="C227" s="47"/>
      <c r="D227" s="56"/>
    </row>
    <row r="228" spans="2:4" ht="15.75" customHeight="1">
      <c r="B228" s="47"/>
      <c r="C228" s="47"/>
      <c r="D228" s="56"/>
    </row>
    <row r="229" spans="2:4" ht="15.75" customHeight="1">
      <c r="B229" s="47"/>
      <c r="C229" s="47"/>
      <c r="D229" s="56"/>
    </row>
    <row r="230" spans="2:4" ht="15.75" customHeight="1">
      <c r="B230" s="47"/>
      <c r="C230" s="47"/>
      <c r="D230" s="56"/>
    </row>
    <row r="231" spans="2:4" ht="15.75" customHeight="1">
      <c r="B231" s="47"/>
      <c r="C231" s="47"/>
      <c r="D231" s="56"/>
    </row>
    <row r="232" spans="2:4" ht="15.75" customHeight="1">
      <c r="B232" s="47"/>
      <c r="C232" s="47"/>
      <c r="D232" s="56"/>
    </row>
    <row r="233" spans="2:4" ht="15.75" customHeight="1">
      <c r="B233" s="47"/>
      <c r="C233" s="47"/>
      <c r="D233" s="56"/>
    </row>
    <row r="234" spans="2:4" ht="15.75" customHeight="1">
      <c r="B234" s="47"/>
      <c r="C234" s="47"/>
      <c r="D234" s="56"/>
    </row>
    <row r="235" spans="2:4" ht="15.75" customHeight="1">
      <c r="B235" s="47"/>
      <c r="C235" s="47"/>
      <c r="D235" s="56"/>
    </row>
    <row r="236" spans="2:4" ht="15.75" customHeight="1">
      <c r="B236" s="47"/>
      <c r="C236" s="47"/>
      <c r="D236" s="56"/>
    </row>
    <row r="237" spans="2:4" ht="15.75" customHeight="1">
      <c r="B237" s="47"/>
      <c r="C237" s="47"/>
      <c r="D237" s="56"/>
    </row>
    <row r="238" spans="2:4" ht="15.75" customHeight="1">
      <c r="B238" s="47"/>
      <c r="C238" s="47"/>
      <c r="D238" s="56"/>
    </row>
    <row r="239" spans="2:4" ht="15.75" customHeight="1">
      <c r="B239" s="47"/>
      <c r="C239" s="47"/>
      <c r="D239" s="56"/>
    </row>
    <row r="240" spans="2:4" ht="15.75" customHeight="1">
      <c r="B240" s="47"/>
      <c r="C240" s="47"/>
      <c r="D240" s="56"/>
    </row>
    <row r="241" spans="2:4" ht="15.75" customHeight="1">
      <c r="B241" s="47"/>
      <c r="C241" s="47"/>
      <c r="D241" s="56"/>
    </row>
    <row r="242" spans="2:4" ht="15.75" customHeight="1">
      <c r="B242" s="47"/>
      <c r="C242" s="47"/>
      <c r="D242" s="56"/>
    </row>
    <row r="243" spans="2:4" ht="15.75" customHeight="1">
      <c r="B243" s="47"/>
      <c r="C243" s="47"/>
      <c r="D243" s="56"/>
    </row>
    <row r="244" spans="2:4" ht="15.75" customHeight="1">
      <c r="B244" s="47"/>
      <c r="C244" s="47"/>
      <c r="D244" s="56"/>
    </row>
    <row r="245" spans="2:4" ht="15.75" customHeight="1">
      <c r="B245" s="47"/>
      <c r="C245" s="47"/>
      <c r="D245" s="56"/>
    </row>
    <row r="246" spans="2:4" ht="15.75" customHeight="1">
      <c r="B246" s="47"/>
      <c r="C246" s="47"/>
      <c r="D246" s="56"/>
    </row>
    <row r="247" spans="2:4" ht="15.75" customHeight="1">
      <c r="B247" s="47"/>
      <c r="C247" s="47"/>
      <c r="D247" s="56"/>
    </row>
    <row r="248" spans="2:4" ht="15.75" customHeight="1">
      <c r="B248" s="47"/>
      <c r="C248" s="47"/>
      <c r="D248" s="56"/>
    </row>
    <row r="249" spans="2:4" ht="15.75" customHeight="1">
      <c r="B249" s="47"/>
      <c r="C249" s="47"/>
      <c r="D249" s="56"/>
    </row>
    <row r="250" spans="2:4" ht="15.75" customHeight="1">
      <c r="B250" s="47"/>
      <c r="C250" s="47"/>
      <c r="D250" s="56"/>
    </row>
    <row r="251" spans="2:4" ht="15.75" customHeight="1">
      <c r="B251" s="47"/>
      <c r="C251" s="47"/>
      <c r="D251" s="56"/>
    </row>
    <row r="252" spans="2:4" ht="15.75" customHeight="1">
      <c r="B252" s="47"/>
      <c r="C252" s="47"/>
      <c r="D252" s="56"/>
    </row>
    <row r="253" spans="2:4" ht="15.75" customHeight="1">
      <c r="B253" s="47"/>
      <c r="C253" s="47"/>
      <c r="D253" s="56"/>
    </row>
    <row r="254" spans="2:4" ht="15.75" customHeight="1">
      <c r="B254" s="47"/>
      <c r="C254" s="47"/>
      <c r="D254" s="56"/>
    </row>
    <row r="255" spans="2:4" ht="15.75" customHeight="1">
      <c r="B255" s="47"/>
      <c r="C255" s="47"/>
      <c r="D255" s="56"/>
    </row>
    <row r="256" spans="2:4" ht="15.75" customHeight="1">
      <c r="B256" s="47"/>
      <c r="C256" s="47"/>
      <c r="D256" s="56"/>
    </row>
    <row r="257" spans="2:4" ht="15.75" customHeight="1">
      <c r="B257" s="47"/>
      <c r="C257" s="47"/>
      <c r="D257" s="56"/>
    </row>
    <row r="258" spans="2:4" ht="15.75" customHeight="1">
      <c r="B258" s="47"/>
      <c r="C258" s="47"/>
      <c r="D258" s="56"/>
    </row>
    <row r="259" spans="2:4" ht="15.75" customHeight="1">
      <c r="B259" s="47"/>
      <c r="C259" s="47"/>
      <c r="D259" s="56"/>
    </row>
    <row r="260" spans="2:4" ht="15.75" customHeight="1">
      <c r="B260" s="47"/>
      <c r="C260" s="47"/>
      <c r="D260" s="56"/>
    </row>
    <row r="261" spans="2:4" ht="15.75" customHeight="1">
      <c r="B261" s="47"/>
      <c r="C261" s="47"/>
      <c r="D261" s="56"/>
    </row>
    <row r="262" spans="2:4" ht="15.75" customHeight="1">
      <c r="B262" s="47"/>
      <c r="C262" s="47"/>
      <c r="D262" s="56"/>
    </row>
    <row r="263" spans="2:4" ht="15.75" customHeight="1">
      <c r="B263" s="47"/>
      <c r="C263" s="47"/>
      <c r="D263" s="56"/>
    </row>
    <row r="264" spans="2:4" ht="15.75" customHeight="1">
      <c r="B264" s="47"/>
      <c r="C264" s="47"/>
      <c r="D264" s="56"/>
    </row>
    <row r="265" spans="2:4" ht="15.75" customHeight="1">
      <c r="B265" s="47"/>
      <c r="C265" s="47"/>
      <c r="D265" s="56"/>
    </row>
    <row r="266" spans="2:4" ht="15.75" customHeight="1">
      <c r="B266" s="47"/>
      <c r="C266" s="47"/>
      <c r="D266" s="56"/>
    </row>
    <row r="267" spans="2:4" ht="15.75" customHeight="1">
      <c r="B267" s="47"/>
      <c r="C267" s="47"/>
      <c r="D267" s="56"/>
    </row>
    <row r="268" spans="2:4" ht="15.75" customHeight="1">
      <c r="B268" s="47"/>
      <c r="C268" s="47"/>
      <c r="D268" s="56"/>
    </row>
    <row r="269" spans="2:4" ht="15.75" customHeight="1">
      <c r="B269" s="47"/>
      <c r="C269" s="47"/>
      <c r="D269" s="56"/>
    </row>
    <row r="270" spans="2:4" ht="15.75" customHeight="1">
      <c r="B270" s="47"/>
      <c r="C270" s="47"/>
      <c r="D270" s="56"/>
    </row>
    <row r="271" spans="2:4" ht="15.75" customHeight="1">
      <c r="B271" s="47"/>
      <c r="C271" s="47"/>
      <c r="D271" s="56"/>
    </row>
    <row r="272" spans="2:4" ht="15.75" customHeight="1">
      <c r="B272" s="47"/>
      <c r="C272" s="47"/>
      <c r="D272" s="56"/>
    </row>
    <row r="273" spans="2:4" ht="15.75" customHeight="1">
      <c r="B273" s="47"/>
      <c r="C273" s="47"/>
      <c r="D273" s="56"/>
    </row>
    <row r="274" spans="2:4" ht="15.75" customHeight="1">
      <c r="B274" s="47"/>
      <c r="C274" s="47"/>
      <c r="D274" s="56"/>
    </row>
    <row r="275" spans="2:4" ht="15.75" customHeight="1">
      <c r="B275" s="47"/>
      <c r="C275" s="47"/>
      <c r="D275" s="56"/>
    </row>
    <row r="276" spans="2:4" ht="15.75" customHeight="1">
      <c r="B276" s="47"/>
      <c r="C276" s="47"/>
      <c r="D276" s="56"/>
    </row>
    <row r="277" spans="2:4" ht="15.75" customHeight="1">
      <c r="B277" s="47"/>
      <c r="C277" s="47"/>
      <c r="D277" s="56"/>
    </row>
    <row r="278" spans="2:4" ht="15.75" customHeight="1">
      <c r="B278" s="47"/>
      <c r="C278" s="47"/>
      <c r="D278" s="56"/>
    </row>
    <row r="279" spans="2:4" ht="15.75" customHeight="1">
      <c r="B279" s="47"/>
      <c r="C279" s="47"/>
      <c r="D279" s="56"/>
    </row>
    <row r="280" spans="2:4" ht="15.75" customHeight="1">
      <c r="B280" s="47"/>
      <c r="C280" s="47"/>
      <c r="D280" s="56"/>
    </row>
    <row r="281" spans="2:4" ht="15.75" customHeight="1">
      <c r="B281" s="47"/>
      <c r="C281" s="47"/>
      <c r="D281" s="56"/>
    </row>
    <row r="282" spans="2:4" ht="15.75" customHeight="1">
      <c r="B282" s="47"/>
      <c r="C282" s="47"/>
      <c r="D282" s="56"/>
    </row>
    <row r="283" spans="2:4" ht="15.75" customHeight="1">
      <c r="B283" s="47"/>
      <c r="C283" s="47"/>
      <c r="D283" s="56"/>
    </row>
    <row r="284" spans="2:4" ht="15.75" customHeight="1">
      <c r="B284" s="47"/>
      <c r="C284" s="47"/>
      <c r="D284" s="56"/>
    </row>
    <row r="285" spans="2:4" ht="15.75" customHeight="1">
      <c r="B285" s="47"/>
      <c r="C285" s="47"/>
      <c r="D285" s="56"/>
    </row>
    <row r="286" spans="2:4" ht="15.75" customHeight="1">
      <c r="B286" s="47"/>
      <c r="C286" s="47"/>
      <c r="D286" s="56"/>
    </row>
    <row r="287" spans="2:4" ht="15.75" customHeight="1">
      <c r="B287" s="47"/>
      <c r="C287" s="47"/>
      <c r="D287" s="56"/>
    </row>
    <row r="288" spans="2:4" ht="15.75" customHeight="1">
      <c r="B288" s="47"/>
      <c r="C288" s="47"/>
      <c r="D288" s="56"/>
    </row>
    <row r="289" spans="2:4" ht="15.75" customHeight="1">
      <c r="B289" s="47"/>
      <c r="C289" s="47"/>
      <c r="D289" s="56"/>
    </row>
    <row r="290" spans="2:4" ht="15.75" customHeight="1">
      <c r="B290" s="47"/>
      <c r="C290" s="47"/>
      <c r="D290" s="56"/>
    </row>
    <row r="291" spans="2:4" ht="15.75" customHeight="1">
      <c r="B291" s="47"/>
      <c r="C291" s="47"/>
      <c r="D291" s="56"/>
    </row>
    <row r="292" spans="2:4" ht="15.75" customHeight="1">
      <c r="B292" s="47"/>
      <c r="C292" s="47"/>
      <c r="D292" s="56"/>
    </row>
    <row r="293" spans="2:4" ht="15.75" customHeight="1">
      <c r="B293" s="47"/>
      <c r="C293" s="47"/>
      <c r="D293" s="56"/>
    </row>
    <row r="294" spans="2:4" ht="15.75" customHeight="1">
      <c r="B294" s="47"/>
      <c r="C294" s="47"/>
      <c r="D294" s="56"/>
    </row>
    <row r="295" spans="2:4" ht="15.75" customHeight="1">
      <c r="B295" s="47"/>
      <c r="C295" s="47"/>
      <c r="D295" s="56"/>
    </row>
    <row r="296" spans="2:4" ht="15.75" customHeight="1">
      <c r="B296" s="47"/>
      <c r="C296" s="47"/>
      <c r="D296" s="56"/>
    </row>
    <row r="297" spans="2:4" ht="15.75" customHeight="1">
      <c r="B297" s="47"/>
      <c r="C297" s="47"/>
      <c r="D297" s="56"/>
    </row>
    <row r="298" spans="2:4" ht="15.75" customHeight="1">
      <c r="B298" s="47"/>
      <c r="C298" s="47"/>
      <c r="D298" s="56"/>
    </row>
    <row r="299" spans="2:4" ht="15.75" customHeight="1">
      <c r="B299" s="47"/>
      <c r="C299" s="47"/>
      <c r="D299" s="56"/>
    </row>
    <row r="300" spans="2:4" ht="15.75" customHeight="1">
      <c r="B300" s="47"/>
      <c r="C300" s="47"/>
      <c r="D300" s="56"/>
    </row>
    <row r="301" spans="2:4" ht="15.75" customHeight="1">
      <c r="B301" s="47"/>
      <c r="C301" s="47"/>
      <c r="D301" s="56"/>
    </row>
    <row r="302" spans="2:4" ht="15.75" customHeight="1">
      <c r="B302" s="47"/>
      <c r="C302" s="47"/>
      <c r="D302" s="56"/>
    </row>
    <row r="303" spans="2:4" ht="15.75" customHeight="1">
      <c r="B303" s="47"/>
      <c r="C303" s="47"/>
      <c r="D303" s="56"/>
    </row>
    <row r="304" spans="2:4" ht="15.75" customHeight="1">
      <c r="B304" s="47"/>
      <c r="C304" s="47"/>
      <c r="D304" s="56"/>
    </row>
    <row r="305" spans="2:4" ht="15.75" customHeight="1">
      <c r="B305" s="47"/>
      <c r="C305" s="47"/>
      <c r="D305" s="56"/>
    </row>
    <row r="306" spans="2:4" ht="15.75" customHeight="1">
      <c r="B306" s="47"/>
      <c r="C306" s="47"/>
      <c r="D306" s="56"/>
    </row>
    <row r="307" spans="2:4" ht="15.75" customHeight="1">
      <c r="B307" s="47"/>
      <c r="C307" s="47"/>
      <c r="D307" s="56"/>
    </row>
    <row r="308" spans="2:4" ht="15.75" customHeight="1">
      <c r="B308" s="47"/>
      <c r="C308" s="47"/>
      <c r="D308" s="56"/>
    </row>
    <row r="309" spans="2:4" ht="15.75" customHeight="1">
      <c r="B309" s="47"/>
      <c r="C309" s="47"/>
      <c r="D309" s="56"/>
    </row>
    <row r="310" spans="2:4" ht="15.75" customHeight="1">
      <c r="B310" s="47"/>
      <c r="C310" s="47"/>
      <c r="D310" s="56"/>
    </row>
    <row r="311" spans="2:4" ht="15.75" customHeight="1">
      <c r="B311" s="47"/>
      <c r="C311" s="47"/>
      <c r="D311" s="56"/>
    </row>
    <row r="312" spans="2:4" ht="15.75" customHeight="1">
      <c r="B312" s="47"/>
      <c r="C312" s="47"/>
      <c r="D312" s="56"/>
    </row>
    <row r="313" spans="2:4" ht="15.75" customHeight="1">
      <c r="B313" s="47"/>
      <c r="C313" s="47"/>
      <c r="D313" s="56"/>
    </row>
    <row r="314" spans="2:4" ht="15.75" customHeight="1">
      <c r="B314" s="47"/>
      <c r="C314" s="47"/>
      <c r="D314" s="56"/>
    </row>
    <row r="315" spans="2:4" ht="15.75" customHeight="1">
      <c r="B315" s="47"/>
      <c r="C315" s="47"/>
      <c r="D315" s="56"/>
    </row>
    <row r="316" spans="2:4" ht="15.75" customHeight="1">
      <c r="B316" s="47"/>
      <c r="C316" s="47"/>
      <c r="D316" s="56"/>
    </row>
    <row r="317" spans="2:4" ht="15.75" customHeight="1">
      <c r="B317" s="47"/>
      <c r="C317" s="47"/>
      <c r="D317" s="56"/>
    </row>
    <row r="318" spans="2:4" ht="15.75" customHeight="1">
      <c r="B318" s="47"/>
      <c r="C318" s="47"/>
      <c r="D318" s="56"/>
    </row>
    <row r="319" spans="2:4" ht="15.75" customHeight="1">
      <c r="B319" s="47"/>
      <c r="C319" s="47"/>
      <c r="D319" s="56"/>
    </row>
    <row r="320" spans="2:4" ht="15.75" customHeight="1">
      <c r="B320" s="47"/>
      <c r="C320" s="47"/>
      <c r="D320" s="56"/>
    </row>
    <row r="321" spans="2:4" ht="15.75" customHeight="1">
      <c r="B321" s="47"/>
      <c r="C321" s="47"/>
      <c r="D321" s="56"/>
    </row>
    <row r="322" spans="2:4" ht="15.75" customHeight="1">
      <c r="B322" s="47"/>
      <c r="C322" s="47"/>
      <c r="D322" s="56"/>
    </row>
    <row r="323" spans="2:4" ht="15.75" customHeight="1">
      <c r="B323" s="47"/>
      <c r="C323" s="47"/>
      <c r="D323" s="56"/>
    </row>
    <row r="324" spans="2:4" ht="15.75" customHeight="1">
      <c r="B324" s="47"/>
      <c r="C324" s="47"/>
      <c r="D324" s="56"/>
    </row>
    <row r="325" spans="2:4" ht="15.75" customHeight="1">
      <c r="B325" s="47"/>
      <c r="C325" s="47"/>
      <c r="D325" s="56"/>
    </row>
    <row r="326" spans="2:4" ht="15.75" customHeight="1">
      <c r="B326" s="47"/>
      <c r="C326" s="47"/>
      <c r="D326" s="56"/>
    </row>
    <row r="327" spans="2:4" ht="15.75" customHeight="1">
      <c r="B327" s="47"/>
      <c r="C327" s="47"/>
      <c r="D327" s="56"/>
    </row>
    <row r="328" spans="2:4" ht="15.75" customHeight="1">
      <c r="B328" s="47"/>
      <c r="C328" s="47"/>
      <c r="D328" s="56"/>
    </row>
    <row r="329" spans="2:4" ht="15.75" customHeight="1">
      <c r="B329" s="47"/>
      <c r="C329" s="47"/>
      <c r="D329" s="56"/>
    </row>
    <row r="330" spans="2:4" ht="15.75" customHeight="1">
      <c r="B330" s="47"/>
      <c r="C330" s="47"/>
      <c r="D330" s="56"/>
    </row>
    <row r="331" spans="2:4" ht="15.75" customHeight="1">
      <c r="B331" s="47"/>
      <c r="C331" s="47"/>
      <c r="D331" s="56"/>
    </row>
    <row r="332" spans="2:4" ht="15.75" customHeight="1">
      <c r="B332" s="47"/>
      <c r="C332" s="47"/>
      <c r="D332" s="56"/>
    </row>
    <row r="333" spans="2:4" ht="15.75" customHeight="1">
      <c r="B333" s="47"/>
      <c r="C333" s="47"/>
      <c r="D333" s="56"/>
    </row>
    <row r="334" spans="2:4" ht="15.75" customHeight="1">
      <c r="B334" s="47"/>
      <c r="C334" s="47"/>
      <c r="D334" s="56"/>
    </row>
    <row r="335" spans="2:4" ht="15.75" customHeight="1">
      <c r="B335" s="47"/>
      <c r="C335" s="47"/>
      <c r="D335" s="56"/>
    </row>
    <row r="336" spans="2:4" ht="15.75" customHeight="1">
      <c r="B336" s="47"/>
      <c r="C336" s="47"/>
      <c r="D336" s="56"/>
    </row>
    <row r="337" spans="2:4" ht="15.75" customHeight="1">
      <c r="B337" s="47"/>
      <c r="C337" s="47"/>
      <c r="D337" s="56"/>
    </row>
    <row r="338" spans="2:4" ht="15.75" customHeight="1">
      <c r="B338" s="47"/>
      <c r="C338" s="47"/>
      <c r="D338" s="56"/>
    </row>
    <row r="339" spans="2:4" ht="15.75" customHeight="1">
      <c r="B339" s="47"/>
      <c r="C339" s="47"/>
      <c r="D339" s="56"/>
    </row>
    <row r="340" spans="2:4" ht="15.75" customHeight="1">
      <c r="B340" s="47"/>
      <c r="C340" s="47"/>
      <c r="D340" s="56"/>
    </row>
    <row r="341" spans="2:4" ht="15.75" customHeight="1">
      <c r="B341" s="47"/>
      <c r="C341" s="47"/>
      <c r="D341" s="56"/>
    </row>
    <row r="342" spans="2:4" ht="15.75" customHeight="1">
      <c r="B342" s="47"/>
      <c r="C342" s="47"/>
      <c r="D342" s="56"/>
    </row>
    <row r="343" spans="2:4" ht="15.75" customHeight="1">
      <c r="B343" s="47"/>
      <c r="C343" s="47"/>
      <c r="D343" s="56"/>
    </row>
    <row r="344" spans="2:4" ht="15.75" customHeight="1">
      <c r="B344" s="47"/>
      <c r="C344" s="47"/>
      <c r="D344" s="56"/>
    </row>
    <row r="345" spans="2:4" ht="15.75" customHeight="1">
      <c r="B345" s="47"/>
      <c r="C345" s="47"/>
      <c r="D345" s="56"/>
    </row>
    <row r="346" spans="2:4" ht="15.75" customHeight="1">
      <c r="B346" s="47"/>
      <c r="C346" s="47"/>
      <c r="D346" s="56"/>
    </row>
    <row r="347" spans="2:4" ht="15.75" customHeight="1">
      <c r="B347" s="47"/>
      <c r="C347" s="47"/>
      <c r="D347" s="56"/>
    </row>
    <row r="348" spans="2:4" ht="15.75" customHeight="1">
      <c r="B348" s="47"/>
      <c r="C348" s="47"/>
      <c r="D348" s="56"/>
    </row>
    <row r="349" spans="2:4" ht="15.75" customHeight="1">
      <c r="B349" s="47"/>
      <c r="C349" s="47"/>
      <c r="D349" s="56"/>
    </row>
    <row r="350" spans="2:4" ht="15.75" customHeight="1">
      <c r="B350" s="47"/>
      <c r="C350" s="47"/>
      <c r="D350" s="56"/>
    </row>
    <row r="351" spans="2:4" ht="15.75" customHeight="1">
      <c r="B351" s="47"/>
      <c r="C351" s="47"/>
      <c r="D351" s="56"/>
    </row>
    <row r="352" spans="2:4" ht="15.75" customHeight="1">
      <c r="B352" s="47"/>
      <c r="C352" s="47"/>
      <c r="D352" s="56"/>
    </row>
    <row r="353" spans="2:4" ht="15.75" customHeight="1">
      <c r="B353" s="47"/>
      <c r="C353" s="47"/>
      <c r="D353" s="56"/>
    </row>
    <row r="354" spans="2:4" ht="15.75" customHeight="1">
      <c r="B354" s="47"/>
      <c r="C354" s="47"/>
      <c r="D354" s="56"/>
    </row>
    <row r="355" spans="2:4" ht="15.75" customHeight="1">
      <c r="B355" s="47"/>
      <c r="C355" s="47"/>
      <c r="D355" s="56"/>
    </row>
    <row r="356" spans="2:4" ht="15.75" customHeight="1">
      <c r="B356" s="47"/>
      <c r="C356" s="47"/>
      <c r="D356" s="56"/>
    </row>
    <row r="357" spans="2:4" ht="15.75" customHeight="1">
      <c r="B357" s="47"/>
      <c r="C357" s="47"/>
      <c r="D357" s="56"/>
    </row>
    <row r="358" spans="2:4" ht="15.75" customHeight="1">
      <c r="B358" s="47"/>
      <c r="C358" s="47"/>
      <c r="D358" s="56"/>
    </row>
    <row r="359" spans="2:4" ht="15.75" customHeight="1">
      <c r="B359" s="47"/>
      <c r="C359" s="47"/>
      <c r="D359" s="56"/>
    </row>
    <row r="360" spans="2:4" ht="15.75" customHeight="1">
      <c r="B360" s="47"/>
      <c r="C360" s="47"/>
      <c r="D360" s="56"/>
    </row>
    <row r="361" spans="2:4" ht="15.75" customHeight="1">
      <c r="B361" s="47"/>
      <c r="C361" s="47"/>
      <c r="D361" s="56"/>
    </row>
    <row r="362" spans="2:4" ht="15.75" customHeight="1">
      <c r="B362" s="47"/>
      <c r="C362" s="47"/>
      <c r="D362" s="56"/>
    </row>
    <row r="363" spans="2:4" ht="15.75" customHeight="1">
      <c r="B363" s="47"/>
      <c r="C363" s="47"/>
      <c r="D363" s="56"/>
    </row>
    <row r="364" spans="2:4" ht="15.75" customHeight="1">
      <c r="B364" s="47"/>
      <c r="C364" s="47"/>
      <c r="D364" s="56"/>
    </row>
    <row r="365" spans="2:4" ht="15.75" customHeight="1">
      <c r="B365" s="47"/>
      <c r="C365" s="47"/>
      <c r="D365" s="56"/>
    </row>
    <row r="366" spans="2:4" ht="15.75" customHeight="1">
      <c r="B366" s="47"/>
      <c r="C366" s="47"/>
      <c r="D366" s="56"/>
    </row>
    <row r="367" spans="2:4" ht="15.75" customHeight="1">
      <c r="B367" s="47"/>
      <c r="C367" s="47"/>
      <c r="D367" s="56"/>
    </row>
    <row r="368" spans="2:4" ht="15.75" customHeight="1">
      <c r="B368" s="47"/>
      <c r="C368" s="47"/>
      <c r="D368" s="56"/>
    </row>
    <row r="369" spans="2:4" ht="15.75" customHeight="1">
      <c r="B369" s="47"/>
      <c r="C369" s="47"/>
      <c r="D369" s="56"/>
    </row>
    <row r="370" spans="2:4" ht="15.75" customHeight="1">
      <c r="B370" s="47"/>
      <c r="C370" s="47"/>
      <c r="D370" s="56"/>
    </row>
    <row r="371" spans="2:4" ht="15.75" customHeight="1">
      <c r="B371" s="47"/>
      <c r="C371" s="47"/>
      <c r="D371" s="56"/>
    </row>
    <row r="372" spans="2:4" ht="15.75" customHeight="1">
      <c r="B372" s="47"/>
      <c r="C372" s="47"/>
      <c r="D372" s="56"/>
    </row>
    <row r="373" spans="2:4" ht="15.75" customHeight="1">
      <c r="B373" s="47"/>
      <c r="C373" s="47"/>
      <c r="D373" s="56"/>
    </row>
    <row r="374" spans="2:4" ht="15.75" customHeight="1">
      <c r="B374" s="47"/>
      <c r="C374" s="47"/>
      <c r="D374" s="56"/>
    </row>
    <row r="375" spans="2:4" ht="15.75" customHeight="1">
      <c r="B375" s="47"/>
      <c r="C375" s="47"/>
      <c r="D375" s="56"/>
    </row>
    <row r="376" spans="2:4" ht="15.75" customHeight="1">
      <c r="B376" s="47"/>
      <c r="C376" s="47"/>
      <c r="D376" s="56"/>
    </row>
    <row r="377" spans="2:4" ht="15.75" customHeight="1">
      <c r="B377" s="47"/>
      <c r="C377" s="47"/>
      <c r="D377" s="56"/>
    </row>
    <row r="378" spans="2:4" ht="15.75" customHeight="1">
      <c r="B378" s="47"/>
      <c r="C378" s="47"/>
      <c r="D378" s="56"/>
    </row>
    <row r="379" spans="2:4" ht="15.75" customHeight="1">
      <c r="B379" s="47"/>
      <c r="C379" s="47"/>
      <c r="D379" s="56"/>
    </row>
    <row r="380" spans="2:4" ht="15.75" customHeight="1">
      <c r="B380" s="47"/>
      <c r="C380" s="47"/>
      <c r="D380" s="56"/>
    </row>
    <row r="381" spans="2:4" ht="15.75" customHeight="1">
      <c r="B381" s="47"/>
      <c r="C381" s="47"/>
      <c r="D381" s="56"/>
    </row>
    <row r="382" spans="2:4" ht="15.75" customHeight="1">
      <c r="B382" s="47"/>
      <c r="C382" s="47"/>
      <c r="D382" s="56"/>
    </row>
    <row r="383" spans="2:4" ht="15.75" customHeight="1">
      <c r="B383" s="47"/>
      <c r="C383" s="47"/>
      <c r="D383" s="56"/>
    </row>
    <row r="384" spans="2:4" ht="15.75" customHeight="1">
      <c r="B384" s="47"/>
      <c r="C384" s="47"/>
      <c r="D384" s="56"/>
    </row>
    <row r="385" spans="2:4" ht="15.75" customHeight="1">
      <c r="B385" s="47"/>
      <c r="C385" s="47"/>
      <c r="D385" s="56"/>
    </row>
    <row r="386" spans="2:4" ht="15.75" customHeight="1">
      <c r="B386" s="47"/>
      <c r="C386" s="47"/>
      <c r="D386" s="56"/>
    </row>
    <row r="387" spans="2:4" ht="15.75" customHeight="1">
      <c r="B387" s="47"/>
      <c r="C387" s="47"/>
      <c r="D387" s="56"/>
    </row>
    <row r="388" spans="2:4" ht="15.75" customHeight="1">
      <c r="B388" s="47"/>
      <c r="C388" s="47"/>
      <c r="D388" s="56"/>
    </row>
    <row r="389" spans="2:4" ht="15.75" customHeight="1">
      <c r="B389" s="47"/>
      <c r="C389" s="47"/>
      <c r="D389" s="56"/>
    </row>
    <row r="390" spans="2:4" ht="15.75" customHeight="1">
      <c r="B390" s="47"/>
      <c r="C390" s="47"/>
      <c r="D390" s="56"/>
    </row>
    <row r="391" spans="2:4" ht="15.75" customHeight="1">
      <c r="B391" s="47"/>
      <c r="C391" s="47"/>
      <c r="D391" s="56"/>
    </row>
    <row r="392" spans="2:4" ht="15.75" customHeight="1">
      <c r="B392" s="47"/>
      <c r="C392" s="47"/>
      <c r="D392" s="56"/>
    </row>
    <row r="393" spans="2:4" ht="15.75" customHeight="1">
      <c r="B393" s="47"/>
      <c r="C393" s="47"/>
      <c r="D393" s="56"/>
    </row>
    <row r="394" spans="2:4" ht="15.75" customHeight="1">
      <c r="B394" s="47"/>
      <c r="C394" s="47"/>
      <c r="D394" s="56"/>
    </row>
    <row r="395" spans="2:4" ht="15.75" customHeight="1">
      <c r="B395" s="47"/>
      <c r="C395" s="47"/>
      <c r="D395" s="56"/>
    </row>
    <row r="396" spans="2:4" ht="15.75" customHeight="1">
      <c r="B396" s="47"/>
      <c r="C396" s="47"/>
      <c r="D396" s="56"/>
    </row>
    <row r="397" spans="2:4" ht="15.75" customHeight="1">
      <c r="B397" s="47"/>
      <c r="C397" s="47"/>
      <c r="D397" s="56"/>
    </row>
    <row r="398" spans="2:4" ht="15.75" customHeight="1">
      <c r="B398" s="47"/>
      <c r="C398" s="47"/>
      <c r="D398" s="56"/>
    </row>
    <row r="399" spans="2:4" ht="15.75" customHeight="1">
      <c r="B399" s="47"/>
      <c r="C399" s="47"/>
      <c r="D399" s="56"/>
    </row>
    <row r="400" spans="2:4" ht="15.75" customHeight="1">
      <c r="B400" s="47"/>
      <c r="C400" s="47"/>
      <c r="D400" s="56"/>
    </row>
    <row r="401" spans="2:4" ht="15.75" customHeight="1">
      <c r="B401" s="47"/>
      <c r="C401" s="47"/>
      <c r="D401" s="56"/>
    </row>
    <row r="402" spans="2:4" ht="15.75" customHeight="1">
      <c r="B402" s="47"/>
      <c r="C402" s="47"/>
      <c r="D402" s="56"/>
    </row>
    <row r="403" spans="2:4" ht="15.75" customHeight="1">
      <c r="B403" s="47"/>
      <c r="C403" s="47"/>
      <c r="D403" s="56"/>
    </row>
    <row r="404" spans="2:4" ht="15.75" customHeight="1">
      <c r="B404" s="47"/>
      <c r="C404" s="47"/>
      <c r="D404" s="56"/>
    </row>
    <row r="405" spans="2:4" ht="15.75" customHeight="1">
      <c r="B405" s="47"/>
      <c r="C405" s="47"/>
      <c r="D405" s="56"/>
    </row>
    <row r="406" spans="2:4" ht="15.75" customHeight="1">
      <c r="B406" s="47"/>
      <c r="C406" s="47"/>
      <c r="D406" s="56"/>
    </row>
    <row r="407" spans="2:4" ht="15.75" customHeight="1">
      <c r="B407" s="47"/>
      <c r="C407" s="47"/>
      <c r="D407" s="56"/>
    </row>
    <row r="408" spans="2:4" ht="15.75" customHeight="1">
      <c r="B408" s="47"/>
      <c r="C408" s="47"/>
      <c r="D408" s="56"/>
    </row>
    <row r="409" spans="2:4" ht="15.75" customHeight="1">
      <c r="B409" s="47"/>
      <c r="C409" s="47"/>
      <c r="D409" s="56"/>
    </row>
    <row r="410" spans="2:4" ht="15.75" customHeight="1">
      <c r="B410" s="47"/>
      <c r="C410" s="47"/>
      <c r="D410" s="56"/>
    </row>
    <row r="411" spans="2:4" ht="15.75" customHeight="1">
      <c r="B411" s="47"/>
      <c r="C411" s="47"/>
      <c r="D411" s="56"/>
    </row>
    <row r="412" spans="2:4" ht="15.75" customHeight="1">
      <c r="B412" s="47"/>
      <c r="C412" s="47"/>
      <c r="D412" s="56"/>
    </row>
    <row r="413" spans="2:4" ht="15.75" customHeight="1">
      <c r="B413" s="47"/>
      <c r="C413" s="47"/>
      <c r="D413" s="56"/>
    </row>
    <row r="414" spans="2:4" ht="15.75" customHeight="1">
      <c r="B414" s="47"/>
      <c r="C414" s="47"/>
      <c r="D414" s="56"/>
    </row>
    <row r="415" spans="2:4" ht="15.75" customHeight="1">
      <c r="B415" s="47"/>
      <c r="C415" s="47"/>
      <c r="D415" s="56"/>
    </row>
    <row r="416" spans="2:4" ht="15.75" customHeight="1">
      <c r="B416" s="47"/>
      <c r="C416" s="47"/>
      <c r="D416" s="56"/>
    </row>
    <row r="417" spans="2:4" ht="15.75" customHeight="1">
      <c r="B417" s="47"/>
      <c r="C417" s="47"/>
      <c r="D417" s="56"/>
    </row>
    <row r="418" spans="2:4" ht="15.75" customHeight="1">
      <c r="B418" s="47"/>
      <c r="C418" s="47"/>
      <c r="D418" s="56"/>
    </row>
    <row r="419" spans="2:4" ht="15.75" customHeight="1">
      <c r="B419" s="47"/>
      <c r="C419" s="47"/>
      <c r="D419" s="56"/>
    </row>
    <row r="420" spans="2:4" ht="15.75" customHeight="1">
      <c r="B420" s="47"/>
      <c r="C420" s="47"/>
      <c r="D420" s="56"/>
    </row>
    <row r="421" spans="2:4" ht="15.75" customHeight="1">
      <c r="B421" s="47"/>
      <c r="C421" s="47"/>
      <c r="D421" s="56"/>
    </row>
    <row r="422" spans="2:4" ht="15.75" customHeight="1">
      <c r="B422" s="47"/>
      <c r="C422" s="47"/>
      <c r="D422" s="56"/>
    </row>
    <row r="423" spans="2:4" ht="15.75" customHeight="1">
      <c r="B423" s="47"/>
      <c r="C423" s="47"/>
      <c r="D423" s="56"/>
    </row>
    <row r="424" spans="2:4" ht="15.75" customHeight="1">
      <c r="B424" s="47"/>
      <c r="C424" s="47"/>
      <c r="D424" s="56"/>
    </row>
    <row r="425" spans="2:4" ht="15.75" customHeight="1">
      <c r="B425" s="47"/>
      <c r="C425" s="47"/>
      <c r="D425" s="56"/>
    </row>
    <row r="426" spans="2:4" ht="15.75" customHeight="1">
      <c r="B426" s="47"/>
      <c r="C426" s="47"/>
      <c r="D426" s="56"/>
    </row>
    <row r="427" spans="2:4" ht="15.75" customHeight="1">
      <c r="B427" s="47"/>
      <c r="C427" s="47"/>
      <c r="D427" s="56"/>
    </row>
    <row r="428" spans="2:4" ht="15.75" customHeight="1">
      <c r="B428" s="47"/>
      <c r="C428" s="47"/>
      <c r="D428" s="56"/>
    </row>
    <row r="429" spans="2:4" ht="15.75" customHeight="1">
      <c r="B429" s="47"/>
      <c r="C429" s="47"/>
      <c r="D429" s="56"/>
    </row>
    <row r="430" spans="2:4" ht="15.75" customHeight="1">
      <c r="B430" s="47"/>
      <c r="C430" s="47"/>
      <c r="D430" s="56"/>
    </row>
    <row r="431" spans="2:4" ht="15.75" customHeight="1">
      <c r="B431" s="47"/>
      <c r="C431" s="47"/>
      <c r="D431" s="56"/>
    </row>
    <row r="432" spans="2:4" ht="15.75" customHeight="1">
      <c r="B432" s="47"/>
      <c r="C432" s="47"/>
      <c r="D432" s="56"/>
    </row>
    <row r="433" spans="2:4" ht="15.75" customHeight="1">
      <c r="B433" s="47"/>
      <c r="C433" s="47"/>
      <c r="D433" s="56"/>
    </row>
    <row r="434" spans="2:4" ht="15.75" customHeight="1">
      <c r="B434" s="47"/>
      <c r="C434" s="47"/>
      <c r="D434" s="56"/>
    </row>
    <row r="435" spans="2:4" ht="15.75" customHeight="1">
      <c r="B435" s="47"/>
      <c r="C435" s="47"/>
      <c r="D435" s="56"/>
    </row>
    <row r="436" spans="2:4" ht="15.75" customHeight="1">
      <c r="B436" s="47"/>
      <c r="C436" s="47"/>
      <c r="D436" s="56"/>
    </row>
    <row r="437" spans="2:4" ht="15.75" customHeight="1">
      <c r="B437" s="47"/>
      <c r="C437" s="47"/>
      <c r="D437" s="56"/>
    </row>
    <row r="438" spans="2:4" ht="15.75" customHeight="1">
      <c r="B438" s="47"/>
      <c r="C438" s="47"/>
      <c r="D438" s="56"/>
    </row>
    <row r="439" spans="2:4" ht="15.75" customHeight="1">
      <c r="B439" s="47"/>
      <c r="C439" s="47"/>
      <c r="D439" s="56"/>
    </row>
    <row r="440" spans="2:4" ht="15.75" customHeight="1">
      <c r="B440" s="47"/>
      <c r="C440" s="47"/>
      <c r="D440" s="56"/>
    </row>
    <row r="441" spans="2:4" ht="15.75" customHeight="1">
      <c r="B441" s="47"/>
      <c r="C441" s="47"/>
      <c r="D441" s="56"/>
    </row>
    <row r="442" spans="2:4" ht="15.75" customHeight="1">
      <c r="B442" s="47"/>
      <c r="C442" s="47"/>
      <c r="D442" s="56"/>
    </row>
    <row r="443" spans="2:4" ht="15.75" customHeight="1">
      <c r="B443" s="47"/>
      <c r="C443" s="47"/>
      <c r="D443" s="56"/>
    </row>
    <row r="444" spans="2:4" ht="15.75" customHeight="1">
      <c r="B444" s="47"/>
      <c r="C444" s="47"/>
      <c r="D444" s="56"/>
    </row>
    <row r="445" spans="2:4" ht="15.75" customHeight="1">
      <c r="B445" s="47"/>
      <c r="C445" s="47"/>
      <c r="D445" s="56"/>
    </row>
    <row r="446" spans="2:4" ht="15.75" customHeight="1">
      <c r="B446" s="47"/>
      <c r="C446" s="47"/>
      <c r="D446" s="56"/>
    </row>
    <row r="447" spans="2:4" ht="15.75" customHeight="1">
      <c r="B447" s="47"/>
      <c r="C447" s="47"/>
      <c r="D447" s="56"/>
    </row>
    <row r="448" spans="2:4" ht="15.75" customHeight="1">
      <c r="B448" s="47"/>
      <c r="C448" s="47"/>
      <c r="D448" s="56"/>
    </row>
    <row r="449" spans="2:4" ht="15.75" customHeight="1">
      <c r="B449" s="47"/>
      <c r="C449" s="47"/>
      <c r="D449" s="56"/>
    </row>
    <row r="450" spans="2:4" ht="15.75" customHeight="1">
      <c r="B450" s="47"/>
      <c r="C450" s="47"/>
      <c r="D450" s="56"/>
    </row>
    <row r="451" spans="2:4" ht="15.75" customHeight="1">
      <c r="B451" s="47"/>
      <c r="C451" s="47"/>
      <c r="D451" s="56"/>
    </row>
    <row r="452" spans="2:4" ht="15.75" customHeight="1">
      <c r="B452" s="47"/>
      <c r="C452" s="47"/>
      <c r="D452" s="56"/>
    </row>
    <row r="453" spans="2:4" ht="15.75" customHeight="1">
      <c r="B453" s="47"/>
      <c r="C453" s="47"/>
      <c r="D453" s="56"/>
    </row>
    <row r="454" spans="2:4" ht="15.75" customHeight="1">
      <c r="B454" s="47"/>
      <c r="C454" s="47"/>
      <c r="D454" s="56"/>
    </row>
    <row r="455" spans="2:4" ht="15.75" customHeight="1">
      <c r="B455" s="47"/>
      <c r="C455" s="47"/>
      <c r="D455" s="56"/>
    </row>
    <row r="456" spans="2:4" ht="15.75" customHeight="1">
      <c r="B456" s="47"/>
      <c r="C456" s="47"/>
      <c r="D456" s="56"/>
    </row>
    <row r="457" spans="2:4" ht="15.75" customHeight="1">
      <c r="B457" s="47"/>
      <c r="C457" s="47"/>
      <c r="D457" s="56"/>
    </row>
    <row r="458" spans="2:4" ht="15.75" customHeight="1">
      <c r="B458" s="47"/>
      <c r="C458" s="47"/>
      <c r="D458" s="56"/>
    </row>
    <row r="459" spans="2:4" ht="15.75" customHeight="1">
      <c r="B459" s="47"/>
      <c r="C459" s="47"/>
      <c r="D459" s="56"/>
    </row>
    <row r="460" spans="2:4" ht="15.75" customHeight="1">
      <c r="B460" s="47"/>
      <c r="C460" s="47"/>
      <c r="D460" s="56"/>
    </row>
    <row r="461" spans="2:4" ht="15.75" customHeight="1">
      <c r="B461" s="47"/>
      <c r="C461" s="47"/>
      <c r="D461" s="56"/>
    </row>
    <row r="462" spans="2:4" ht="15.75" customHeight="1">
      <c r="B462" s="47"/>
      <c r="C462" s="47"/>
      <c r="D462" s="56"/>
    </row>
    <row r="463" spans="2:4" ht="15.75" customHeight="1">
      <c r="B463" s="47"/>
      <c r="C463" s="47"/>
      <c r="D463" s="56"/>
    </row>
    <row r="464" spans="2:4" ht="15.75" customHeight="1">
      <c r="B464" s="47"/>
      <c r="C464" s="47"/>
      <c r="D464" s="56"/>
    </row>
    <row r="465" spans="2:4" ht="15.75" customHeight="1">
      <c r="B465" s="47"/>
      <c r="C465" s="47"/>
      <c r="D465" s="56"/>
    </row>
    <row r="466" spans="2:4" ht="15.75" customHeight="1">
      <c r="B466" s="47"/>
      <c r="C466" s="47"/>
      <c r="D466" s="56"/>
    </row>
    <row r="467" spans="2:4" ht="15.75" customHeight="1">
      <c r="B467" s="47"/>
      <c r="C467" s="47"/>
      <c r="D467" s="56"/>
    </row>
    <row r="468" spans="2:4" ht="15.75" customHeight="1">
      <c r="B468" s="47"/>
      <c r="C468" s="47"/>
      <c r="D468" s="56"/>
    </row>
    <row r="469" spans="2:4" ht="15.75" customHeight="1">
      <c r="B469" s="47"/>
      <c r="C469" s="47"/>
      <c r="D469" s="56"/>
    </row>
    <row r="470" spans="2:4" ht="15.75" customHeight="1">
      <c r="B470" s="47"/>
      <c r="C470" s="47"/>
      <c r="D470" s="56"/>
    </row>
    <row r="471" spans="2:4" ht="15.75" customHeight="1">
      <c r="B471" s="47"/>
      <c r="C471" s="47"/>
      <c r="D471" s="56"/>
    </row>
    <row r="472" spans="2:4" ht="15.75" customHeight="1">
      <c r="B472" s="47"/>
      <c r="C472" s="47"/>
      <c r="D472" s="56"/>
    </row>
    <row r="473" spans="2:4" ht="15.75" customHeight="1">
      <c r="B473" s="47"/>
      <c r="C473" s="47"/>
      <c r="D473" s="56"/>
    </row>
    <row r="474" spans="2:4" ht="15.75" customHeight="1">
      <c r="B474" s="47"/>
      <c r="C474" s="47"/>
      <c r="D474" s="56"/>
    </row>
    <row r="475" spans="2:4" ht="15.75" customHeight="1">
      <c r="B475" s="47"/>
      <c r="C475" s="47"/>
      <c r="D475" s="56"/>
    </row>
    <row r="476" spans="2:4" ht="15.75" customHeight="1">
      <c r="B476" s="47"/>
      <c r="C476" s="47"/>
      <c r="D476" s="56"/>
    </row>
    <row r="477" spans="2:4" ht="15.75" customHeight="1">
      <c r="B477" s="47"/>
      <c r="C477" s="47"/>
      <c r="D477" s="56"/>
    </row>
    <row r="478" spans="2:4" ht="15.75" customHeight="1">
      <c r="B478" s="47"/>
      <c r="C478" s="47"/>
      <c r="D478" s="56"/>
    </row>
    <row r="479" spans="2:4" ht="15.75" customHeight="1">
      <c r="B479" s="47"/>
      <c r="C479" s="47"/>
      <c r="D479" s="56"/>
    </row>
    <row r="480" spans="2:4" ht="15.75" customHeight="1">
      <c r="B480" s="47"/>
      <c r="C480" s="47"/>
      <c r="D480" s="56"/>
    </row>
    <row r="481" spans="2:4" ht="15.75" customHeight="1">
      <c r="B481" s="47"/>
      <c r="C481" s="47"/>
      <c r="D481" s="56"/>
    </row>
    <row r="482" spans="2:4" ht="15.75" customHeight="1">
      <c r="B482" s="47"/>
      <c r="C482" s="47"/>
      <c r="D482" s="56"/>
    </row>
    <row r="483" spans="2:4" ht="15.75" customHeight="1">
      <c r="B483" s="47"/>
      <c r="C483" s="47"/>
      <c r="D483" s="56"/>
    </row>
    <row r="484" spans="2:4" ht="15.75" customHeight="1">
      <c r="B484" s="47"/>
      <c r="C484" s="47"/>
      <c r="D484" s="56"/>
    </row>
    <row r="485" spans="2:4" ht="15.75" customHeight="1">
      <c r="B485" s="47"/>
      <c r="C485" s="47"/>
      <c r="D485" s="56"/>
    </row>
    <row r="486" spans="2:4" ht="15.75" customHeight="1">
      <c r="B486" s="47"/>
      <c r="C486" s="47"/>
      <c r="D486" s="56"/>
    </row>
    <row r="487" spans="2:4" ht="15.75" customHeight="1">
      <c r="B487" s="47"/>
      <c r="C487" s="47"/>
      <c r="D487" s="56"/>
    </row>
    <row r="488" spans="2:4" ht="15.75" customHeight="1">
      <c r="B488" s="47"/>
      <c r="C488" s="47"/>
      <c r="D488" s="56"/>
    </row>
    <row r="489" spans="2:4" ht="15.75" customHeight="1">
      <c r="B489" s="47"/>
      <c r="C489" s="47"/>
      <c r="D489" s="56"/>
    </row>
    <row r="490" spans="2:4" ht="15.75" customHeight="1">
      <c r="B490" s="47"/>
      <c r="C490" s="47"/>
      <c r="D490" s="56"/>
    </row>
    <row r="491" spans="2:4" ht="15.75" customHeight="1">
      <c r="B491" s="47"/>
      <c r="C491" s="47"/>
      <c r="D491" s="56"/>
    </row>
    <row r="492" spans="2:4" ht="15.75" customHeight="1">
      <c r="B492" s="47"/>
      <c r="C492" s="47"/>
      <c r="D492" s="56"/>
    </row>
    <row r="493" spans="2:4" ht="15.75" customHeight="1">
      <c r="B493" s="47"/>
      <c r="C493" s="47"/>
      <c r="D493" s="56"/>
    </row>
    <row r="494" spans="2:4" ht="15.75" customHeight="1">
      <c r="B494" s="47"/>
      <c r="C494" s="47"/>
      <c r="D494" s="56"/>
    </row>
    <row r="495" spans="2:4" ht="15.75" customHeight="1">
      <c r="B495" s="47"/>
      <c r="C495" s="47"/>
      <c r="D495" s="56"/>
    </row>
    <row r="496" spans="2:4" ht="15.75" customHeight="1">
      <c r="B496" s="47"/>
      <c r="C496" s="47"/>
      <c r="D496" s="56"/>
    </row>
    <row r="497" spans="2:4" ht="15.75" customHeight="1">
      <c r="B497" s="47"/>
      <c r="C497" s="47"/>
      <c r="D497" s="56"/>
    </row>
    <row r="498" spans="2:4" ht="15.75" customHeight="1">
      <c r="B498" s="47"/>
      <c r="C498" s="47"/>
      <c r="D498" s="56"/>
    </row>
    <row r="499" spans="2:4" ht="15.75" customHeight="1">
      <c r="B499" s="47"/>
      <c r="C499" s="47"/>
      <c r="D499" s="56"/>
    </row>
    <row r="500" spans="2:4" ht="15.75" customHeight="1">
      <c r="B500" s="47"/>
      <c r="C500" s="47"/>
      <c r="D500" s="56"/>
    </row>
    <row r="501" spans="2:4" ht="15.75" customHeight="1">
      <c r="B501" s="47"/>
      <c r="C501" s="47"/>
      <c r="D501" s="56"/>
    </row>
    <row r="502" spans="2:4" ht="15.75" customHeight="1">
      <c r="B502" s="47"/>
      <c r="C502" s="47"/>
      <c r="D502" s="56"/>
    </row>
    <row r="503" spans="2:4" ht="15.75" customHeight="1">
      <c r="B503" s="47"/>
      <c r="C503" s="47"/>
      <c r="D503" s="56"/>
    </row>
    <row r="504" spans="2:4" ht="15.75" customHeight="1">
      <c r="B504" s="47"/>
      <c r="C504" s="47"/>
      <c r="D504" s="56"/>
    </row>
    <row r="505" spans="2:4" ht="15.75" customHeight="1">
      <c r="B505" s="47"/>
      <c r="C505" s="47"/>
      <c r="D505" s="56"/>
    </row>
    <row r="506" spans="2:4" ht="15.75" customHeight="1">
      <c r="B506" s="47"/>
      <c r="C506" s="47"/>
      <c r="D506" s="56"/>
    </row>
    <row r="507" spans="2:4" ht="15.75" customHeight="1">
      <c r="B507" s="47"/>
      <c r="C507" s="47"/>
      <c r="D507" s="56"/>
    </row>
    <row r="508" spans="2:4" ht="15.75" customHeight="1">
      <c r="B508" s="47"/>
      <c r="C508" s="47"/>
      <c r="D508" s="56"/>
    </row>
    <row r="509" spans="2:4" ht="15.75" customHeight="1">
      <c r="B509" s="47"/>
      <c r="C509" s="47"/>
      <c r="D509" s="56"/>
    </row>
    <row r="510" spans="2:4" ht="15.75" customHeight="1">
      <c r="B510" s="47"/>
      <c r="C510" s="47"/>
      <c r="D510" s="56"/>
    </row>
    <row r="511" spans="2:4" ht="15.75" customHeight="1">
      <c r="B511" s="47"/>
      <c r="C511" s="47"/>
      <c r="D511" s="56"/>
    </row>
    <row r="512" spans="2:4" ht="15.75" customHeight="1">
      <c r="B512" s="47"/>
      <c r="C512" s="47"/>
      <c r="D512" s="56"/>
    </row>
    <row r="513" spans="2:4" ht="15.75" customHeight="1">
      <c r="B513" s="47"/>
      <c r="C513" s="47"/>
      <c r="D513" s="56"/>
    </row>
    <row r="514" spans="2:4" ht="15.75" customHeight="1">
      <c r="B514" s="47"/>
      <c r="C514" s="47"/>
      <c r="D514" s="56"/>
    </row>
    <row r="515" spans="2:4" ht="15.75" customHeight="1">
      <c r="B515" s="47"/>
      <c r="C515" s="47"/>
      <c r="D515" s="56"/>
    </row>
    <row r="516" spans="2:4" ht="15.75" customHeight="1">
      <c r="B516" s="47"/>
      <c r="C516" s="47"/>
      <c r="D516" s="56"/>
    </row>
    <row r="517" spans="2:4" ht="15.75" customHeight="1">
      <c r="B517" s="47"/>
      <c r="C517" s="47"/>
      <c r="D517" s="56"/>
    </row>
    <row r="518" spans="2:4" ht="15.75" customHeight="1">
      <c r="B518" s="47"/>
      <c r="C518" s="47"/>
      <c r="D518" s="56"/>
    </row>
    <row r="519" spans="2:4" ht="15.75" customHeight="1">
      <c r="B519" s="47"/>
      <c r="C519" s="47"/>
      <c r="D519" s="56"/>
    </row>
    <row r="520" spans="2:4" ht="15.75" customHeight="1">
      <c r="B520" s="47"/>
      <c r="C520" s="47"/>
      <c r="D520" s="56"/>
    </row>
    <row r="521" spans="2:4" ht="15.75" customHeight="1">
      <c r="B521" s="47"/>
      <c r="C521" s="47"/>
      <c r="D521" s="56"/>
    </row>
    <row r="522" spans="2:4" ht="15.75" customHeight="1">
      <c r="B522" s="47"/>
      <c r="C522" s="47"/>
      <c r="D522" s="56"/>
    </row>
    <row r="523" spans="2:4" ht="15.75" customHeight="1">
      <c r="B523" s="47"/>
      <c r="C523" s="47"/>
      <c r="D523" s="56"/>
    </row>
    <row r="524" spans="2:4" ht="15.75" customHeight="1">
      <c r="B524" s="47"/>
      <c r="C524" s="47"/>
      <c r="D524" s="56"/>
    </row>
    <row r="525" spans="2:4" ht="15.75" customHeight="1">
      <c r="B525" s="47"/>
      <c r="C525" s="47"/>
      <c r="D525" s="56"/>
    </row>
    <row r="526" spans="2:4" ht="15.75" customHeight="1">
      <c r="B526" s="47"/>
      <c r="C526" s="47"/>
      <c r="D526" s="56"/>
    </row>
    <row r="527" spans="2:4" ht="15.75" customHeight="1">
      <c r="B527" s="47"/>
      <c r="C527" s="47"/>
      <c r="D527" s="56"/>
    </row>
    <row r="528" spans="2:4" ht="15.75" customHeight="1">
      <c r="B528" s="47"/>
      <c r="C528" s="47"/>
      <c r="D528" s="56"/>
    </row>
    <row r="529" spans="2:4" ht="15.75" customHeight="1">
      <c r="B529" s="47"/>
      <c r="C529" s="47"/>
      <c r="D529" s="56"/>
    </row>
    <row r="530" spans="2:4" ht="15.75" customHeight="1">
      <c r="B530" s="47"/>
      <c r="C530" s="47"/>
      <c r="D530" s="56"/>
    </row>
    <row r="531" spans="2:4" ht="15.75" customHeight="1">
      <c r="B531" s="47"/>
      <c r="C531" s="47"/>
      <c r="D531" s="56"/>
    </row>
    <row r="532" spans="2:4" ht="15.75" customHeight="1">
      <c r="B532" s="47"/>
      <c r="C532" s="47"/>
      <c r="D532" s="56"/>
    </row>
    <row r="533" spans="2:4" ht="15.75" customHeight="1">
      <c r="B533" s="47"/>
      <c r="C533" s="47"/>
      <c r="D533" s="56"/>
    </row>
    <row r="534" spans="2:4" ht="15.75" customHeight="1">
      <c r="B534" s="47"/>
      <c r="C534" s="47"/>
      <c r="D534" s="56"/>
    </row>
    <row r="535" spans="2:4" ht="15.75" customHeight="1">
      <c r="B535" s="47"/>
      <c r="C535" s="47"/>
      <c r="D535" s="56"/>
    </row>
    <row r="536" spans="2:4" ht="15.75" customHeight="1">
      <c r="B536" s="47"/>
      <c r="C536" s="47"/>
      <c r="D536" s="56"/>
    </row>
    <row r="537" spans="2:4" ht="15.75" customHeight="1">
      <c r="B537" s="47"/>
      <c r="C537" s="47"/>
      <c r="D537" s="56"/>
    </row>
    <row r="538" spans="2:4" ht="15.75" customHeight="1">
      <c r="B538" s="47"/>
      <c r="C538" s="47"/>
      <c r="D538" s="56"/>
    </row>
    <row r="539" spans="2:4" ht="15.75" customHeight="1">
      <c r="B539" s="47"/>
      <c r="C539" s="47"/>
      <c r="D539" s="56"/>
    </row>
    <row r="540" spans="2:4" ht="15.75" customHeight="1">
      <c r="B540" s="47"/>
      <c r="C540" s="47"/>
      <c r="D540" s="56"/>
    </row>
    <row r="541" spans="2:4" ht="15.75" customHeight="1">
      <c r="B541" s="47"/>
      <c r="C541" s="47"/>
      <c r="D541" s="56"/>
    </row>
    <row r="542" spans="2:4" ht="15.75" customHeight="1">
      <c r="B542" s="47"/>
      <c r="C542" s="47"/>
      <c r="D542" s="56"/>
    </row>
    <row r="543" spans="2:4" ht="15.75" customHeight="1">
      <c r="B543" s="47"/>
      <c r="C543" s="47"/>
      <c r="D543" s="56"/>
    </row>
    <row r="544" spans="2:4" ht="15.75" customHeight="1">
      <c r="B544" s="47"/>
      <c r="C544" s="47"/>
      <c r="D544" s="56"/>
    </row>
    <row r="545" spans="2:4" ht="15.75" customHeight="1">
      <c r="B545" s="47"/>
      <c r="C545" s="47"/>
      <c r="D545" s="56"/>
    </row>
    <row r="546" spans="2:4" ht="15.75" customHeight="1">
      <c r="B546" s="47"/>
      <c r="C546" s="47"/>
      <c r="D546" s="56"/>
    </row>
    <row r="547" spans="2:4" ht="15.75" customHeight="1">
      <c r="B547" s="47"/>
      <c r="C547" s="47"/>
      <c r="D547" s="56"/>
    </row>
    <row r="548" spans="2:4" ht="15.75" customHeight="1">
      <c r="B548" s="47"/>
      <c r="C548" s="47"/>
      <c r="D548" s="56"/>
    </row>
    <row r="549" spans="2:4" ht="15.75" customHeight="1">
      <c r="B549" s="47"/>
      <c r="C549" s="47"/>
      <c r="D549" s="56"/>
    </row>
    <row r="550" spans="2:4" ht="15.75" customHeight="1">
      <c r="B550" s="47"/>
      <c r="C550" s="47"/>
      <c r="D550" s="56"/>
    </row>
    <row r="551" spans="2:4" ht="15.75" customHeight="1">
      <c r="B551" s="47"/>
      <c r="C551" s="47"/>
      <c r="D551" s="56"/>
    </row>
    <row r="552" spans="2:4" ht="15.75" customHeight="1">
      <c r="B552" s="47"/>
      <c r="C552" s="47"/>
      <c r="D552" s="56"/>
    </row>
    <row r="553" spans="2:4" ht="15.75" customHeight="1">
      <c r="B553" s="47"/>
      <c r="C553" s="47"/>
      <c r="D553" s="56"/>
    </row>
    <row r="554" spans="2:4" ht="15.75" customHeight="1">
      <c r="B554" s="47"/>
      <c r="C554" s="47"/>
      <c r="D554" s="56"/>
    </row>
    <row r="555" spans="2:4" ht="15.75" customHeight="1">
      <c r="B555" s="47"/>
      <c r="C555" s="47"/>
      <c r="D555" s="56"/>
    </row>
    <row r="556" spans="2:4" ht="15.75" customHeight="1">
      <c r="B556" s="47"/>
      <c r="C556" s="47"/>
      <c r="D556" s="56"/>
    </row>
    <row r="557" spans="2:4" ht="15.75" customHeight="1">
      <c r="B557" s="47"/>
      <c r="C557" s="47"/>
      <c r="D557" s="56"/>
    </row>
    <row r="558" spans="2:4" ht="15.75" customHeight="1">
      <c r="B558" s="47"/>
      <c r="C558" s="47"/>
      <c r="D558" s="56"/>
    </row>
    <row r="559" spans="2:4" ht="15.75" customHeight="1">
      <c r="B559" s="47"/>
      <c r="C559" s="47"/>
      <c r="D559" s="56"/>
    </row>
    <row r="560" spans="2:4" ht="15.75" customHeight="1">
      <c r="B560" s="47"/>
      <c r="C560" s="47"/>
      <c r="D560" s="56"/>
    </row>
    <row r="561" spans="2:4" ht="15.75" customHeight="1">
      <c r="B561" s="47"/>
      <c r="C561" s="47"/>
      <c r="D561" s="56"/>
    </row>
    <row r="562" spans="2:4" ht="15.75" customHeight="1">
      <c r="B562" s="47"/>
      <c r="C562" s="47"/>
      <c r="D562" s="56"/>
    </row>
    <row r="563" spans="2:4" ht="15.75" customHeight="1">
      <c r="B563" s="47"/>
      <c r="C563" s="47"/>
      <c r="D563" s="56"/>
    </row>
    <row r="564" spans="2:4" ht="15.75" customHeight="1">
      <c r="B564" s="47"/>
      <c r="C564" s="47"/>
      <c r="D564" s="56"/>
    </row>
    <row r="565" spans="2:4" ht="15.75" customHeight="1">
      <c r="B565" s="47"/>
      <c r="C565" s="47"/>
      <c r="D565" s="56"/>
    </row>
    <row r="566" spans="2:4" ht="15.75" customHeight="1">
      <c r="B566" s="47"/>
      <c r="C566" s="47"/>
      <c r="D566" s="56"/>
    </row>
    <row r="567" spans="2:4" ht="15.75" customHeight="1">
      <c r="B567" s="47"/>
      <c r="C567" s="47"/>
      <c r="D567" s="56"/>
    </row>
    <row r="568" spans="2:4" ht="15.75" customHeight="1">
      <c r="B568" s="47"/>
      <c r="C568" s="47"/>
      <c r="D568" s="56"/>
    </row>
    <row r="569" spans="2:4" ht="15.75" customHeight="1">
      <c r="B569" s="47"/>
      <c r="C569" s="47"/>
      <c r="D569" s="56"/>
    </row>
    <row r="570" spans="2:4" ht="15.75" customHeight="1">
      <c r="B570" s="47"/>
      <c r="C570" s="47"/>
      <c r="D570" s="56"/>
    </row>
    <row r="571" spans="2:4" ht="15.75" customHeight="1">
      <c r="B571" s="47"/>
      <c r="C571" s="47"/>
      <c r="D571" s="56"/>
    </row>
    <row r="572" spans="2:4" ht="15.75" customHeight="1">
      <c r="B572" s="47"/>
      <c r="C572" s="47"/>
      <c r="D572" s="56"/>
    </row>
    <row r="573" spans="2:4" ht="15.75" customHeight="1">
      <c r="B573" s="47"/>
      <c r="C573" s="47"/>
      <c r="D573" s="56"/>
    </row>
    <row r="574" spans="2:4" ht="15.75" customHeight="1">
      <c r="B574" s="47"/>
      <c r="C574" s="47"/>
      <c r="D574" s="56"/>
    </row>
    <row r="575" spans="2:4" ht="15.75" customHeight="1">
      <c r="B575" s="47"/>
      <c r="C575" s="47"/>
      <c r="D575" s="56"/>
    </row>
    <row r="576" spans="2:4" ht="15.75" customHeight="1">
      <c r="B576" s="47"/>
      <c r="C576" s="47"/>
      <c r="D576" s="56"/>
    </row>
    <row r="577" spans="2:4" ht="15.75" customHeight="1">
      <c r="B577" s="47"/>
      <c r="C577" s="47"/>
      <c r="D577" s="56"/>
    </row>
    <row r="578" spans="2:4" ht="15.75" customHeight="1">
      <c r="B578" s="47"/>
      <c r="C578" s="47"/>
      <c r="D578" s="56"/>
    </row>
    <row r="579" spans="2:4" ht="15.75" customHeight="1">
      <c r="B579" s="47"/>
      <c r="C579" s="47"/>
      <c r="D579" s="56"/>
    </row>
    <row r="580" spans="2:4" ht="15.75" customHeight="1">
      <c r="B580" s="47"/>
      <c r="C580" s="47"/>
      <c r="D580" s="56"/>
    </row>
    <row r="581" spans="2:4" ht="15.75" customHeight="1">
      <c r="B581" s="47"/>
      <c r="C581" s="47"/>
      <c r="D581" s="56"/>
    </row>
    <row r="582" spans="2:4" ht="15.75" customHeight="1">
      <c r="B582" s="47"/>
      <c r="C582" s="47"/>
      <c r="D582" s="56"/>
    </row>
    <row r="583" spans="2:4" ht="15.75" customHeight="1">
      <c r="B583" s="47"/>
      <c r="C583" s="47"/>
      <c r="D583" s="56"/>
    </row>
    <row r="584" spans="2:4" ht="15.75" customHeight="1">
      <c r="B584" s="47"/>
      <c r="C584" s="47"/>
      <c r="D584" s="56"/>
    </row>
    <row r="585" spans="2:4" ht="15.75" customHeight="1">
      <c r="B585" s="47"/>
      <c r="C585" s="47"/>
      <c r="D585" s="56"/>
    </row>
    <row r="586" spans="2:4" ht="15.75" customHeight="1">
      <c r="B586" s="47"/>
      <c r="C586" s="47"/>
      <c r="D586" s="56"/>
    </row>
    <row r="587" spans="2:4" ht="15.75" customHeight="1">
      <c r="B587" s="47"/>
      <c r="C587" s="47"/>
      <c r="D587" s="56"/>
    </row>
    <row r="588" spans="2:4" ht="15.75" customHeight="1">
      <c r="B588" s="47"/>
      <c r="C588" s="47"/>
      <c r="D588" s="56"/>
    </row>
    <row r="589" spans="2:4" ht="15.75" customHeight="1">
      <c r="B589" s="47"/>
      <c r="C589" s="47"/>
      <c r="D589" s="56"/>
    </row>
    <row r="590" spans="2:4" ht="15.75" customHeight="1">
      <c r="B590" s="47"/>
      <c r="C590" s="47"/>
      <c r="D590" s="56"/>
    </row>
    <row r="591" spans="2:4" ht="15.75" customHeight="1">
      <c r="B591" s="47"/>
      <c r="C591" s="47"/>
      <c r="D591" s="56"/>
    </row>
    <row r="592" spans="2:4" ht="15.75" customHeight="1">
      <c r="B592" s="47"/>
      <c r="C592" s="47"/>
      <c r="D592" s="56"/>
    </row>
    <row r="593" spans="2:4" ht="15.75" customHeight="1">
      <c r="B593" s="47"/>
      <c r="C593" s="47"/>
      <c r="D593" s="56"/>
    </row>
    <row r="594" spans="2:4" ht="15.75" customHeight="1">
      <c r="B594" s="47"/>
      <c r="C594" s="47"/>
      <c r="D594" s="56"/>
    </row>
    <row r="595" spans="2:4" ht="15.75" customHeight="1">
      <c r="B595" s="47"/>
      <c r="C595" s="47"/>
      <c r="D595" s="56"/>
    </row>
    <row r="596" spans="2:4" ht="15.75" customHeight="1">
      <c r="B596" s="47"/>
      <c r="C596" s="47"/>
      <c r="D596" s="56"/>
    </row>
    <row r="597" spans="2:4" ht="15.75" customHeight="1">
      <c r="B597" s="47"/>
      <c r="C597" s="47"/>
      <c r="D597" s="56"/>
    </row>
    <row r="598" spans="2:4" ht="15.75" customHeight="1">
      <c r="B598" s="47"/>
      <c r="C598" s="47"/>
      <c r="D598" s="56"/>
    </row>
    <row r="599" spans="2:4" ht="15.75" customHeight="1">
      <c r="B599" s="47"/>
      <c r="C599" s="47"/>
      <c r="D599" s="56"/>
    </row>
    <row r="600" spans="2:4" ht="15.75" customHeight="1">
      <c r="B600" s="47"/>
      <c r="C600" s="47"/>
      <c r="D600" s="56"/>
    </row>
    <row r="601" spans="2:4" ht="15.75" customHeight="1">
      <c r="B601" s="47"/>
      <c r="C601" s="47"/>
      <c r="D601" s="56"/>
    </row>
    <row r="602" spans="2:4" ht="15.75" customHeight="1">
      <c r="B602" s="47"/>
      <c r="C602" s="47"/>
      <c r="D602" s="56"/>
    </row>
    <row r="603" spans="2:4" ht="15.75" customHeight="1">
      <c r="B603" s="47"/>
      <c r="C603" s="47"/>
      <c r="D603" s="56"/>
    </row>
    <row r="604" spans="2:4" ht="15.75" customHeight="1">
      <c r="B604" s="47"/>
      <c r="C604" s="47"/>
      <c r="D604" s="56"/>
    </row>
    <row r="605" spans="2:4" ht="15.75" customHeight="1">
      <c r="B605" s="47"/>
      <c r="C605" s="47"/>
      <c r="D605" s="56"/>
    </row>
    <row r="606" spans="2:4" ht="15.75" customHeight="1">
      <c r="B606" s="47"/>
      <c r="C606" s="47"/>
      <c r="D606" s="56"/>
    </row>
    <row r="607" spans="2:4" ht="15.75" customHeight="1">
      <c r="B607" s="47"/>
      <c r="C607" s="47"/>
      <c r="D607" s="56"/>
    </row>
    <row r="608" spans="2:4" ht="15.75" customHeight="1">
      <c r="B608" s="47"/>
      <c r="C608" s="47"/>
      <c r="D608" s="56"/>
    </row>
    <row r="609" spans="2:4" ht="15.75" customHeight="1">
      <c r="B609" s="47"/>
      <c r="C609" s="47"/>
      <c r="D609" s="56"/>
    </row>
    <row r="610" spans="2:4" ht="15.75" customHeight="1">
      <c r="B610" s="47"/>
      <c r="C610" s="47"/>
      <c r="D610" s="56"/>
    </row>
    <row r="611" spans="2:4" ht="15.75" customHeight="1">
      <c r="B611" s="47"/>
      <c r="C611" s="47"/>
      <c r="D611" s="56"/>
    </row>
    <row r="612" spans="2:4" ht="15.75" customHeight="1">
      <c r="B612" s="47"/>
      <c r="C612" s="47"/>
      <c r="D612" s="56"/>
    </row>
    <row r="613" spans="2:4" ht="15.75" customHeight="1">
      <c r="B613" s="47"/>
      <c r="C613" s="47"/>
      <c r="D613" s="56"/>
    </row>
    <row r="614" spans="2:4" ht="15.75" customHeight="1">
      <c r="B614" s="47"/>
      <c r="C614" s="47"/>
      <c r="D614" s="56"/>
    </row>
    <row r="615" spans="2:4" ht="15.75" customHeight="1">
      <c r="B615" s="47"/>
      <c r="C615" s="47"/>
      <c r="D615" s="56"/>
    </row>
    <row r="616" spans="2:4" ht="15.75" customHeight="1">
      <c r="B616" s="47"/>
      <c r="C616" s="47"/>
      <c r="D616" s="56"/>
    </row>
    <row r="617" spans="2:4" ht="15.75" customHeight="1">
      <c r="B617" s="47"/>
      <c r="C617" s="47"/>
      <c r="D617" s="56"/>
    </row>
    <row r="618" spans="2:4" ht="15.75" customHeight="1">
      <c r="B618" s="47"/>
      <c r="C618" s="47"/>
      <c r="D618" s="56"/>
    </row>
    <row r="619" spans="2:4" ht="15.75" customHeight="1">
      <c r="B619" s="47"/>
      <c r="C619" s="47"/>
      <c r="D619" s="56"/>
    </row>
    <row r="620" spans="2:4" ht="15.75" customHeight="1">
      <c r="B620" s="47"/>
      <c r="C620" s="47"/>
      <c r="D620" s="56"/>
    </row>
    <row r="621" spans="2:4" ht="15.75" customHeight="1">
      <c r="B621" s="47"/>
      <c r="C621" s="47"/>
      <c r="D621" s="56"/>
    </row>
    <row r="622" spans="2:4" ht="15.75" customHeight="1">
      <c r="B622" s="47"/>
      <c r="C622" s="47"/>
      <c r="D622" s="56"/>
    </row>
    <row r="623" spans="2:4" ht="15.75" customHeight="1">
      <c r="B623" s="47"/>
      <c r="C623" s="47"/>
      <c r="D623" s="56"/>
    </row>
    <row r="624" spans="2:4" ht="15.75" customHeight="1">
      <c r="B624" s="47"/>
      <c r="C624" s="47"/>
      <c r="D624" s="56"/>
    </row>
    <row r="625" spans="2:4" ht="15.75" customHeight="1">
      <c r="B625" s="47"/>
      <c r="C625" s="47"/>
      <c r="D625" s="56"/>
    </row>
    <row r="626" spans="2:4" ht="15.75" customHeight="1">
      <c r="B626" s="47"/>
      <c r="C626" s="47"/>
      <c r="D626" s="56"/>
    </row>
    <row r="627" spans="2:4" ht="15.75" customHeight="1">
      <c r="B627" s="47"/>
      <c r="C627" s="47"/>
      <c r="D627" s="56"/>
    </row>
    <row r="628" spans="2:4" ht="15.75" customHeight="1">
      <c r="B628" s="47"/>
      <c r="C628" s="47"/>
      <c r="D628" s="56"/>
    </row>
    <row r="629" spans="2:4" ht="15.75" customHeight="1">
      <c r="B629" s="47"/>
      <c r="C629" s="47"/>
      <c r="D629" s="56"/>
    </row>
    <row r="630" spans="2:4" ht="15.75" customHeight="1">
      <c r="B630" s="47"/>
      <c r="C630" s="47"/>
      <c r="D630" s="56"/>
    </row>
    <row r="631" spans="2:4" ht="15.75" customHeight="1">
      <c r="B631" s="47"/>
      <c r="C631" s="47"/>
      <c r="D631" s="56"/>
    </row>
    <row r="632" spans="2:4" ht="15.75" customHeight="1">
      <c r="B632" s="47"/>
      <c r="C632" s="47"/>
      <c r="D632" s="56"/>
    </row>
    <row r="633" spans="2:4" ht="15.75" customHeight="1">
      <c r="B633" s="47"/>
      <c r="C633" s="47"/>
      <c r="D633" s="56"/>
    </row>
    <row r="634" spans="2:4" ht="15.75" customHeight="1">
      <c r="B634" s="47"/>
      <c r="C634" s="47"/>
      <c r="D634" s="56"/>
    </row>
    <row r="635" spans="2:4" ht="15.75" customHeight="1">
      <c r="B635" s="47"/>
      <c r="C635" s="47"/>
      <c r="D635" s="56"/>
    </row>
    <row r="636" spans="2:4" ht="15.75" customHeight="1">
      <c r="B636" s="47"/>
      <c r="C636" s="47"/>
      <c r="D636" s="56"/>
    </row>
    <row r="637" spans="2:4" ht="15.75" customHeight="1">
      <c r="B637" s="47"/>
      <c r="C637" s="47"/>
      <c r="D637" s="56"/>
    </row>
    <row r="638" spans="2:4" ht="15.75" customHeight="1">
      <c r="B638" s="47"/>
      <c r="C638" s="47"/>
      <c r="D638" s="56"/>
    </row>
    <row r="639" spans="2:4" ht="15.75" customHeight="1">
      <c r="B639" s="47"/>
      <c r="C639" s="47"/>
      <c r="D639" s="56"/>
    </row>
    <row r="640" spans="2:4" ht="15.75" customHeight="1">
      <c r="B640" s="47"/>
      <c r="C640" s="47"/>
      <c r="D640" s="56"/>
    </row>
    <row r="641" spans="2:4" ht="15.75" customHeight="1">
      <c r="B641" s="47"/>
      <c r="C641" s="47"/>
      <c r="D641" s="56"/>
    </row>
    <row r="642" spans="2:4" ht="15.75" customHeight="1">
      <c r="B642" s="47"/>
      <c r="C642" s="47"/>
      <c r="D642" s="56"/>
    </row>
    <row r="643" spans="2:4" ht="15.75" customHeight="1">
      <c r="B643" s="47"/>
      <c r="C643" s="47"/>
      <c r="D643" s="56"/>
    </row>
    <row r="644" spans="2:4" ht="15.75" customHeight="1">
      <c r="B644" s="47"/>
      <c r="C644" s="47"/>
      <c r="D644" s="56"/>
    </row>
    <row r="645" spans="2:4" ht="15.75" customHeight="1">
      <c r="B645" s="47"/>
      <c r="C645" s="47"/>
      <c r="D645" s="56"/>
    </row>
    <row r="646" spans="2:4" ht="15.75" customHeight="1">
      <c r="B646" s="47"/>
      <c r="C646" s="47"/>
      <c r="D646" s="56"/>
    </row>
    <row r="647" spans="2:4" ht="15.75" customHeight="1">
      <c r="B647" s="47"/>
      <c r="C647" s="47"/>
      <c r="D647" s="56"/>
    </row>
    <row r="648" spans="2:4" ht="15.75" customHeight="1">
      <c r="B648" s="47"/>
      <c r="C648" s="47"/>
      <c r="D648" s="56"/>
    </row>
    <row r="649" spans="2:4" ht="15.75" customHeight="1">
      <c r="B649" s="47"/>
      <c r="C649" s="47"/>
      <c r="D649" s="56"/>
    </row>
    <row r="650" spans="2:4" ht="15.75" customHeight="1">
      <c r="B650" s="47"/>
      <c r="C650" s="47"/>
      <c r="D650" s="56"/>
    </row>
    <row r="651" spans="2:4" ht="15.75" customHeight="1">
      <c r="B651" s="47"/>
      <c r="C651" s="47"/>
      <c r="D651" s="56"/>
    </row>
    <row r="652" spans="2:4" ht="15.75" customHeight="1">
      <c r="B652" s="47"/>
      <c r="C652" s="47"/>
      <c r="D652" s="56"/>
    </row>
    <row r="653" spans="2:4" ht="15.75" customHeight="1">
      <c r="B653" s="47"/>
      <c r="C653" s="47"/>
      <c r="D653" s="56"/>
    </row>
    <row r="654" spans="2:4" ht="15.75" customHeight="1">
      <c r="B654" s="47"/>
      <c r="C654" s="47"/>
      <c r="D654" s="56"/>
    </row>
    <row r="655" spans="2:4" ht="15.75" customHeight="1">
      <c r="B655" s="47"/>
      <c r="C655" s="47"/>
      <c r="D655" s="56"/>
    </row>
    <row r="656" spans="2:4" ht="15.75" customHeight="1">
      <c r="B656" s="47"/>
      <c r="C656" s="47"/>
      <c r="D656" s="56"/>
    </row>
    <row r="657" spans="2:4" ht="15.75" customHeight="1">
      <c r="B657" s="47"/>
      <c r="C657" s="47"/>
      <c r="D657" s="56"/>
    </row>
    <row r="658" spans="2:4" ht="15.75" customHeight="1">
      <c r="B658" s="47"/>
      <c r="C658" s="47"/>
      <c r="D658" s="56"/>
    </row>
    <row r="659" spans="2:4" ht="15.75" customHeight="1">
      <c r="B659" s="47"/>
      <c r="C659" s="47"/>
      <c r="D659" s="56"/>
    </row>
    <row r="660" spans="2:4" ht="15.75" customHeight="1">
      <c r="B660" s="47"/>
      <c r="C660" s="47"/>
      <c r="D660" s="56"/>
    </row>
    <row r="661" spans="2:4" ht="15.75" customHeight="1">
      <c r="B661" s="47"/>
      <c r="C661" s="47"/>
      <c r="D661" s="56"/>
    </row>
    <row r="662" spans="2:4" ht="15.75" customHeight="1">
      <c r="B662" s="47"/>
      <c r="C662" s="47"/>
      <c r="D662" s="56"/>
    </row>
    <row r="663" spans="2:4" ht="15.75" customHeight="1">
      <c r="B663" s="47"/>
      <c r="C663" s="47"/>
      <c r="D663" s="56"/>
    </row>
    <row r="664" spans="2:4" ht="15.75" customHeight="1">
      <c r="B664" s="47"/>
      <c r="C664" s="47"/>
      <c r="D664" s="56"/>
    </row>
    <row r="665" spans="2:4" ht="15.75" customHeight="1">
      <c r="B665" s="47"/>
      <c r="C665" s="47"/>
      <c r="D665" s="56"/>
    </row>
    <row r="666" spans="2:4" ht="15.75" customHeight="1">
      <c r="B666" s="47"/>
      <c r="C666" s="47"/>
      <c r="D666" s="56"/>
    </row>
    <row r="667" spans="2:4" ht="15.75" customHeight="1">
      <c r="B667" s="47"/>
      <c r="C667" s="47"/>
      <c r="D667" s="56"/>
    </row>
    <row r="668" spans="2:4" ht="15.75" customHeight="1">
      <c r="B668" s="47"/>
      <c r="C668" s="47"/>
      <c r="D668" s="56"/>
    </row>
    <row r="669" spans="2:4" ht="15.75" customHeight="1">
      <c r="B669" s="47"/>
      <c r="C669" s="47"/>
      <c r="D669" s="56"/>
    </row>
    <row r="670" spans="2:4" ht="15.75" customHeight="1">
      <c r="B670" s="47"/>
      <c r="C670" s="47"/>
      <c r="D670" s="56"/>
    </row>
    <row r="671" spans="2:4" ht="15.75" customHeight="1">
      <c r="B671" s="47"/>
      <c r="C671" s="47"/>
      <c r="D671" s="56"/>
    </row>
    <row r="672" spans="2:4" ht="15.75" customHeight="1">
      <c r="B672" s="47"/>
      <c r="C672" s="47"/>
      <c r="D672" s="56"/>
    </row>
    <row r="673" spans="2:4" ht="15.75" customHeight="1">
      <c r="B673" s="47"/>
      <c r="C673" s="47"/>
      <c r="D673" s="56"/>
    </row>
    <row r="674" spans="2:4" ht="15.75" customHeight="1">
      <c r="B674" s="47"/>
      <c r="C674" s="47"/>
      <c r="D674" s="56"/>
    </row>
    <row r="675" spans="2:4" ht="15.75" customHeight="1">
      <c r="B675" s="47"/>
      <c r="C675" s="47"/>
      <c r="D675" s="56"/>
    </row>
    <row r="676" spans="2:4" ht="15.75" customHeight="1">
      <c r="B676" s="47"/>
      <c r="C676" s="47"/>
      <c r="D676" s="56"/>
    </row>
    <row r="677" spans="2:4" ht="15.75" customHeight="1">
      <c r="B677" s="47"/>
      <c r="C677" s="47"/>
      <c r="D677" s="56"/>
    </row>
    <row r="678" spans="2:4" ht="15.75" customHeight="1">
      <c r="B678" s="47"/>
      <c r="C678" s="47"/>
      <c r="D678" s="56"/>
    </row>
    <row r="679" spans="2:4" ht="15.75" customHeight="1">
      <c r="B679" s="47"/>
      <c r="C679" s="47"/>
      <c r="D679" s="56"/>
    </row>
    <row r="680" spans="2:4" ht="15.75" customHeight="1">
      <c r="B680" s="47"/>
      <c r="C680" s="47"/>
      <c r="D680" s="56"/>
    </row>
    <row r="681" spans="2:4" ht="15.75" customHeight="1">
      <c r="B681" s="47"/>
      <c r="C681" s="47"/>
      <c r="D681" s="56"/>
    </row>
    <row r="682" spans="2:4" ht="15.75" customHeight="1">
      <c r="B682" s="47"/>
      <c r="C682" s="47"/>
      <c r="D682" s="56"/>
    </row>
    <row r="683" spans="2:4" ht="15.75" customHeight="1">
      <c r="B683" s="47"/>
      <c r="C683" s="47"/>
      <c r="D683" s="56"/>
    </row>
    <row r="684" spans="2:4" ht="15.75" customHeight="1">
      <c r="B684" s="47"/>
      <c r="C684" s="47"/>
      <c r="D684" s="56"/>
    </row>
    <row r="685" spans="2:4" ht="15.75" customHeight="1">
      <c r="B685" s="47"/>
      <c r="C685" s="47"/>
      <c r="D685" s="56"/>
    </row>
    <row r="686" spans="2:4" ht="15.75" customHeight="1">
      <c r="B686" s="47"/>
      <c r="C686" s="47"/>
      <c r="D686" s="56"/>
    </row>
    <row r="687" spans="2:4" ht="15.75" customHeight="1">
      <c r="B687" s="47"/>
      <c r="C687" s="47"/>
      <c r="D687" s="56"/>
    </row>
    <row r="688" spans="2:4" ht="15.75" customHeight="1">
      <c r="B688" s="47"/>
      <c r="C688" s="47"/>
      <c r="D688" s="56"/>
    </row>
    <row r="689" spans="2:4" ht="15.75" customHeight="1">
      <c r="B689" s="47"/>
      <c r="C689" s="47"/>
      <c r="D689" s="56"/>
    </row>
    <row r="690" spans="2:4" ht="15.75" customHeight="1">
      <c r="B690" s="47"/>
      <c r="C690" s="47"/>
      <c r="D690" s="56"/>
    </row>
    <row r="691" spans="2:4" ht="15.75" customHeight="1">
      <c r="B691" s="47"/>
      <c r="C691" s="47"/>
      <c r="D691" s="56"/>
    </row>
    <row r="692" spans="2:4" ht="15.75" customHeight="1">
      <c r="B692" s="47"/>
      <c r="C692" s="47"/>
      <c r="D692" s="56"/>
    </row>
    <row r="693" spans="2:4" ht="15.75" customHeight="1">
      <c r="B693" s="47"/>
      <c r="C693" s="47"/>
      <c r="D693" s="56"/>
    </row>
    <row r="694" spans="2:4" ht="15.75" customHeight="1">
      <c r="B694" s="47"/>
      <c r="C694" s="47"/>
      <c r="D694" s="56"/>
    </row>
    <row r="695" spans="2:4" ht="15.75" customHeight="1">
      <c r="B695" s="47"/>
      <c r="C695" s="47"/>
      <c r="D695" s="56"/>
    </row>
    <row r="696" spans="2:4" ht="15.75" customHeight="1">
      <c r="B696" s="47"/>
      <c r="C696" s="47"/>
      <c r="D696" s="56"/>
    </row>
    <row r="697" spans="2:4" ht="15.75" customHeight="1">
      <c r="B697" s="47"/>
      <c r="C697" s="47"/>
      <c r="D697" s="56"/>
    </row>
    <row r="698" spans="2:4" ht="15.75" customHeight="1">
      <c r="B698" s="47"/>
      <c r="C698" s="47"/>
      <c r="D698" s="56"/>
    </row>
    <row r="699" spans="2:4" ht="15.75" customHeight="1">
      <c r="B699" s="47"/>
      <c r="C699" s="47"/>
      <c r="D699" s="56"/>
    </row>
    <row r="700" spans="2:4" ht="15.75" customHeight="1">
      <c r="B700" s="47"/>
      <c r="C700" s="47"/>
      <c r="D700" s="56"/>
    </row>
    <row r="701" spans="2:4" ht="15.75" customHeight="1">
      <c r="B701" s="47"/>
      <c r="C701" s="47"/>
      <c r="D701" s="56"/>
    </row>
    <row r="702" spans="2:4" ht="15.75" customHeight="1">
      <c r="B702" s="47"/>
      <c r="C702" s="47"/>
      <c r="D702" s="56"/>
    </row>
    <row r="703" spans="2:4" ht="15.75" customHeight="1">
      <c r="B703" s="47"/>
      <c r="C703" s="47"/>
      <c r="D703" s="56"/>
    </row>
    <row r="704" spans="2:4" ht="15.75" customHeight="1">
      <c r="B704" s="47"/>
      <c r="C704" s="47"/>
      <c r="D704" s="56"/>
    </row>
    <row r="705" spans="2:4" ht="15.75" customHeight="1">
      <c r="B705" s="47"/>
      <c r="C705" s="47"/>
      <c r="D705" s="56"/>
    </row>
    <row r="706" spans="2:4" ht="15.75" customHeight="1">
      <c r="B706" s="47"/>
      <c r="C706" s="47"/>
      <c r="D706" s="56"/>
    </row>
    <row r="707" spans="2:4" ht="15.75" customHeight="1">
      <c r="B707" s="47"/>
      <c r="C707" s="47"/>
      <c r="D707" s="56"/>
    </row>
    <row r="708" spans="2:4" ht="15.75" customHeight="1">
      <c r="B708" s="47"/>
      <c r="C708" s="47"/>
      <c r="D708" s="56"/>
    </row>
    <row r="709" spans="2:4" ht="15.75" customHeight="1">
      <c r="B709" s="47"/>
      <c r="C709" s="47"/>
      <c r="D709" s="56"/>
    </row>
    <row r="710" spans="2:4" ht="15.75" customHeight="1">
      <c r="B710" s="47"/>
      <c r="C710" s="47"/>
      <c r="D710" s="56"/>
    </row>
    <row r="711" spans="2:4" ht="15.75" customHeight="1">
      <c r="B711" s="47"/>
      <c r="C711" s="47"/>
      <c r="D711" s="56"/>
    </row>
    <row r="712" spans="2:4" ht="15.75" customHeight="1">
      <c r="B712" s="47"/>
      <c r="C712" s="47"/>
      <c r="D712" s="56"/>
    </row>
    <row r="713" spans="2:4" ht="15.75" customHeight="1">
      <c r="B713" s="47"/>
      <c r="C713" s="47"/>
      <c r="D713" s="56"/>
    </row>
    <row r="714" spans="2:4" ht="15.75" customHeight="1">
      <c r="B714" s="47"/>
      <c r="C714" s="47"/>
      <c r="D714" s="56"/>
    </row>
    <row r="715" spans="2:4" ht="15.75" customHeight="1">
      <c r="B715" s="47"/>
      <c r="C715" s="47"/>
      <c r="D715" s="56"/>
    </row>
    <row r="716" spans="2:4" ht="15.75" customHeight="1">
      <c r="B716" s="47"/>
      <c r="C716" s="47"/>
      <c r="D716" s="56"/>
    </row>
    <row r="717" spans="2:4" ht="15.75" customHeight="1">
      <c r="B717" s="47"/>
      <c r="C717" s="47"/>
      <c r="D717" s="56"/>
    </row>
    <row r="718" spans="2:4" ht="15.75" customHeight="1">
      <c r="B718" s="47"/>
      <c r="C718" s="47"/>
      <c r="D718" s="56"/>
    </row>
    <row r="719" spans="2:4" ht="15.75" customHeight="1">
      <c r="B719" s="47"/>
      <c r="C719" s="47"/>
      <c r="D719" s="56"/>
    </row>
    <row r="720" spans="2:4" ht="15.75" customHeight="1">
      <c r="B720" s="47"/>
      <c r="C720" s="47"/>
      <c r="D720" s="56"/>
    </row>
    <row r="721" spans="2:4" ht="15.75" customHeight="1">
      <c r="B721" s="47"/>
      <c r="C721" s="47"/>
      <c r="D721" s="56"/>
    </row>
    <row r="722" spans="2:4" ht="15.75" customHeight="1">
      <c r="B722" s="47"/>
      <c r="C722" s="47"/>
      <c r="D722" s="56"/>
    </row>
    <row r="723" spans="2:4" ht="15.75" customHeight="1">
      <c r="B723" s="47"/>
      <c r="C723" s="47"/>
      <c r="D723" s="56"/>
    </row>
    <row r="724" spans="2:4" ht="15.75" customHeight="1">
      <c r="B724" s="47"/>
      <c r="C724" s="47"/>
      <c r="D724" s="56"/>
    </row>
    <row r="725" spans="2:4" ht="15.75" customHeight="1">
      <c r="B725" s="47"/>
      <c r="C725" s="47"/>
      <c r="D725" s="56"/>
    </row>
    <row r="726" spans="2:4" ht="15.75" customHeight="1">
      <c r="B726" s="47"/>
      <c r="C726" s="47"/>
      <c r="D726" s="56"/>
    </row>
    <row r="727" spans="2:4" ht="15.75" customHeight="1">
      <c r="B727" s="47"/>
      <c r="C727" s="47"/>
      <c r="D727" s="56"/>
    </row>
    <row r="728" spans="2:4" ht="15.75" customHeight="1">
      <c r="B728" s="47"/>
      <c r="C728" s="47"/>
      <c r="D728" s="56"/>
    </row>
    <row r="729" spans="2:4" ht="15.75" customHeight="1">
      <c r="B729" s="47"/>
      <c r="C729" s="47"/>
      <c r="D729" s="56"/>
    </row>
    <row r="730" spans="2:4" ht="15.75" customHeight="1">
      <c r="B730" s="47"/>
      <c r="C730" s="47"/>
      <c r="D730" s="56"/>
    </row>
    <row r="731" spans="2:4" ht="15.75" customHeight="1">
      <c r="B731" s="47"/>
      <c r="C731" s="47"/>
      <c r="D731" s="56"/>
    </row>
    <row r="732" spans="2:4" ht="15.75" customHeight="1">
      <c r="B732" s="47"/>
      <c r="C732" s="47"/>
      <c r="D732" s="56"/>
    </row>
    <row r="733" spans="2:4" ht="15.75" customHeight="1">
      <c r="B733" s="47"/>
      <c r="C733" s="47"/>
      <c r="D733" s="56"/>
    </row>
    <row r="734" spans="2:4" ht="15.75" customHeight="1">
      <c r="B734" s="47"/>
      <c r="C734" s="47"/>
      <c r="D734" s="56"/>
    </row>
    <row r="735" spans="2:4" ht="15.75" customHeight="1">
      <c r="B735" s="47"/>
      <c r="C735" s="47"/>
      <c r="D735" s="56"/>
    </row>
    <row r="736" spans="2:4" ht="15.75" customHeight="1">
      <c r="B736" s="47"/>
      <c r="C736" s="47"/>
      <c r="D736" s="56"/>
    </row>
    <row r="737" spans="2:4" ht="15.75" customHeight="1">
      <c r="B737" s="47"/>
      <c r="C737" s="47"/>
      <c r="D737" s="56"/>
    </row>
    <row r="738" spans="2:4" ht="15.75" customHeight="1">
      <c r="B738" s="47"/>
      <c r="C738" s="47"/>
      <c r="D738" s="56"/>
    </row>
    <row r="739" spans="2:4" ht="15.75" customHeight="1">
      <c r="B739" s="47"/>
      <c r="C739" s="47"/>
      <c r="D739" s="56"/>
    </row>
    <row r="740" spans="2:4" ht="15.75" customHeight="1">
      <c r="B740" s="47"/>
      <c r="C740" s="47"/>
      <c r="D740" s="56"/>
    </row>
    <row r="741" spans="2:4" ht="15.75" customHeight="1">
      <c r="B741" s="47"/>
      <c r="C741" s="47"/>
      <c r="D741" s="56"/>
    </row>
    <row r="742" spans="2:4" ht="15.75" customHeight="1">
      <c r="B742" s="47"/>
      <c r="C742" s="47"/>
      <c r="D742" s="56"/>
    </row>
    <row r="743" spans="2:4" ht="15.75" customHeight="1">
      <c r="B743" s="47"/>
      <c r="C743" s="47"/>
      <c r="D743" s="56"/>
    </row>
    <row r="744" spans="2:4" ht="15.75" customHeight="1">
      <c r="B744" s="47"/>
      <c r="C744" s="47"/>
      <c r="D744" s="56"/>
    </row>
    <row r="745" spans="2:4" ht="15.75" customHeight="1">
      <c r="B745" s="47"/>
      <c r="C745" s="47"/>
      <c r="D745" s="56"/>
    </row>
    <row r="746" spans="2:4" ht="15.75" customHeight="1">
      <c r="B746" s="47"/>
      <c r="C746" s="47"/>
      <c r="D746" s="56"/>
    </row>
    <row r="747" spans="2:4" ht="15.75" customHeight="1">
      <c r="B747" s="47"/>
      <c r="C747" s="47"/>
      <c r="D747" s="56"/>
    </row>
    <row r="748" spans="2:4" ht="15.75" customHeight="1">
      <c r="B748" s="47"/>
      <c r="C748" s="47"/>
      <c r="D748" s="56"/>
    </row>
    <row r="749" spans="2:4" ht="15.75" customHeight="1">
      <c r="B749" s="47"/>
      <c r="C749" s="47"/>
      <c r="D749" s="56"/>
    </row>
    <row r="750" spans="2:4" ht="15.75" customHeight="1">
      <c r="B750" s="47"/>
      <c r="C750" s="47"/>
      <c r="D750" s="56"/>
    </row>
    <row r="751" spans="2:4" ht="15.75" customHeight="1">
      <c r="B751" s="47"/>
      <c r="C751" s="47"/>
      <c r="D751" s="56"/>
    </row>
    <row r="752" spans="2:4" ht="15.75" customHeight="1">
      <c r="B752" s="47"/>
      <c r="C752" s="47"/>
      <c r="D752" s="56"/>
    </row>
    <row r="753" spans="2:4" ht="15.75" customHeight="1">
      <c r="B753" s="47"/>
      <c r="C753" s="47"/>
      <c r="D753" s="56"/>
    </row>
    <row r="754" spans="2:4" ht="15.75" customHeight="1">
      <c r="B754" s="47"/>
      <c r="C754" s="47"/>
      <c r="D754" s="56"/>
    </row>
    <row r="755" spans="2:4" ht="15.75" customHeight="1">
      <c r="B755" s="47"/>
      <c r="C755" s="47"/>
      <c r="D755" s="56"/>
    </row>
    <row r="756" spans="2:4" ht="15.75" customHeight="1">
      <c r="B756" s="47"/>
      <c r="C756" s="47"/>
      <c r="D756" s="56"/>
    </row>
    <row r="757" spans="2:4" ht="15.75" customHeight="1">
      <c r="B757" s="47"/>
      <c r="C757" s="47"/>
      <c r="D757" s="56"/>
    </row>
    <row r="758" spans="2:4" ht="15.75" customHeight="1">
      <c r="B758" s="47"/>
      <c r="C758" s="47"/>
      <c r="D758" s="56"/>
    </row>
    <row r="759" spans="2:4" ht="15.75" customHeight="1">
      <c r="B759" s="47"/>
      <c r="C759" s="47"/>
      <c r="D759" s="56"/>
    </row>
    <row r="760" spans="2:4" ht="15.75" customHeight="1">
      <c r="B760" s="47"/>
      <c r="C760" s="47"/>
      <c r="D760" s="56"/>
    </row>
    <row r="761" spans="2:4" ht="15.75" customHeight="1">
      <c r="B761" s="47"/>
      <c r="C761" s="47"/>
      <c r="D761" s="56"/>
    </row>
    <row r="762" spans="2:4" ht="15.75" customHeight="1">
      <c r="B762" s="47"/>
      <c r="C762" s="47"/>
      <c r="D762" s="56"/>
    </row>
    <row r="763" spans="2:4" ht="15.75" customHeight="1">
      <c r="B763" s="47"/>
      <c r="C763" s="47"/>
      <c r="D763" s="56"/>
    </row>
    <row r="764" spans="2:4" ht="15.75" customHeight="1">
      <c r="B764" s="47"/>
      <c r="C764" s="47"/>
      <c r="D764" s="56"/>
    </row>
    <row r="765" spans="2:4" ht="15.75" customHeight="1">
      <c r="B765" s="47"/>
      <c r="C765" s="47"/>
      <c r="D765" s="56"/>
    </row>
    <row r="766" spans="2:4" ht="15.75" customHeight="1">
      <c r="B766" s="47"/>
      <c r="C766" s="47"/>
      <c r="D766" s="56"/>
    </row>
    <row r="767" spans="2:4" ht="15.75" customHeight="1">
      <c r="B767" s="47"/>
      <c r="C767" s="47"/>
      <c r="D767" s="56"/>
    </row>
    <row r="768" spans="2:4" ht="15.75" customHeight="1">
      <c r="B768" s="47"/>
      <c r="C768" s="47"/>
      <c r="D768" s="56"/>
    </row>
    <row r="769" spans="2:4" ht="15.75" customHeight="1">
      <c r="B769" s="47"/>
      <c r="C769" s="47"/>
      <c r="D769" s="56"/>
    </row>
    <row r="770" spans="2:4" ht="15.75" customHeight="1">
      <c r="B770" s="47"/>
      <c r="C770" s="47"/>
      <c r="D770" s="56"/>
    </row>
    <row r="771" spans="2:4" ht="15.75" customHeight="1">
      <c r="B771" s="47"/>
      <c r="C771" s="47"/>
      <c r="D771" s="56"/>
    </row>
    <row r="772" spans="2:4" ht="15.75" customHeight="1">
      <c r="B772" s="47"/>
      <c r="C772" s="47"/>
      <c r="D772" s="56"/>
    </row>
    <row r="773" spans="2:4" ht="15.75" customHeight="1">
      <c r="B773" s="47"/>
      <c r="C773" s="47"/>
      <c r="D773" s="56"/>
    </row>
    <row r="774" spans="2:4" ht="15.75" customHeight="1">
      <c r="B774" s="47"/>
      <c r="C774" s="47"/>
      <c r="D774" s="56"/>
    </row>
    <row r="775" spans="2:4" ht="15.75" customHeight="1">
      <c r="B775" s="47"/>
      <c r="C775" s="47"/>
      <c r="D775" s="56"/>
    </row>
    <row r="776" spans="2:4" ht="15.75" customHeight="1">
      <c r="B776" s="47"/>
      <c r="C776" s="47"/>
      <c r="D776" s="56"/>
    </row>
    <row r="777" spans="2:4" ht="15.75" customHeight="1">
      <c r="B777" s="47"/>
      <c r="C777" s="47"/>
      <c r="D777" s="56"/>
    </row>
    <row r="778" spans="2:4" ht="15.75" customHeight="1">
      <c r="B778" s="47"/>
      <c r="C778" s="47"/>
      <c r="D778" s="56"/>
    </row>
    <row r="779" spans="2:4" ht="15.75" customHeight="1">
      <c r="B779" s="47"/>
      <c r="C779" s="47"/>
      <c r="D779" s="56"/>
    </row>
    <row r="780" spans="2:4" ht="15.75" customHeight="1">
      <c r="B780" s="47"/>
      <c r="C780" s="47"/>
      <c r="D780" s="56"/>
    </row>
    <row r="781" spans="2:4" ht="15.75" customHeight="1">
      <c r="B781" s="47"/>
      <c r="C781" s="47"/>
      <c r="D781" s="56"/>
    </row>
    <row r="782" spans="2:4" ht="15.75" customHeight="1">
      <c r="B782" s="47"/>
      <c r="C782" s="47"/>
      <c r="D782" s="56"/>
    </row>
    <row r="783" spans="2:4" ht="15.75" customHeight="1">
      <c r="B783" s="47"/>
      <c r="C783" s="47"/>
      <c r="D783" s="56"/>
    </row>
    <row r="784" spans="2:4" ht="15.75" customHeight="1">
      <c r="B784" s="47"/>
      <c r="C784" s="47"/>
      <c r="D784" s="56"/>
    </row>
    <row r="785" spans="2:4" ht="15.75" customHeight="1">
      <c r="B785" s="47"/>
      <c r="C785" s="47"/>
      <c r="D785" s="56"/>
    </row>
    <row r="786" spans="2:4" ht="15.75" customHeight="1">
      <c r="B786" s="47"/>
      <c r="C786" s="47"/>
      <c r="D786" s="56"/>
    </row>
    <row r="787" spans="2:4" ht="15.75" customHeight="1">
      <c r="B787" s="47"/>
      <c r="C787" s="47"/>
      <c r="D787" s="56"/>
    </row>
    <row r="788" spans="2:4" ht="15.75" customHeight="1">
      <c r="B788" s="47"/>
      <c r="C788" s="47"/>
      <c r="D788" s="56"/>
    </row>
    <row r="789" spans="2:4" ht="15.75" customHeight="1">
      <c r="B789" s="47"/>
      <c r="C789" s="47"/>
      <c r="D789" s="56"/>
    </row>
    <row r="790" spans="2:4" ht="15.75" customHeight="1">
      <c r="B790" s="47"/>
      <c r="C790" s="47"/>
      <c r="D790" s="56"/>
    </row>
    <row r="791" spans="2:4" ht="15.75" customHeight="1">
      <c r="B791" s="47"/>
      <c r="C791" s="47"/>
      <c r="D791" s="56"/>
    </row>
    <row r="792" spans="2:4" ht="15.75" customHeight="1">
      <c r="B792" s="47"/>
      <c r="C792" s="47"/>
      <c r="D792" s="56"/>
    </row>
    <row r="793" spans="2:4" ht="15.75" customHeight="1">
      <c r="B793" s="47"/>
      <c r="C793" s="47"/>
      <c r="D793" s="56"/>
    </row>
    <row r="794" spans="2:4" ht="15.75" customHeight="1">
      <c r="B794" s="47"/>
      <c r="C794" s="47"/>
      <c r="D794" s="56"/>
    </row>
    <row r="795" spans="2:4" ht="15.75" customHeight="1">
      <c r="B795" s="47"/>
      <c r="C795" s="47"/>
      <c r="D795" s="56"/>
    </row>
    <row r="796" spans="2:4" ht="15.75" customHeight="1">
      <c r="B796" s="47"/>
      <c r="C796" s="47"/>
      <c r="D796" s="56"/>
    </row>
    <row r="797" spans="2:4" ht="15.75" customHeight="1">
      <c r="B797" s="47"/>
      <c r="C797" s="47"/>
      <c r="D797" s="56"/>
    </row>
    <row r="798" spans="2:4" ht="15.75" customHeight="1">
      <c r="B798" s="47"/>
      <c r="C798" s="47"/>
      <c r="D798" s="56"/>
    </row>
    <row r="799" spans="2:4" ht="15.75" customHeight="1">
      <c r="B799" s="47"/>
      <c r="C799" s="47"/>
      <c r="D799" s="56"/>
    </row>
    <row r="800" spans="2:4" ht="15.75" customHeight="1">
      <c r="B800" s="47"/>
      <c r="C800" s="47"/>
      <c r="D800" s="56"/>
    </row>
    <row r="801" spans="2:4" ht="15.75" customHeight="1">
      <c r="B801" s="47"/>
      <c r="C801" s="47"/>
      <c r="D801" s="56"/>
    </row>
    <row r="802" spans="2:4" ht="15.75" customHeight="1">
      <c r="B802" s="47"/>
      <c r="C802" s="47"/>
      <c r="D802" s="56"/>
    </row>
    <row r="803" spans="2:4" ht="15.75" customHeight="1">
      <c r="B803" s="47"/>
      <c r="C803" s="47"/>
      <c r="D803" s="56"/>
    </row>
    <row r="804" spans="2:4" ht="15.75" customHeight="1">
      <c r="B804" s="47"/>
      <c r="C804" s="47"/>
      <c r="D804" s="56"/>
    </row>
    <row r="805" spans="2:4" ht="15.75" customHeight="1">
      <c r="B805" s="47"/>
      <c r="C805" s="47"/>
      <c r="D805" s="56"/>
    </row>
    <row r="806" spans="2:4" ht="15.75" customHeight="1">
      <c r="B806" s="47"/>
      <c r="C806" s="47"/>
      <c r="D806" s="56"/>
    </row>
    <row r="807" spans="2:4" ht="15.75" customHeight="1">
      <c r="B807" s="47"/>
      <c r="C807" s="47"/>
      <c r="D807" s="56"/>
    </row>
    <row r="808" spans="2:4" ht="15.75" customHeight="1">
      <c r="B808" s="47"/>
      <c r="C808" s="47"/>
      <c r="D808" s="56"/>
    </row>
    <row r="809" spans="2:4" ht="15.75" customHeight="1">
      <c r="B809" s="47"/>
      <c r="C809" s="47"/>
      <c r="D809" s="56"/>
    </row>
    <row r="810" spans="2:4" ht="15.75" customHeight="1">
      <c r="B810" s="47"/>
      <c r="C810" s="47"/>
      <c r="D810" s="56"/>
    </row>
    <row r="811" spans="2:4" ht="15.75" customHeight="1">
      <c r="B811" s="47"/>
      <c r="C811" s="47"/>
      <c r="D811" s="56"/>
    </row>
    <row r="812" spans="2:4" ht="15.75" customHeight="1">
      <c r="B812" s="47"/>
      <c r="C812" s="47"/>
      <c r="D812" s="56"/>
    </row>
    <row r="813" spans="2:4" ht="15.75" customHeight="1">
      <c r="B813" s="47"/>
      <c r="C813" s="47"/>
      <c r="D813" s="56"/>
    </row>
    <row r="814" spans="2:4" ht="15.75" customHeight="1">
      <c r="B814" s="47"/>
      <c r="C814" s="47"/>
      <c r="D814" s="56"/>
    </row>
    <row r="815" spans="2:4" ht="15.75" customHeight="1">
      <c r="B815" s="47"/>
      <c r="C815" s="47"/>
      <c r="D815" s="56"/>
    </row>
    <row r="816" spans="2:4" ht="15.75" customHeight="1">
      <c r="B816" s="47"/>
      <c r="C816" s="47"/>
      <c r="D816" s="56"/>
    </row>
    <row r="817" spans="2:4" ht="15.75" customHeight="1">
      <c r="B817" s="47"/>
      <c r="C817" s="47"/>
      <c r="D817" s="56"/>
    </row>
    <row r="818" spans="2:4" ht="15.75" customHeight="1">
      <c r="B818" s="47"/>
      <c r="C818" s="47"/>
      <c r="D818" s="56"/>
    </row>
    <row r="819" spans="2:4" ht="15.75" customHeight="1">
      <c r="B819" s="47"/>
      <c r="C819" s="47"/>
      <c r="D819" s="56"/>
    </row>
    <row r="820" spans="2:4" ht="15.75" customHeight="1">
      <c r="B820" s="47"/>
      <c r="C820" s="47"/>
      <c r="D820" s="56"/>
    </row>
    <row r="821" spans="2:4" ht="15.75" customHeight="1">
      <c r="B821" s="47"/>
      <c r="C821" s="47"/>
      <c r="D821" s="56"/>
    </row>
    <row r="822" spans="2:4" ht="15.75" customHeight="1">
      <c r="B822" s="47"/>
      <c r="C822" s="47"/>
      <c r="D822" s="56"/>
    </row>
    <row r="823" spans="2:4" ht="15.75" customHeight="1">
      <c r="B823" s="47"/>
      <c r="C823" s="47"/>
      <c r="D823" s="56"/>
    </row>
    <row r="824" spans="2:4" ht="15.75" customHeight="1">
      <c r="B824" s="47"/>
      <c r="C824" s="47"/>
      <c r="D824" s="56"/>
    </row>
    <row r="825" spans="2:4" ht="15.75" customHeight="1">
      <c r="B825" s="47"/>
      <c r="C825" s="47"/>
      <c r="D825" s="56"/>
    </row>
    <row r="826" spans="2:4" ht="15.75" customHeight="1">
      <c r="B826" s="47"/>
      <c r="C826" s="47"/>
      <c r="D826" s="56"/>
    </row>
    <row r="827" spans="2:4" ht="15.75" customHeight="1">
      <c r="B827" s="47"/>
      <c r="C827" s="47"/>
      <c r="D827" s="56"/>
    </row>
    <row r="828" spans="2:4" ht="15.75" customHeight="1">
      <c r="B828" s="47"/>
      <c r="C828" s="47"/>
      <c r="D828" s="56"/>
    </row>
    <row r="829" spans="2:4" ht="15.75" customHeight="1">
      <c r="B829" s="47"/>
      <c r="C829" s="47"/>
      <c r="D829" s="56"/>
    </row>
    <row r="830" spans="2:4" ht="15.75" customHeight="1">
      <c r="B830" s="47"/>
      <c r="C830" s="47"/>
      <c r="D830" s="56"/>
    </row>
    <row r="831" spans="2:4" ht="15.75" customHeight="1">
      <c r="B831" s="47"/>
      <c r="C831" s="47"/>
      <c r="D831" s="56"/>
    </row>
    <row r="832" spans="2:4" ht="15.75" customHeight="1">
      <c r="B832" s="47"/>
      <c r="C832" s="47"/>
      <c r="D832" s="56"/>
    </row>
    <row r="833" spans="2:4" ht="15.75" customHeight="1">
      <c r="B833" s="47"/>
      <c r="C833" s="47"/>
      <c r="D833" s="56"/>
    </row>
    <row r="834" spans="2:4" ht="15.75" customHeight="1">
      <c r="B834" s="47"/>
      <c r="C834" s="47"/>
      <c r="D834" s="56"/>
    </row>
    <row r="835" spans="2:4" ht="15.75" customHeight="1">
      <c r="B835" s="47"/>
      <c r="C835" s="47"/>
      <c r="D835" s="56"/>
    </row>
    <row r="836" spans="2:4" ht="15.75" customHeight="1">
      <c r="B836" s="47"/>
      <c r="C836" s="47"/>
      <c r="D836" s="56"/>
    </row>
    <row r="837" spans="2:4" ht="15.75" customHeight="1">
      <c r="B837" s="47"/>
      <c r="C837" s="47"/>
      <c r="D837" s="56"/>
    </row>
    <row r="838" spans="2:4" ht="15.75" customHeight="1">
      <c r="B838" s="47"/>
      <c r="C838" s="47"/>
      <c r="D838" s="56"/>
    </row>
    <row r="839" spans="2:4" ht="15.75" customHeight="1">
      <c r="B839" s="47"/>
      <c r="C839" s="47"/>
      <c r="D839" s="56"/>
    </row>
    <row r="840" spans="2:4" ht="15.75" customHeight="1">
      <c r="B840" s="47"/>
      <c r="C840" s="47"/>
      <c r="D840" s="56"/>
    </row>
    <row r="841" spans="2:4" ht="15.75" customHeight="1">
      <c r="B841" s="47"/>
      <c r="C841" s="47"/>
      <c r="D841" s="56"/>
    </row>
    <row r="842" spans="2:4" ht="15.75" customHeight="1">
      <c r="B842" s="47"/>
      <c r="C842" s="47"/>
      <c r="D842" s="56"/>
    </row>
    <row r="843" spans="2:4" ht="15.75" customHeight="1">
      <c r="B843" s="47"/>
      <c r="C843" s="47"/>
      <c r="D843" s="56"/>
    </row>
    <row r="844" spans="2:4" ht="15.75" customHeight="1">
      <c r="B844" s="47"/>
      <c r="C844" s="47"/>
      <c r="D844" s="56"/>
    </row>
    <row r="845" spans="2:4" ht="15.75" customHeight="1">
      <c r="B845" s="47"/>
      <c r="C845" s="47"/>
      <c r="D845" s="56"/>
    </row>
    <row r="846" spans="2:4" ht="15.75" customHeight="1">
      <c r="B846" s="47"/>
      <c r="C846" s="47"/>
      <c r="D846" s="56"/>
    </row>
    <row r="847" spans="2:4" ht="15.75" customHeight="1">
      <c r="B847" s="47"/>
      <c r="C847" s="47"/>
      <c r="D847" s="56"/>
    </row>
    <row r="848" spans="2:4" ht="15.75" customHeight="1">
      <c r="B848" s="47"/>
      <c r="C848" s="47"/>
      <c r="D848" s="56"/>
    </row>
    <row r="849" spans="2:4" ht="15.75" customHeight="1">
      <c r="B849" s="47"/>
      <c r="C849" s="47"/>
      <c r="D849" s="56"/>
    </row>
    <row r="850" spans="2:4" ht="15.75" customHeight="1">
      <c r="B850" s="47"/>
      <c r="C850" s="47"/>
      <c r="D850" s="56"/>
    </row>
    <row r="851" spans="2:4" ht="15.75" customHeight="1">
      <c r="B851" s="47"/>
      <c r="C851" s="47"/>
      <c r="D851" s="56"/>
    </row>
    <row r="852" spans="2:4" ht="15.75" customHeight="1">
      <c r="B852" s="47"/>
      <c r="C852" s="47"/>
      <c r="D852" s="56"/>
    </row>
    <row r="853" spans="2:4" ht="15.75" customHeight="1">
      <c r="B853" s="47"/>
      <c r="C853" s="47"/>
      <c r="D853" s="56"/>
    </row>
    <row r="854" spans="2:4" ht="15.75" customHeight="1">
      <c r="B854" s="47"/>
      <c r="C854" s="47"/>
      <c r="D854" s="56"/>
    </row>
    <row r="855" spans="2:4" ht="15.75" customHeight="1">
      <c r="B855" s="47"/>
      <c r="C855" s="47"/>
      <c r="D855" s="56"/>
    </row>
    <row r="856" spans="2:4" ht="15.75" customHeight="1">
      <c r="B856" s="47"/>
      <c r="C856" s="47"/>
      <c r="D856" s="56"/>
    </row>
    <row r="857" spans="2:4" ht="15.75" customHeight="1">
      <c r="B857" s="47"/>
      <c r="C857" s="47"/>
      <c r="D857" s="56"/>
    </row>
    <row r="858" spans="2:4" ht="15.75" customHeight="1">
      <c r="B858" s="47"/>
      <c r="C858" s="47"/>
      <c r="D858" s="56"/>
    </row>
    <row r="859" spans="2:4" ht="15.75" customHeight="1">
      <c r="B859" s="47"/>
      <c r="C859" s="47"/>
      <c r="D859" s="56"/>
    </row>
    <row r="860" spans="2:4" ht="15.75" customHeight="1">
      <c r="B860" s="47"/>
      <c r="C860" s="47"/>
      <c r="D860" s="56"/>
    </row>
    <row r="861" spans="2:4" ht="15.75" customHeight="1">
      <c r="B861" s="47"/>
      <c r="C861" s="47"/>
      <c r="D861" s="56"/>
    </row>
    <row r="862" spans="2:4" ht="15.75" customHeight="1">
      <c r="B862" s="47"/>
      <c r="C862" s="47"/>
      <c r="D862" s="56"/>
    </row>
    <row r="863" spans="2:4" ht="15.75" customHeight="1">
      <c r="B863" s="47"/>
      <c r="C863" s="47"/>
      <c r="D863" s="56"/>
    </row>
    <row r="864" spans="2:4" ht="15.75" customHeight="1">
      <c r="B864" s="47"/>
      <c r="C864" s="47"/>
      <c r="D864" s="56"/>
    </row>
    <row r="865" spans="2:4" ht="15.75" customHeight="1">
      <c r="B865" s="47"/>
      <c r="C865" s="47"/>
      <c r="D865" s="56"/>
    </row>
    <row r="866" spans="2:4" ht="15.75" customHeight="1">
      <c r="B866" s="47"/>
      <c r="C866" s="47"/>
      <c r="D866" s="56"/>
    </row>
    <row r="867" spans="2:4" ht="15.75" customHeight="1">
      <c r="B867" s="47"/>
      <c r="C867" s="47"/>
      <c r="D867" s="56"/>
    </row>
    <row r="868" spans="2:4" ht="15.75" customHeight="1">
      <c r="B868" s="47"/>
      <c r="C868" s="47"/>
      <c r="D868" s="56"/>
    </row>
    <row r="869" spans="2:4" ht="15.75" customHeight="1">
      <c r="B869" s="47"/>
      <c r="C869" s="47"/>
      <c r="D869" s="56"/>
    </row>
    <row r="870" spans="2:4" ht="15.75" customHeight="1">
      <c r="B870" s="47"/>
      <c r="C870" s="47"/>
      <c r="D870" s="56"/>
    </row>
    <row r="871" spans="2:4" ht="15.75" customHeight="1">
      <c r="B871" s="47"/>
      <c r="C871" s="47"/>
      <c r="D871" s="56"/>
    </row>
    <row r="872" spans="2:4" ht="15.75" customHeight="1">
      <c r="B872" s="47"/>
      <c r="C872" s="47"/>
      <c r="D872" s="56"/>
    </row>
    <row r="873" spans="2:4" ht="15.75" customHeight="1">
      <c r="B873" s="47"/>
      <c r="C873" s="47"/>
      <c r="D873" s="56"/>
    </row>
    <row r="874" spans="2:4" ht="15.75" customHeight="1">
      <c r="B874" s="47"/>
      <c r="C874" s="47"/>
      <c r="D874" s="56"/>
    </row>
    <row r="875" spans="2:4" ht="15.75" customHeight="1">
      <c r="B875" s="47"/>
      <c r="C875" s="47"/>
      <c r="D875" s="56"/>
    </row>
    <row r="876" spans="2:4" ht="15.75" customHeight="1">
      <c r="B876" s="47"/>
      <c r="C876" s="47"/>
      <c r="D876" s="56"/>
    </row>
    <row r="877" spans="2:4" ht="15.75" customHeight="1">
      <c r="B877" s="47"/>
      <c r="C877" s="47"/>
      <c r="D877" s="56"/>
    </row>
    <row r="878" spans="2:4" ht="15.75" customHeight="1">
      <c r="B878" s="47"/>
      <c r="C878" s="47"/>
      <c r="D878" s="56"/>
    </row>
    <row r="879" spans="2:4" ht="15.75" customHeight="1">
      <c r="B879" s="47"/>
      <c r="C879" s="47"/>
      <c r="D879" s="56"/>
    </row>
    <row r="880" spans="2:4" ht="15.75" customHeight="1">
      <c r="B880" s="47"/>
      <c r="C880" s="47"/>
      <c r="D880" s="56"/>
    </row>
    <row r="881" spans="2:4" ht="15.75" customHeight="1">
      <c r="B881" s="47"/>
      <c r="C881" s="47"/>
      <c r="D881" s="56"/>
    </row>
    <row r="882" spans="2:4" ht="15.75" customHeight="1">
      <c r="B882" s="47"/>
      <c r="C882" s="47"/>
      <c r="D882" s="56"/>
    </row>
    <row r="883" spans="2:4" ht="15.75" customHeight="1">
      <c r="B883" s="47"/>
      <c r="C883" s="47"/>
      <c r="D883" s="56"/>
    </row>
    <row r="884" spans="2:4" ht="15.75" customHeight="1">
      <c r="B884" s="47"/>
      <c r="C884" s="47"/>
      <c r="D884" s="56"/>
    </row>
    <row r="885" spans="2:4" ht="15.75" customHeight="1">
      <c r="B885" s="47"/>
      <c r="C885" s="47"/>
      <c r="D885" s="56"/>
    </row>
    <row r="886" spans="2:4" ht="15.75" customHeight="1">
      <c r="B886" s="47"/>
      <c r="C886" s="47"/>
      <c r="D886" s="56"/>
    </row>
    <row r="887" spans="2:4" ht="15.75" customHeight="1">
      <c r="B887" s="47"/>
      <c r="C887" s="47"/>
      <c r="D887" s="56"/>
    </row>
    <row r="888" spans="2:4" ht="15.75" customHeight="1">
      <c r="B888" s="47"/>
      <c r="C888" s="47"/>
      <c r="D888" s="56"/>
    </row>
    <row r="889" spans="2:4" ht="15.75" customHeight="1">
      <c r="B889" s="47"/>
      <c r="C889" s="47"/>
      <c r="D889" s="56"/>
    </row>
    <row r="890" spans="2:4" ht="15.75" customHeight="1">
      <c r="B890" s="47"/>
      <c r="C890" s="47"/>
      <c r="D890" s="56"/>
    </row>
    <row r="891" spans="2:4" ht="15.75" customHeight="1">
      <c r="B891" s="47"/>
      <c r="C891" s="47"/>
      <c r="D891" s="56"/>
    </row>
    <row r="892" spans="2:4" ht="15.75" customHeight="1">
      <c r="B892" s="47"/>
      <c r="C892" s="47"/>
      <c r="D892" s="56"/>
    </row>
    <row r="893" spans="2:4" ht="15.75" customHeight="1">
      <c r="B893" s="47"/>
      <c r="C893" s="47"/>
      <c r="D893" s="56"/>
    </row>
    <row r="894" spans="2:4" ht="15.75" customHeight="1">
      <c r="B894" s="47"/>
      <c r="C894" s="47"/>
      <c r="D894" s="56"/>
    </row>
    <row r="895" spans="2:4" ht="15.75" customHeight="1">
      <c r="B895" s="47"/>
      <c r="C895" s="47"/>
      <c r="D895" s="56"/>
    </row>
    <row r="896" spans="2:4" ht="15.75" customHeight="1">
      <c r="B896" s="47"/>
      <c r="C896" s="47"/>
      <c r="D896" s="56"/>
    </row>
    <row r="897" spans="2:4" ht="15.75" customHeight="1">
      <c r="B897" s="47"/>
      <c r="C897" s="47"/>
      <c r="D897" s="56"/>
    </row>
    <row r="898" spans="2:4" ht="15.75" customHeight="1">
      <c r="B898" s="47"/>
      <c r="C898" s="47"/>
      <c r="D898" s="56"/>
    </row>
    <row r="899" spans="2:4" ht="15.75" customHeight="1">
      <c r="B899" s="47"/>
      <c r="C899" s="47"/>
      <c r="D899" s="56"/>
    </row>
    <row r="900" spans="2:4" ht="15.75" customHeight="1">
      <c r="B900" s="47"/>
      <c r="C900" s="47"/>
      <c r="D900" s="56"/>
    </row>
    <row r="901" spans="2:4" ht="15.75" customHeight="1">
      <c r="B901" s="47"/>
      <c r="C901" s="47"/>
      <c r="D901" s="56"/>
    </row>
    <row r="902" spans="2:4" ht="15.75" customHeight="1">
      <c r="B902" s="47"/>
      <c r="C902" s="47"/>
      <c r="D902" s="56"/>
    </row>
    <row r="903" spans="2:4" ht="15.75" customHeight="1">
      <c r="B903" s="47"/>
      <c r="C903" s="47"/>
      <c r="D903" s="56"/>
    </row>
    <row r="904" spans="2:4" ht="15.75" customHeight="1">
      <c r="B904" s="47"/>
      <c r="C904" s="47"/>
      <c r="D904" s="56"/>
    </row>
    <row r="905" spans="2:4" ht="15.75" customHeight="1">
      <c r="B905" s="47"/>
      <c r="C905" s="47"/>
      <c r="D905" s="56"/>
    </row>
    <row r="906" spans="2:4" ht="15.75" customHeight="1">
      <c r="B906" s="47"/>
      <c r="C906" s="47"/>
      <c r="D906" s="56"/>
    </row>
    <row r="907" spans="2:4" ht="15.75" customHeight="1">
      <c r="B907" s="47"/>
      <c r="C907" s="47"/>
      <c r="D907" s="56"/>
    </row>
    <row r="908" spans="2:4" ht="15.75" customHeight="1">
      <c r="B908" s="47"/>
      <c r="C908" s="47"/>
      <c r="D908" s="56"/>
    </row>
    <row r="909" spans="2:4" ht="15.75" customHeight="1">
      <c r="B909" s="47"/>
      <c r="C909" s="47"/>
      <c r="D909" s="56"/>
    </row>
    <row r="910" spans="2:4" ht="15.75" customHeight="1">
      <c r="B910" s="47"/>
      <c r="C910" s="47"/>
      <c r="D910" s="56"/>
    </row>
    <row r="911" spans="2:4" ht="15.75" customHeight="1">
      <c r="B911" s="47"/>
      <c r="C911" s="47"/>
      <c r="D911" s="56"/>
    </row>
    <row r="912" spans="2:4" ht="15.75" customHeight="1">
      <c r="B912" s="47"/>
      <c r="C912" s="47"/>
      <c r="D912" s="56"/>
    </row>
    <row r="913" spans="2:4" ht="15.75" customHeight="1">
      <c r="B913" s="47"/>
      <c r="C913" s="47"/>
      <c r="D913" s="56"/>
    </row>
    <row r="914" spans="2:4" ht="15.75" customHeight="1">
      <c r="B914" s="47"/>
      <c r="C914" s="47"/>
      <c r="D914" s="56"/>
    </row>
    <row r="915" spans="2:4" ht="15.75" customHeight="1">
      <c r="B915" s="47"/>
      <c r="C915" s="47"/>
      <c r="D915" s="56"/>
    </row>
    <row r="916" spans="2:4" ht="15.75" customHeight="1">
      <c r="B916" s="47"/>
      <c r="C916" s="47"/>
      <c r="D916" s="56"/>
    </row>
    <row r="917" spans="2:4" ht="15.75" customHeight="1">
      <c r="B917" s="47"/>
      <c r="C917" s="47"/>
      <c r="D917" s="56"/>
    </row>
    <row r="918" spans="2:4" ht="15.75" customHeight="1">
      <c r="B918" s="47"/>
      <c r="C918" s="47"/>
      <c r="D918" s="56"/>
    </row>
    <row r="919" spans="2:4" ht="15.75" customHeight="1">
      <c r="B919" s="47"/>
      <c r="C919" s="47"/>
      <c r="D919" s="56"/>
    </row>
    <row r="920" spans="2:4" ht="15.75" customHeight="1">
      <c r="B920" s="47"/>
      <c r="C920" s="47"/>
      <c r="D920" s="56"/>
    </row>
    <row r="921" spans="2:4" ht="15.75" customHeight="1">
      <c r="B921" s="47"/>
      <c r="C921" s="47"/>
      <c r="D921" s="56"/>
    </row>
    <row r="922" spans="2:4" ht="15.75" customHeight="1">
      <c r="B922" s="47"/>
      <c r="C922" s="47"/>
      <c r="D922" s="56"/>
    </row>
    <row r="923" spans="2:4" ht="15.75" customHeight="1">
      <c r="B923" s="47"/>
      <c r="C923" s="47"/>
      <c r="D923" s="56"/>
    </row>
    <row r="924" spans="2:4" ht="15.75" customHeight="1">
      <c r="B924" s="47"/>
      <c r="C924" s="47"/>
      <c r="D924" s="56"/>
    </row>
    <row r="925" spans="2:4" ht="15.75" customHeight="1">
      <c r="B925" s="47"/>
      <c r="C925" s="47"/>
      <c r="D925" s="56"/>
    </row>
    <row r="926" spans="2:4" ht="15.75" customHeight="1">
      <c r="B926" s="47"/>
      <c r="C926" s="47"/>
      <c r="D926" s="56"/>
    </row>
    <row r="927" spans="2:4" ht="15.75" customHeight="1">
      <c r="B927" s="47"/>
      <c r="C927" s="47"/>
      <c r="D927" s="56"/>
    </row>
    <row r="928" spans="2:4" ht="15.75" customHeight="1">
      <c r="B928" s="47"/>
      <c r="C928" s="47"/>
      <c r="D928" s="56"/>
    </row>
    <row r="929" spans="2:4" ht="15.75" customHeight="1">
      <c r="B929" s="47"/>
      <c r="C929" s="47"/>
      <c r="D929" s="56"/>
    </row>
    <row r="930" spans="2:4" ht="15.75" customHeight="1">
      <c r="B930" s="47"/>
      <c r="C930" s="47"/>
      <c r="D930" s="56"/>
    </row>
    <row r="931" spans="2:4" ht="15.75" customHeight="1">
      <c r="B931" s="47"/>
      <c r="C931" s="47"/>
      <c r="D931" s="56"/>
    </row>
    <row r="932" spans="2:4" ht="15.75" customHeight="1">
      <c r="B932" s="47"/>
      <c r="C932" s="47"/>
      <c r="D932" s="56"/>
    </row>
    <row r="933" spans="2:4" ht="15.75" customHeight="1">
      <c r="B933" s="47"/>
      <c r="C933" s="47"/>
      <c r="D933" s="56"/>
    </row>
    <row r="934" spans="2:4" ht="15.75" customHeight="1">
      <c r="B934" s="47"/>
      <c r="C934" s="47"/>
      <c r="D934" s="56"/>
    </row>
    <row r="935" spans="2:4" ht="15.75" customHeight="1">
      <c r="B935" s="47"/>
      <c r="C935" s="47"/>
      <c r="D935" s="56"/>
    </row>
    <row r="936" spans="2:4" ht="15.75" customHeight="1">
      <c r="B936" s="47"/>
      <c r="C936" s="47"/>
      <c r="D936" s="56"/>
    </row>
    <row r="937" spans="2:4" ht="15.75" customHeight="1">
      <c r="B937" s="47"/>
      <c r="C937" s="47"/>
      <c r="D937" s="56"/>
    </row>
    <row r="938" spans="2:4" ht="15.75" customHeight="1">
      <c r="B938" s="47"/>
      <c r="C938" s="47"/>
      <c r="D938" s="56"/>
    </row>
    <row r="939" spans="2:4" ht="15.75" customHeight="1">
      <c r="B939" s="47"/>
      <c r="C939" s="47"/>
      <c r="D939" s="56"/>
    </row>
    <row r="940" spans="2:4" ht="15.75" customHeight="1">
      <c r="B940" s="47"/>
      <c r="C940" s="47"/>
      <c r="D940" s="56"/>
    </row>
    <row r="941" spans="2:4" ht="15.75" customHeight="1">
      <c r="B941" s="47"/>
      <c r="C941" s="47"/>
      <c r="D941" s="56"/>
    </row>
    <row r="942" spans="2:4" ht="15.75" customHeight="1">
      <c r="B942" s="47"/>
      <c r="C942" s="47"/>
      <c r="D942" s="56"/>
    </row>
    <row r="943" spans="2:4" ht="15.75" customHeight="1">
      <c r="B943" s="47"/>
      <c r="C943" s="47"/>
      <c r="D943" s="56"/>
    </row>
    <row r="944" spans="2:4" ht="15.75" customHeight="1">
      <c r="B944" s="47"/>
      <c r="C944" s="47"/>
      <c r="D944" s="56"/>
    </row>
    <row r="945" spans="2:4" ht="15.75" customHeight="1">
      <c r="B945" s="47"/>
      <c r="C945" s="47"/>
      <c r="D945" s="56"/>
    </row>
    <row r="946" spans="2:4" ht="15.75" customHeight="1">
      <c r="B946" s="47"/>
      <c r="C946" s="47"/>
      <c r="D946" s="56"/>
    </row>
    <row r="947" spans="2:4" ht="15.75" customHeight="1">
      <c r="B947" s="47"/>
      <c r="C947" s="47"/>
      <c r="D947" s="56"/>
    </row>
    <row r="948" spans="2:4" ht="15.75" customHeight="1">
      <c r="B948" s="47"/>
      <c r="C948" s="47"/>
      <c r="D948" s="56"/>
    </row>
    <row r="949" spans="2:4" ht="15.75" customHeight="1">
      <c r="B949" s="47"/>
      <c r="C949" s="47"/>
      <c r="D949" s="56"/>
    </row>
    <row r="950" spans="2:4" ht="15.75" customHeight="1">
      <c r="B950" s="47"/>
      <c r="C950" s="47"/>
      <c r="D950" s="56"/>
    </row>
    <row r="951" spans="2:4" ht="15.75" customHeight="1">
      <c r="B951" s="47"/>
      <c r="C951" s="47"/>
      <c r="D951" s="56"/>
    </row>
    <row r="952" spans="2:4" ht="15.75" customHeight="1">
      <c r="B952" s="47"/>
      <c r="C952" s="47"/>
      <c r="D952" s="56"/>
    </row>
    <row r="953" spans="2:4" ht="15.75" customHeight="1">
      <c r="B953" s="47"/>
      <c r="C953" s="47"/>
      <c r="D953" s="56"/>
    </row>
    <row r="954" spans="2:4" ht="15.75" customHeight="1">
      <c r="B954" s="47"/>
      <c r="C954" s="47"/>
      <c r="D954" s="56"/>
    </row>
    <row r="955" spans="2:4" ht="15.75" customHeight="1">
      <c r="B955" s="47"/>
      <c r="C955" s="47"/>
      <c r="D955" s="56"/>
    </row>
    <row r="956" spans="2:4" ht="15.75" customHeight="1">
      <c r="B956" s="47"/>
      <c r="C956" s="47"/>
      <c r="D956" s="56"/>
    </row>
    <row r="957" spans="2:4" ht="15.75" customHeight="1">
      <c r="B957" s="47"/>
      <c r="C957" s="47"/>
      <c r="D957" s="56"/>
    </row>
    <row r="958" spans="2:4" ht="15.75" customHeight="1">
      <c r="B958" s="47"/>
      <c r="C958" s="47"/>
      <c r="D958" s="56"/>
    </row>
    <row r="959" spans="2:4" ht="15.75" customHeight="1">
      <c r="B959" s="47"/>
      <c r="C959" s="47"/>
      <c r="D959" s="56"/>
    </row>
    <row r="960" spans="2:4" ht="15.75" customHeight="1">
      <c r="B960" s="47"/>
      <c r="C960" s="47"/>
      <c r="D960" s="56"/>
    </row>
    <row r="961" spans="2:4" ht="15.75" customHeight="1">
      <c r="B961" s="47"/>
      <c r="C961" s="47"/>
      <c r="D961" s="56"/>
    </row>
    <row r="962" spans="2:4" ht="15.75" customHeight="1">
      <c r="B962" s="47"/>
      <c r="C962" s="47"/>
      <c r="D962" s="56"/>
    </row>
    <row r="963" spans="2:4" ht="15.75" customHeight="1">
      <c r="B963" s="47"/>
      <c r="C963" s="47"/>
      <c r="D963" s="56"/>
    </row>
    <row r="964" spans="2:4" ht="15.75" customHeight="1">
      <c r="B964" s="47"/>
      <c r="C964" s="47"/>
      <c r="D964" s="56"/>
    </row>
    <row r="965" spans="2:4" ht="15.75" customHeight="1">
      <c r="B965" s="47"/>
      <c r="C965" s="47"/>
      <c r="D965" s="56"/>
    </row>
    <row r="966" spans="2:4" ht="15.75" customHeight="1">
      <c r="B966" s="47"/>
      <c r="C966" s="47"/>
      <c r="D966" s="56"/>
    </row>
    <row r="967" spans="2:4" ht="15.75" customHeight="1">
      <c r="B967" s="47"/>
      <c r="C967" s="47"/>
      <c r="D967" s="56"/>
    </row>
    <row r="968" spans="2:4" ht="15.75" customHeight="1">
      <c r="B968" s="47"/>
      <c r="C968" s="47"/>
      <c r="D968" s="56"/>
    </row>
    <row r="969" spans="2:4" ht="15.75" customHeight="1">
      <c r="B969" s="47"/>
      <c r="C969" s="47"/>
      <c r="D969" s="56"/>
    </row>
    <row r="970" spans="2:4" ht="15.75" customHeight="1">
      <c r="B970" s="47"/>
      <c r="C970" s="47"/>
      <c r="D970" s="56"/>
    </row>
    <row r="971" spans="2:4" ht="15.75" customHeight="1">
      <c r="B971" s="47"/>
      <c r="C971" s="47"/>
      <c r="D971" s="56"/>
    </row>
    <row r="972" spans="2:4" ht="15.75" customHeight="1">
      <c r="B972" s="47"/>
      <c r="C972" s="47"/>
      <c r="D972" s="56"/>
    </row>
    <row r="973" spans="2:4" ht="15.75" customHeight="1">
      <c r="B973" s="47"/>
      <c r="C973" s="47"/>
      <c r="D973" s="56"/>
    </row>
    <row r="974" spans="2:4" ht="15.75" customHeight="1">
      <c r="B974" s="47"/>
      <c r="C974" s="47"/>
      <c r="D974" s="56"/>
    </row>
    <row r="975" spans="2:4" ht="15.75" customHeight="1">
      <c r="B975" s="47"/>
      <c r="C975" s="47"/>
      <c r="D975" s="56"/>
    </row>
    <row r="976" spans="2:4" ht="15.75" customHeight="1">
      <c r="B976" s="47"/>
      <c r="C976" s="47"/>
      <c r="D976" s="56"/>
    </row>
    <row r="977" spans="2:4" ht="15.75" customHeight="1">
      <c r="B977" s="47"/>
      <c r="C977" s="47"/>
      <c r="D977" s="56"/>
    </row>
    <row r="978" spans="2:4" ht="15.75" customHeight="1">
      <c r="B978" s="47"/>
      <c r="C978" s="47"/>
      <c r="D978" s="56"/>
    </row>
    <row r="979" spans="2:4" ht="15.75" customHeight="1">
      <c r="B979" s="47"/>
      <c r="C979" s="47"/>
      <c r="D979" s="56"/>
    </row>
    <row r="980" spans="2:4" ht="15.75" customHeight="1">
      <c r="B980" s="47"/>
      <c r="C980" s="47"/>
      <c r="D980" s="56"/>
    </row>
    <row r="981" spans="2:4" ht="15.75" customHeight="1">
      <c r="B981" s="47"/>
      <c r="C981" s="47"/>
      <c r="D981" s="56"/>
    </row>
    <row r="982" spans="2:4" ht="15.75" customHeight="1">
      <c r="B982" s="47"/>
      <c r="C982" s="47"/>
      <c r="D982" s="56"/>
    </row>
    <row r="983" spans="2:4" ht="15.75" customHeight="1">
      <c r="B983" s="47"/>
      <c r="C983" s="47"/>
      <c r="D983" s="56"/>
    </row>
    <row r="984" spans="2:4" ht="15.75" customHeight="1">
      <c r="B984" s="47"/>
      <c r="C984" s="47"/>
      <c r="D984" s="56"/>
    </row>
    <row r="985" spans="2:4" ht="15.75" customHeight="1">
      <c r="B985" s="47"/>
      <c r="C985" s="47"/>
      <c r="D985" s="56"/>
    </row>
    <row r="986" spans="2:4" ht="15.75" customHeight="1">
      <c r="B986" s="47"/>
      <c r="C986" s="47"/>
      <c r="D986" s="56"/>
    </row>
    <row r="987" spans="2:4" ht="15.75" customHeight="1">
      <c r="B987" s="47"/>
      <c r="C987" s="47"/>
      <c r="D987" s="56"/>
    </row>
    <row r="988" spans="2:4" ht="15.75" customHeight="1">
      <c r="B988" s="47"/>
      <c r="C988" s="47"/>
      <c r="D988" s="56"/>
    </row>
    <row r="989" spans="2:4" ht="15.75" customHeight="1">
      <c r="B989" s="47"/>
      <c r="C989" s="47"/>
      <c r="D989" s="56"/>
    </row>
    <row r="990" spans="2:4" ht="15.75" customHeight="1">
      <c r="B990" s="47"/>
      <c r="C990" s="47"/>
      <c r="D990" s="56"/>
    </row>
    <row r="991" spans="2:4" ht="15.75" customHeight="1">
      <c r="B991" s="47"/>
      <c r="C991" s="47"/>
      <c r="D991" s="56"/>
    </row>
    <row r="992" spans="2:4" ht="15.75" customHeight="1">
      <c r="B992" s="47"/>
      <c r="C992" s="47"/>
      <c r="D992" s="56"/>
    </row>
    <row r="993" spans="2:4" ht="15.75" customHeight="1">
      <c r="B993" s="47"/>
      <c r="C993" s="47"/>
      <c r="D993" s="56"/>
    </row>
    <row r="994" spans="2:4" ht="15.75" customHeight="1">
      <c r="B994" s="47"/>
      <c r="C994" s="47"/>
      <c r="D994" s="56"/>
    </row>
    <row r="995" spans="2:4" ht="15.75" customHeight="1">
      <c r="B995" s="47"/>
      <c r="C995" s="47"/>
      <c r="D995" s="56"/>
    </row>
    <row r="996" spans="2:4" ht="15.75" customHeight="1">
      <c r="B996" s="47"/>
      <c r="C996" s="47"/>
      <c r="D996" s="56"/>
    </row>
    <row r="997" spans="2:4" ht="15.75" customHeight="1">
      <c r="B997" s="47"/>
      <c r="C997" s="47"/>
      <c r="D997" s="56"/>
    </row>
    <row r="998" spans="2:4" ht="15.75" customHeight="1">
      <c r="B998" s="47"/>
      <c r="C998" s="47"/>
      <c r="D998" s="56"/>
    </row>
    <row r="999" spans="2:4" ht="15.75" customHeight="1">
      <c r="B999" s="47"/>
      <c r="C999" s="47"/>
      <c r="D999" s="56"/>
    </row>
    <row r="1000" spans="2:4" ht="15.75" customHeight="1">
      <c r="B1000" s="47"/>
      <c r="C1000" s="47"/>
      <c r="D1000" s="56"/>
    </row>
    <row r="1001" spans="2:4" ht="15.75" customHeight="1">
      <c r="B1001" s="47"/>
      <c r="C1001" s="47"/>
      <c r="D1001" s="56"/>
    </row>
    <row r="1002" spans="2:4" ht="15.75" customHeight="1">
      <c r="B1002" s="47"/>
      <c r="C1002" s="47"/>
      <c r="D1002" s="56"/>
    </row>
    <row r="1003" spans="2:4" ht="15.75" customHeight="1">
      <c r="B1003" s="47"/>
      <c r="C1003" s="47"/>
      <c r="D1003" s="56"/>
    </row>
    <row r="1004" spans="2:4" ht="15.75" customHeight="1">
      <c r="B1004" s="47"/>
      <c r="C1004" s="47"/>
      <c r="D1004" s="56"/>
    </row>
    <row r="1005" spans="2:4" ht="15.75" customHeight="1">
      <c r="B1005" s="47"/>
      <c r="C1005" s="47"/>
      <c r="D1005" s="56"/>
    </row>
    <row r="1006" spans="2:4" ht="15.75" customHeight="1">
      <c r="B1006" s="47"/>
      <c r="C1006" s="47"/>
      <c r="D1006" s="56"/>
    </row>
    <row r="1007" spans="2:4" ht="15.75" customHeight="1">
      <c r="B1007" s="47"/>
      <c r="C1007" s="47"/>
      <c r="D1007" s="56"/>
    </row>
  </sheetData>
  <hyperlinks>
    <hyperlink ref="J2" r:id="rId1" xr:uid="{00000000-0004-0000-0700-000000000000}"/>
    <hyperlink ref="J3" r:id="rId2" xr:uid="{00000000-0004-0000-0700-000001000000}"/>
    <hyperlink ref="J4" r:id="rId3" xr:uid="{00000000-0004-0000-0700-000002000000}"/>
    <hyperlink ref="J5" r:id="rId4" xr:uid="{00000000-0004-0000-0700-000003000000}"/>
    <hyperlink ref="J6" r:id="rId5" xr:uid="{00000000-0004-0000-0700-000004000000}"/>
    <hyperlink ref="J7" r:id="rId6" xr:uid="{00000000-0004-0000-0700-000005000000}"/>
    <hyperlink ref="J8" r:id="rId7" xr:uid="{00000000-0004-0000-0700-000006000000}"/>
    <hyperlink ref="J9" r:id="rId8" xr:uid="{00000000-0004-0000-0700-000007000000}"/>
    <hyperlink ref="J10" r:id="rId9" xr:uid="{00000000-0004-0000-0700-000008000000}"/>
    <hyperlink ref="J11" r:id="rId10" xr:uid="{00000000-0004-0000-0700-000009000000}"/>
    <hyperlink ref="J12" r:id="rId11" xr:uid="{00000000-0004-0000-0700-00000A000000}"/>
    <hyperlink ref="J13" r:id="rId12" xr:uid="{00000000-0004-0000-0700-00000B000000}"/>
    <hyperlink ref="J14" r:id="rId13" xr:uid="{00000000-0004-0000-0700-00000C000000}"/>
    <hyperlink ref="J15" r:id="rId14" xr:uid="{00000000-0004-0000-0700-00000D000000}"/>
    <hyperlink ref="J16" r:id="rId15" xr:uid="{00000000-0004-0000-0700-00000E000000}"/>
    <hyperlink ref="J17" r:id="rId16" xr:uid="{00000000-0004-0000-0700-00000F000000}"/>
    <hyperlink ref="J18" r:id="rId17" xr:uid="{00000000-0004-0000-0700-000010000000}"/>
    <hyperlink ref="J19" r:id="rId18" xr:uid="{00000000-0004-0000-0700-000011000000}"/>
    <hyperlink ref="J20" r:id="rId19" xr:uid="{00000000-0004-0000-0700-000012000000}"/>
    <hyperlink ref="J21" r:id="rId20" xr:uid="{00000000-0004-0000-0700-000013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98"/>
  <sheetViews>
    <sheetView workbookViewId="0"/>
  </sheetViews>
  <sheetFormatPr baseColWidth="10" defaultColWidth="12.6640625" defaultRowHeight="15.75" customHeight="1"/>
  <cols>
    <col min="1" max="1" width="22.83203125" customWidth="1"/>
    <col min="2" max="2" width="2" customWidth="1"/>
    <col min="3" max="3" width="3" customWidth="1"/>
    <col min="4" max="4" width="6.1640625" customWidth="1"/>
    <col min="7" max="7" width="15.83203125" customWidth="1"/>
    <col min="8" max="8" width="18.6640625" customWidth="1"/>
    <col min="9" max="9" width="7" customWidth="1"/>
    <col min="10" max="10" width="5" customWidth="1"/>
    <col min="12" max="12" width="42.83203125" customWidth="1"/>
  </cols>
  <sheetData>
    <row r="1" spans="1:27" ht="15.75" customHeight="1">
      <c r="A1" s="32"/>
      <c r="B1" s="33"/>
      <c r="C1" s="34"/>
      <c r="D1" s="34"/>
      <c r="E1" s="34"/>
      <c r="F1" s="34"/>
      <c r="G1" s="34"/>
      <c r="H1" s="34" t="s">
        <v>2397</v>
      </c>
      <c r="I1" s="34" t="s">
        <v>2398</v>
      </c>
      <c r="J1" s="34" t="s">
        <v>2399</v>
      </c>
      <c r="K1" s="34" t="s">
        <v>2400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15.75" customHeight="1">
      <c r="A2" s="36" t="s">
        <v>2401</v>
      </c>
      <c r="B2" s="37">
        <f>4+2</f>
        <v>6</v>
      </c>
      <c r="C2" s="38" t="s">
        <v>2402</v>
      </c>
      <c r="D2" s="39">
        <v>2202</v>
      </c>
      <c r="E2" s="40" t="s">
        <v>2403</v>
      </c>
      <c r="F2" s="40"/>
      <c r="G2" s="41" t="s">
        <v>2404</v>
      </c>
      <c r="H2" s="41">
        <f>6+6+5+7+11</f>
        <v>35</v>
      </c>
      <c r="I2" s="41">
        <f>5+1+2</f>
        <v>8</v>
      </c>
      <c r="J2" s="35">
        <f>H2-I2</f>
        <v>27</v>
      </c>
      <c r="K2" s="42" t="s">
        <v>2325</v>
      </c>
      <c r="L2" s="43" t="s">
        <v>2405</v>
      </c>
    </row>
    <row r="3" spans="1:27" ht="15.75" customHeight="1">
      <c r="A3" s="36" t="s">
        <v>2326</v>
      </c>
      <c r="B3" s="37">
        <v>4</v>
      </c>
      <c r="C3" s="40" t="s">
        <v>2406</v>
      </c>
      <c r="D3" s="40">
        <v>1226</v>
      </c>
      <c r="E3" s="168" t="s">
        <v>2407</v>
      </c>
      <c r="F3" s="40"/>
      <c r="G3" s="41" t="s">
        <v>2404</v>
      </c>
      <c r="H3" s="41">
        <f>6+6+7+6</f>
        <v>25</v>
      </c>
      <c r="I3" s="41">
        <f>4+2+4</f>
        <v>10</v>
      </c>
      <c r="J3" s="35">
        <f>H3-I3</f>
        <v>15</v>
      </c>
      <c r="K3" s="42" t="s">
        <v>2329</v>
      </c>
    </row>
    <row r="4" spans="1:27" ht="15.75" customHeight="1">
      <c r="A4" s="36" t="s">
        <v>2334</v>
      </c>
      <c r="B4" s="37">
        <v>4</v>
      </c>
      <c r="C4" s="40" t="s">
        <v>2408</v>
      </c>
      <c r="D4" s="40">
        <v>1224</v>
      </c>
      <c r="E4" s="154"/>
      <c r="F4" s="40"/>
      <c r="G4" s="41" t="s">
        <v>2404</v>
      </c>
      <c r="H4" s="41">
        <f>5+6*3</f>
        <v>23</v>
      </c>
      <c r="I4" s="41">
        <f>2+1</f>
        <v>3</v>
      </c>
      <c r="J4" s="35">
        <f>H4-I4</f>
        <v>20</v>
      </c>
      <c r="K4" s="42" t="s">
        <v>2337</v>
      </c>
    </row>
    <row r="5" spans="1:27" ht="15.75" customHeight="1">
      <c r="A5" s="36" t="s">
        <v>2341</v>
      </c>
      <c r="B5" s="37">
        <v>4</v>
      </c>
      <c r="C5" s="40" t="s">
        <v>2409</v>
      </c>
      <c r="D5" s="39">
        <v>4307</v>
      </c>
      <c r="E5" s="168" t="s">
        <v>2410</v>
      </c>
      <c r="F5" s="40"/>
      <c r="G5" s="41" t="s">
        <v>2404</v>
      </c>
      <c r="H5" s="41">
        <f>7+6+6+6</f>
        <v>25</v>
      </c>
      <c r="I5" s="41">
        <f>2+2+3+1</f>
        <v>8</v>
      </c>
      <c r="J5" s="35">
        <f>H5-8</f>
        <v>17</v>
      </c>
      <c r="K5" s="42" t="s">
        <v>2344</v>
      </c>
    </row>
    <row r="6" spans="1:27" ht="15.75" customHeight="1">
      <c r="A6" s="36" t="s">
        <v>2394</v>
      </c>
      <c r="B6" s="37">
        <v>4</v>
      </c>
      <c r="C6" s="40" t="s">
        <v>2411</v>
      </c>
      <c r="D6" s="40">
        <v>4208</v>
      </c>
      <c r="E6" s="154"/>
      <c r="F6" s="40"/>
      <c r="G6" s="41" t="s">
        <v>2404</v>
      </c>
      <c r="H6" s="41">
        <f>6+7+6+6</f>
        <v>25</v>
      </c>
      <c r="I6" s="41">
        <f>1+1+1+2</f>
        <v>5</v>
      </c>
      <c r="J6" s="35">
        <f t="shared" ref="J6:J14" si="0">H6-I6</f>
        <v>20</v>
      </c>
      <c r="K6" s="42" t="s">
        <v>2396</v>
      </c>
    </row>
    <row r="7" spans="1:27" ht="15.75" customHeight="1">
      <c r="A7" s="36" t="s">
        <v>2412</v>
      </c>
      <c r="B7" s="37">
        <v>6</v>
      </c>
      <c r="C7" s="40" t="s">
        <v>2413</v>
      </c>
      <c r="D7" s="40">
        <v>4306</v>
      </c>
      <c r="E7" s="154"/>
      <c r="F7" s="40"/>
      <c r="G7" s="41" t="s">
        <v>2404</v>
      </c>
      <c r="H7" s="41">
        <f>6*6</f>
        <v>36</v>
      </c>
      <c r="I7" s="41">
        <f>1+2+2</f>
        <v>5</v>
      </c>
      <c r="J7" s="35">
        <f t="shared" si="0"/>
        <v>31</v>
      </c>
      <c r="K7" s="42" t="s">
        <v>2351</v>
      </c>
      <c r="L7" s="43" t="s">
        <v>2414</v>
      </c>
    </row>
    <row r="8" spans="1:27" ht="15.75" customHeight="1">
      <c r="A8" s="36" t="s">
        <v>2415</v>
      </c>
      <c r="B8" s="37">
        <v>6</v>
      </c>
      <c r="C8" s="40" t="s">
        <v>2416</v>
      </c>
      <c r="D8" s="39">
        <v>4210</v>
      </c>
      <c r="E8" s="154"/>
      <c r="F8" s="40"/>
      <c r="G8" s="41" t="s">
        <v>2404</v>
      </c>
      <c r="H8" s="41">
        <v>37</v>
      </c>
      <c r="I8" s="41">
        <f>2+1+1+2</f>
        <v>6</v>
      </c>
      <c r="J8" s="35">
        <f t="shared" si="0"/>
        <v>31</v>
      </c>
      <c r="K8" s="42" t="s">
        <v>2369</v>
      </c>
      <c r="L8" s="43" t="s">
        <v>2417</v>
      </c>
    </row>
    <row r="9" spans="1:27" ht="15.75" customHeight="1">
      <c r="A9" s="36" t="s">
        <v>2378</v>
      </c>
      <c r="B9" s="37">
        <v>3</v>
      </c>
      <c r="C9" s="40" t="s">
        <v>2418</v>
      </c>
      <c r="D9" s="39">
        <v>4202</v>
      </c>
      <c r="E9" s="154"/>
      <c r="F9" s="40"/>
      <c r="G9" s="41" t="s">
        <v>2404</v>
      </c>
      <c r="H9" s="41">
        <f>3*7</f>
        <v>21</v>
      </c>
      <c r="I9" s="41">
        <f>1+1+2</f>
        <v>4</v>
      </c>
      <c r="J9" s="35">
        <f t="shared" si="0"/>
        <v>17</v>
      </c>
      <c r="K9" s="42" t="s">
        <v>2381</v>
      </c>
    </row>
    <row r="10" spans="1:27" ht="15.75" customHeight="1">
      <c r="A10" s="36" t="s">
        <v>2382</v>
      </c>
      <c r="B10" s="37">
        <v>3</v>
      </c>
      <c r="C10" s="40" t="s">
        <v>2419</v>
      </c>
      <c r="D10" s="39">
        <v>4207</v>
      </c>
      <c r="E10" s="154"/>
      <c r="F10" s="40"/>
      <c r="G10" s="41" t="s">
        <v>2404</v>
      </c>
      <c r="H10" s="41">
        <f>3*6</f>
        <v>18</v>
      </c>
      <c r="I10" s="41">
        <f>2+1+1</f>
        <v>4</v>
      </c>
      <c r="J10" s="35">
        <f t="shared" si="0"/>
        <v>14</v>
      </c>
      <c r="K10" s="42" t="s">
        <v>2385</v>
      </c>
    </row>
    <row r="11" spans="1:27" ht="15.75" customHeight="1">
      <c r="A11" s="40" t="s">
        <v>2386</v>
      </c>
      <c r="B11" s="37">
        <v>3</v>
      </c>
      <c r="C11" s="40" t="s">
        <v>2420</v>
      </c>
      <c r="D11" s="44" t="s">
        <v>2421</v>
      </c>
      <c r="E11" s="40" t="s">
        <v>2422</v>
      </c>
      <c r="F11" s="40"/>
      <c r="G11" s="41" t="s">
        <v>2404</v>
      </c>
      <c r="H11" s="41">
        <v>18</v>
      </c>
      <c r="I11" s="41">
        <v>4</v>
      </c>
      <c r="J11" s="35">
        <f t="shared" si="0"/>
        <v>14</v>
      </c>
      <c r="K11" s="42" t="s">
        <v>2389</v>
      </c>
    </row>
    <row r="12" spans="1:27" ht="15.75" customHeight="1">
      <c r="A12" s="36" t="s">
        <v>2390</v>
      </c>
      <c r="B12" s="37">
        <v>3</v>
      </c>
      <c r="C12" s="40" t="s">
        <v>2423</v>
      </c>
      <c r="D12" s="39">
        <v>1315</v>
      </c>
      <c r="E12" s="40" t="s">
        <v>2407</v>
      </c>
      <c r="F12" s="40"/>
      <c r="G12" s="41" t="s">
        <v>2404</v>
      </c>
      <c r="H12" s="41">
        <f>5+7+7</f>
        <v>19</v>
      </c>
      <c r="I12" s="41">
        <f>1+1+1</f>
        <v>3</v>
      </c>
      <c r="J12" s="35">
        <f t="shared" si="0"/>
        <v>16</v>
      </c>
      <c r="K12" s="42" t="s">
        <v>2393</v>
      </c>
    </row>
    <row r="13" spans="1:27" ht="15.75" customHeight="1">
      <c r="A13" s="36" t="s">
        <v>2345</v>
      </c>
      <c r="B13" s="37">
        <v>2</v>
      </c>
      <c r="C13" s="40" t="s">
        <v>2424</v>
      </c>
      <c r="D13" s="39">
        <v>4213</v>
      </c>
      <c r="E13" s="168" t="s">
        <v>2410</v>
      </c>
      <c r="F13" s="40"/>
      <c r="G13" s="41" t="s">
        <v>2404</v>
      </c>
      <c r="H13" s="41">
        <f>10</f>
        <v>10</v>
      </c>
      <c r="I13" s="41">
        <f>1+2</f>
        <v>3</v>
      </c>
      <c r="J13" s="35">
        <f t="shared" si="0"/>
        <v>7</v>
      </c>
      <c r="K13" s="42" t="s">
        <v>2348</v>
      </c>
    </row>
    <row r="14" spans="1:27" ht="15.75" customHeight="1">
      <c r="A14" s="36" t="s">
        <v>2373</v>
      </c>
      <c r="B14" s="37">
        <v>2</v>
      </c>
      <c r="C14" s="40" t="s">
        <v>2425</v>
      </c>
      <c r="D14" s="39">
        <v>4103</v>
      </c>
      <c r="E14" s="154"/>
      <c r="F14" s="40"/>
      <c r="G14" s="41" t="s">
        <v>2404</v>
      </c>
      <c r="H14" s="41">
        <f>7+6</f>
        <v>13</v>
      </c>
      <c r="I14" s="41">
        <f>2+1</f>
        <v>3</v>
      </c>
      <c r="J14" s="35">
        <f t="shared" si="0"/>
        <v>10</v>
      </c>
      <c r="K14" s="42" t="s">
        <v>2377</v>
      </c>
    </row>
    <row r="15" spans="1:27" ht="15.75" customHeight="1">
      <c r="A15" s="36" t="s">
        <v>2338</v>
      </c>
      <c r="B15" s="37">
        <v>1</v>
      </c>
      <c r="C15" s="40" t="s">
        <v>2426</v>
      </c>
      <c r="D15" s="39">
        <v>4206</v>
      </c>
      <c r="E15" s="154"/>
      <c r="F15" s="40"/>
      <c r="G15" s="41" t="s">
        <v>2404</v>
      </c>
      <c r="H15" s="41">
        <f>6</f>
        <v>6</v>
      </c>
      <c r="I15" s="41">
        <f>2</f>
        <v>2</v>
      </c>
      <c r="J15" s="35">
        <f>6-2</f>
        <v>4</v>
      </c>
      <c r="K15" s="42" t="s">
        <v>2340</v>
      </c>
    </row>
    <row r="16" spans="1:27" ht="15.75" customHeight="1">
      <c r="A16" s="36" t="s">
        <v>2352</v>
      </c>
      <c r="B16" s="37">
        <v>1</v>
      </c>
      <c r="C16" s="40" t="s">
        <v>2427</v>
      </c>
      <c r="D16" s="45" t="s">
        <v>2428</v>
      </c>
      <c r="E16" s="168" t="s">
        <v>2429</v>
      </c>
      <c r="F16" s="40"/>
      <c r="G16" s="41" t="s">
        <v>2430</v>
      </c>
      <c r="H16" s="41">
        <f>7</f>
        <v>7</v>
      </c>
      <c r="I16" s="41">
        <v>1</v>
      </c>
      <c r="J16" s="35">
        <f>H16-I16</f>
        <v>6</v>
      </c>
      <c r="K16" s="42" t="s">
        <v>2355</v>
      </c>
    </row>
    <row r="17" spans="1:13" ht="15.75" customHeight="1">
      <c r="A17" s="36" t="s">
        <v>2356</v>
      </c>
      <c r="B17" s="37">
        <v>1</v>
      </c>
      <c r="C17" s="40" t="s">
        <v>2431</v>
      </c>
      <c r="D17" s="45" t="s">
        <v>2432</v>
      </c>
      <c r="E17" s="154"/>
      <c r="F17" s="40"/>
      <c r="G17" s="41" t="s">
        <v>2430</v>
      </c>
      <c r="H17" s="41">
        <v>6</v>
      </c>
      <c r="I17" s="41">
        <f>1</f>
        <v>1</v>
      </c>
      <c r="J17" s="35">
        <f>H17-I17</f>
        <v>5</v>
      </c>
      <c r="K17" s="46" t="s">
        <v>2359</v>
      </c>
    </row>
    <row r="18" spans="1:13" ht="15.75" customHeight="1">
      <c r="A18" s="36" t="s">
        <v>2360</v>
      </c>
      <c r="B18" s="37">
        <v>1</v>
      </c>
      <c r="C18" s="40" t="s">
        <v>2433</v>
      </c>
      <c r="D18" s="45" t="s">
        <v>2434</v>
      </c>
      <c r="E18" s="154"/>
      <c r="F18" s="40"/>
      <c r="G18" s="41" t="s">
        <v>2430</v>
      </c>
      <c r="H18" s="41">
        <v>6</v>
      </c>
      <c r="I18" s="41">
        <v>2</v>
      </c>
      <c r="J18" s="35">
        <f>H18-I18</f>
        <v>4</v>
      </c>
      <c r="K18" s="46" t="s">
        <v>2363</v>
      </c>
    </row>
    <row r="19" spans="1:13" ht="15.75" customHeight="1">
      <c r="A19" s="40"/>
      <c r="G19" s="35"/>
      <c r="H19" s="35"/>
      <c r="I19" s="35"/>
    </row>
    <row r="20" spans="1:13" ht="15.75" customHeight="1">
      <c r="G20" s="35"/>
      <c r="H20" s="35"/>
      <c r="I20" s="35"/>
    </row>
    <row r="21" spans="1:13" ht="15.75" customHeight="1">
      <c r="G21" s="35"/>
      <c r="H21" s="35"/>
      <c r="I21" s="35"/>
    </row>
    <row r="22" spans="1:13" ht="15.75" customHeight="1">
      <c r="G22" s="35"/>
      <c r="H22" s="35"/>
      <c r="I22" s="35"/>
    </row>
    <row r="23" spans="1:13" ht="15.75" customHeight="1">
      <c r="G23" s="35"/>
      <c r="H23" s="35"/>
      <c r="I23" s="35"/>
    </row>
    <row r="24" spans="1:13" ht="15.75" customHeight="1">
      <c r="G24" s="35"/>
      <c r="H24" s="35"/>
      <c r="I24" s="35"/>
    </row>
    <row r="25" spans="1:13" ht="15.75" customHeight="1">
      <c r="G25" s="35"/>
      <c r="H25" s="35"/>
      <c r="I25" s="35"/>
    </row>
    <row r="26" spans="1:13" ht="15.75" customHeight="1">
      <c r="G26" s="35"/>
      <c r="H26" s="35"/>
      <c r="I26" s="35"/>
    </row>
    <row r="27" spans="1:13" ht="15.75" customHeight="1">
      <c r="G27" s="35"/>
      <c r="H27" s="35"/>
      <c r="I27" s="35"/>
      <c r="L27" s="7" t="s">
        <v>2435</v>
      </c>
      <c r="M27" s="7" t="s">
        <v>2400</v>
      </c>
    </row>
    <row r="28" spans="1:13" ht="15.75" customHeight="1">
      <c r="G28" s="35"/>
      <c r="H28" s="35"/>
      <c r="I28" s="35"/>
      <c r="L28" s="7" t="s">
        <v>2436</v>
      </c>
      <c r="M28" s="7" t="s">
        <v>2325</v>
      </c>
    </row>
    <row r="29" spans="1:13" ht="15.75" customHeight="1">
      <c r="G29" s="35"/>
      <c r="H29" s="35"/>
      <c r="I29" s="35"/>
      <c r="L29" s="7" t="s">
        <v>2437</v>
      </c>
      <c r="M29" s="7" t="s">
        <v>2329</v>
      </c>
    </row>
    <row r="30" spans="1:13" ht="15.75" customHeight="1">
      <c r="G30" s="35"/>
      <c r="H30" s="35"/>
      <c r="I30" s="35"/>
      <c r="L30" s="7" t="s">
        <v>2438</v>
      </c>
      <c r="M30" s="7" t="s">
        <v>2337</v>
      </c>
    </row>
    <row r="31" spans="1:13" ht="15.75" customHeight="1">
      <c r="G31" s="35"/>
      <c r="H31" s="35"/>
      <c r="I31" s="35"/>
      <c r="L31" s="7" t="s">
        <v>2439</v>
      </c>
      <c r="M31" s="7" t="s">
        <v>2344</v>
      </c>
    </row>
    <row r="32" spans="1:13" ht="15.75" customHeight="1">
      <c r="G32" s="35"/>
      <c r="H32" s="35"/>
      <c r="I32" s="35"/>
      <c r="L32" s="7" t="s">
        <v>2440</v>
      </c>
      <c r="M32" s="7" t="s">
        <v>2396</v>
      </c>
    </row>
    <row r="33" spans="7:13" ht="15.75" customHeight="1">
      <c r="G33" s="35"/>
      <c r="H33" s="35"/>
      <c r="I33" s="35"/>
      <c r="L33" s="7" t="s">
        <v>2441</v>
      </c>
      <c r="M33" s="7" t="s">
        <v>2351</v>
      </c>
    </row>
    <row r="34" spans="7:13" ht="15.75" customHeight="1">
      <c r="G34" s="35"/>
      <c r="H34" s="35"/>
      <c r="I34" s="35"/>
      <c r="L34" s="7" t="s">
        <v>2442</v>
      </c>
      <c r="M34" s="7" t="s">
        <v>2369</v>
      </c>
    </row>
    <row r="35" spans="7:13" ht="15.75" customHeight="1">
      <c r="G35" s="35"/>
      <c r="H35" s="35"/>
      <c r="I35" s="35"/>
      <c r="L35" s="7" t="s">
        <v>2443</v>
      </c>
      <c r="M35" s="7" t="s">
        <v>2381</v>
      </c>
    </row>
    <row r="36" spans="7:13" ht="15.75" customHeight="1">
      <c r="G36" s="35"/>
      <c r="H36" s="35"/>
      <c r="I36" s="35"/>
      <c r="L36" s="7" t="s">
        <v>2444</v>
      </c>
      <c r="M36" s="7" t="s">
        <v>2385</v>
      </c>
    </row>
    <row r="37" spans="7:13" ht="15.75" customHeight="1">
      <c r="G37" s="35"/>
      <c r="H37" s="35"/>
      <c r="I37" s="35"/>
      <c r="L37" s="7" t="s">
        <v>2445</v>
      </c>
      <c r="M37" s="7" t="s">
        <v>2389</v>
      </c>
    </row>
    <row r="38" spans="7:13" ht="15.75" customHeight="1">
      <c r="G38" s="35"/>
      <c r="H38" s="35"/>
      <c r="I38" s="35"/>
      <c r="L38" s="7" t="s">
        <v>2446</v>
      </c>
      <c r="M38" s="7" t="s">
        <v>2393</v>
      </c>
    </row>
    <row r="39" spans="7:13" ht="15.75" customHeight="1">
      <c r="G39" s="35"/>
      <c r="H39" s="35"/>
      <c r="I39" s="35"/>
      <c r="L39" s="7" t="s">
        <v>2447</v>
      </c>
      <c r="M39" s="7" t="s">
        <v>2348</v>
      </c>
    </row>
    <row r="40" spans="7:13" ht="15.75" customHeight="1">
      <c r="G40" s="35"/>
      <c r="H40" s="35"/>
      <c r="I40" s="35"/>
      <c r="L40" s="7" t="s">
        <v>2448</v>
      </c>
      <c r="M40" s="7" t="s">
        <v>2377</v>
      </c>
    </row>
    <row r="41" spans="7:13" ht="15.75" customHeight="1">
      <c r="G41" s="35"/>
      <c r="H41" s="35"/>
      <c r="I41" s="35"/>
      <c r="L41" s="7" t="s">
        <v>2449</v>
      </c>
      <c r="M41" s="7" t="s">
        <v>2340</v>
      </c>
    </row>
    <row r="42" spans="7:13" ht="15.75" customHeight="1">
      <c r="G42" s="35"/>
      <c r="H42" s="35"/>
      <c r="I42" s="35"/>
      <c r="L42" s="7" t="s">
        <v>2450</v>
      </c>
      <c r="M42" s="7" t="s">
        <v>2355</v>
      </c>
    </row>
    <row r="43" spans="7:13" ht="15.75" customHeight="1">
      <c r="G43" s="35"/>
      <c r="H43" s="35"/>
      <c r="I43" s="35"/>
      <c r="L43" s="7" t="s">
        <v>2451</v>
      </c>
      <c r="M43" s="7" t="s">
        <v>2359</v>
      </c>
    </row>
    <row r="44" spans="7:13" ht="15.75" customHeight="1">
      <c r="G44" s="35"/>
      <c r="H44" s="35"/>
      <c r="I44" s="35"/>
      <c r="L44" s="7" t="s">
        <v>2452</v>
      </c>
      <c r="M44" s="7" t="s">
        <v>2363</v>
      </c>
    </row>
    <row r="45" spans="7:13" ht="15.75" customHeight="1">
      <c r="G45" s="35"/>
      <c r="H45" s="35"/>
      <c r="I45" s="35"/>
    </row>
    <row r="46" spans="7:13" ht="15.75" customHeight="1">
      <c r="G46" s="35"/>
      <c r="H46" s="35"/>
      <c r="I46" s="35"/>
    </row>
    <row r="47" spans="7:13" ht="15.75" customHeight="1">
      <c r="G47" s="35"/>
      <c r="H47" s="35"/>
      <c r="I47" s="35"/>
    </row>
    <row r="48" spans="7:13" ht="15.75" customHeight="1">
      <c r="G48" s="35"/>
      <c r="H48" s="35"/>
      <c r="I48" s="35"/>
    </row>
    <row r="49" spans="7:9" ht="15.75" customHeight="1">
      <c r="G49" s="35"/>
      <c r="H49" s="35"/>
      <c r="I49" s="35"/>
    </row>
    <row r="50" spans="7:9" ht="15.75" customHeight="1">
      <c r="G50" s="35"/>
      <c r="H50" s="35"/>
      <c r="I50" s="35"/>
    </row>
    <row r="51" spans="7:9" ht="15.75" customHeight="1">
      <c r="G51" s="35"/>
      <c r="H51" s="35"/>
      <c r="I51" s="35"/>
    </row>
    <row r="52" spans="7:9" ht="15.75" customHeight="1">
      <c r="G52" s="35"/>
      <c r="H52" s="35"/>
      <c r="I52" s="35"/>
    </row>
    <row r="53" spans="7:9" ht="15.75" customHeight="1">
      <c r="G53" s="35"/>
      <c r="H53" s="35"/>
      <c r="I53" s="35"/>
    </row>
    <row r="54" spans="7:9" ht="15.75" customHeight="1">
      <c r="G54" s="35"/>
      <c r="H54" s="35"/>
      <c r="I54" s="35"/>
    </row>
    <row r="55" spans="7:9" ht="15.75" customHeight="1">
      <c r="G55" s="35"/>
      <c r="H55" s="35"/>
      <c r="I55" s="35"/>
    </row>
    <row r="56" spans="7:9" ht="15.75" customHeight="1">
      <c r="G56" s="35"/>
      <c r="H56" s="35"/>
      <c r="I56" s="35"/>
    </row>
    <row r="57" spans="7:9" ht="15.75" customHeight="1">
      <c r="G57" s="35"/>
      <c r="H57" s="35"/>
      <c r="I57" s="35"/>
    </row>
    <row r="58" spans="7:9" ht="15.75" customHeight="1">
      <c r="G58" s="35"/>
      <c r="H58" s="35"/>
      <c r="I58" s="35"/>
    </row>
    <row r="59" spans="7:9" ht="15.75" customHeight="1">
      <c r="G59" s="35"/>
      <c r="H59" s="35"/>
      <c r="I59" s="35"/>
    </row>
    <row r="60" spans="7:9" ht="15.75" customHeight="1">
      <c r="G60" s="35"/>
      <c r="H60" s="35"/>
      <c r="I60" s="35"/>
    </row>
    <row r="61" spans="7:9" ht="15.75" customHeight="1">
      <c r="G61" s="35"/>
      <c r="H61" s="35"/>
      <c r="I61" s="35"/>
    </row>
    <row r="62" spans="7:9" ht="15.75" customHeight="1">
      <c r="G62" s="35"/>
      <c r="H62" s="35"/>
      <c r="I62" s="35"/>
    </row>
    <row r="63" spans="7:9" ht="15.75" customHeight="1">
      <c r="G63" s="35"/>
      <c r="H63" s="35"/>
      <c r="I63" s="35"/>
    </row>
    <row r="64" spans="7:9" ht="15.75" customHeight="1">
      <c r="G64" s="35"/>
      <c r="H64" s="35"/>
      <c r="I64" s="35"/>
    </row>
    <row r="65" spans="7:9" ht="15.75" customHeight="1">
      <c r="G65" s="35"/>
      <c r="H65" s="35"/>
      <c r="I65" s="35"/>
    </row>
    <row r="66" spans="7:9" ht="15.75" customHeight="1">
      <c r="G66" s="35"/>
      <c r="H66" s="35"/>
      <c r="I66" s="35"/>
    </row>
    <row r="67" spans="7:9" ht="15.75" customHeight="1">
      <c r="G67" s="35"/>
      <c r="H67" s="35"/>
      <c r="I67" s="35"/>
    </row>
    <row r="68" spans="7:9" ht="15.75" customHeight="1">
      <c r="G68" s="35"/>
      <c r="H68" s="35"/>
      <c r="I68" s="35"/>
    </row>
    <row r="69" spans="7:9" ht="15.75" customHeight="1">
      <c r="G69" s="35"/>
      <c r="H69" s="35"/>
      <c r="I69" s="35"/>
    </row>
    <row r="70" spans="7:9" ht="15.75" customHeight="1">
      <c r="G70" s="35"/>
      <c r="H70" s="35"/>
      <c r="I70" s="35"/>
    </row>
    <row r="71" spans="7:9" ht="15.75" customHeight="1">
      <c r="G71" s="35"/>
      <c r="H71" s="35"/>
      <c r="I71" s="35"/>
    </row>
    <row r="72" spans="7:9" ht="15.75" customHeight="1">
      <c r="G72" s="35"/>
      <c r="H72" s="35"/>
      <c r="I72" s="35"/>
    </row>
    <row r="73" spans="7:9" ht="15.75" customHeight="1">
      <c r="G73" s="35"/>
      <c r="H73" s="35"/>
      <c r="I73" s="35"/>
    </row>
    <row r="74" spans="7:9" ht="15.75" customHeight="1">
      <c r="G74" s="35"/>
      <c r="H74" s="35"/>
      <c r="I74" s="35"/>
    </row>
    <row r="75" spans="7:9" ht="15.75" customHeight="1">
      <c r="G75" s="35"/>
      <c r="H75" s="35"/>
      <c r="I75" s="35"/>
    </row>
    <row r="76" spans="7:9" ht="15.75" customHeight="1">
      <c r="G76" s="35"/>
      <c r="H76" s="35"/>
      <c r="I76" s="35"/>
    </row>
    <row r="77" spans="7:9" ht="15.75" customHeight="1">
      <c r="G77" s="35"/>
      <c r="H77" s="35"/>
      <c r="I77" s="35"/>
    </row>
    <row r="78" spans="7:9" ht="15.75" customHeight="1">
      <c r="G78" s="35"/>
      <c r="H78" s="35"/>
      <c r="I78" s="35"/>
    </row>
    <row r="79" spans="7:9" ht="15.75" customHeight="1">
      <c r="G79" s="35"/>
      <c r="H79" s="35"/>
      <c r="I79" s="35"/>
    </row>
    <row r="80" spans="7:9" ht="15.75" customHeight="1">
      <c r="G80" s="35"/>
      <c r="H80" s="35"/>
      <c r="I80" s="35"/>
    </row>
    <row r="81" spans="7:9" ht="15.75" customHeight="1">
      <c r="G81" s="35"/>
      <c r="H81" s="35"/>
      <c r="I81" s="35"/>
    </row>
    <row r="82" spans="7:9" ht="15.75" customHeight="1">
      <c r="G82" s="35"/>
      <c r="H82" s="35"/>
      <c r="I82" s="35"/>
    </row>
    <row r="83" spans="7:9" ht="15.75" customHeight="1">
      <c r="G83" s="35"/>
      <c r="H83" s="35"/>
      <c r="I83" s="35"/>
    </row>
    <row r="84" spans="7:9" ht="15.75" customHeight="1">
      <c r="G84" s="35"/>
      <c r="H84" s="35"/>
      <c r="I84" s="35"/>
    </row>
    <row r="85" spans="7:9" ht="15.75" customHeight="1">
      <c r="G85" s="35"/>
      <c r="H85" s="35"/>
      <c r="I85" s="35"/>
    </row>
    <row r="86" spans="7:9" ht="15.75" customHeight="1">
      <c r="G86" s="35"/>
      <c r="H86" s="35"/>
      <c r="I86" s="35"/>
    </row>
    <row r="87" spans="7:9" ht="15.75" customHeight="1">
      <c r="G87" s="35"/>
      <c r="H87" s="35"/>
      <c r="I87" s="35"/>
    </row>
    <row r="88" spans="7:9" ht="15.75" customHeight="1">
      <c r="G88" s="35"/>
      <c r="H88" s="35"/>
      <c r="I88" s="35"/>
    </row>
    <row r="89" spans="7:9" ht="15.75" customHeight="1">
      <c r="G89" s="35"/>
      <c r="H89" s="35"/>
      <c r="I89" s="35"/>
    </row>
    <row r="90" spans="7:9" ht="15.75" customHeight="1">
      <c r="G90" s="35"/>
      <c r="H90" s="35"/>
      <c r="I90" s="35"/>
    </row>
    <row r="91" spans="7:9" ht="15.75" customHeight="1">
      <c r="G91" s="35"/>
      <c r="H91" s="35"/>
      <c r="I91" s="35"/>
    </row>
    <row r="92" spans="7:9" ht="15.75" customHeight="1">
      <c r="G92" s="35"/>
      <c r="H92" s="35"/>
      <c r="I92" s="35"/>
    </row>
    <row r="93" spans="7:9" ht="15.75" customHeight="1">
      <c r="G93" s="35"/>
      <c r="H93" s="35"/>
      <c r="I93" s="35"/>
    </row>
    <row r="94" spans="7:9" ht="15.75" customHeight="1">
      <c r="G94" s="35"/>
      <c r="H94" s="35"/>
      <c r="I94" s="35"/>
    </row>
    <row r="95" spans="7:9" ht="15.75" customHeight="1">
      <c r="G95" s="35"/>
      <c r="H95" s="35"/>
      <c r="I95" s="35"/>
    </row>
    <row r="96" spans="7:9" ht="15.75" customHeight="1">
      <c r="G96" s="35"/>
      <c r="H96" s="35"/>
      <c r="I96" s="35"/>
    </row>
    <row r="97" spans="7:9" ht="15.75" customHeight="1">
      <c r="G97" s="35"/>
      <c r="H97" s="35"/>
      <c r="I97" s="35"/>
    </row>
    <row r="98" spans="7:9" ht="15.75" customHeight="1">
      <c r="G98" s="35"/>
      <c r="H98" s="35"/>
      <c r="I98" s="35"/>
    </row>
    <row r="99" spans="7:9" ht="15.75" customHeight="1">
      <c r="G99" s="35"/>
      <c r="H99" s="35"/>
      <c r="I99" s="35"/>
    </row>
    <row r="100" spans="7:9" ht="15.75" customHeight="1">
      <c r="G100" s="35"/>
      <c r="H100" s="35"/>
      <c r="I100" s="35"/>
    </row>
    <row r="101" spans="7:9" ht="15.75" customHeight="1">
      <c r="G101" s="35"/>
      <c r="H101" s="35"/>
      <c r="I101" s="35"/>
    </row>
    <row r="102" spans="7:9" ht="15.75" customHeight="1">
      <c r="G102" s="35"/>
      <c r="H102" s="35"/>
      <c r="I102" s="35"/>
    </row>
    <row r="103" spans="7:9" ht="15.75" customHeight="1">
      <c r="G103" s="35"/>
      <c r="H103" s="35"/>
      <c r="I103" s="35"/>
    </row>
    <row r="104" spans="7:9" ht="15.75" customHeight="1">
      <c r="G104" s="35"/>
      <c r="H104" s="35"/>
      <c r="I104" s="35"/>
    </row>
    <row r="105" spans="7:9" ht="15.75" customHeight="1">
      <c r="G105" s="35"/>
      <c r="H105" s="35"/>
      <c r="I105" s="35"/>
    </row>
    <row r="106" spans="7:9" ht="15.75" customHeight="1">
      <c r="G106" s="35"/>
      <c r="H106" s="35"/>
      <c r="I106" s="35"/>
    </row>
    <row r="107" spans="7:9" ht="15.75" customHeight="1">
      <c r="G107" s="35"/>
      <c r="H107" s="35"/>
      <c r="I107" s="35"/>
    </row>
    <row r="108" spans="7:9" ht="15.75" customHeight="1">
      <c r="G108" s="35"/>
      <c r="H108" s="35"/>
      <c r="I108" s="35"/>
    </row>
    <row r="109" spans="7:9" ht="15.75" customHeight="1">
      <c r="G109" s="35"/>
      <c r="H109" s="35"/>
      <c r="I109" s="35"/>
    </row>
    <row r="110" spans="7:9" ht="15.75" customHeight="1">
      <c r="G110" s="35"/>
      <c r="H110" s="35"/>
      <c r="I110" s="35"/>
    </row>
    <row r="111" spans="7:9" ht="15.75" customHeight="1">
      <c r="G111" s="35"/>
      <c r="H111" s="35"/>
      <c r="I111" s="35"/>
    </row>
    <row r="112" spans="7:9" ht="15.75" customHeight="1">
      <c r="G112" s="35"/>
      <c r="H112" s="35"/>
      <c r="I112" s="35"/>
    </row>
    <row r="113" spans="7:9" ht="15.75" customHeight="1">
      <c r="G113" s="35"/>
      <c r="H113" s="35"/>
      <c r="I113" s="35"/>
    </row>
    <row r="114" spans="7:9" ht="15.75" customHeight="1">
      <c r="G114" s="35"/>
      <c r="H114" s="35"/>
      <c r="I114" s="35"/>
    </row>
    <row r="115" spans="7:9" ht="15.75" customHeight="1">
      <c r="G115" s="35"/>
      <c r="H115" s="35"/>
      <c r="I115" s="35"/>
    </row>
    <row r="116" spans="7:9" ht="15.75" customHeight="1">
      <c r="G116" s="35"/>
      <c r="H116" s="35"/>
      <c r="I116" s="35"/>
    </row>
    <row r="117" spans="7:9" ht="15.75" customHeight="1">
      <c r="G117" s="35"/>
      <c r="H117" s="35"/>
      <c r="I117" s="35"/>
    </row>
    <row r="118" spans="7:9" ht="15.75" customHeight="1">
      <c r="G118" s="35"/>
      <c r="H118" s="35"/>
      <c r="I118" s="35"/>
    </row>
    <row r="119" spans="7:9" ht="15.75" customHeight="1">
      <c r="G119" s="35"/>
      <c r="H119" s="35"/>
      <c r="I119" s="35"/>
    </row>
    <row r="120" spans="7:9" ht="15.75" customHeight="1">
      <c r="G120" s="35"/>
      <c r="H120" s="35"/>
      <c r="I120" s="35"/>
    </row>
    <row r="121" spans="7:9" ht="15.75" customHeight="1">
      <c r="G121" s="35"/>
      <c r="H121" s="35"/>
      <c r="I121" s="35"/>
    </row>
    <row r="122" spans="7:9" ht="15.75" customHeight="1">
      <c r="G122" s="35"/>
      <c r="H122" s="35"/>
      <c r="I122" s="35"/>
    </row>
    <row r="123" spans="7:9" ht="15.75" customHeight="1">
      <c r="G123" s="35"/>
      <c r="H123" s="35"/>
      <c r="I123" s="35"/>
    </row>
    <row r="124" spans="7:9" ht="15.75" customHeight="1">
      <c r="G124" s="35"/>
      <c r="H124" s="35"/>
      <c r="I124" s="35"/>
    </row>
    <row r="125" spans="7:9" ht="15.75" customHeight="1">
      <c r="G125" s="35"/>
      <c r="H125" s="35"/>
      <c r="I125" s="35"/>
    </row>
    <row r="126" spans="7:9" ht="15.75" customHeight="1">
      <c r="G126" s="35"/>
      <c r="H126" s="35"/>
      <c r="I126" s="35"/>
    </row>
    <row r="127" spans="7:9" ht="15.75" customHeight="1">
      <c r="G127" s="35"/>
      <c r="H127" s="35"/>
      <c r="I127" s="35"/>
    </row>
    <row r="128" spans="7:9" ht="15.75" customHeight="1">
      <c r="G128" s="35"/>
      <c r="H128" s="35"/>
      <c r="I128" s="35"/>
    </row>
    <row r="129" spans="7:9" ht="15.75" customHeight="1">
      <c r="G129" s="35"/>
      <c r="H129" s="35"/>
      <c r="I129" s="35"/>
    </row>
    <row r="130" spans="7:9" ht="15.75" customHeight="1">
      <c r="G130" s="35"/>
      <c r="H130" s="35"/>
      <c r="I130" s="35"/>
    </row>
    <row r="131" spans="7:9" ht="15.75" customHeight="1">
      <c r="G131" s="35"/>
      <c r="H131" s="35"/>
      <c r="I131" s="35"/>
    </row>
    <row r="132" spans="7:9" ht="15.75" customHeight="1">
      <c r="G132" s="35"/>
      <c r="H132" s="35"/>
      <c r="I132" s="35"/>
    </row>
    <row r="133" spans="7:9" ht="15.75" customHeight="1">
      <c r="G133" s="35"/>
      <c r="H133" s="35"/>
      <c r="I133" s="35"/>
    </row>
    <row r="134" spans="7:9" ht="15.75" customHeight="1">
      <c r="G134" s="35"/>
      <c r="H134" s="35"/>
      <c r="I134" s="35"/>
    </row>
    <row r="135" spans="7:9" ht="15.75" customHeight="1">
      <c r="G135" s="35"/>
      <c r="H135" s="35"/>
      <c r="I135" s="35"/>
    </row>
    <row r="136" spans="7:9" ht="15.75" customHeight="1">
      <c r="G136" s="35"/>
      <c r="H136" s="35"/>
      <c r="I136" s="35"/>
    </row>
    <row r="137" spans="7:9" ht="15.75" customHeight="1">
      <c r="G137" s="35"/>
      <c r="H137" s="35"/>
      <c r="I137" s="35"/>
    </row>
    <row r="138" spans="7:9" ht="15.75" customHeight="1">
      <c r="G138" s="35"/>
      <c r="H138" s="35"/>
      <c r="I138" s="35"/>
    </row>
    <row r="139" spans="7:9" ht="15.75" customHeight="1">
      <c r="G139" s="35"/>
      <c r="H139" s="35"/>
      <c r="I139" s="35"/>
    </row>
    <row r="140" spans="7:9" ht="15.75" customHeight="1">
      <c r="G140" s="35"/>
      <c r="H140" s="35"/>
      <c r="I140" s="35"/>
    </row>
    <row r="141" spans="7:9" ht="15.75" customHeight="1">
      <c r="G141" s="35"/>
      <c r="H141" s="35"/>
      <c r="I141" s="35"/>
    </row>
    <row r="142" spans="7:9" ht="15.75" customHeight="1">
      <c r="G142" s="35"/>
      <c r="H142" s="35"/>
      <c r="I142" s="35"/>
    </row>
    <row r="143" spans="7:9" ht="15.75" customHeight="1">
      <c r="G143" s="35"/>
      <c r="H143" s="35"/>
      <c r="I143" s="35"/>
    </row>
    <row r="144" spans="7:9" ht="15.75" customHeight="1">
      <c r="G144" s="35"/>
      <c r="H144" s="35"/>
      <c r="I144" s="35"/>
    </row>
    <row r="145" spans="7:9" ht="15.75" customHeight="1">
      <c r="G145" s="35"/>
      <c r="H145" s="35"/>
      <c r="I145" s="35"/>
    </row>
    <row r="146" spans="7:9" ht="15.75" customHeight="1">
      <c r="G146" s="35"/>
      <c r="H146" s="35"/>
      <c r="I146" s="35"/>
    </row>
    <row r="147" spans="7:9" ht="15.75" customHeight="1">
      <c r="G147" s="35"/>
      <c r="H147" s="35"/>
      <c r="I147" s="35"/>
    </row>
    <row r="148" spans="7:9" ht="15.75" customHeight="1">
      <c r="G148" s="35"/>
      <c r="H148" s="35"/>
      <c r="I148" s="35"/>
    </row>
    <row r="149" spans="7:9" ht="15.75" customHeight="1">
      <c r="G149" s="35"/>
      <c r="H149" s="35"/>
      <c r="I149" s="35"/>
    </row>
    <row r="150" spans="7:9" ht="15.75" customHeight="1">
      <c r="G150" s="35"/>
      <c r="H150" s="35"/>
      <c r="I150" s="35"/>
    </row>
    <row r="151" spans="7:9" ht="15.75" customHeight="1">
      <c r="G151" s="35"/>
      <c r="H151" s="35"/>
      <c r="I151" s="35"/>
    </row>
    <row r="152" spans="7:9" ht="15.75" customHeight="1">
      <c r="G152" s="35"/>
      <c r="H152" s="35"/>
      <c r="I152" s="35"/>
    </row>
    <row r="153" spans="7:9" ht="15.75" customHeight="1">
      <c r="G153" s="35"/>
      <c r="H153" s="35"/>
      <c r="I153" s="35"/>
    </row>
    <row r="154" spans="7:9" ht="15.75" customHeight="1">
      <c r="G154" s="35"/>
      <c r="H154" s="35"/>
      <c r="I154" s="35"/>
    </row>
    <row r="155" spans="7:9" ht="15.75" customHeight="1">
      <c r="G155" s="35"/>
      <c r="H155" s="35"/>
      <c r="I155" s="35"/>
    </row>
    <row r="156" spans="7:9" ht="15.75" customHeight="1">
      <c r="G156" s="35"/>
      <c r="H156" s="35"/>
      <c r="I156" s="35"/>
    </row>
    <row r="157" spans="7:9" ht="15.75" customHeight="1">
      <c r="G157" s="35"/>
      <c r="H157" s="35"/>
      <c r="I157" s="35"/>
    </row>
    <row r="158" spans="7:9" ht="15.75" customHeight="1">
      <c r="G158" s="35"/>
      <c r="H158" s="35"/>
      <c r="I158" s="35"/>
    </row>
    <row r="159" spans="7:9" ht="15.75" customHeight="1">
      <c r="G159" s="35"/>
      <c r="H159" s="35"/>
      <c r="I159" s="35"/>
    </row>
    <row r="160" spans="7:9" ht="15.75" customHeight="1">
      <c r="G160" s="35"/>
      <c r="H160" s="35"/>
      <c r="I160" s="35"/>
    </row>
    <row r="161" spans="7:9" ht="15.75" customHeight="1">
      <c r="G161" s="35"/>
      <c r="H161" s="35"/>
      <c r="I161" s="35"/>
    </row>
    <row r="162" spans="7:9" ht="15.75" customHeight="1">
      <c r="G162" s="35"/>
      <c r="H162" s="35"/>
      <c r="I162" s="35"/>
    </row>
    <row r="163" spans="7:9" ht="15.75" customHeight="1">
      <c r="G163" s="35"/>
      <c r="H163" s="35"/>
      <c r="I163" s="35"/>
    </row>
    <row r="164" spans="7:9" ht="15.75" customHeight="1">
      <c r="G164" s="35"/>
      <c r="H164" s="35"/>
      <c r="I164" s="35"/>
    </row>
    <row r="165" spans="7:9" ht="15.75" customHeight="1">
      <c r="G165" s="35"/>
      <c r="H165" s="35"/>
      <c r="I165" s="35"/>
    </row>
    <row r="166" spans="7:9" ht="15.75" customHeight="1">
      <c r="G166" s="35"/>
      <c r="H166" s="35"/>
      <c r="I166" s="35"/>
    </row>
    <row r="167" spans="7:9" ht="15.75" customHeight="1">
      <c r="G167" s="35"/>
      <c r="H167" s="35"/>
      <c r="I167" s="35"/>
    </row>
    <row r="168" spans="7:9" ht="15.75" customHeight="1">
      <c r="G168" s="35"/>
      <c r="H168" s="35"/>
      <c r="I168" s="35"/>
    </row>
    <row r="169" spans="7:9" ht="15.75" customHeight="1">
      <c r="G169" s="35"/>
      <c r="H169" s="35"/>
      <c r="I169" s="35"/>
    </row>
    <row r="170" spans="7:9" ht="15.75" customHeight="1">
      <c r="G170" s="35"/>
      <c r="H170" s="35"/>
      <c r="I170" s="35"/>
    </row>
    <row r="171" spans="7:9" ht="15.75" customHeight="1">
      <c r="G171" s="35"/>
      <c r="H171" s="35"/>
      <c r="I171" s="35"/>
    </row>
    <row r="172" spans="7:9" ht="15.75" customHeight="1">
      <c r="G172" s="35"/>
      <c r="H172" s="35"/>
      <c r="I172" s="35"/>
    </row>
    <row r="173" spans="7:9" ht="15.75" customHeight="1">
      <c r="G173" s="35"/>
      <c r="H173" s="35"/>
      <c r="I173" s="35"/>
    </row>
    <row r="174" spans="7:9" ht="15.75" customHeight="1">
      <c r="G174" s="35"/>
      <c r="H174" s="35"/>
      <c r="I174" s="35"/>
    </row>
    <row r="175" spans="7:9" ht="15.75" customHeight="1">
      <c r="G175" s="35"/>
      <c r="H175" s="35"/>
      <c r="I175" s="35"/>
    </row>
    <row r="176" spans="7:9" ht="15.75" customHeight="1">
      <c r="G176" s="35"/>
      <c r="H176" s="35"/>
      <c r="I176" s="35"/>
    </row>
    <row r="177" spans="7:9" ht="15.75" customHeight="1">
      <c r="G177" s="35"/>
      <c r="H177" s="35"/>
      <c r="I177" s="35"/>
    </row>
    <row r="178" spans="7:9" ht="15.75" customHeight="1">
      <c r="G178" s="35"/>
      <c r="H178" s="35"/>
      <c r="I178" s="35"/>
    </row>
    <row r="179" spans="7:9" ht="15.75" customHeight="1">
      <c r="G179" s="35"/>
      <c r="H179" s="35"/>
      <c r="I179" s="35"/>
    </row>
    <row r="180" spans="7:9" ht="15.75" customHeight="1">
      <c r="G180" s="35"/>
      <c r="H180" s="35"/>
      <c r="I180" s="35"/>
    </row>
    <row r="181" spans="7:9" ht="15.75" customHeight="1">
      <c r="G181" s="35"/>
      <c r="H181" s="35"/>
      <c r="I181" s="35"/>
    </row>
    <row r="182" spans="7:9" ht="15.75" customHeight="1">
      <c r="G182" s="35"/>
      <c r="H182" s="35"/>
      <c r="I182" s="35"/>
    </row>
    <row r="183" spans="7:9" ht="15.75" customHeight="1">
      <c r="G183" s="35"/>
      <c r="H183" s="35"/>
      <c r="I183" s="35"/>
    </row>
    <row r="184" spans="7:9" ht="15.75" customHeight="1">
      <c r="G184" s="35"/>
      <c r="H184" s="35"/>
      <c r="I184" s="35"/>
    </row>
    <row r="185" spans="7:9" ht="15.75" customHeight="1">
      <c r="G185" s="35"/>
      <c r="H185" s="35"/>
      <c r="I185" s="35"/>
    </row>
    <row r="186" spans="7:9" ht="15.75" customHeight="1">
      <c r="G186" s="35"/>
      <c r="H186" s="35"/>
      <c r="I186" s="35"/>
    </row>
    <row r="187" spans="7:9" ht="15.75" customHeight="1">
      <c r="G187" s="35"/>
      <c r="H187" s="35"/>
      <c r="I187" s="35"/>
    </row>
    <row r="188" spans="7:9" ht="15.75" customHeight="1">
      <c r="G188" s="35"/>
      <c r="H188" s="35"/>
      <c r="I188" s="35"/>
    </row>
    <row r="189" spans="7:9" ht="15.75" customHeight="1">
      <c r="G189" s="35"/>
      <c r="H189" s="35"/>
      <c r="I189" s="35"/>
    </row>
    <row r="190" spans="7:9" ht="15.75" customHeight="1">
      <c r="G190" s="35"/>
      <c r="H190" s="35"/>
      <c r="I190" s="35"/>
    </row>
    <row r="191" spans="7:9" ht="15.75" customHeight="1">
      <c r="G191" s="35"/>
      <c r="H191" s="35"/>
      <c r="I191" s="35"/>
    </row>
    <row r="192" spans="7:9" ht="15.75" customHeight="1">
      <c r="G192" s="35"/>
      <c r="H192" s="35"/>
      <c r="I192" s="35"/>
    </row>
    <row r="193" spans="7:9" ht="15.75" customHeight="1">
      <c r="G193" s="35"/>
      <c r="H193" s="35"/>
      <c r="I193" s="35"/>
    </row>
    <row r="194" spans="7:9" ht="15.75" customHeight="1">
      <c r="G194" s="35"/>
      <c r="H194" s="35"/>
      <c r="I194" s="35"/>
    </row>
    <row r="195" spans="7:9" ht="15.75" customHeight="1">
      <c r="G195" s="35"/>
      <c r="H195" s="35"/>
      <c r="I195" s="35"/>
    </row>
    <row r="196" spans="7:9" ht="15.75" customHeight="1">
      <c r="G196" s="35"/>
      <c r="H196" s="35"/>
      <c r="I196" s="35"/>
    </row>
    <row r="197" spans="7:9" ht="15.75" customHeight="1">
      <c r="G197" s="35"/>
      <c r="H197" s="35"/>
      <c r="I197" s="35"/>
    </row>
    <row r="198" spans="7:9" ht="15.75" customHeight="1">
      <c r="G198" s="35"/>
      <c r="H198" s="35"/>
      <c r="I198" s="35"/>
    </row>
    <row r="199" spans="7:9" ht="15.75" customHeight="1">
      <c r="G199" s="35"/>
      <c r="H199" s="35"/>
      <c r="I199" s="35"/>
    </row>
    <row r="200" spans="7:9" ht="15.75" customHeight="1">
      <c r="G200" s="35"/>
      <c r="H200" s="35"/>
      <c r="I200" s="35"/>
    </row>
    <row r="201" spans="7:9" ht="15.75" customHeight="1">
      <c r="G201" s="35"/>
      <c r="H201" s="35"/>
      <c r="I201" s="35"/>
    </row>
    <row r="202" spans="7:9" ht="15.75" customHeight="1">
      <c r="G202" s="35"/>
      <c r="H202" s="35"/>
      <c r="I202" s="35"/>
    </row>
    <row r="203" spans="7:9" ht="15.75" customHeight="1">
      <c r="G203" s="35"/>
      <c r="H203" s="35"/>
      <c r="I203" s="35"/>
    </row>
    <row r="204" spans="7:9" ht="15.75" customHeight="1">
      <c r="G204" s="35"/>
      <c r="H204" s="35"/>
      <c r="I204" s="35"/>
    </row>
    <row r="205" spans="7:9" ht="15.75" customHeight="1">
      <c r="G205" s="35"/>
      <c r="H205" s="35"/>
      <c r="I205" s="35"/>
    </row>
    <row r="206" spans="7:9" ht="15.75" customHeight="1">
      <c r="G206" s="35"/>
      <c r="H206" s="35"/>
      <c r="I206" s="35"/>
    </row>
    <row r="207" spans="7:9" ht="15.75" customHeight="1">
      <c r="G207" s="35"/>
      <c r="H207" s="35"/>
      <c r="I207" s="35"/>
    </row>
    <row r="208" spans="7:9" ht="15.75" customHeight="1">
      <c r="G208" s="35"/>
      <c r="H208" s="35"/>
      <c r="I208" s="35"/>
    </row>
    <row r="209" spans="7:9" ht="15.75" customHeight="1">
      <c r="G209" s="35"/>
      <c r="H209" s="35"/>
      <c r="I209" s="35"/>
    </row>
    <row r="210" spans="7:9" ht="15.75" customHeight="1">
      <c r="G210" s="35"/>
      <c r="H210" s="35"/>
      <c r="I210" s="35"/>
    </row>
    <row r="211" spans="7:9" ht="15.75" customHeight="1">
      <c r="G211" s="35"/>
      <c r="H211" s="35"/>
      <c r="I211" s="35"/>
    </row>
    <row r="212" spans="7:9" ht="15.75" customHeight="1">
      <c r="G212" s="35"/>
      <c r="H212" s="35"/>
      <c r="I212" s="35"/>
    </row>
    <row r="213" spans="7:9" ht="15.75" customHeight="1">
      <c r="G213" s="35"/>
      <c r="H213" s="35"/>
      <c r="I213" s="35"/>
    </row>
    <row r="214" spans="7:9" ht="15.75" customHeight="1">
      <c r="G214" s="35"/>
      <c r="H214" s="35"/>
      <c r="I214" s="35"/>
    </row>
    <row r="215" spans="7:9" ht="15.75" customHeight="1">
      <c r="G215" s="35"/>
      <c r="H215" s="35"/>
      <c r="I215" s="35"/>
    </row>
    <row r="216" spans="7:9" ht="15.75" customHeight="1">
      <c r="G216" s="35"/>
      <c r="H216" s="35"/>
      <c r="I216" s="35"/>
    </row>
    <row r="217" spans="7:9" ht="15.75" customHeight="1">
      <c r="G217" s="35"/>
      <c r="H217" s="35"/>
      <c r="I217" s="35"/>
    </row>
    <row r="218" spans="7:9" ht="15.75" customHeight="1">
      <c r="G218" s="35"/>
      <c r="H218" s="35"/>
      <c r="I218" s="35"/>
    </row>
    <row r="219" spans="7:9" ht="15.75" customHeight="1">
      <c r="G219" s="35"/>
      <c r="H219" s="35"/>
      <c r="I219" s="35"/>
    </row>
    <row r="220" spans="7:9" ht="15.75" customHeight="1">
      <c r="G220" s="35"/>
      <c r="H220" s="35"/>
      <c r="I220" s="35"/>
    </row>
    <row r="221" spans="7:9" ht="15.75" customHeight="1">
      <c r="G221" s="35"/>
      <c r="H221" s="35"/>
      <c r="I221" s="35"/>
    </row>
    <row r="222" spans="7:9" ht="15.75" customHeight="1">
      <c r="G222" s="35"/>
      <c r="H222" s="35"/>
      <c r="I222" s="35"/>
    </row>
    <row r="223" spans="7:9" ht="15.75" customHeight="1">
      <c r="G223" s="35"/>
      <c r="H223" s="35"/>
      <c r="I223" s="35"/>
    </row>
    <row r="224" spans="7:9" ht="15.75" customHeight="1">
      <c r="G224" s="35"/>
      <c r="H224" s="35"/>
      <c r="I224" s="35"/>
    </row>
    <row r="225" spans="7:9" ht="15.75" customHeight="1">
      <c r="G225" s="35"/>
      <c r="H225" s="35"/>
      <c r="I225" s="35"/>
    </row>
    <row r="226" spans="7:9" ht="15.75" customHeight="1">
      <c r="G226" s="35"/>
      <c r="H226" s="35"/>
      <c r="I226" s="35"/>
    </row>
    <row r="227" spans="7:9" ht="15.75" customHeight="1">
      <c r="G227" s="35"/>
      <c r="H227" s="35"/>
      <c r="I227" s="35"/>
    </row>
    <row r="228" spans="7:9" ht="15.75" customHeight="1">
      <c r="G228" s="35"/>
      <c r="H228" s="35"/>
      <c r="I228" s="35"/>
    </row>
    <row r="229" spans="7:9" ht="15.75" customHeight="1">
      <c r="G229" s="35"/>
      <c r="H229" s="35"/>
      <c r="I229" s="35"/>
    </row>
    <row r="230" spans="7:9" ht="15.75" customHeight="1">
      <c r="G230" s="35"/>
      <c r="H230" s="35"/>
      <c r="I230" s="35"/>
    </row>
    <row r="231" spans="7:9" ht="15.75" customHeight="1">
      <c r="G231" s="35"/>
      <c r="H231" s="35"/>
      <c r="I231" s="35"/>
    </row>
    <row r="232" spans="7:9" ht="15.75" customHeight="1">
      <c r="G232" s="35"/>
      <c r="H232" s="35"/>
      <c r="I232" s="35"/>
    </row>
    <row r="233" spans="7:9" ht="15.75" customHeight="1">
      <c r="G233" s="35"/>
      <c r="H233" s="35"/>
      <c r="I233" s="35"/>
    </row>
    <row r="234" spans="7:9" ht="15.75" customHeight="1">
      <c r="G234" s="35"/>
      <c r="H234" s="35"/>
      <c r="I234" s="35"/>
    </row>
    <row r="235" spans="7:9" ht="15.75" customHeight="1">
      <c r="G235" s="35"/>
      <c r="H235" s="35"/>
      <c r="I235" s="35"/>
    </row>
    <row r="236" spans="7:9" ht="15.75" customHeight="1">
      <c r="G236" s="35"/>
      <c r="H236" s="35"/>
      <c r="I236" s="35"/>
    </row>
    <row r="237" spans="7:9" ht="15.75" customHeight="1">
      <c r="G237" s="35"/>
      <c r="H237" s="35"/>
      <c r="I237" s="35"/>
    </row>
    <row r="238" spans="7:9" ht="15.75" customHeight="1">
      <c r="G238" s="35"/>
      <c r="H238" s="35"/>
      <c r="I238" s="35"/>
    </row>
    <row r="239" spans="7:9" ht="15.75" customHeight="1">
      <c r="G239" s="35"/>
      <c r="H239" s="35"/>
      <c r="I239" s="35"/>
    </row>
    <row r="240" spans="7:9" ht="15.75" customHeight="1">
      <c r="G240" s="35"/>
      <c r="H240" s="35"/>
      <c r="I240" s="35"/>
    </row>
    <row r="241" spans="7:9" ht="15.75" customHeight="1">
      <c r="G241" s="35"/>
      <c r="H241" s="35"/>
      <c r="I241" s="35"/>
    </row>
    <row r="242" spans="7:9" ht="15.75" customHeight="1">
      <c r="G242" s="35"/>
      <c r="H242" s="35"/>
      <c r="I242" s="35"/>
    </row>
    <row r="243" spans="7:9" ht="15.75" customHeight="1">
      <c r="G243" s="35"/>
      <c r="H243" s="35"/>
      <c r="I243" s="35"/>
    </row>
    <row r="244" spans="7:9" ht="15.75" customHeight="1">
      <c r="G244" s="35"/>
      <c r="H244" s="35"/>
      <c r="I244" s="35"/>
    </row>
    <row r="245" spans="7:9" ht="15.75" customHeight="1">
      <c r="G245" s="35"/>
      <c r="H245" s="35"/>
      <c r="I245" s="35"/>
    </row>
    <row r="246" spans="7:9" ht="15.75" customHeight="1">
      <c r="G246" s="35"/>
      <c r="H246" s="35"/>
      <c r="I246" s="35"/>
    </row>
    <row r="247" spans="7:9" ht="15.75" customHeight="1">
      <c r="G247" s="35"/>
      <c r="H247" s="35"/>
      <c r="I247" s="35"/>
    </row>
    <row r="248" spans="7:9" ht="15.75" customHeight="1">
      <c r="G248" s="35"/>
      <c r="H248" s="35"/>
      <c r="I248" s="35"/>
    </row>
    <row r="249" spans="7:9" ht="15.75" customHeight="1">
      <c r="G249" s="35"/>
      <c r="H249" s="35"/>
      <c r="I249" s="35"/>
    </row>
    <row r="250" spans="7:9" ht="15.75" customHeight="1">
      <c r="G250" s="35"/>
      <c r="H250" s="35"/>
      <c r="I250" s="35"/>
    </row>
    <row r="251" spans="7:9" ht="15.75" customHeight="1">
      <c r="G251" s="35"/>
      <c r="H251" s="35"/>
      <c r="I251" s="35"/>
    </row>
    <row r="252" spans="7:9" ht="15.75" customHeight="1">
      <c r="G252" s="35"/>
      <c r="H252" s="35"/>
      <c r="I252" s="35"/>
    </row>
    <row r="253" spans="7:9" ht="15.75" customHeight="1">
      <c r="G253" s="35"/>
      <c r="H253" s="35"/>
      <c r="I253" s="35"/>
    </row>
    <row r="254" spans="7:9" ht="15.75" customHeight="1">
      <c r="G254" s="35"/>
      <c r="H254" s="35"/>
      <c r="I254" s="35"/>
    </row>
    <row r="255" spans="7:9" ht="15.75" customHeight="1">
      <c r="G255" s="35"/>
      <c r="H255" s="35"/>
      <c r="I255" s="35"/>
    </row>
    <row r="256" spans="7:9" ht="15.75" customHeight="1">
      <c r="G256" s="35"/>
      <c r="H256" s="35"/>
      <c r="I256" s="35"/>
    </row>
    <row r="257" spans="7:9" ht="15.75" customHeight="1">
      <c r="G257" s="35"/>
      <c r="H257" s="35"/>
      <c r="I257" s="35"/>
    </row>
    <row r="258" spans="7:9" ht="15.75" customHeight="1">
      <c r="G258" s="35"/>
      <c r="H258" s="35"/>
      <c r="I258" s="35"/>
    </row>
    <row r="259" spans="7:9" ht="15.75" customHeight="1">
      <c r="G259" s="35"/>
      <c r="H259" s="35"/>
      <c r="I259" s="35"/>
    </row>
    <row r="260" spans="7:9" ht="15.75" customHeight="1">
      <c r="G260" s="35"/>
      <c r="H260" s="35"/>
      <c r="I260" s="35"/>
    </row>
    <row r="261" spans="7:9" ht="15.75" customHeight="1">
      <c r="G261" s="35"/>
      <c r="H261" s="35"/>
      <c r="I261" s="35"/>
    </row>
    <row r="262" spans="7:9" ht="15.75" customHeight="1">
      <c r="G262" s="35"/>
      <c r="H262" s="35"/>
      <c r="I262" s="35"/>
    </row>
    <row r="263" spans="7:9" ht="15.75" customHeight="1">
      <c r="G263" s="35"/>
      <c r="H263" s="35"/>
      <c r="I263" s="35"/>
    </row>
    <row r="264" spans="7:9" ht="15.75" customHeight="1">
      <c r="G264" s="35"/>
      <c r="H264" s="35"/>
      <c r="I264" s="35"/>
    </row>
    <row r="265" spans="7:9" ht="15.75" customHeight="1">
      <c r="G265" s="35"/>
      <c r="H265" s="35"/>
      <c r="I265" s="35"/>
    </row>
    <row r="266" spans="7:9" ht="15.75" customHeight="1">
      <c r="G266" s="35"/>
      <c r="H266" s="35"/>
      <c r="I266" s="35"/>
    </row>
    <row r="267" spans="7:9" ht="15.75" customHeight="1">
      <c r="G267" s="35"/>
      <c r="H267" s="35"/>
      <c r="I267" s="35"/>
    </row>
    <row r="268" spans="7:9" ht="15.75" customHeight="1">
      <c r="G268" s="35"/>
      <c r="H268" s="35"/>
      <c r="I268" s="35"/>
    </row>
    <row r="269" spans="7:9" ht="15.75" customHeight="1">
      <c r="G269" s="35"/>
      <c r="H269" s="35"/>
      <c r="I269" s="35"/>
    </row>
    <row r="270" spans="7:9" ht="15.75" customHeight="1">
      <c r="G270" s="35"/>
      <c r="H270" s="35"/>
      <c r="I270" s="35"/>
    </row>
    <row r="271" spans="7:9" ht="15.75" customHeight="1">
      <c r="G271" s="35"/>
      <c r="H271" s="35"/>
      <c r="I271" s="35"/>
    </row>
    <row r="272" spans="7:9" ht="15.75" customHeight="1">
      <c r="G272" s="35"/>
      <c r="H272" s="35"/>
      <c r="I272" s="35"/>
    </row>
    <row r="273" spans="7:9" ht="15.75" customHeight="1">
      <c r="G273" s="35"/>
      <c r="H273" s="35"/>
      <c r="I273" s="35"/>
    </row>
    <row r="274" spans="7:9" ht="15.75" customHeight="1">
      <c r="G274" s="35"/>
      <c r="H274" s="35"/>
      <c r="I274" s="35"/>
    </row>
    <row r="275" spans="7:9" ht="15.75" customHeight="1">
      <c r="G275" s="35"/>
      <c r="H275" s="35"/>
      <c r="I275" s="35"/>
    </row>
    <row r="276" spans="7:9" ht="15.75" customHeight="1">
      <c r="G276" s="35"/>
      <c r="H276" s="35"/>
      <c r="I276" s="35"/>
    </row>
    <row r="277" spans="7:9" ht="15.75" customHeight="1">
      <c r="G277" s="35"/>
      <c r="H277" s="35"/>
      <c r="I277" s="35"/>
    </row>
    <row r="278" spans="7:9" ht="15.75" customHeight="1">
      <c r="G278" s="35"/>
      <c r="H278" s="35"/>
      <c r="I278" s="35"/>
    </row>
    <row r="279" spans="7:9" ht="15.75" customHeight="1">
      <c r="G279" s="35"/>
      <c r="H279" s="35"/>
      <c r="I279" s="35"/>
    </row>
    <row r="280" spans="7:9" ht="15.75" customHeight="1">
      <c r="G280" s="35"/>
      <c r="H280" s="35"/>
      <c r="I280" s="35"/>
    </row>
    <row r="281" spans="7:9" ht="15.75" customHeight="1">
      <c r="G281" s="35"/>
      <c r="H281" s="35"/>
      <c r="I281" s="35"/>
    </row>
    <row r="282" spans="7:9" ht="15.75" customHeight="1">
      <c r="G282" s="35"/>
      <c r="H282" s="35"/>
      <c r="I282" s="35"/>
    </row>
    <row r="283" spans="7:9" ht="15.75" customHeight="1">
      <c r="G283" s="35"/>
      <c r="H283" s="35"/>
      <c r="I283" s="35"/>
    </row>
    <row r="284" spans="7:9" ht="15.75" customHeight="1">
      <c r="G284" s="35"/>
      <c r="H284" s="35"/>
      <c r="I284" s="35"/>
    </row>
    <row r="285" spans="7:9" ht="15.75" customHeight="1">
      <c r="G285" s="35"/>
      <c r="H285" s="35"/>
      <c r="I285" s="35"/>
    </row>
    <row r="286" spans="7:9" ht="15.75" customHeight="1">
      <c r="G286" s="35"/>
      <c r="H286" s="35"/>
      <c r="I286" s="35"/>
    </row>
    <row r="287" spans="7:9" ht="15.75" customHeight="1">
      <c r="G287" s="35"/>
      <c r="H287" s="35"/>
      <c r="I287" s="35"/>
    </row>
    <row r="288" spans="7:9" ht="15.75" customHeight="1">
      <c r="G288" s="35"/>
      <c r="H288" s="35"/>
      <c r="I288" s="35"/>
    </row>
    <row r="289" spans="7:9" ht="15.75" customHeight="1">
      <c r="G289" s="35"/>
      <c r="H289" s="35"/>
      <c r="I289" s="35"/>
    </row>
    <row r="290" spans="7:9" ht="15.75" customHeight="1">
      <c r="G290" s="35"/>
      <c r="H290" s="35"/>
      <c r="I290" s="35"/>
    </row>
    <row r="291" spans="7:9" ht="15.75" customHeight="1">
      <c r="G291" s="35"/>
      <c r="H291" s="35"/>
      <c r="I291" s="35"/>
    </row>
    <row r="292" spans="7:9" ht="15.75" customHeight="1">
      <c r="G292" s="35"/>
      <c r="H292" s="35"/>
      <c r="I292" s="35"/>
    </row>
    <row r="293" spans="7:9" ht="15.75" customHeight="1">
      <c r="G293" s="35"/>
      <c r="H293" s="35"/>
      <c r="I293" s="35"/>
    </row>
    <row r="294" spans="7:9" ht="15.75" customHeight="1">
      <c r="G294" s="35"/>
      <c r="H294" s="35"/>
      <c r="I294" s="35"/>
    </row>
    <row r="295" spans="7:9" ht="15.75" customHeight="1">
      <c r="G295" s="35"/>
      <c r="H295" s="35"/>
      <c r="I295" s="35"/>
    </row>
    <row r="296" spans="7:9" ht="15.75" customHeight="1">
      <c r="G296" s="35"/>
      <c r="H296" s="35"/>
      <c r="I296" s="35"/>
    </row>
    <row r="297" spans="7:9" ht="15.75" customHeight="1">
      <c r="G297" s="35"/>
      <c r="H297" s="35"/>
      <c r="I297" s="35"/>
    </row>
    <row r="298" spans="7:9" ht="15.75" customHeight="1">
      <c r="G298" s="35"/>
      <c r="H298" s="35"/>
      <c r="I298" s="35"/>
    </row>
    <row r="299" spans="7:9" ht="15.75" customHeight="1">
      <c r="G299" s="35"/>
      <c r="H299" s="35"/>
      <c r="I299" s="35"/>
    </row>
    <row r="300" spans="7:9" ht="15.75" customHeight="1">
      <c r="G300" s="35"/>
      <c r="H300" s="35"/>
      <c r="I300" s="35"/>
    </row>
    <row r="301" spans="7:9" ht="15.75" customHeight="1">
      <c r="G301" s="35"/>
      <c r="H301" s="35"/>
      <c r="I301" s="35"/>
    </row>
    <row r="302" spans="7:9" ht="15.75" customHeight="1">
      <c r="G302" s="35"/>
      <c r="H302" s="35"/>
      <c r="I302" s="35"/>
    </row>
    <row r="303" spans="7:9" ht="15.75" customHeight="1">
      <c r="G303" s="35"/>
      <c r="H303" s="35"/>
      <c r="I303" s="35"/>
    </row>
    <row r="304" spans="7:9" ht="15.75" customHeight="1">
      <c r="G304" s="35"/>
      <c r="H304" s="35"/>
      <c r="I304" s="35"/>
    </row>
    <row r="305" spans="7:9" ht="15.75" customHeight="1">
      <c r="G305" s="35"/>
      <c r="H305" s="35"/>
      <c r="I305" s="35"/>
    </row>
    <row r="306" spans="7:9" ht="15.75" customHeight="1">
      <c r="G306" s="35"/>
      <c r="H306" s="35"/>
      <c r="I306" s="35"/>
    </row>
    <row r="307" spans="7:9" ht="15.75" customHeight="1">
      <c r="G307" s="35"/>
      <c r="H307" s="35"/>
      <c r="I307" s="35"/>
    </row>
    <row r="308" spans="7:9" ht="15.75" customHeight="1">
      <c r="G308" s="35"/>
      <c r="H308" s="35"/>
      <c r="I308" s="35"/>
    </row>
    <row r="309" spans="7:9" ht="15.75" customHeight="1">
      <c r="G309" s="35"/>
      <c r="H309" s="35"/>
      <c r="I309" s="35"/>
    </row>
    <row r="310" spans="7:9" ht="15.75" customHeight="1">
      <c r="G310" s="35"/>
      <c r="H310" s="35"/>
      <c r="I310" s="35"/>
    </row>
    <row r="311" spans="7:9" ht="15.75" customHeight="1">
      <c r="G311" s="35"/>
      <c r="H311" s="35"/>
      <c r="I311" s="35"/>
    </row>
    <row r="312" spans="7:9" ht="15.75" customHeight="1">
      <c r="G312" s="35"/>
      <c r="H312" s="35"/>
      <c r="I312" s="35"/>
    </row>
    <row r="313" spans="7:9" ht="15.75" customHeight="1">
      <c r="G313" s="35"/>
      <c r="H313" s="35"/>
      <c r="I313" s="35"/>
    </row>
    <row r="314" spans="7:9" ht="15.75" customHeight="1">
      <c r="G314" s="35"/>
      <c r="H314" s="35"/>
      <c r="I314" s="35"/>
    </row>
    <row r="315" spans="7:9" ht="15.75" customHeight="1">
      <c r="G315" s="35"/>
      <c r="H315" s="35"/>
      <c r="I315" s="35"/>
    </row>
    <row r="316" spans="7:9" ht="15.75" customHeight="1">
      <c r="G316" s="35"/>
      <c r="H316" s="35"/>
      <c r="I316" s="35"/>
    </row>
    <row r="317" spans="7:9" ht="15.75" customHeight="1">
      <c r="G317" s="35"/>
      <c r="H317" s="35"/>
      <c r="I317" s="35"/>
    </row>
    <row r="318" spans="7:9" ht="15.75" customHeight="1">
      <c r="G318" s="35"/>
      <c r="H318" s="35"/>
      <c r="I318" s="35"/>
    </row>
    <row r="319" spans="7:9" ht="15.75" customHeight="1">
      <c r="G319" s="35"/>
      <c r="H319" s="35"/>
      <c r="I319" s="35"/>
    </row>
    <row r="320" spans="7:9" ht="15.75" customHeight="1">
      <c r="G320" s="35"/>
      <c r="H320" s="35"/>
      <c r="I320" s="35"/>
    </row>
    <row r="321" spans="7:9" ht="15.75" customHeight="1">
      <c r="G321" s="35"/>
      <c r="H321" s="35"/>
      <c r="I321" s="35"/>
    </row>
    <row r="322" spans="7:9" ht="15.75" customHeight="1">
      <c r="G322" s="35"/>
      <c r="H322" s="35"/>
      <c r="I322" s="35"/>
    </row>
    <row r="323" spans="7:9" ht="15.75" customHeight="1">
      <c r="G323" s="35"/>
      <c r="H323" s="35"/>
      <c r="I323" s="35"/>
    </row>
    <row r="324" spans="7:9" ht="15.75" customHeight="1">
      <c r="G324" s="35"/>
      <c r="H324" s="35"/>
      <c r="I324" s="35"/>
    </row>
    <row r="325" spans="7:9" ht="15.75" customHeight="1">
      <c r="G325" s="35"/>
      <c r="H325" s="35"/>
      <c r="I325" s="35"/>
    </row>
    <row r="326" spans="7:9" ht="15.75" customHeight="1">
      <c r="G326" s="35"/>
      <c r="H326" s="35"/>
      <c r="I326" s="35"/>
    </row>
    <row r="327" spans="7:9" ht="15.75" customHeight="1">
      <c r="G327" s="35"/>
      <c r="H327" s="35"/>
      <c r="I327" s="35"/>
    </row>
    <row r="328" spans="7:9" ht="15.75" customHeight="1">
      <c r="G328" s="35"/>
      <c r="H328" s="35"/>
      <c r="I328" s="35"/>
    </row>
    <row r="329" spans="7:9" ht="15.75" customHeight="1">
      <c r="G329" s="35"/>
      <c r="H329" s="35"/>
      <c r="I329" s="35"/>
    </row>
    <row r="330" spans="7:9" ht="15.75" customHeight="1">
      <c r="G330" s="35"/>
      <c r="H330" s="35"/>
      <c r="I330" s="35"/>
    </row>
    <row r="331" spans="7:9" ht="15.75" customHeight="1">
      <c r="G331" s="35"/>
      <c r="H331" s="35"/>
      <c r="I331" s="35"/>
    </row>
    <row r="332" spans="7:9" ht="15.75" customHeight="1">
      <c r="G332" s="35"/>
      <c r="H332" s="35"/>
      <c r="I332" s="35"/>
    </row>
    <row r="333" spans="7:9" ht="15.75" customHeight="1">
      <c r="G333" s="35"/>
      <c r="H333" s="35"/>
      <c r="I333" s="35"/>
    </row>
    <row r="334" spans="7:9" ht="15.75" customHeight="1">
      <c r="G334" s="35"/>
      <c r="H334" s="35"/>
      <c r="I334" s="35"/>
    </row>
    <row r="335" spans="7:9" ht="15.75" customHeight="1">
      <c r="G335" s="35"/>
      <c r="H335" s="35"/>
      <c r="I335" s="35"/>
    </row>
    <row r="336" spans="7:9" ht="15.75" customHeight="1">
      <c r="G336" s="35"/>
      <c r="H336" s="35"/>
      <c r="I336" s="35"/>
    </row>
    <row r="337" spans="7:9" ht="15.75" customHeight="1">
      <c r="G337" s="35"/>
      <c r="H337" s="35"/>
      <c r="I337" s="35"/>
    </row>
    <row r="338" spans="7:9" ht="15.75" customHeight="1">
      <c r="G338" s="35"/>
      <c r="H338" s="35"/>
      <c r="I338" s="35"/>
    </row>
    <row r="339" spans="7:9" ht="15.75" customHeight="1">
      <c r="G339" s="35"/>
      <c r="H339" s="35"/>
      <c r="I339" s="35"/>
    </row>
    <row r="340" spans="7:9" ht="15.75" customHeight="1">
      <c r="G340" s="35"/>
      <c r="H340" s="35"/>
      <c r="I340" s="35"/>
    </row>
    <row r="341" spans="7:9" ht="15.75" customHeight="1">
      <c r="G341" s="35"/>
      <c r="H341" s="35"/>
      <c r="I341" s="35"/>
    </row>
    <row r="342" spans="7:9" ht="15.75" customHeight="1">
      <c r="G342" s="35"/>
      <c r="H342" s="35"/>
      <c r="I342" s="35"/>
    </row>
    <row r="343" spans="7:9" ht="15.75" customHeight="1">
      <c r="G343" s="35"/>
      <c r="H343" s="35"/>
      <c r="I343" s="35"/>
    </row>
    <row r="344" spans="7:9" ht="15.75" customHeight="1">
      <c r="G344" s="35"/>
      <c r="H344" s="35"/>
      <c r="I344" s="35"/>
    </row>
    <row r="345" spans="7:9" ht="15.75" customHeight="1">
      <c r="G345" s="35"/>
      <c r="H345" s="35"/>
      <c r="I345" s="35"/>
    </row>
    <row r="346" spans="7:9" ht="15.75" customHeight="1">
      <c r="G346" s="35"/>
      <c r="H346" s="35"/>
      <c r="I346" s="35"/>
    </row>
    <row r="347" spans="7:9" ht="15.75" customHeight="1">
      <c r="G347" s="35"/>
      <c r="H347" s="35"/>
      <c r="I347" s="35"/>
    </row>
    <row r="348" spans="7:9" ht="15.75" customHeight="1">
      <c r="G348" s="35"/>
      <c r="H348" s="35"/>
      <c r="I348" s="35"/>
    </row>
    <row r="349" spans="7:9" ht="15.75" customHeight="1">
      <c r="G349" s="35"/>
      <c r="H349" s="35"/>
      <c r="I349" s="35"/>
    </row>
    <row r="350" spans="7:9" ht="15.75" customHeight="1">
      <c r="G350" s="35"/>
      <c r="H350" s="35"/>
      <c r="I350" s="35"/>
    </row>
    <row r="351" spans="7:9" ht="15.75" customHeight="1">
      <c r="G351" s="35"/>
      <c r="H351" s="35"/>
      <c r="I351" s="35"/>
    </row>
    <row r="352" spans="7:9" ht="15.75" customHeight="1">
      <c r="G352" s="35"/>
      <c r="H352" s="35"/>
      <c r="I352" s="35"/>
    </row>
    <row r="353" spans="7:9" ht="15.75" customHeight="1">
      <c r="G353" s="35"/>
      <c r="H353" s="35"/>
      <c r="I353" s="35"/>
    </row>
    <row r="354" spans="7:9" ht="15.75" customHeight="1">
      <c r="G354" s="35"/>
      <c r="H354" s="35"/>
      <c r="I354" s="35"/>
    </row>
    <row r="355" spans="7:9" ht="15.75" customHeight="1">
      <c r="G355" s="35"/>
      <c r="H355" s="35"/>
      <c r="I355" s="35"/>
    </row>
    <row r="356" spans="7:9" ht="15.75" customHeight="1">
      <c r="G356" s="35"/>
      <c r="H356" s="35"/>
      <c r="I356" s="35"/>
    </row>
    <row r="357" spans="7:9" ht="15.75" customHeight="1">
      <c r="G357" s="35"/>
      <c r="H357" s="35"/>
      <c r="I357" s="35"/>
    </row>
    <row r="358" spans="7:9" ht="15.75" customHeight="1">
      <c r="G358" s="35"/>
      <c r="H358" s="35"/>
      <c r="I358" s="35"/>
    </row>
    <row r="359" spans="7:9" ht="15.75" customHeight="1">
      <c r="G359" s="35"/>
      <c r="H359" s="35"/>
      <c r="I359" s="35"/>
    </row>
    <row r="360" spans="7:9" ht="15.75" customHeight="1">
      <c r="G360" s="35"/>
      <c r="H360" s="35"/>
      <c r="I360" s="35"/>
    </row>
    <row r="361" spans="7:9" ht="15.75" customHeight="1">
      <c r="G361" s="35"/>
      <c r="H361" s="35"/>
      <c r="I361" s="35"/>
    </row>
    <row r="362" spans="7:9" ht="15.75" customHeight="1">
      <c r="G362" s="35"/>
      <c r="H362" s="35"/>
      <c r="I362" s="35"/>
    </row>
    <row r="363" spans="7:9" ht="15.75" customHeight="1">
      <c r="G363" s="35"/>
      <c r="H363" s="35"/>
      <c r="I363" s="35"/>
    </row>
    <row r="364" spans="7:9" ht="15.75" customHeight="1">
      <c r="G364" s="35"/>
      <c r="H364" s="35"/>
      <c r="I364" s="35"/>
    </row>
    <row r="365" spans="7:9" ht="15.75" customHeight="1">
      <c r="G365" s="35"/>
      <c r="H365" s="35"/>
      <c r="I365" s="35"/>
    </row>
    <row r="366" spans="7:9" ht="15.75" customHeight="1">
      <c r="G366" s="35"/>
      <c r="H366" s="35"/>
      <c r="I366" s="35"/>
    </row>
    <row r="367" spans="7:9" ht="15.75" customHeight="1">
      <c r="G367" s="35"/>
      <c r="H367" s="35"/>
      <c r="I367" s="35"/>
    </row>
    <row r="368" spans="7:9" ht="15.75" customHeight="1">
      <c r="G368" s="35"/>
      <c r="H368" s="35"/>
      <c r="I368" s="35"/>
    </row>
    <row r="369" spans="7:9" ht="15.75" customHeight="1">
      <c r="G369" s="35"/>
      <c r="H369" s="35"/>
      <c r="I369" s="35"/>
    </row>
    <row r="370" spans="7:9" ht="15.75" customHeight="1">
      <c r="G370" s="35"/>
      <c r="H370" s="35"/>
      <c r="I370" s="35"/>
    </row>
    <row r="371" spans="7:9" ht="15.75" customHeight="1">
      <c r="G371" s="35"/>
      <c r="H371" s="35"/>
      <c r="I371" s="35"/>
    </row>
    <row r="372" spans="7:9" ht="15.75" customHeight="1">
      <c r="G372" s="35"/>
      <c r="H372" s="35"/>
      <c r="I372" s="35"/>
    </row>
    <row r="373" spans="7:9" ht="15.75" customHeight="1">
      <c r="G373" s="35"/>
      <c r="H373" s="35"/>
      <c r="I373" s="35"/>
    </row>
    <row r="374" spans="7:9" ht="15.75" customHeight="1">
      <c r="G374" s="35"/>
      <c r="H374" s="35"/>
      <c r="I374" s="35"/>
    </row>
    <row r="375" spans="7:9" ht="15.75" customHeight="1">
      <c r="G375" s="35"/>
      <c r="H375" s="35"/>
      <c r="I375" s="35"/>
    </row>
    <row r="376" spans="7:9" ht="15.75" customHeight="1">
      <c r="G376" s="35"/>
      <c r="H376" s="35"/>
      <c r="I376" s="35"/>
    </row>
    <row r="377" spans="7:9" ht="15.75" customHeight="1">
      <c r="G377" s="35"/>
      <c r="H377" s="35"/>
      <c r="I377" s="35"/>
    </row>
    <row r="378" spans="7:9" ht="15.75" customHeight="1">
      <c r="G378" s="35"/>
      <c r="H378" s="35"/>
      <c r="I378" s="35"/>
    </row>
    <row r="379" spans="7:9" ht="15.75" customHeight="1">
      <c r="G379" s="35"/>
      <c r="H379" s="35"/>
      <c r="I379" s="35"/>
    </row>
    <row r="380" spans="7:9" ht="15.75" customHeight="1">
      <c r="G380" s="35"/>
      <c r="H380" s="35"/>
      <c r="I380" s="35"/>
    </row>
    <row r="381" spans="7:9" ht="15.75" customHeight="1">
      <c r="G381" s="35"/>
      <c r="H381" s="35"/>
      <c r="I381" s="35"/>
    </row>
    <row r="382" spans="7:9" ht="15.75" customHeight="1">
      <c r="G382" s="35"/>
      <c r="H382" s="35"/>
      <c r="I382" s="35"/>
    </row>
    <row r="383" spans="7:9" ht="15.75" customHeight="1">
      <c r="G383" s="35"/>
      <c r="H383" s="35"/>
      <c r="I383" s="35"/>
    </row>
    <row r="384" spans="7:9" ht="15.75" customHeight="1">
      <c r="G384" s="35"/>
      <c r="H384" s="35"/>
      <c r="I384" s="35"/>
    </row>
    <row r="385" spans="7:9" ht="15.75" customHeight="1">
      <c r="G385" s="35"/>
      <c r="H385" s="35"/>
      <c r="I385" s="35"/>
    </row>
    <row r="386" spans="7:9" ht="15.75" customHeight="1">
      <c r="G386" s="35"/>
      <c r="H386" s="35"/>
      <c r="I386" s="35"/>
    </row>
    <row r="387" spans="7:9" ht="15.75" customHeight="1">
      <c r="G387" s="35"/>
      <c r="H387" s="35"/>
      <c r="I387" s="35"/>
    </row>
    <row r="388" spans="7:9" ht="15.75" customHeight="1">
      <c r="G388" s="35"/>
      <c r="H388" s="35"/>
      <c r="I388" s="35"/>
    </row>
    <row r="389" spans="7:9" ht="15.75" customHeight="1">
      <c r="G389" s="35"/>
      <c r="H389" s="35"/>
      <c r="I389" s="35"/>
    </row>
    <row r="390" spans="7:9" ht="15.75" customHeight="1">
      <c r="G390" s="35"/>
      <c r="H390" s="35"/>
      <c r="I390" s="35"/>
    </row>
    <row r="391" spans="7:9" ht="15.75" customHeight="1">
      <c r="G391" s="35"/>
      <c r="H391" s="35"/>
      <c r="I391" s="35"/>
    </row>
    <row r="392" spans="7:9" ht="15.75" customHeight="1">
      <c r="G392" s="35"/>
      <c r="H392" s="35"/>
      <c r="I392" s="35"/>
    </row>
    <row r="393" spans="7:9" ht="15.75" customHeight="1">
      <c r="G393" s="35"/>
      <c r="H393" s="35"/>
      <c r="I393" s="35"/>
    </row>
    <row r="394" spans="7:9" ht="15.75" customHeight="1">
      <c r="G394" s="35"/>
      <c r="H394" s="35"/>
      <c r="I394" s="35"/>
    </row>
    <row r="395" spans="7:9" ht="15.75" customHeight="1">
      <c r="G395" s="35"/>
      <c r="H395" s="35"/>
      <c r="I395" s="35"/>
    </row>
    <row r="396" spans="7:9" ht="15.75" customHeight="1">
      <c r="G396" s="35"/>
      <c r="H396" s="35"/>
      <c r="I396" s="35"/>
    </row>
    <row r="397" spans="7:9" ht="15.75" customHeight="1">
      <c r="G397" s="35"/>
      <c r="H397" s="35"/>
      <c r="I397" s="35"/>
    </row>
    <row r="398" spans="7:9" ht="15.75" customHeight="1">
      <c r="G398" s="35"/>
      <c r="H398" s="35"/>
      <c r="I398" s="35"/>
    </row>
    <row r="399" spans="7:9" ht="15.75" customHeight="1">
      <c r="G399" s="35"/>
      <c r="H399" s="35"/>
      <c r="I399" s="35"/>
    </row>
    <row r="400" spans="7:9" ht="15.75" customHeight="1">
      <c r="G400" s="35"/>
      <c r="H400" s="35"/>
      <c r="I400" s="35"/>
    </row>
    <row r="401" spans="7:9" ht="15.75" customHeight="1">
      <c r="G401" s="35"/>
      <c r="H401" s="35"/>
      <c r="I401" s="35"/>
    </row>
    <row r="402" spans="7:9" ht="15.75" customHeight="1">
      <c r="G402" s="35"/>
      <c r="H402" s="35"/>
      <c r="I402" s="35"/>
    </row>
    <row r="403" spans="7:9" ht="15.75" customHeight="1">
      <c r="G403" s="35"/>
      <c r="H403" s="35"/>
      <c r="I403" s="35"/>
    </row>
    <row r="404" spans="7:9" ht="15.75" customHeight="1">
      <c r="G404" s="35"/>
      <c r="H404" s="35"/>
      <c r="I404" s="35"/>
    </row>
    <row r="405" spans="7:9" ht="15.75" customHeight="1">
      <c r="G405" s="35"/>
      <c r="H405" s="35"/>
      <c r="I405" s="35"/>
    </row>
    <row r="406" spans="7:9" ht="15.75" customHeight="1">
      <c r="G406" s="35"/>
      <c r="H406" s="35"/>
      <c r="I406" s="35"/>
    </row>
    <row r="407" spans="7:9" ht="15.75" customHeight="1">
      <c r="G407" s="35"/>
      <c r="H407" s="35"/>
      <c r="I407" s="35"/>
    </row>
    <row r="408" spans="7:9" ht="15.75" customHeight="1">
      <c r="G408" s="35"/>
      <c r="H408" s="35"/>
      <c r="I408" s="35"/>
    </row>
    <row r="409" spans="7:9" ht="15.75" customHeight="1">
      <c r="G409" s="35"/>
      <c r="H409" s="35"/>
      <c r="I409" s="35"/>
    </row>
    <row r="410" spans="7:9" ht="15.75" customHeight="1">
      <c r="G410" s="35"/>
      <c r="H410" s="35"/>
      <c r="I410" s="35"/>
    </row>
    <row r="411" spans="7:9" ht="15.75" customHeight="1">
      <c r="G411" s="35"/>
      <c r="H411" s="35"/>
      <c r="I411" s="35"/>
    </row>
    <row r="412" spans="7:9" ht="15.75" customHeight="1">
      <c r="G412" s="35"/>
      <c r="H412" s="35"/>
      <c r="I412" s="35"/>
    </row>
    <row r="413" spans="7:9" ht="15.75" customHeight="1">
      <c r="G413" s="35"/>
      <c r="H413" s="35"/>
      <c r="I413" s="35"/>
    </row>
    <row r="414" spans="7:9" ht="15.75" customHeight="1">
      <c r="G414" s="35"/>
      <c r="H414" s="35"/>
      <c r="I414" s="35"/>
    </row>
    <row r="415" spans="7:9" ht="15.75" customHeight="1">
      <c r="G415" s="35"/>
      <c r="H415" s="35"/>
      <c r="I415" s="35"/>
    </row>
    <row r="416" spans="7:9" ht="15.75" customHeight="1">
      <c r="G416" s="35"/>
      <c r="H416" s="35"/>
      <c r="I416" s="35"/>
    </row>
    <row r="417" spans="7:9" ht="15.75" customHeight="1">
      <c r="G417" s="35"/>
      <c r="H417" s="35"/>
      <c r="I417" s="35"/>
    </row>
    <row r="418" spans="7:9" ht="15.75" customHeight="1">
      <c r="G418" s="35"/>
      <c r="H418" s="35"/>
      <c r="I418" s="35"/>
    </row>
    <row r="419" spans="7:9" ht="15.75" customHeight="1">
      <c r="G419" s="35"/>
      <c r="H419" s="35"/>
      <c r="I419" s="35"/>
    </row>
    <row r="420" spans="7:9" ht="15.75" customHeight="1">
      <c r="G420" s="35"/>
      <c r="H420" s="35"/>
      <c r="I420" s="35"/>
    </row>
    <row r="421" spans="7:9" ht="15.75" customHeight="1">
      <c r="G421" s="35"/>
      <c r="H421" s="35"/>
      <c r="I421" s="35"/>
    </row>
    <row r="422" spans="7:9" ht="15.75" customHeight="1">
      <c r="G422" s="35"/>
      <c r="H422" s="35"/>
      <c r="I422" s="35"/>
    </row>
    <row r="423" spans="7:9" ht="15.75" customHeight="1">
      <c r="G423" s="35"/>
      <c r="H423" s="35"/>
      <c r="I423" s="35"/>
    </row>
    <row r="424" spans="7:9" ht="15.75" customHeight="1">
      <c r="G424" s="35"/>
      <c r="H424" s="35"/>
      <c r="I424" s="35"/>
    </row>
    <row r="425" spans="7:9" ht="15.75" customHeight="1">
      <c r="G425" s="35"/>
      <c r="H425" s="35"/>
      <c r="I425" s="35"/>
    </row>
    <row r="426" spans="7:9" ht="15.75" customHeight="1">
      <c r="G426" s="35"/>
      <c r="H426" s="35"/>
      <c r="I426" s="35"/>
    </row>
    <row r="427" spans="7:9" ht="15.75" customHeight="1">
      <c r="G427" s="35"/>
      <c r="H427" s="35"/>
      <c r="I427" s="35"/>
    </row>
    <row r="428" spans="7:9" ht="15.75" customHeight="1">
      <c r="G428" s="35"/>
      <c r="H428" s="35"/>
      <c r="I428" s="35"/>
    </row>
    <row r="429" spans="7:9" ht="15.75" customHeight="1">
      <c r="G429" s="35"/>
      <c r="H429" s="35"/>
      <c r="I429" s="35"/>
    </row>
    <row r="430" spans="7:9" ht="15.75" customHeight="1">
      <c r="G430" s="35"/>
      <c r="H430" s="35"/>
      <c r="I430" s="35"/>
    </row>
    <row r="431" spans="7:9" ht="15.75" customHeight="1">
      <c r="G431" s="35"/>
      <c r="H431" s="35"/>
      <c r="I431" s="35"/>
    </row>
    <row r="432" spans="7:9" ht="15.75" customHeight="1">
      <c r="G432" s="35"/>
      <c r="H432" s="35"/>
      <c r="I432" s="35"/>
    </row>
    <row r="433" spans="7:9" ht="15.75" customHeight="1">
      <c r="G433" s="35"/>
      <c r="H433" s="35"/>
      <c r="I433" s="35"/>
    </row>
    <row r="434" spans="7:9" ht="15.75" customHeight="1">
      <c r="G434" s="35"/>
      <c r="H434" s="35"/>
      <c r="I434" s="35"/>
    </row>
    <row r="435" spans="7:9" ht="15.75" customHeight="1">
      <c r="G435" s="35"/>
      <c r="H435" s="35"/>
      <c r="I435" s="35"/>
    </row>
    <row r="436" spans="7:9" ht="15.75" customHeight="1">
      <c r="G436" s="35"/>
      <c r="H436" s="35"/>
      <c r="I436" s="35"/>
    </row>
    <row r="437" spans="7:9" ht="15.75" customHeight="1">
      <c r="G437" s="35"/>
      <c r="H437" s="35"/>
      <c r="I437" s="35"/>
    </row>
    <row r="438" spans="7:9" ht="15.75" customHeight="1">
      <c r="G438" s="35"/>
      <c r="H438" s="35"/>
      <c r="I438" s="35"/>
    </row>
    <row r="439" spans="7:9" ht="15.75" customHeight="1">
      <c r="G439" s="35"/>
      <c r="H439" s="35"/>
      <c r="I439" s="35"/>
    </row>
    <row r="440" spans="7:9" ht="15.75" customHeight="1">
      <c r="G440" s="35"/>
      <c r="H440" s="35"/>
      <c r="I440" s="35"/>
    </row>
    <row r="441" spans="7:9" ht="15.75" customHeight="1">
      <c r="G441" s="35"/>
      <c r="H441" s="35"/>
      <c r="I441" s="35"/>
    </row>
    <row r="442" spans="7:9" ht="15.75" customHeight="1">
      <c r="G442" s="35"/>
      <c r="H442" s="35"/>
      <c r="I442" s="35"/>
    </row>
    <row r="443" spans="7:9" ht="15.75" customHeight="1">
      <c r="G443" s="35"/>
      <c r="H443" s="35"/>
      <c r="I443" s="35"/>
    </row>
    <row r="444" spans="7:9" ht="15.75" customHeight="1">
      <c r="G444" s="35"/>
      <c r="H444" s="35"/>
      <c r="I444" s="35"/>
    </row>
    <row r="445" spans="7:9" ht="15.75" customHeight="1">
      <c r="G445" s="35"/>
      <c r="H445" s="35"/>
      <c r="I445" s="35"/>
    </row>
    <row r="446" spans="7:9" ht="15.75" customHeight="1">
      <c r="G446" s="35"/>
      <c r="H446" s="35"/>
      <c r="I446" s="35"/>
    </row>
    <row r="447" spans="7:9" ht="15.75" customHeight="1">
      <c r="G447" s="35"/>
      <c r="H447" s="35"/>
      <c r="I447" s="35"/>
    </row>
    <row r="448" spans="7:9" ht="15.75" customHeight="1">
      <c r="G448" s="35"/>
      <c r="H448" s="35"/>
      <c r="I448" s="35"/>
    </row>
    <row r="449" spans="7:9" ht="15.75" customHeight="1">
      <c r="G449" s="35"/>
      <c r="H449" s="35"/>
      <c r="I449" s="35"/>
    </row>
    <row r="450" spans="7:9" ht="15.75" customHeight="1">
      <c r="G450" s="35"/>
      <c r="H450" s="35"/>
      <c r="I450" s="35"/>
    </row>
    <row r="451" spans="7:9" ht="15.75" customHeight="1">
      <c r="G451" s="35"/>
      <c r="H451" s="35"/>
      <c r="I451" s="35"/>
    </row>
    <row r="452" spans="7:9" ht="15.75" customHeight="1">
      <c r="G452" s="35"/>
      <c r="H452" s="35"/>
      <c r="I452" s="35"/>
    </row>
    <row r="453" spans="7:9" ht="15.75" customHeight="1">
      <c r="G453" s="35"/>
      <c r="H453" s="35"/>
      <c r="I453" s="35"/>
    </row>
    <row r="454" spans="7:9" ht="15.75" customHeight="1">
      <c r="G454" s="35"/>
      <c r="H454" s="35"/>
      <c r="I454" s="35"/>
    </row>
    <row r="455" spans="7:9" ht="15.75" customHeight="1">
      <c r="G455" s="35"/>
      <c r="H455" s="35"/>
      <c r="I455" s="35"/>
    </row>
    <row r="456" spans="7:9" ht="15.75" customHeight="1">
      <c r="G456" s="35"/>
      <c r="H456" s="35"/>
      <c r="I456" s="35"/>
    </row>
    <row r="457" spans="7:9" ht="15.75" customHeight="1">
      <c r="G457" s="35"/>
      <c r="H457" s="35"/>
      <c r="I457" s="35"/>
    </row>
    <row r="458" spans="7:9" ht="15.75" customHeight="1">
      <c r="G458" s="35"/>
      <c r="H458" s="35"/>
      <c r="I458" s="35"/>
    </row>
    <row r="459" spans="7:9" ht="15.75" customHeight="1">
      <c r="G459" s="35"/>
      <c r="H459" s="35"/>
      <c r="I459" s="35"/>
    </row>
    <row r="460" spans="7:9" ht="15.75" customHeight="1">
      <c r="G460" s="35"/>
      <c r="H460" s="35"/>
      <c r="I460" s="35"/>
    </row>
    <row r="461" spans="7:9" ht="15.75" customHeight="1">
      <c r="G461" s="35"/>
      <c r="H461" s="35"/>
      <c r="I461" s="35"/>
    </row>
    <row r="462" spans="7:9" ht="15.75" customHeight="1">
      <c r="G462" s="35"/>
      <c r="H462" s="35"/>
      <c r="I462" s="35"/>
    </row>
    <row r="463" spans="7:9" ht="15.75" customHeight="1">
      <c r="G463" s="35"/>
      <c r="H463" s="35"/>
      <c r="I463" s="35"/>
    </row>
    <row r="464" spans="7:9" ht="15.75" customHeight="1">
      <c r="G464" s="35"/>
      <c r="H464" s="35"/>
      <c r="I464" s="35"/>
    </row>
    <row r="465" spans="7:9" ht="15.75" customHeight="1">
      <c r="G465" s="35"/>
      <c r="H465" s="35"/>
      <c r="I465" s="35"/>
    </row>
    <row r="466" spans="7:9" ht="15.75" customHeight="1">
      <c r="G466" s="35"/>
      <c r="H466" s="35"/>
      <c r="I466" s="35"/>
    </row>
    <row r="467" spans="7:9" ht="15.75" customHeight="1">
      <c r="G467" s="35"/>
      <c r="H467" s="35"/>
      <c r="I467" s="35"/>
    </row>
    <row r="468" spans="7:9" ht="15.75" customHeight="1">
      <c r="G468" s="35"/>
      <c r="H468" s="35"/>
      <c r="I468" s="35"/>
    </row>
    <row r="469" spans="7:9" ht="15.75" customHeight="1">
      <c r="G469" s="35"/>
      <c r="H469" s="35"/>
      <c r="I469" s="35"/>
    </row>
    <row r="470" spans="7:9" ht="15.75" customHeight="1">
      <c r="G470" s="35"/>
      <c r="H470" s="35"/>
      <c r="I470" s="35"/>
    </row>
    <row r="471" spans="7:9" ht="15.75" customHeight="1">
      <c r="G471" s="35"/>
      <c r="H471" s="35"/>
      <c r="I471" s="35"/>
    </row>
    <row r="472" spans="7:9" ht="15.75" customHeight="1">
      <c r="G472" s="35"/>
      <c r="H472" s="35"/>
      <c r="I472" s="35"/>
    </row>
    <row r="473" spans="7:9" ht="15.75" customHeight="1">
      <c r="G473" s="35"/>
      <c r="H473" s="35"/>
      <c r="I473" s="35"/>
    </row>
    <row r="474" spans="7:9" ht="15.75" customHeight="1">
      <c r="G474" s="35"/>
      <c r="H474" s="35"/>
      <c r="I474" s="35"/>
    </row>
    <row r="475" spans="7:9" ht="15.75" customHeight="1">
      <c r="G475" s="35"/>
      <c r="H475" s="35"/>
      <c r="I475" s="35"/>
    </row>
    <row r="476" spans="7:9" ht="15.75" customHeight="1">
      <c r="G476" s="35"/>
      <c r="H476" s="35"/>
      <c r="I476" s="35"/>
    </row>
    <row r="477" spans="7:9" ht="15.75" customHeight="1">
      <c r="G477" s="35"/>
      <c r="H477" s="35"/>
      <c r="I477" s="35"/>
    </row>
    <row r="478" spans="7:9" ht="15.75" customHeight="1">
      <c r="G478" s="35"/>
      <c r="H478" s="35"/>
      <c r="I478" s="35"/>
    </row>
    <row r="479" spans="7:9" ht="15.75" customHeight="1">
      <c r="G479" s="35"/>
      <c r="H479" s="35"/>
      <c r="I479" s="35"/>
    </row>
    <row r="480" spans="7:9" ht="15.75" customHeight="1">
      <c r="G480" s="35"/>
      <c r="H480" s="35"/>
      <c r="I480" s="35"/>
    </row>
    <row r="481" spans="7:9" ht="15.75" customHeight="1">
      <c r="G481" s="35"/>
      <c r="H481" s="35"/>
      <c r="I481" s="35"/>
    </row>
    <row r="482" spans="7:9" ht="15.75" customHeight="1">
      <c r="G482" s="35"/>
      <c r="H482" s="35"/>
      <c r="I482" s="35"/>
    </row>
    <row r="483" spans="7:9" ht="15.75" customHeight="1">
      <c r="G483" s="35"/>
      <c r="H483" s="35"/>
      <c r="I483" s="35"/>
    </row>
    <row r="484" spans="7:9" ht="15.75" customHeight="1">
      <c r="G484" s="35"/>
      <c r="H484" s="35"/>
      <c r="I484" s="35"/>
    </row>
    <row r="485" spans="7:9" ht="15.75" customHeight="1">
      <c r="G485" s="35"/>
      <c r="H485" s="35"/>
      <c r="I485" s="35"/>
    </row>
    <row r="486" spans="7:9" ht="15.75" customHeight="1">
      <c r="G486" s="35"/>
      <c r="H486" s="35"/>
      <c r="I486" s="35"/>
    </row>
    <row r="487" spans="7:9" ht="15.75" customHeight="1">
      <c r="G487" s="35"/>
      <c r="H487" s="35"/>
      <c r="I487" s="35"/>
    </row>
    <row r="488" spans="7:9" ht="15.75" customHeight="1">
      <c r="G488" s="35"/>
      <c r="H488" s="35"/>
      <c r="I488" s="35"/>
    </row>
    <row r="489" spans="7:9" ht="15.75" customHeight="1">
      <c r="G489" s="35"/>
      <c r="H489" s="35"/>
      <c r="I489" s="35"/>
    </row>
    <row r="490" spans="7:9" ht="15.75" customHeight="1">
      <c r="G490" s="35"/>
      <c r="H490" s="35"/>
      <c r="I490" s="35"/>
    </row>
    <row r="491" spans="7:9" ht="15.75" customHeight="1">
      <c r="G491" s="35"/>
      <c r="H491" s="35"/>
      <c r="I491" s="35"/>
    </row>
    <row r="492" spans="7:9" ht="15.75" customHeight="1">
      <c r="G492" s="35"/>
      <c r="H492" s="35"/>
      <c r="I492" s="35"/>
    </row>
    <row r="493" spans="7:9" ht="15.75" customHeight="1">
      <c r="G493" s="35"/>
      <c r="H493" s="35"/>
      <c r="I493" s="35"/>
    </row>
    <row r="494" spans="7:9" ht="15.75" customHeight="1">
      <c r="G494" s="35"/>
      <c r="H494" s="35"/>
      <c r="I494" s="35"/>
    </row>
    <row r="495" spans="7:9" ht="15.75" customHeight="1">
      <c r="G495" s="35"/>
      <c r="H495" s="35"/>
      <c r="I495" s="35"/>
    </row>
    <row r="496" spans="7:9" ht="15.75" customHeight="1">
      <c r="G496" s="35"/>
      <c r="H496" s="35"/>
      <c r="I496" s="35"/>
    </row>
    <row r="497" spans="7:9" ht="15.75" customHeight="1">
      <c r="G497" s="35"/>
      <c r="H497" s="35"/>
      <c r="I497" s="35"/>
    </row>
    <row r="498" spans="7:9" ht="15.75" customHeight="1">
      <c r="G498" s="35"/>
      <c r="H498" s="35"/>
      <c r="I498" s="35"/>
    </row>
    <row r="499" spans="7:9" ht="15.75" customHeight="1">
      <c r="G499" s="35"/>
      <c r="H499" s="35"/>
      <c r="I499" s="35"/>
    </row>
    <row r="500" spans="7:9" ht="15.75" customHeight="1">
      <c r="G500" s="35"/>
      <c r="H500" s="35"/>
      <c r="I500" s="35"/>
    </row>
    <row r="501" spans="7:9" ht="15.75" customHeight="1">
      <c r="G501" s="35"/>
      <c r="H501" s="35"/>
      <c r="I501" s="35"/>
    </row>
    <row r="502" spans="7:9" ht="15.75" customHeight="1">
      <c r="G502" s="35"/>
      <c r="H502" s="35"/>
      <c r="I502" s="35"/>
    </row>
    <row r="503" spans="7:9" ht="15.75" customHeight="1">
      <c r="G503" s="35"/>
      <c r="H503" s="35"/>
      <c r="I503" s="35"/>
    </row>
    <row r="504" spans="7:9" ht="15.75" customHeight="1">
      <c r="G504" s="35"/>
      <c r="H504" s="35"/>
      <c r="I504" s="35"/>
    </row>
    <row r="505" spans="7:9" ht="15.75" customHeight="1">
      <c r="G505" s="35"/>
      <c r="H505" s="35"/>
      <c r="I505" s="35"/>
    </row>
    <row r="506" spans="7:9" ht="15.75" customHeight="1">
      <c r="G506" s="35"/>
      <c r="H506" s="35"/>
      <c r="I506" s="35"/>
    </row>
    <row r="507" spans="7:9" ht="15.75" customHeight="1">
      <c r="G507" s="35"/>
      <c r="H507" s="35"/>
      <c r="I507" s="35"/>
    </row>
    <row r="508" spans="7:9" ht="15.75" customHeight="1">
      <c r="G508" s="35"/>
      <c r="H508" s="35"/>
      <c r="I508" s="35"/>
    </row>
    <row r="509" spans="7:9" ht="15.75" customHeight="1">
      <c r="G509" s="35"/>
      <c r="H509" s="35"/>
      <c r="I509" s="35"/>
    </row>
    <row r="510" spans="7:9" ht="15.75" customHeight="1">
      <c r="G510" s="35"/>
      <c r="H510" s="35"/>
      <c r="I510" s="35"/>
    </row>
    <row r="511" spans="7:9" ht="15.75" customHeight="1">
      <c r="G511" s="35"/>
      <c r="H511" s="35"/>
      <c r="I511" s="35"/>
    </row>
    <row r="512" spans="7:9" ht="15.75" customHeight="1">
      <c r="G512" s="35"/>
      <c r="H512" s="35"/>
      <c r="I512" s="35"/>
    </row>
    <row r="513" spans="7:9" ht="15.75" customHeight="1">
      <c r="G513" s="35"/>
      <c r="H513" s="35"/>
      <c r="I513" s="35"/>
    </row>
    <row r="514" spans="7:9" ht="15.75" customHeight="1">
      <c r="G514" s="35"/>
      <c r="H514" s="35"/>
      <c r="I514" s="35"/>
    </row>
    <row r="515" spans="7:9" ht="15.75" customHeight="1">
      <c r="G515" s="35"/>
      <c r="H515" s="35"/>
      <c r="I515" s="35"/>
    </row>
    <row r="516" spans="7:9" ht="15.75" customHeight="1">
      <c r="G516" s="35"/>
      <c r="H516" s="35"/>
      <c r="I516" s="35"/>
    </row>
    <row r="517" spans="7:9" ht="15.75" customHeight="1">
      <c r="G517" s="35"/>
      <c r="H517" s="35"/>
      <c r="I517" s="35"/>
    </row>
    <row r="518" spans="7:9" ht="15.75" customHeight="1">
      <c r="G518" s="35"/>
      <c r="H518" s="35"/>
      <c r="I518" s="35"/>
    </row>
    <row r="519" spans="7:9" ht="15.75" customHeight="1">
      <c r="G519" s="35"/>
      <c r="H519" s="35"/>
      <c r="I519" s="35"/>
    </row>
    <row r="520" spans="7:9" ht="15.75" customHeight="1">
      <c r="G520" s="35"/>
      <c r="H520" s="35"/>
      <c r="I520" s="35"/>
    </row>
    <row r="521" spans="7:9" ht="15.75" customHeight="1">
      <c r="G521" s="35"/>
      <c r="H521" s="35"/>
      <c r="I521" s="35"/>
    </row>
    <row r="522" spans="7:9" ht="15.75" customHeight="1">
      <c r="G522" s="35"/>
      <c r="H522" s="35"/>
      <c r="I522" s="35"/>
    </row>
    <row r="523" spans="7:9" ht="15.75" customHeight="1">
      <c r="G523" s="35"/>
      <c r="H523" s="35"/>
      <c r="I523" s="35"/>
    </row>
    <row r="524" spans="7:9" ht="15.75" customHeight="1">
      <c r="G524" s="35"/>
      <c r="H524" s="35"/>
      <c r="I524" s="35"/>
    </row>
    <row r="525" spans="7:9" ht="15.75" customHeight="1">
      <c r="G525" s="35"/>
      <c r="H525" s="35"/>
      <c r="I525" s="35"/>
    </row>
    <row r="526" spans="7:9" ht="15.75" customHeight="1">
      <c r="G526" s="35"/>
      <c r="H526" s="35"/>
      <c r="I526" s="35"/>
    </row>
    <row r="527" spans="7:9" ht="15.75" customHeight="1">
      <c r="G527" s="35"/>
      <c r="H527" s="35"/>
      <c r="I527" s="35"/>
    </row>
    <row r="528" spans="7:9" ht="15.75" customHeight="1">
      <c r="G528" s="35"/>
      <c r="H528" s="35"/>
      <c r="I528" s="35"/>
    </row>
    <row r="529" spans="7:9" ht="15.75" customHeight="1">
      <c r="G529" s="35"/>
      <c r="H529" s="35"/>
      <c r="I529" s="35"/>
    </row>
    <row r="530" spans="7:9" ht="15.75" customHeight="1">
      <c r="G530" s="35"/>
      <c r="H530" s="35"/>
      <c r="I530" s="35"/>
    </row>
    <row r="531" spans="7:9" ht="15.75" customHeight="1">
      <c r="G531" s="35"/>
      <c r="H531" s="35"/>
      <c r="I531" s="35"/>
    </row>
    <row r="532" spans="7:9" ht="15.75" customHeight="1">
      <c r="G532" s="35"/>
      <c r="H532" s="35"/>
      <c r="I532" s="35"/>
    </row>
    <row r="533" spans="7:9" ht="15.75" customHeight="1">
      <c r="G533" s="35"/>
      <c r="H533" s="35"/>
      <c r="I533" s="35"/>
    </row>
    <row r="534" spans="7:9" ht="15.75" customHeight="1">
      <c r="G534" s="35"/>
      <c r="H534" s="35"/>
      <c r="I534" s="35"/>
    </row>
    <row r="535" spans="7:9" ht="15.75" customHeight="1">
      <c r="G535" s="35"/>
      <c r="H535" s="35"/>
      <c r="I535" s="35"/>
    </row>
    <row r="536" spans="7:9" ht="15.75" customHeight="1">
      <c r="G536" s="35"/>
      <c r="H536" s="35"/>
      <c r="I536" s="35"/>
    </row>
    <row r="537" spans="7:9" ht="15.75" customHeight="1">
      <c r="G537" s="35"/>
      <c r="H537" s="35"/>
      <c r="I537" s="35"/>
    </row>
    <row r="538" spans="7:9" ht="15.75" customHeight="1">
      <c r="G538" s="35"/>
      <c r="H538" s="35"/>
      <c r="I538" s="35"/>
    </row>
    <row r="539" spans="7:9" ht="15.75" customHeight="1">
      <c r="G539" s="35"/>
      <c r="H539" s="35"/>
      <c r="I539" s="35"/>
    </row>
    <row r="540" spans="7:9" ht="15.75" customHeight="1">
      <c r="G540" s="35"/>
      <c r="H540" s="35"/>
      <c r="I540" s="35"/>
    </row>
    <row r="541" spans="7:9" ht="15.75" customHeight="1">
      <c r="G541" s="35"/>
      <c r="H541" s="35"/>
      <c r="I541" s="35"/>
    </row>
    <row r="542" spans="7:9" ht="15.75" customHeight="1">
      <c r="G542" s="35"/>
      <c r="H542" s="35"/>
      <c r="I542" s="35"/>
    </row>
    <row r="543" spans="7:9" ht="15.75" customHeight="1">
      <c r="G543" s="35"/>
      <c r="H543" s="35"/>
      <c r="I543" s="35"/>
    </row>
    <row r="544" spans="7:9" ht="15.75" customHeight="1">
      <c r="G544" s="35"/>
      <c r="H544" s="35"/>
      <c r="I544" s="35"/>
    </row>
    <row r="545" spans="7:9" ht="15.75" customHeight="1">
      <c r="G545" s="35"/>
      <c r="H545" s="35"/>
      <c r="I545" s="35"/>
    </row>
    <row r="546" spans="7:9" ht="15.75" customHeight="1">
      <c r="G546" s="35"/>
      <c r="H546" s="35"/>
      <c r="I546" s="35"/>
    </row>
    <row r="547" spans="7:9" ht="15.75" customHeight="1">
      <c r="G547" s="35"/>
      <c r="H547" s="35"/>
      <c r="I547" s="35"/>
    </row>
    <row r="548" spans="7:9" ht="15.75" customHeight="1">
      <c r="G548" s="35"/>
      <c r="H548" s="35"/>
      <c r="I548" s="35"/>
    </row>
    <row r="549" spans="7:9" ht="15.75" customHeight="1">
      <c r="G549" s="35"/>
      <c r="H549" s="35"/>
      <c r="I549" s="35"/>
    </row>
    <row r="550" spans="7:9" ht="15.75" customHeight="1">
      <c r="G550" s="35"/>
      <c r="H550" s="35"/>
      <c r="I550" s="35"/>
    </row>
    <row r="551" spans="7:9" ht="15.75" customHeight="1">
      <c r="G551" s="35"/>
      <c r="H551" s="35"/>
      <c r="I551" s="35"/>
    </row>
    <row r="552" spans="7:9" ht="15.75" customHeight="1">
      <c r="G552" s="35"/>
      <c r="H552" s="35"/>
      <c r="I552" s="35"/>
    </row>
    <row r="553" spans="7:9" ht="15.75" customHeight="1">
      <c r="G553" s="35"/>
      <c r="H553" s="35"/>
      <c r="I553" s="35"/>
    </row>
    <row r="554" spans="7:9" ht="15.75" customHeight="1">
      <c r="G554" s="35"/>
      <c r="H554" s="35"/>
      <c r="I554" s="35"/>
    </row>
    <row r="555" spans="7:9" ht="15.75" customHeight="1">
      <c r="G555" s="35"/>
      <c r="H555" s="35"/>
      <c r="I555" s="35"/>
    </row>
    <row r="556" spans="7:9" ht="15.75" customHeight="1">
      <c r="G556" s="35"/>
      <c r="H556" s="35"/>
      <c r="I556" s="35"/>
    </row>
    <row r="557" spans="7:9" ht="15.75" customHeight="1">
      <c r="G557" s="35"/>
      <c r="H557" s="35"/>
      <c r="I557" s="35"/>
    </row>
    <row r="558" spans="7:9" ht="15.75" customHeight="1">
      <c r="G558" s="35"/>
      <c r="H558" s="35"/>
      <c r="I558" s="35"/>
    </row>
    <row r="559" spans="7:9" ht="15.75" customHeight="1">
      <c r="G559" s="35"/>
      <c r="H559" s="35"/>
      <c r="I559" s="35"/>
    </row>
    <row r="560" spans="7:9" ht="15.75" customHeight="1">
      <c r="G560" s="35"/>
      <c r="H560" s="35"/>
      <c r="I560" s="35"/>
    </row>
    <row r="561" spans="7:9" ht="15.75" customHeight="1">
      <c r="G561" s="35"/>
      <c r="H561" s="35"/>
      <c r="I561" s="35"/>
    </row>
    <row r="562" spans="7:9" ht="15.75" customHeight="1">
      <c r="G562" s="35"/>
      <c r="H562" s="35"/>
      <c r="I562" s="35"/>
    </row>
    <row r="563" spans="7:9" ht="15.75" customHeight="1">
      <c r="G563" s="35"/>
      <c r="H563" s="35"/>
      <c r="I563" s="35"/>
    </row>
    <row r="564" spans="7:9" ht="15.75" customHeight="1">
      <c r="G564" s="35"/>
      <c r="H564" s="35"/>
      <c r="I564" s="35"/>
    </row>
    <row r="565" spans="7:9" ht="15.75" customHeight="1">
      <c r="G565" s="35"/>
      <c r="H565" s="35"/>
      <c r="I565" s="35"/>
    </row>
    <row r="566" spans="7:9" ht="15.75" customHeight="1">
      <c r="G566" s="35"/>
      <c r="H566" s="35"/>
      <c r="I566" s="35"/>
    </row>
    <row r="567" spans="7:9" ht="15.75" customHeight="1">
      <c r="G567" s="35"/>
      <c r="H567" s="35"/>
      <c r="I567" s="35"/>
    </row>
    <row r="568" spans="7:9" ht="15.75" customHeight="1">
      <c r="G568" s="35"/>
      <c r="H568" s="35"/>
      <c r="I568" s="35"/>
    </row>
    <row r="569" spans="7:9" ht="15.75" customHeight="1">
      <c r="G569" s="35"/>
      <c r="H569" s="35"/>
      <c r="I569" s="35"/>
    </row>
    <row r="570" spans="7:9" ht="15.75" customHeight="1">
      <c r="G570" s="35"/>
      <c r="H570" s="35"/>
      <c r="I570" s="35"/>
    </row>
    <row r="571" spans="7:9" ht="15.75" customHeight="1">
      <c r="G571" s="35"/>
      <c r="H571" s="35"/>
      <c r="I571" s="35"/>
    </row>
    <row r="572" spans="7:9" ht="15.75" customHeight="1">
      <c r="G572" s="35"/>
      <c r="H572" s="35"/>
      <c r="I572" s="35"/>
    </row>
    <row r="573" spans="7:9" ht="15.75" customHeight="1">
      <c r="G573" s="35"/>
      <c r="H573" s="35"/>
      <c r="I573" s="35"/>
    </row>
    <row r="574" spans="7:9" ht="15.75" customHeight="1">
      <c r="G574" s="35"/>
      <c r="H574" s="35"/>
      <c r="I574" s="35"/>
    </row>
    <row r="575" spans="7:9" ht="15.75" customHeight="1">
      <c r="G575" s="35"/>
      <c r="H575" s="35"/>
      <c r="I575" s="35"/>
    </row>
    <row r="576" spans="7:9" ht="15.75" customHeight="1">
      <c r="G576" s="35"/>
      <c r="H576" s="35"/>
      <c r="I576" s="35"/>
    </row>
    <row r="577" spans="7:9" ht="15.75" customHeight="1">
      <c r="G577" s="35"/>
      <c r="H577" s="35"/>
      <c r="I577" s="35"/>
    </row>
    <row r="578" spans="7:9" ht="15.75" customHeight="1">
      <c r="G578" s="35"/>
      <c r="H578" s="35"/>
      <c r="I578" s="35"/>
    </row>
    <row r="579" spans="7:9" ht="15.75" customHeight="1">
      <c r="G579" s="35"/>
      <c r="H579" s="35"/>
      <c r="I579" s="35"/>
    </row>
    <row r="580" spans="7:9" ht="15.75" customHeight="1">
      <c r="G580" s="35"/>
      <c r="H580" s="35"/>
      <c r="I580" s="35"/>
    </row>
    <row r="581" spans="7:9" ht="15.75" customHeight="1">
      <c r="G581" s="35"/>
      <c r="H581" s="35"/>
      <c r="I581" s="35"/>
    </row>
    <row r="582" spans="7:9" ht="15.75" customHeight="1">
      <c r="G582" s="35"/>
      <c r="H582" s="35"/>
      <c r="I582" s="35"/>
    </row>
    <row r="583" spans="7:9" ht="15.75" customHeight="1">
      <c r="G583" s="35"/>
      <c r="H583" s="35"/>
      <c r="I583" s="35"/>
    </row>
    <row r="584" spans="7:9" ht="15.75" customHeight="1">
      <c r="G584" s="35"/>
      <c r="H584" s="35"/>
      <c r="I584" s="35"/>
    </row>
    <row r="585" spans="7:9" ht="15.75" customHeight="1">
      <c r="G585" s="35"/>
      <c r="H585" s="35"/>
      <c r="I585" s="35"/>
    </row>
    <row r="586" spans="7:9" ht="15.75" customHeight="1">
      <c r="G586" s="35"/>
      <c r="H586" s="35"/>
      <c r="I586" s="35"/>
    </row>
    <row r="587" spans="7:9" ht="15.75" customHeight="1">
      <c r="G587" s="35"/>
      <c r="H587" s="35"/>
      <c r="I587" s="35"/>
    </row>
    <row r="588" spans="7:9" ht="15.75" customHeight="1">
      <c r="G588" s="35"/>
      <c r="H588" s="35"/>
      <c r="I588" s="35"/>
    </row>
    <row r="589" spans="7:9" ht="15.75" customHeight="1">
      <c r="G589" s="35"/>
      <c r="H589" s="35"/>
      <c r="I589" s="35"/>
    </row>
    <row r="590" spans="7:9" ht="15.75" customHeight="1">
      <c r="G590" s="35"/>
      <c r="H590" s="35"/>
      <c r="I590" s="35"/>
    </row>
    <row r="591" spans="7:9" ht="15.75" customHeight="1">
      <c r="G591" s="35"/>
      <c r="H591" s="35"/>
      <c r="I591" s="35"/>
    </row>
    <row r="592" spans="7:9" ht="15.75" customHeight="1">
      <c r="G592" s="35"/>
      <c r="H592" s="35"/>
      <c r="I592" s="35"/>
    </row>
    <row r="593" spans="7:9" ht="15.75" customHeight="1">
      <c r="G593" s="35"/>
      <c r="H593" s="35"/>
      <c r="I593" s="35"/>
    </row>
    <row r="594" spans="7:9" ht="15.75" customHeight="1">
      <c r="G594" s="35"/>
      <c r="H594" s="35"/>
      <c r="I594" s="35"/>
    </row>
    <row r="595" spans="7:9" ht="15.75" customHeight="1">
      <c r="G595" s="35"/>
      <c r="H595" s="35"/>
      <c r="I595" s="35"/>
    </row>
    <row r="596" spans="7:9" ht="15.75" customHeight="1">
      <c r="G596" s="35"/>
      <c r="H596" s="35"/>
      <c r="I596" s="35"/>
    </row>
    <row r="597" spans="7:9" ht="15.75" customHeight="1">
      <c r="G597" s="35"/>
      <c r="H597" s="35"/>
      <c r="I597" s="35"/>
    </row>
    <row r="598" spans="7:9" ht="15.75" customHeight="1">
      <c r="G598" s="35"/>
      <c r="H598" s="35"/>
      <c r="I598" s="35"/>
    </row>
    <row r="599" spans="7:9" ht="15.75" customHeight="1">
      <c r="G599" s="35"/>
      <c r="H599" s="35"/>
      <c r="I599" s="35"/>
    </row>
    <row r="600" spans="7:9" ht="15.75" customHeight="1">
      <c r="G600" s="35"/>
      <c r="H600" s="35"/>
      <c r="I600" s="35"/>
    </row>
    <row r="601" spans="7:9" ht="15.75" customHeight="1">
      <c r="G601" s="35"/>
      <c r="H601" s="35"/>
      <c r="I601" s="35"/>
    </row>
    <row r="602" spans="7:9" ht="15.75" customHeight="1">
      <c r="G602" s="35"/>
      <c r="H602" s="35"/>
      <c r="I602" s="35"/>
    </row>
    <row r="603" spans="7:9" ht="15.75" customHeight="1">
      <c r="G603" s="35"/>
      <c r="H603" s="35"/>
      <c r="I603" s="35"/>
    </row>
    <row r="604" spans="7:9" ht="15.75" customHeight="1">
      <c r="G604" s="35"/>
      <c r="H604" s="35"/>
      <c r="I604" s="35"/>
    </row>
    <row r="605" spans="7:9" ht="15.75" customHeight="1">
      <c r="G605" s="35"/>
      <c r="H605" s="35"/>
      <c r="I605" s="35"/>
    </row>
    <row r="606" spans="7:9" ht="15.75" customHeight="1">
      <c r="G606" s="35"/>
      <c r="H606" s="35"/>
      <c r="I606" s="35"/>
    </row>
    <row r="607" spans="7:9" ht="15.75" customHeight="1">
      <c r="G607" s="35"/>
      <c r="H607" s="35"/>
      <c r="I607" s="35"/>
    </row>
    <row r="608" spans="7:9" ht="15.75" customHeight="1">
      <c r="G608" s="35"/>
      <c r="H608" s="35"/>
      <c r="I608" s="35"/>
    </row>
    <row r="609" spans="7:9" ht="15.75" customHeight="1">
      <c r="G609" s="35"/>
      <c r="H609" s="35"/>
      <c r="I609" s="35"/>
    </row>
    <row r="610" spans="7:9" ht="15.75" customHeight="1">
      <c r="G610" s="35"/>
      <c r="H610" s="35"/>
      <c r="I610" s="35"/>
    </row>
    <row r="611" spans="7:9" ht="15.75" customHeight="1">
      <c r="G611" s="35"/>
      <c r="H611" s="35"/>
      <c r="I611" s="35"/>
    </row>
    <row r="612" spans="7:9" ht="15.75" customHeight="1">
      <c r="G612" s="35"/>
      <c r="H612" s="35"/>
      <c r="I612" s="35"/>
    </row>
    <row r="613" spans="7:9" ht="15.75" customHeight="1">
      <c r="G613" s="35"/>
      <c r="H613" s="35"/>
      <c r="I613" s="35"/>
    </row>
    <row r="614" spans="7:9" ht="15.75" customHeight="1">
      <c r="G614" s="35"/>
      <c r="H614" s="35"/>
      <c r="I614" s="35"/>
    </row>
    <row r="615" spans="7:9" ht="15.75" customHeight="1">
      <c r="G615" s="35"/>
      <c r="H615" s="35"/>
      <c r="I615" s="35"/>
    </row>
    <row r="616" spans="7:9" ht="15.75" customHeight="1">
      <c r="G616" s="35"/>
      <c r="H616" s="35"/>
      <c r="I616" s="35"/>
    </row>
    <row r="617" spans="7:9" ht="15.75" customHeight="1">
      <c r="G617" s="35"/>
      <c r="H617" s="35"/>
      <c r="I617" s="35"/>
    </row>
    <row r="618" spans="7:9" ht="15.75" customHeight="1">
      <c r="G618" s="35"/>
      <c r="H618" s="35"/>
      <c r="I618" s="35"/>
    </row>
    <row r="619" spans="7:9" ht="15.75" customHeight="1">
      <c r="G619" s="35"/>
      <c r="H619" s="35"/>
      <c r="I619" s="35"/>
    </row>
    <row r="620" spans="7:9" ht="15.75" customHeight="1">
      <c r="G620" s="35"/>
      <c r="H620" s="35"/>
      <c r="I620" s="35"/>
    </row>
    <row r="621" spans="7:9" ht="15.75" customHeight="1">
      <c r="G621" s="35"/>
      <c r="H621" s="35"/>
      <c r="I621" s="35"/>
    </row>
    <row r="622" spans="7:9" ht="15.75" customHeight="1">
      <c r="G622" s="35"/>
      <c r="H622" s="35"/>
      <c r="I622" s="35"/>
    </row>
    <row r="623" spans="7:9" ht="15.75" customHeight="1">
      <c r="G623" s="35"/>
      <c r="H623" s="35"/>
      <c r="I623" s="35"/>
    </row>
    <row r="624" spans="7:9" ht="15.75" customHeight="1">
      <c r="G624" s="35"/>
      <c r="H624" s="35"/>
      <c r="I624" s="35"/>
    </row>
    <row r="625" spans="7:9" ht="15.75" customHeight="1">
      <c r="G625" s="35"/>
      <c r="H625" s="35"/>
      <c r="I625" s="35"/>
    </row>
    <row r="626" spans="7:9" ht="15.75" customHeight="1">
      <c r="G626" s="35"/>
      <c r="H626" s="35"/>
      <c r="I626" s="35"/>
    </row>
    <row r="627" spans="7:9" ht="15.75" customHeight="1">
      <c r="G627" s="35"/>
      <c r="H627" s="35"/>
      <c r="I627" s="35"/>
    </row>
    <row r="628" spans="7:9" ht="15.75" customHeight="1">
      <c r="G628" s="35"/>
      <c r="H628" s="35"/>
      <c r="I628" s="35"/>
    </row>
    <row r="629" spans="7:9" ht="15.75" customHeight="1">
      <c r="G629" s="35"/>
      <c r="H629" s="35"/>
      <c r="I629" s="35"/>
    </row>
    <row r="630" spans="7:9" ht="15.75" customHeight="1">
      <c r="G630" s="35"/>
      <c r="H630" s="35"/>
      <c r="I630" s="35"/>
    </row>
    <row r="631" spans="7:9" ht="15.75" customHeight="1">
      <c r="G631" s="35"/>
      <c r="H631" s="35"/>
      <c r="I631" s="35"/>
    </row>
    <row r="632" spans="7:9" ht="15.75" customHeight="1">
      <c r="G632" s="35"/>
      <c r="H632" s="35"/>
      <c r="I632" s="35"/>
    </row>
    <row r="633" spans="7:9" ht="15.75" customHeight="1">
      <c r="G633" s="35"/>
      <c r="H633" s="35"/>
      <c r="I633" s="35"/>
    </row>
    <row r="634" spans="7:9" ht="15.75" customHeight="1">
      <c r="G634" s="35"/>
      <c r="H634" s="35"/>
      <c r="I634" s="35"/>
    </row>
    <row r="635" spans="7:9" ht="15.75" customHeight="1">
      <c r="G635" s="35"/>
      <c r="H635" s="35"/>
      <c r="I635" s="35"/>
    </row>
    <row r="636" spans="7:9" ht="15.75" customHeight="1">
      <c r="G636" s="35"/>
      <c r="H636" s="35"/>
      <c r="I636" s="35"/>
    </row>
    <row r="637" spans="7:9" ht="15.75" customHeight="1">
      <c r="G637" s="35"/>
      <c r="H637" s="35"/>
      <c r="I637" s="35"/>
    </row>
    <row r="638" spans="7:9" ht="15.75" customHeight="1">
      <c r="G638" s="35"/>
      <c r="H638" s="35"/>
      <c r="I638" s="35"/>
    </row>
    <row r="639" spans="7:9" ht="15.75" customHeight="1">
      <c r="G639" s="35"/>
      <c r="H639" s="35"/>
      <c r="I639" s="35"/>
    </row>
    <row r="640" spans="7:9" ht="15.75" customHeight="1">
      <c r="G640" s="35"/>
      <c r="H640" s="35"/>
      <c r="I640" s="35"/>
    </row>
    <row r="641" spans="7:9" ht="15.75" customHeight="1">
      <c r="G641" s="35"/>
      <c r="H641" s="35"/>
      <c r="I641" s="35"/>
    </row>
    <row r="642" spans="7:9" ht="15.75" customHeight="1">
      <c r="G642" s="35"/>
      <c r="H642" s="35"/>
      <c r="I642" s="35"/>
    </row>
    <row r="643" spans="7:9" ht="15.75" customHeight="1">
      <c r="G643" s="35"/>
      <c r="H643" s="35"/>
      <c r="I643" s="35"/>
    </row>
    <row r="644" spans="7:9" ht="15.75" customHeight="1">
      <c r="G644" s="35"/>
      <c r="H644" s="35"/>
      <c r="I644" s="35"/>
    </row>
    <row r="645" spans="7:9" ht="15.75" customHeight="1">
      <c r="G645" s="35"/>
      <c r="H645" s="35"/>
      <c r="I645" s="35"/>
    </row>
    <row r="646" spans="7:9" ht="15.75" customHeight="1">
      <c r="G646" s="35"/>
      <c r="H646" s="35"/>
      <c r="I646" s="35"/>
    </row>
    <row r="647" spans="7:9" ht="15.75" customHeight="1">
      <c r="G647" s="35"/>
      <c r="H647" s="35"/>
      <c r="I647" s="35"/>
    </row>
    <row r="648" spans="7:9" ht="15.75" customHeight="1">
      <c r="G648" s="35"/>
      <c r="H648" s="35"/>
      <c r="I648" s="35"/>
    </row>
    <row r="649" spans="7:9" ht="15.75" customHeight="1">
      <c r="G649" s="35"/>
      <c r="H649" s="35"/>
      <c r="I649" s="35"/>
    </row>
    <row r="650" spans="7:9" ht="15.75" customHeight="1">
      <c r="G650" s="35"/>
      <c r="H650" s="35"/>
      <c r="I650" s="35"/>
    </row>
    <row r="651" spans="7:9" ht="15.75" customHeight="1">
      <c r="G651" s="35"/>
      <c r="H651" s="35"/>
      <c r="I651" s="35"/>
    </row>
    <row r="652" spans="7:9" ht="15.75" customHeight="1">
      <c r="G652" s="35"/>
      <c r="H652" s="35"/>
      <c r="I652" s="35"/>
    </row>
    <row r="653" spans="7:9" ht="15.75" customHeight="1">
      <c r="G653" s="35"/>
      <c r="H653" s="35"/>
      <c r="I653" s="35"/>
    </row>
    <row r="654" spans="7:9" ht="15.75" customHeight="1">
      <c r="G654" s="35"/>
      <c r="H654" s="35"/>
      <c r="I654" s="35"/>
    </row>
    <row r="655" spans="7:9" ht="15.75" customHeight="1">
      <c r="G655" s="35"/>
      <c r="H655" s="35"/>
      <c r="I655" s="35"/>
    </row>
    <row r="656" spans="7:9" ht="15.75" customHeight="1">
      <c r="G656" s="35"/>
      <c r="H656" s="35"/>
      <c r="I656" s="35"/>
    </row>
    <row r="657" spans="7:9" ht="15.75" customHeight="1">
      <c r="G657" s="35"/>
      <c r="H657" s="35"/>
      <c r="I657" s="35"/>
    </row>
    <row r="658" spans="7:9" ht="15.75" customHeight="1">
      <c r="G658" s="35"/>
      <c r="H658" s="35"/>
      <c r="I658" s="35"/>
    </row>
    <row r="659" spans="7:9" ht="15.75" customHeight="1">
      <c r="G659" s="35"/>
      <c r="H659" s="35"/>
      <c r="I659" s="35"/>
    </row>
    <row r="660" spans="7:9" ht="15.75" customHeight="1">
      <c r="G660" s="35"/>
      <c r="H660" s="35"/>
      <c r="I660" s="35"/>
    </row>
    <row r="661" spans="7:9" ht="15.75" customHeight="1">
      <c r="G661" s="35"/>
      <c r="H661" s="35"/>
      <c r="I661" s="35"/>
    </row>
    <row r="662" spans="7:9" ht="15.75" customHeight="1">
      <c r="G662" s="35"/>
      <c r="H662" s="35"/>
      <c r="I662" s="35"/>
    </row>
    <row r="663" spans="7:9" ht="15.75" customHeight="1">
      <c r="G663" s="35"/>
      <c r="H663" s="35"/>
      <c r="I663" s="35"/>
    </row>
    <row r="664" spans="7:9" ht="15.75" customHeight="1">
      <c r="G664" s="35"/>
      <c r="H664" s="35"/>
      <c r="I664" s="35"/>
    </row>
    <row r="665" spans="7:9" ht="15.75" customHeight="1">
      <c r="G665" s="35"/>
      <c r="H665" s="35"/>
      <c r="I665" s="35"/>
    </row>
    <row r="666" spans="7:9" ht="15.75" customHeight="1">
      <c r="G666" s="35"/>
      <c r="H666" s="35"/>
      <c r="I666" s="35"/>
    </row>
    <row r="667" spans="7:9" ht="15.75" customHeight="1">
      <c r="G667" s="35"/>
      <c r="H667" s="35"/>
      <c r="I667" s="35"/>
    </row>
    <row r="668" spans="7:9" ht="15.75" customHeight="1">
      <c r="G668" s="35"/>
      <c r="H668" s="35"/>
      <c r="I668" s="35"/>
    </row>
    <row r="669" spans="7:9" ht="15.75" customHeight="1">
      <c r="G669" s="35"/>
      <c r="H669" s="35"/>
      <c r="I669" s="35"/>
    </row>
    <row r="670" spans="7:9" ht="15.75" customHeight="1">
      <c r="G670" s="35"/>
      <c r="H670" s="35"/>
      <c r="I670" s="35"/>
    </row>
    <row r="671" spans="7:9" ht="15.75" customHeight="1">
      <c r="G671" s="35"/>
      <c r="H671" s="35"/>
      <c r="I671" s="35"/>
    </row>
    <row r="672" spans="7:9" ht="15.75" customHeight="1">
      <c r="G672" s="35"/>
      <c r="H672" s="35"/>
      <c r="I672" s="35"/>
    </row>
    <row r="673" spans="7:9" ht="15.75" customHeight="1">
      <c r="G673" s="35"/>
      <c r="H673" s="35"/>
      <c r="I673" s="35"/>
    </row>
    <row r="674" spans="7:9" ht="15.75" customHeight="1">
      <c r="G674" s="35"/>
      <c r="H674" s="35"/>
      <c r="I674" s="35"/>
    </row>
    <row r="675" spans="7:9" ht="15.75" customHeight="1">
      <c r="G675" s="35"/>
      <c r="H675" s="35"/>
      <c r="I675" s="35"/>
    </row>
    <row r="676" spans="7:9" ht="15.75" customHeight="1">
      <c r="G676" s="35"/>
      <c r="H676" s="35"/>
      <c r="I676" s="35"/>
    </row>
    <row r="677" spans="7:9" ht="15.75" customHeight="1">
      <c r="G677" s="35"/>
      <c r="H677" s="35"/>
      <c r="I677" s="35"/>
    </row>
    <row r="678" spans="7:9" ht="15.75" customHeight="1">
      <c r="G678" s="35"/>
      <c r="H678" s="35"/>
      <c r="I678" s="35"/>
    </row>
    <row r="679" spans="7:9" ht="15.75" customHeight="1">
      <c r="G679" s="35"/>
      <c r="H679" s="35"/>
      <c r="I679" s="35"/>
    </row>
    <row r="680" spans="7:9" ht="15.75" customHeight="1">
      <c r="G680" s="35"/>
      <c r="H680" s="35"/>
      <c r="I680" s="35"/>
    </row>
    <row r="681" spans="7:9" ht="15.75" customHeight="1">
      <c r="G681" s="35"/>
      <c r="H681" s="35"/>
      <c r="I681" s="35"/>
    </row>
    <row r="682" spans="7:9" ht="15.75" customHeight="1">
      <c r="G682" s="35"/>
      <c r="H682" s="35"/>
      <c r="I682" s="35"/>
    </row>
    <row r="683" spans="7:9" ht="15.75" customHeight="1">
      <c r="G683" s="35"/>
      <c r="H683" s="35"/>
      <c r="I683" s="35"/>
    </row>
    <row r="684" spans="7:9" ht="15.75" customHeight="1">
      <c r="G684" s="35"/>
      <c r="H684" s="35"/>
      <c r="I684" s="35"/>
    </row>
    <row r="685" spans="7:9" ht="15.75" customHeight="1">
      <c r="G685" s="35"/>
      <c r="H685" s="35"/>
      <c r="I685" s="35"/>
    </row>
    <row r="686" spans="7:9" ht="15.75" customHeight="1">
      <c r="G686" s="35"/>
      <c r="H686" s="35"/>
      <c r="I686" s="35"/>
    </row>
    <row r="687" spans="7:9" ht="15.75" customHeight="1">
      <c r="G687" s="35"/>
      <c r="H687" s="35"/>
      <c r="I687" s="35"/>
    </row>
    <row r="688" spans="7:9" ht="15.75" customHeight="1">
      <c r="G688" s="35"/>
      <c r="H688" s="35"/>
      <c r="I688" s="35"/>
    </row>
    <row r="689" spans="7:9" ht="15.75" customHeight="1">
      <c r="G689" s="35"/>
      <c r="H689" s="35"/>
      <c r="I689" s="35"/>
    </row>
    <row r="690" spans="7:9" ht="15.75" customHeight="1">
      <c r="G690" s="35"/>
      <c r="H690" s="35"/>
      <c r="I690" s="35"/>
    </row>
    <row r="691" spans="7:9" ht="15.75" customHeight="1">
      <c r="G691" s="35"/>
      <c r="H691" s="35"/>
      <c r="I691" s="35"/>
    </row>
    <row r="692" spans="7:9" ht="15.75" customHeight="1">
      <c r="G692" s="35"/>
      <c r="H692" s="35"/>
      <c r="I692" s="35"/>
    </row>
    <row r="693" spans="7:9" ht="15.75" customHeight="1">
      <c r="G693" s="35"/>
      <c r="H693" s="35"/>
      <c r="I693" s="35"/>
    </row>
    <row r="694" spans="7:9" ht="15.75" customHeight="1">
      <c r="G694" s="35"/>
      <c r="H694" s="35"/>
      <c r="I694" s="35"/>
    </row>
    <row r="695" spans="7:9" ht="15.75" customHeight="1">
      <c r="G695" s="35"/>
      <c r="H695" s="35"/>
      <c r="I695" s="35"/>
    </row>
    <row r="696" spans="7:9" ht="15.75" customHeight="1">
      <c r="G696" s="35"/>
      <c r="H696" s="35"/>
      <c r="I696" s="35"/>
    </row>
    <row r="697" spans="7:9" ht="15.75" customHeight="1">
      <c r="G697" s="35"/>
      <c r="H697" s="35"/>
      <c r="I697" s="35"/>
    </row>
    <row r="698" spans="7:9" ht="15.75" customHeight="1">
      <c r="G698" s="35"/>
      <c r="H698" s="35"/>
      <c r="I698" s="35"/>
    </row>
    <row r="699" spans="7:9" ht="15.75" customHeight="1">
      <c r="G699" s="35"/>
      <c r="H699" s="35"/>
      <c r="I699" s="35"/>
    </row>
    <row r="700" spans="7:9" ht="15.75" customHeight="1">
      <c r="G700" s="35"/>
      <c r="H700" s="35"/>
      <c r="I700" s="35"/>
    </row>
    <row r="701" spans="7:9" ht="15.75" customHeight="1">
      <c r="G701" s="35"/>
      <c r="H701" s="35"/>
      <c r="I701" s="35"/>
    </row>
    <row r="702" spans="7:9" ht="15.75" customHeight="1">
      <c r="G702" s="35"/>
      <c r="H702" s="35"/>
      <c r="I702" s="35"/>
    </row>
    <row r="703" spans="7:9" ht="15.75" customHeight="1">
      <c r="G703" s="35"/>
      <c r="H703" s="35"/>
      <c r="I703" s="35"/>
    </row>
    <row r="704" spans="7:9" ht="15.75" customHeight="1">
      <c r="G704" s="35"/>
      <c r="H704" s="35"/>
      <c r="I704" s="35"/>
    </row>
    <row r="705" spans="7:9" ht="15.75" customHeight="1">
      <c r="G705" s="35"/>
      <c r="H705" s="35"/>
      <c r="I705" s="35"/>
    </row>
    <row r="706" spans="7:9" ht="15.75" customHeight="1">
      <c r="G706" s="35"/>
      <c r="H706" s="35"/>
      <c r="I706" s="35"/>
    </row>
    <row r="707" spans="7:9" ht="15.75" customHeight="1">
      <c r="G707" s="35"/>
      <c r="H707" s="35"/>
      <c r="I707" s="35"/>
    </row>
    <row r="708" spans="7:9" ht="15.75" customHeight="1">
      <c r="G708" s="35"/>
      <c r="H708" s="35"/>
      <c r="I708" s="35"/>
    </row>
    <row r="709" spans="7:9" ht="15.75" customHeight="1">
      <c r="G709" s="35"/>
      <c r="H709" s="35"/>
      <c r="I709" s="35"/>
    </row>
    <row r="710" spans="7:9" ht="15.75" customHeight="1">
      <c r="G710" s="35"/>
      <c r="H710" s="35"/>
      <c r="I710" s="35"/>
    </row>
    <row r="711" spans="7:9" ht="15.75" customHeight="1">
      <c r="G711" s="35"/>
      <c r="H711" s="35"/>
      <c r="I711" s="35"/>
    </row>
    <row r="712" spans="7:9" ht="15.75" customHeight="1">
      <c r="G712" s="35"/>
      <c r="H712" s="35"/>
      <c r="I712" s="35"/>
    </row>
    <row r="713" spans="7:9" ht="15.75" customHeight="1">
      <c r="G713" s="35"/>
      <c r="H713" s="35"/>
      <c r="I713" s="35"/>
    </row>
    <row r="714" spans="7:9" ht="15.75" customHeight="1">
      <c r="G714" s="35"/>
      <c r="H714" s="35"/>
      <c r="I714" s="35"/>
    </row>
    <row r="715" spans="7:9" ht="15.75" customHeight="1">
      <c r="G715" s="35"/>
      <c r="H715" s="35"/>
      <c r="I715" s="35"/>
    </row>
    <row r="716" spans="7:9" ht="15.75" customHeight="1">
      <c r="G716" s="35"/>
      <c r="H716" s="35"/>
      <c r="I716" s="35"/>
    </row>
    <row r="717" spans="7:9" ht="15.75" customHeight="1">
      <c r="G717" s="35"/>
      <c r="H717" s="35"/>
      <c r="I717" s="35"/>
    </row>
    <row r="718" spans="7:9" ht="15.75" customHeight="1">
      <c r="G718" s="35"/>
      <c r="H718" s="35"/>
      <c r="I718" s="35"/>
    </row>
    <row r="719" spans="7:9" ht="15.75" customHeight="1">
      <c r="G719" s="35"/>
      <c r="H719" s="35"/>
      <c r="I719" s="35"/>
    </row>
    <row r="720" spans="7:9" ht="15.75" customHeight="1">
      <c r="G720" s="35"/>
      <c r="H720" s="35"/>
      <c r="I720" s="35"/>
    </row>
    <row r="721" spans="7:9" ht="15.75" customHeight="1">
      <c r="G721" s="35"/>
      <c r="H721" s="35"/>
      <c r="I721" s="35"/>
    </row>
    <row r="722" spans="7:9" ht="15.75" customHeight="1">
      <c r="G722" s="35"/>
      <c r="H722" s="35"/>
      <c r="I722" s="35"/>
    </row>
    <row r="723" spans="7:9" ht="15.75" customHeight="1">
      <c r="G723" s="35"/>
      <c r="H723" s="35"/>
      <c r="I723" s="35"/>
    </row>
    <row r="724" spans="7:9" ht="15.75" customHeight="1">
      <c r="G724" s="35"/>
      <c r="H724" s="35"/>
      <c r="I724" s="35"/>
    </row>
    <row r="725" spans="7:9" ht="15.75" customHeight="1">
      <c r="G725" s="35"/>
      <c r="H725" s="35"/>
      <c r="I725" s="35"/>
    </row>
    <row r="726" spans="7:9" ht="15.75" customHeight="1">
      <c r="G726" s="35"/>
      <c r="H726" s="35"/>
      <c r="I726" s="35"/>
    </row>
    <row r="727" spans="7:9" ht="15.75" customHeight="1">
      <c r="G727" s="35"/>
      <c r="H727" s="35"/>
      <c r="I727" s="35"/>
    </row>
    <row r="728" spans="7:9" ht="15.75" customHeight="1">
      <c r="G728" s="35"/>
      <c r="H728" s="35"/>
      <c r="I728" s="35"/>
    </row>
    <row r="729" spans="7:9" ht="15.75" customHeight="1">
      <c r="G729" s="35"/>
      <c r="H729" s="35"/>
      <c r="I729" s="35"/>
    </row>
    <row r="730" spans="7:9" ht="15.75" customHeight="1">
      <c r="G730" s="35"/>
      <c r="H730" s="35"/>
      <c r="I730" s="35"/>
    </row>
    <row r="731" spans="7:9" ht="15.75" customHeight="1">
      <c r="G731" s="35"/>
      <c r="H731" s="35"/>
      <c r="I731" s="35"/>
    </row>
    <row r="732" spans="7:9" ht="15.75" customHeight="1">
      <c r="G732" s="35"/>
      <c r="H732" s="35"/>
      <c r="I732" s="35"/>
    </row>
    <row r="733" spans="7:9" ht="15.75" customHeight="1">
      <c r="G733" s="35"/>
      <c r="H733" s="35"/>
      <c r="I733" s="35"/>
    </row>
    <row r="734" spans="7:9" ht="15.75" customHeight="1">
      <c r="G734" s="35"/>
      <c r="H734" s="35"/>
      <c r="I734" s="35"/>
    </row>
    <row r="735" spans="7:9" ht="15.75" customHeight="1">
      <c r="G735" s="35"/>
      <c r="H735" s="35"/>
      <c r="I735" s="35"/>
    </row>
    <row r="736" spans="7:9" ht="15.75" customHeight="1">
      <c r="G736" s="35"/>
      <c r="H736" s="35"/>
      <c r="I736" s="35"/>
    </row>
    <row r="737" spans="7:9" ht="15.75" customHeight="1">
      <c r="G737" s="35"/>
      <c r="H737" s="35"/>
      <c r="I737" s="35"/>
    </row>
    <row r="738" spans="7:9" ht="15.75" customHeight="1">
      <c r="G738" s="35"/>
      <c r="H738" s="35"/>
      <c r="I738" s="35"/>
    </row>
    <row r="739" spans="7:9" ht="15.75" customHeight="1">
      <c r="G739" s="35"/>
      <c r="H739" s="35"/>
      <c r="I739" s="35"/>
    </row>
    <row r="740" spans="7:9" ht="15.75" customHeight="1">
      <c r="G740" s="35"/>
      <c r="H740" s="35"/>
      <c r="I740" s="35"/>
    </row>
    <row r="741" spans="7:9" ht="15.75" customHeight="1">
      <c r="G741" s="35"/>
      <c r="H741" s="35"/>
      <c r="I741" s="35"/>
    </row>
    <row r="742" spans="7:9" ht="15.75" customHeight="1">
      <c r="G742" s="35"/>
      <c r="H742" s="35"/>
      <c r="I742" s="35"/>
    </row>
    <row r="743" spans="7:9" ht="15.75" customHeight="1">
      <c r="G743" s="35"/>
      <c r="H743" s="35"/>
      <c r="I743" s="35"/>
    </row>
    <row r="744" spans="7:9" ht="15.75" customHeight="1">
      <c r="G744" s="35"/>
      <c r="H744" s="35"/>
      <c r="I744" s="35"/>
    </row>
    <row r="745" spans="7:9" ht="15.75" customHeight="1">
      <c r="G745" s="35"/>
      <c r="H745" s="35"/>
      <c r="I745" s="35"/>
    </row>
    <row r="746" spans="7:9" ht="15.75" customHeight="1">
      <c r="G746" s="35"/>
      <c r="H746" s="35"/>
      <c r="I746" s="35"/>
    </row>
    <row r="747" spans="7:9" ht="15.75" customHeight="1">
      <c r="G747" s="35"/>
      <c r="H747" s="35"/>
      <c r="I747" s="35"/>
    </row>
    <row r="748" spans="7:9" ht="15.75" customHeight="1">
      <c r="G748" s="35"/>
      <c r="H748" s="35"/>
      <c r="I748" s="35"/>
    </row>
    <row r="749" spans="7:9" ht="15.75" customHeight="1">
      <c r="G749" s="35"/>
      <c r="H749" s="35"/>
      <c r="I749" s="35"/>
    </row>
    <row r="750" spans="7:9" ht="15.75" customHeight="1">
      <c r="G750" s="35"/>
      <c r="H750" s="35"/>
      <c r="I750" s="35"/>
    </row>
    <row r="751" spans="7:9" ht="15.75" customHeight="1">
      <c r="G751" s="35"/>
      <c r="H751" s="35"/>
      <c r="I751" s="35"/>
    </row>
    <row r="752" spans="7:9" ht="15.75" customHeight="1">
      <c r="G752" s="35"/>
      <c r="H752" s="35"/>
      <c r="I752" s="35"/>
    </row>
    <row r="753" spans="7:9" ht="15.75" customHeight="1">
      <c r="G753" s="35"/>
      <c r="H753" s="35"/>
      <c r="I753" s="35"/>
    </row>
    <row r="754" spans="7:9" ht="15.75" customHeight="1">
      <c r="G754" s="35"/>
      <c r="H754" s="35"/>
      <c r="I754" s="35"/>
    </row>
    <row r="755" spans="7:9" ht="15.75" customHeight="1">
      <c r="G755" s="35"/>
      <c r="H755" s="35"/>
      <c r="I755" s="35"/>
    </row>
    <row r="756" spans="7:9" ht="15.75" customHeight="1">
      <c r="G756" s="35"/>
      <c r="H756" s="35"/>
      <c r="I756" s="35"/>
    </row>
    <row r="757" spans="7:9" ht="15.75" customHeight="1">
      <c r="G757" s="35"/>
      <c r="H757" s="35"/>
      <c r="I757" s="35"/>
    </row>
    <row r="758" spans="7:9" ht="15.75" customHeight="1">
      <c r="G758" s="35"/>
      <c r="H758" s="35"/>
      <c r="I758" s="35"/>
    </row>
    <row r="759" spans="7:9" ht="15.75" customHeight="1">
      <c r="G759" s="35"/>
      <c r="H759" s="35"/>
      <c r="I759" s="35"/>
    </row>
    <row r="760" spans="7:9" ht="15.75" customHeight="1">
      <c r="G760" s="35"/>
      <c r="H760" s="35"/>
      <c r="I760" s="35"/>
    </row>
    <row r="761" spans="7:9" ht="15.75" customHeight="1">
      <c r="G761" s="35"/>
      <c r="H761" s="35"/>
      <c r="I761" s="35"/>
    </row>
    <row r="762" spans="7:9" ht="15.75" customHeight="1">
      <c r="G762" s="35"/>
      <c r="H762" s="35"/>
      <c r="I762" s="35"/>
    </row>
    <row r="763" spans="7:9" ht="15.75" customHeight="1">
      <c r="G763" s="35"/>
      <c r="H763" s="35"/>
      <c r="I763" s="35"/>
    </row>
    <row r="764" spans="7:9" ht="15.75" customHeight="1">
      <c r="G764" s="35"/>
      <c r="H764" s="35"/>
      <c r="I764" s="35"/>
    </row>
    <row r="765" spans="7:9" ht="15.75" customHeight="1">
      <c r="G765" s="35"/>
      <c r="H765" s="35"/>
      <c r="I765" s="35"/>
    </row>
    <row r="766" spans="7:9" ht="15.75" customHeight="1">
      <c r="G766" s="35"/>
      <c r="H766" s="35"/>
      <c r="I766" s="35"/>
    </row>
    <row r="767" spans="7:9" ht="15.75" customHeight="1">
      <c r="G767" s="35"/>
      <c r="H767" s="35"/>
      <c r="I767" s="35"/>
    </row>
    <row r="768" spans="7:9" ht="15.75" customHeight="1">
      <c r="G768" s="35"/>
      <c r="H768" s="35"/>
      <c r="I768" s="35"/>
    </row>
    <row r="769" spans="7:9" ht="15.75" customHeight="1">
      <c r="G769" s="35"/>
      <c r="H769" s="35"/>
      <c r="I769" s="35"/>
    </row>
    <row r="770" spans="7:9" ht="15.75" customHeight="1">
      <c r="G770" s="35"/>
      <c r="H770" s="35"/>
      <c r="I770" s="35"/>
    </row>
    <row r="771" spans="7:9" ht="15.75" customHeight="1">
      <c r="G771" s="35"/>
      <c r="H771" s="35"/>
      <c r="I771" s="35"/>
    </row>
    <row r="772" spans="7:9" ht="15.75" customHeight="1">
      <c r="G772" s="35"/>
      <c r="H772" s="35"/>
      <c r="I772" s="35"/>
    </row>
    <row r="773" spans="7:9" ht="15.75" customHeight="1">
      <c r="G773" s="35"/>
      <c r="H773" s="35"/>
      <c r="I773" s="35"/>
    </row>
    <row r="774" spans="7:9" ht="15.75" customHeight="1">
      <c r="G774" s="35"/>
      <c r="H774" s="35"/>
      <c r="I774" s="35"/>
    </row>
    <row r="775" spans="7:9" ht="15.75" customHeight="1">
      <c r="G775" s="35"/>
      <c r="H775" s="35"/>
      <c r="I775" s="35"/>
    </row>
    <row r="776" spans="7:9" ht="15.75" customHeight="1">
      <c r="G776" s="35"/>
      <c r="H776" s="35"/>
      <c r="I776" s="35"/>
    </row>
    <row r="777" spans="7:9" ht="15.75" customHeight="1">
      <c r="G777" s="35"/>
      <c r="H777" s="35"/>
      <c r="I777" s="35"/>
    </row>
    <row r="778" spans="7:9" ht="15.75" customHeight="1">
      <c r="G778" s="35"/>
      <c r="H778" s="35"/>
      <c r="I778" s="35"/>
    </row>
    <row r="779" spans="7:9" ht="15.75" customHeight="1">
      <c r="G779" s="35"/>
      <c r="H779" s="35"/>
      <c r="I779" s="35"/>
    </row>
    <row r="780" spans="7:9" ht="15.75" customHeight="1">
      <c r="G780" s="35"/>
      <c r="H780" s="35"/>
      <c r="I780" s="35"/>
    </row>
    <row r="781" spans="7:9" ht="15.75" customHeight="1">
      <c r="G781" s="35"/>
      <c r="H781" s="35"/>
      <c r="I781" s="35"/>
    </row>
    <row r="782" spans="7:9" ht="15.75" customHeight="1">
      <c r="G782" s="35"/>
      <c r="H782" s="35"/>
      <c r="I782" s="35"/>
    </row>
    <row r="783" spans="7:9" ht="15.75" customHeight="1">
      <c r="G783" s="35"/>
      <c r="H783" s="35"/>
      <c r="I783" s="35"/>
    </row>
    <row r="784" spans="7:9" ht="15.75" customHeight="1">
      <c r="G784" s="35"/>
      <c r="H784" s="35"/>
      <c r="I784" s="35"/>
    </row>
    <row r="785" spans="7:9" ht="15.75" customHeight="1">
      <c r="G785" s="35"/>
      <c r="H785" s="35"/>
      <c r="I785" s="35"/>
    </row>
    <row r="786" spans="7:9" ht="15.75" customHeight="1">
      <c r="G786" s="35"/>
      <c r="H786" s="35"/>
      <c r="I786" s="35"/>
    </row>
    <row r="787" spans="7:9" ht="15.75" customHeight="1">
      <c r="G787" s="35"/>
      <c r="H787" s="35"/>
      <c r="I787" s="35"/>
    </row>
    <row r="788" spans="7:9" ht="15.75" customHeight="1">
      <c r="G788" s="35"/>
      <c r="H788" s="35"/>
      <c r="I788" s="35"/>
    </row>
    <row r="789" spans="7:9" ht="15.75" customHeight="1">
      <c r="G789" s="35"/>
      <c r="H789" s="35"/>
      <c r="I789" s="35"/>
    </row>
    <row r="790" spans="7:9" ht="15.75" customHeight="1">
      <c r="G790" s="35"/>
      <c r="H790" s="35"/>
      <c r="I790" s="35"/>
    </row>
    <row r="791" spans="7:9" ht="15.75" customHeight="1">
      <c r="G791" s="35"/>
      <c r="H791" s="35"/>
      <c r="I791" s="35"/>
    </row>
    <row r="792" spans="7:9" ht="15.75" customHeight="1">
      <c r="G792" s="35"/>
      <c r="H792" s="35"/>
      <c r="I792" s="35"/>
    </row>
    <row r="793" spans="7:9" ht="15.75" customHeight="1">
      <c r="G793" s="35"/>
      <c r="H793" s="35"/>
      <c r="I793" s="35"/>
    </row>
    <row r="794" spans="7:9" ht="15.75" customHeight="1">
      <c r="G794" s="35"/>
      <c r="H794" s="35"/>
      <c r="I794" s="35"/>
    </row>
    <row r="795" spans="7:9" ht="15.75" customHeight="1">
      <c r="G795" s="35"/>
      <c r="H795" s="35"/>
      <c r="I795" s="35"/>
    </row>
    <row r="796" spans="7:9" ht="15.75" customHeight="1">
      <c r="G796" s="35"/>
      <c r="H796" s="35"/>
      <c r="I796" s="35"/>
    </row>
    <row r="797" spans="7:9" ht="15.75" customHeight="1">
      <c r="G797" s="35"/>
      <c r="H797" s="35"/>
      <c r="I797" s="35"/>
    </row>
    <row r="798" spans="7:9" ht="15.75" customHeight="1">
      <c r="G798" s="35"/>
      <c r="H798" s="35"/>
      <c r="I798" s="35"/>
    </row>
    <row r="799" spans="7:9" ht="15.75" customHeight="1">
      <c r="G799" s="35"/>
      <c r="H799" s="35"/>
      <c r="I799" s="35"/>
    </row>
    <row r="800" spans="7:9" ht="15.75" customHeight="1">
      <c r="G800" s="35"/>
      <c r="H800" s="35"/>
      <c r="I800" s="35"/>
    </row>
    <row r="801" spans="7:9" ht="15.75" customHeight="1">
      <c r="G801" s="35"/>
      <c r="H801" s="35"/>
      <c r="I801" s="35"/>
    </row>
    <row r="802" spans="7:9" ht="15.75" customHeight="1">
      <c r="G802" s="35"/>
      <c r="H802" s="35"/>
      <c r="I802" s="35"/>
    </row>
    <row r="803" spans="7:9" ht="15.75" customHeight="1">
      <c r="G803" s="35"/>
      <c r="H803" s="35"/>
      <c r="I803" s="35"/>
    </row>
    <row r="804" spans="7:9" ht="15.75" customHeight="1">
      <c r="G804" s="35"/>
      <c r="H804" s="35"/>
      <c r="I804" s="35"/>
    </row>
    <row r="805" spans="7:9" ht="15.75" customHeight="1">
      <c r="G805" s="35"/>
      <c r="H805" s="35"/>
      <c r="I805" s="35"/>
    </row>
    <row r="806" spans="7:9" ht="15.75" customHeight="1">
      <c r="G806" s="35"/>
      <c r="H806" s="35"/>
      <c r="I806" s="35"/>
    </row>
    <row r="807" spans="7:9" ht="15.75" customHeight="1">
      <c r="G807" s="35"/>
      <c r="H807" s="35"/>
      <c r="I807" s="35"/>
    </row>
    <row r="808" spans="7:9" ht="15.75" customHeight="1">
      <c r="G808" s="35"/>
      <c r="H808" s="35"/>
      <c r="I808" s="35"/>
    </row>
    <row r="809" spans="7:9" ht="15.75" customHeight="1">
      <c r="G809" s="35"/>
      <c r="H809" s="35"/>
      <c r="I809" s="35"/>
    </row>
    <row r="810" spans="7:9" ht="15.75" customHeight="1">
      <c r="G810" s="35"/>
      <c r="H810" s="35"/>
      <c r="I810" s="35"/>
    </row>
    <row r="811" spans="7:9" ht="15.75" customHeight="1">
      <c r="G811" s="35"/>
      <c r="H811" s="35"/>
      <c r="I811" s="35"/>
    </row>
    <row r="812" spans="7:9" ht="15.75" customHeight="1">
      <c r="G812" s="35"/>
      <c r="H812" s="35"/>
      <c r="I812" s="35"/>
    </row>
    <row r="813" spans="7:9" ht="15.75" customHeight="1">
      <c r="G813" s="35"/>
      <c r="H813" s="35"/>
      <c r="I813" s="35"/>
    </row>
    <row r="814" spans="7:9" ht="15.75" customHeight="1">
      <c r="G814" s="35"/>
      <c r="H814" s="35"/>
      <c r="I814" s="35"/>
    </row>
    <row r="815" spans="7:9" ht="15.75" customHeight="1">
      <c r="G815" s="35"/>
      <c r="H815" s="35"/>
      <c r="I815" s="35"/>
    </row>
    <row r="816" spans="7:9" ht="15.75" customHeight="1">
      <c r="G816" s="35"/>
      <c r="H816" s="35"/>
      <c r="I816" s="35"/>
    </row>
    <row r="817" spans="7:9" ht="15.75" customHeight="1">
      <c r="G817" s="35"/>
      <c r="H817" s="35"/>
      <c r="I817" s="35"/>
    </row>
    <row r="818" spans="7:9" ht="15.75" customHeight="1">
      <c r="G818" s="35"/>
      <c r="H818" s="35"/>
      <c r="I818" s="35"/>
    </row>
    <row r="819" spans="7:9" ht="15.75" customHeight="1">
      <c r="G819" s="35"/>
      <c r="H819" s="35"/>
      <c r="I819" s="35"/>
    </row>
    <row r="820" spans="7:9" ht="15.75" customHeight="1">
      <c r="G820" s="35"/>
      <c r="H820" s="35"/>
      <c r="I820" s="35"/>
    </row>
    <row r="821" spans="7:9" ht="15.75" customHeight="1">
      <c r="G821" s="35"/>
      <c r="H821" s="35"/>
      <c r="I821" s="35"/>
    </row>
    <row r="822" spans="7:9" ht="15.75" customHeight="1">
      <c r="G822" s="35"/>
      <c r="H822" s="35"/>
      <c r="I822" s="35"/>
    </row>
    <row r="823" spans="7:9" ht="15.75" customHeight="1">
      <c r="G823" s="35"/>
      <c r="H823" s="35"/>
      <c r="I823" s="35"/>
    </row>
    <row r="824" spans="7:9" ht="15.75" customHeight="1">
      <c r="G824" s="35"/>
      <c r="H824" s="35"/>
      <c r="I824" s="35"/>
    </row>
    <row r="825" spans="7:9" ht="15.75" customHeight="1">
      <c r="G825" s="35"/>
      <c r="H825" s="35"/>
      <c r="I825" s="35"/>
    </row>
    <row r="826" spans="7:9" ht="15.75" customHeight="1">
      <c r="G826" s="35"/>
      <c r="H826" s="35"/>
      <c r="I826" s="35"/>
    </row>
    <row r="827" spans="7:9" ht="15.75" customHeight="1">
      <c r="G827" s="35"/>
      <c r="H827" s="35"/>
      <c r="I827" s="35"/>
    </row>
    <row r="828" spans="7:9" ht="15.75" customHeight="1">
      <c r="G828" s="35"/>
      <c r="H828" s="35"/>
      <c r="I828" s="35"/>
    </row>
    <row r="829" spans="7:9" ht="15.75" customHeight="1">
      <c r="G829" s="35"/>
      <c r="H829" s="35"/>
      <c r="I829" s="35"/>
    </row>
    <row r="830" spans="7:9" ht="15.75" customHeight="1">
      <c r="G830" s="35"/>
      <c r="H830" s="35"/>
      <c r="I830" s="35"/>
    </row>
    <row r="831" spans="7:9" ht="15.75" customHeight="1">
      <c r="G831" s="35"/>
      <c r="H831" s="35"/>
      <c r="I831" s="35"/>
    </row>
    <row r="832" spans="7:9" ht="15.75" customHeight="1">
      <c r="G832" s="35"/>
      <c r="H832" s="35"/>
      <c r="I832" s="35"/>
    </row>
    <row r="833" spans="7:9" ht="15.75" customHeight="1">
      <c r="G833" s="35"/>
      <c r="H833" s="35"/>
      <c r="I833" s="35"/>
    </row>
    <row r="834" spans="7:9" ht="15.75" customHeight="1">
      <c r="G834" s="35"/>
      <c r="H834" s="35"/>
      <c r="I834" s="35"/>
    </row>
    <row r="835" spans="7:9" ht="15.75" customHeight="1">
      <c r="G835" s="35"/>
      <c r="H835" s="35"/>
      <c r="I835" s="35"/>
    </row>
    <row r="836" spans="7:9" ht="15.75" customHeight="1">
      <c r="G836" s="35"/>
      <c r="H836" s="35"/>
      <c r="I836" s="35"/>
    </row>
    <row r="837" spans="7:9" ht="15.75" customHeight="1">
      <c r="G837" s="35"/>
      <c r="H837" s="35"/>
      <c r="I837" s="35"/>
    </row>
    <row r="838" spans="7:9" ht="15.75" customHeight="1">
      <c r="G838" s="35"/>
      <c r="H838" s="35"/>
      <c r="I838" s="35"/>
    </row>
    <row r="839" spans="7:9" ht="15.75" customHeight="1">
      <c r="G839" s="35"/>
      <c r="H839" s="35"/>
      <c r="I839" s="35"/>
    </row>
    <row r="840" spans="7:9" ht="15.75" customHeight="1">
      <c r="G840" s="35"/>
      <c r="H840" s="35"/>
      <c r="I840" s="35"/>
    </row>
    <row r="841" spans="7:9" ht="15.75" customHeight="1">
      <c r="G841" s="35"/>
      <c r="H841" s="35"/>
      <c r="I841" s="35"/>
    </row>
    <row r="842" spans="7:9" ht="15.75" customHeight="1">
      <c r="G842" s="35"/>
      <c r="H842" s="35"/>
      <c r="I842" s="35"/>
    </row>
    <row r="843" spans="7:9" ht="15.75" customHeight="1">
      <c r="G843" s="35"/>
      <c r="H843" s="35"/>
      <c r="I843" s="35"/>
    </row>
    <row r="844" spans="7:9" ht="15.75" customHeight="1">
      <c r="G844" s="35"/>
      <c r="H844" s="35"/>
      <c r="I844" s="35"/>
    </row>
    <row r="845" spans="7:9" ht="15.75" customHeight="1">
      <c r="G845" s="35"/>
      <c r="H845" s="35"/>
      <c r="I845" s="35"/>
    </row>
    <row r="846" spans="7:9" ht="15.75" customHeight="1">
      <c r="G846" s="35"/>
      <c r="H846" s="35"/>
      <c r="I846" s="35"/>
    </row>
    <row r="847" spans="7:9" ht="15.75" customHeight="1">
      <c r="G847" s="35"/>
      <c r="H847" s="35"/>
      <c r="I847" s="35"/>
    </row>
    <row r="848" spans="7:9" ht="15.75" customHeight="1">
      <c r="G848" s="35"/>
      <c r="H848" s="35"/>
      <c r="I848" s="35"/>
    </row>
    <row r="849" spans="7:9" ht="15.75" customHeight="1">
      <c r="G849" s="35"/>
      <c r="H849" s="35"/>
      <c r="I849" s="35"/>
    </row>
    <row r="850" spans="7:9" ht="15.75" customHeight="1">
      <c r="G850" s="35"/>
      <c r="H850" s="35"/>
      <c r="I850" s="35"/>
    </row>
    <row r="851" spans="7:9" ht="15.75" customHeight="1">
      <c r="G851" s="35"/>
      <c r="H851" s="35"/>
      <c r="I851" s="35"/>
    </row>
    <row r="852" spans="7:9" ht="15.75" customHeight="1">
      <c r="G852" s="35"/>
      <c r="H852" s="35"/>
      <c r="I852" s="35"/>
    </row>
    <row r="853" spans="7:9" ht="15.75" customHeight="1">
      <c r="G853" s="35"/>
      <c r="H853" s="35"/>
      <c r="I853" s="35"/>
    </row>
    <row r="854" spans="7:9" ht="15.75" customHeight="1">
      <c r="G854" s="35"/>
      <c r="H854" s="35"/>
      <c r="I854" s="35"/>
    </row>
    <row r="855" spans="7:9" ht="15.75" customHeight="1">
      <c r="G855" s="35"/>
      <c r="H855" s="35"/>
      <c r="I855" s="35"/>
    </row>
    <row r="856" spans="7:9" ht="15.75" customHeight="1">
      <c r="G856" s="35"/>
      <c r="H856" s="35"/>
      <c r="I856" s="35"/>
    </row>
    <row r="857" spans="7:9" ht="15.75" customHeight="1">
      <c r="G857" s="35"/>
      <c r="H857" s="35"/>
      <c r="I857" s="35"/>
    </row>
    <row r="858" spans="7:9" ht="15.75" customHeight="1">
      <c r="G858" s="35"/>
      <c r="H858" s="35"/>
      <c r="I858" s="35"/>
    </row>
    <row r="859" spans="7:9" ht="15.75" customHeight="1">
      <c r="G859" s="35"/>
      <c r="H859" s="35"/>
      <c r="I859" s="35"/>
    </row>
    <row r="860" spans="7:9" ht="15.75" customHeight="1">
      <c r="G860" s="35"/>
      <c r="H860" s="35"/>
      <c r="I860" s="35"/>
    </row>
    <row r="861" spans="7:9" ht="15.75" customHeight="1">
      <c r="G861" s="35"/>
      <c r="H861" s="35"/>
      <c r="I861" s="35"/>
    </row>
    <row r="862" spans="7:9" ht="15.75" customHeight="1">
      <c r="G862" s="35"/>
      <c r="H862" s="35"/>
      <c r="I862" s="35"/>
    </row>
    <row r="863" spans="7:9" ht="15.75" customHeight="1">
      <c r="G863" s="35"/>
      <c r="H863" s="35"/>
      <c r="I863" s="35"/>
    </row>
    <row r="864" spans="7:9" ht="15.75" customHeight="1">
      <c r="G864" s="35"/>
      <c r="H864" s="35"/>
      <c r="I864" s="35"/>
    </row>
    <row r="865" spans="7:9" ht="15.75" customHeight="1">
      <c r="G865" s="35"/>
      <c r="H865" s="35"/>
      <c r="I865" s="35"/>
    </row>
    <row r="866" spans="7:9" ht="15.75" customHeight="1">
      <c r="G866" s="35"/>
      <c r="H866" s="35"/>
      <c r="I866" s="35"/>
    </row>
    <row r="867" spans="7:9" ht="15.75" customHeight="1">
      <c r="G867" s="35"/>
      <c r="H867" s="35"/>
      <c r="I867" s="35"/>
    </row>
    <row r="868" spans="7:9" ht="15.75" customHeight="1">
      <c r="G868" s="35"/>
      <c r="H868" s="35"/>
      <c r="I868" s="35"/>
    </row>
    <row r="869" spans="7:9" ht="15.75" customHeight="1">
      <c r="G869" s="35"/>
      <c r="H869" s="35"/>
      <c r="I869" s="35"/>
    </row>
    <row r="870" spans="7:9" ht="15.75" customHeight="1">
      <c r="G870" s="35"/>
      <c r="H870" s="35"/>
      <c r="I870" s="35"/>
    </row>
    <row r="871" spans="7:9" ht="15.75" customHeight="1">
      <c r="G871" s="35"/>
      <c r="H871" s="35"/>
      <c r="I871" s="35"/>
    </row>
    <row r="872" spans="7:9" ht="15.75" customHeight="1">
      <c r="G872" s="35"/>
      <c r="H872" s="35"/>
      <c r="I872" s="35"/>
    </row>
    <row r="873" spans="7:9" ht="15.75" customHeight="1">
      <c r="G873" s="35"/>
      <c r="H873" s="35"/>
      <c r="I873" s="35"/>
    </row>
    <row r="874" spans="7:9" ht="15.75" customHeight="1">
      <c r="G874" s="35"/>
      <c r="H874" s="35"/>
      <c r="I874" s="35"/>
    </row>
    <row r="875" spans="7:9" ht="15.75" customHeight="1">
      <c r="G875" s="35"/>
      <c r="H875" s="35"/>
      <c r="I875" s="35"/>
    </row>
    <row r="876" spans="7:9" ht="15.75" customHeight="1">
      <c r="G876" s="35"/>
      <c r="H876" s="35"/>
      <c r="I876" s="35"/>
    </row>
    <row r="877" spans="7:9" ht="15.75" customHeight="1">
      <c r="G877" s="35"/>
      <c r="H877" s="35"/>
      <c r="I877" s="35"/>
    </row>
    <row r="878" spans="7:9" ht="15.75" customHeight="1">
      <c r="G878" s="35"/>
      <c r="H878" s="35"/>
      <c r="I878" s="35"/>
    </row>
    <row r="879" spans="7:9" ht="15.75" customHeight="1">
      <c r="G879" s="35"/>
      <c r="H879" s="35"/>
      <c r="I879" s="35"/>
    </row>
    <row r="880" spans="7:9" ht="15.75" customHeight="1">
      <c r="G880" s="35"/>
      <c r="H880" s="35"/>
      <c r="I880" s="35"/>
    </row>
    <row r="881" spans="7:9" ht="15.75" customHeight="1">
      <c r="G881" s="35"/>
      <c r="H881" s="35"/>
      <c r="I881" s="35"/>
    </row>
    <row r="882" spans="7:9" ht="15.75" customHeight="1">
      <c r="G882" s="35"/>
      <c r="H882" s="35"/>
      <c r="I882" s="35"/>
    </row>
    <row r="883" spans="7:9" ht="15.75" customHeight="1">
      <c r="G883" s="35"/>
      <c r="H883" s="35"/>
      <c r="I883" s="35"/>
    </row>
    <row r="884" spans="7:9" ht="15.75" customHeight="1">
      <c r="G884" s="35"/>
      <c r="H884" s="35"/>
      <c r="I884" s="35"/>
    </row>
    <row r="885" spans="7:9" ht="15.75" customHeight="1">
      <c r="G885" s="35"/>
      <c r="H885" s="35"/>
      <c r="I885" s="35"/>
    </row>
    <row r="886" spans="7:9" ht="15.75" customHeight="1">
      <c r="G886" s="35"/>
      <c r="H886" s="35"/>
      <c r="I886" s="35"/>
    </row>
    <row r="887" spans="7:9" ht="15.75" customHeight="1">
      <c r="G887" s="35"/>
      <c r="H887" s="35"/>
      <c r="I887" s="35"/>
    </row>
    <row r="888" spans="7:9" ht="15.75" customHeight="1">
      <c r="G888" s="35"/>
      <c r="H888" s="35"/>
      <c r="I888" s="35"/>
    </row>
    <row r="889" spans="7:9" ht="15.75" customHeight="1">
      <c r="G889" s="35"/>
      <c r="H889" s="35"/>
      <c r="I889" s="35"/>
    </row>
    <row r="890" spans="7:9" ht="15.75" customHeight="1">
      <c r="G890" s="35"/>
      <c r="H890" s="35"/>
      <c r="I890" s="35"/>
    </row>
    <row r="891" spans="7:9" ht="15.75" customHeight="1">
      <c r="G891" s="35"/>
      <c r="H891" s="35"/>
      <c r="I891" s="35"/>
    </row>
    <row r="892" spans="7:9" ht="15.75" customHeight="1">
      <c r="G892" s="35"/>
      <c r="H892" s="35"/>
      <c r="I892" s="35"/>
    </row>
    <row r="893" spans="7:9" ht="15.75" customHeight="1">
      <c r="G893" s="35"/>
      <c r="H893" s="35"/>
      <c r="I893" s="35"/>
    </row>
    <row r="894" spans="7:9" ht="15.75" customHeight="1">
      <c r="G894" s="35"/>
      <c r="H894" s="35"/>
      <c r="I894" s="35"/>
    </row>
    <row r="895" spans="7:9" ht="15.75" customHeight="1">
      <c r="G895" s="35"/>
      <c r="H895" s="35"/>
      <c r="I895" s="35"/>
    </row>
    <row r="896" spans="7:9" ht="15.75" customHeight="1">
      <c r="G896" s="35"/>
      <c r="H896" s="35"/>
      <c r="I896" s="35"/>
    </row>
    <row r="897" spans="7:9" ht="15.75" customHeight="1">
      <c r="G897" s="35"/>
      <c r="H897" s="35"/>
      <c r="I897" s="35"/>
    </row>
    <row r="898" spans="7:9" ht="15.75" customHeight="1">
      <c r="G898" s="35"/>
      <c r="H898" s="35"/>
      <c r="I898" s="35"/>
    </row>
    <row r="899" spans="7:9" ht="15.75" customHeight="1">
      <c r="G899" s="35"/>
      <c r="H899" s="35"/>
      <c r="I899" s="35"/>
    </row>
    <row r="900" spans="7:9" ht="15.75" customHeight="1">
      <c r="G900" s="35"/>
      <c r="H900" s="35"/>
      <c r="I900" s="35"/>
    </row>
    <row r="901" spans="7:9" ht="15.75" customHeight="1">
      <c r="G901" s="35"/>
      <c r="H901" s="35"/>
      <c r="I901" s="35"/>
    </row>
    <row r="902" spans="7:9" ht="15.75" customHeight="1">
      <c r="G902" s="35"/>
      <c r="H902" s="35"/>
      <c r="I902" s="35"/>
    </row>
    <row r="903" spans="7:9" ht="15.75" customHeight="1">
      <c r="G903" s="35"/>
      <c r="H903" s="35"/>
      <c r="I903" s="35"/>
    </row>
    <row r="904" spans="7:9" ht="15.75" customHeight="1">
      <c r="G904" s="35"/>
      <c r="H904" s="35"/>
      <c r="I904" s="35"/>
    </row>
    <row r="905" spans="7:9" ht="15.75" customHeight="1">
      <c r="G905" s="35"/>
      <c r="H905" s="35"/>
      <c r="I905" s="35"/>
    </row>
    <row r="906" spans="7:9" ht="15.75" customHeight="1">
      <c r="G906" s="35"/>
      <c r="H906" s="35"/>
      <c r="I906" s="35"/>
    </row>
    <row r="907" spans="7:9" ht="15.75" customHeight="1">
      <c r="G907" s="35"/>
      <c r="H907" s="35"/>
      <c r="I907" s="35"/>
    </row>
    <row r="908" spans="7:9" ht="15.75" customHeight="1">
      <c r="G908" s="35"/>
      <c r="H908" s="35"/>
      <c r="I908" s="35"/>
    </row>
    <row r="909" spans="7:9" ht="15.75" customHeight="1">
      <c r="G909" s="35"/>
      <c r="H909" s="35"/>
      <c r="I909" s="35"/>
    </row>
    <row r="910" spans="7:9" ht="15.75" customHeight="1">
      <c r="G910" s="35"/>
      <c r="H910" s="35"/>
      <c r="I910" s="35"/>
    </row>
    <row r="911" spans="7:9" ht="15.75" customHeight="1">
      <c r="G911" s="35"/>
      <c r="H911" s="35"/>
      <c r="I911" s="35"/>
    </row>
    <row r="912" spans="7:9" ht="15.75" customHeight="1">
      <c r="G912" s="35"/>
      <c r="H912" s="35"/>
      <c r="I912" s="35"/>
    </row>
    <row r="913" spans="7:9" ht="15.75" customHeight="1">
      <c r="G913" s="35"/>
      <c r="H913" s="35"/>
      <c r="I913" s="35"/>
    </row>
    <row r="914" spans="7:9" ht="15.75" customHeight="1">
      <c r="G914" s="35"/>
      <c r="H914" s="35"/>
      <c r="I914" s="35"/>
    </row>
    <row r="915" spans="7:9" ht="15.75" customHeight="1">
      <c r="G915" s="35"/>
      <c r="H915" s="35"/>
      <c r="I915" s="35"/>
    </row>
    <row r="916" spans="7:9" ht="15.75" customHeight="1">
      <c r="G916" s="35"/>
      <c r="H916" s="35"/>
      <c r="I916" s="35"/>
    </row>
    <row r="917" spans="7:9" ht="15.75" customHeight="1">
      <c r="G917" s="35"/>
      <c r="H917" s="35"/>
      <c r="I917" s="35"/>
    </row>
    <row r="918" spans="7:9" ht="15.75" customHeight="1">
      <c r="G918" s="35"/>
      <c r="H918" s="35"/>
      <c r="I918" s="35"/>
    </row>
    <row r="919" spans="7:9" ht="15.75" customHeight="1">
      <c r="G919" s="35"/>
      <c r="H919" s="35"/>
      <c r="I919" s="35"/>
    </row>
    <row r="920" spans="7:9" ht="15.75" customHeight="1">
      <c r="G920" s="35"/>
      <c r="H920" s="35"/>
      <c r="I920" s="35"/>
    </row>
    <row r="921" spans="7:9" ht="15.75" customHeight="1">
      <c r="G921" s="35"/>
      <c r="H921" s="35"/>
      <c r="I921" s="35"/>
    </row>
    <row r="922" spans="7:9" ht="15.75" customHeight="1">
      <c r="G922" s="35"/>
      <c r="H922" s="35"/>
      <c r="I922" s="35"/>
    </row>
    <row r="923" spans="7:9" ht="15.75" customHeight="1">
      <c r="G923" s="35"/>
      <c r="H923" s="35"/>
      <c r="I923" s="35"/>
    </row>
    <row r="924" spans="7:9" ht="15.75" customHeight="1">
      <c r="G924" s="35"/>
      <c r="H924" s="35"/>
      <c r="I924" s="35"/>
    </row>
    <row r="925" spans="7:9" ht="15.75" customHeight="1">
      <c r="G925" s="35"/>
      <c r="H925" s="35"/>
      <c r="I925" s="35"/>
    </row>
    <row r="926" spans="7:9" ht="15.75" customHeight="1">
      <c r="G926" s="35"/>
      <c r="H926" s="35"/>
      <c r="I926" s="35"/>
    </row>
    <row r="927" spans="7:9" ht="15.75" customHeight="1">
      <c r="G927" s="35"/>
      <c r="H927" s="35"/>
      <c r="I927" s="35"/>
    </row>
    <row r="928" spans="7:9" ht="15.75" customHeight="1">
      <c r="G928" s="35"/>
      <c r="H928" s="35"/>
      <c r="I928" s="35"/>
    </row>
    <row r="929" spans="7:9" ht="15.75" customHeight="1">
      <c r="G929" s="35"/>
      <c r="H929" s="35"/>
      <c r="I929" s="35"/>
    </row>
    <row r="930" spans="7:9" ht="15.75" customHeight="1">
      <c r="G930" s="35"/>
      <c r="H930" s="35"/>
      <c r="I930" s="35"/>
    </row>
    <row r="931" spans="7:9" ht="15.75" customHeight="1">
      <c r="G931" s="35"/>
      <c r="H931" s="35"/>
      <c r="I931" s="35"/>
    </row>
    <row r="932" spans="7:9" ht="15.75" customHeight="1">
      <c r="G932" s="35"/>
      <c r="H932" s="35"/>
      <c r="I932" s="35"/>
    </row>
    <row r="933" spans="7:9" ht="15.75" customHeight="1">
      <c r="G933" s="35"/>
      <c r="H933" s="35"/>
      <c r="I933" s="35"/>
    </row>
    <row r="934" spans="7:9" ht="15.75" customHeight="1">
      <c r="G934" s="35"/>
      <c r="H934" s="35"/>
      <c r="I934" s="35"/>
    </row>
    <row r="935" spans="7:9" ht="15.75" customHeight="1">
      <c r="G935" s="35"/>
      <c r="H935" s="35"/>
      <c r="I935" s="35"/>
    </row>
    <row r="936" spans="7:9" ht="15.75" customHeight="1">
      <c r="G936" s="35"/>
      <c r="H936" s="35"/>
      <c r="I936" s="35"/>
    </row>
    <row r="937" spans="7:9" ht="15.75" customHeight="1">
      <c r="G937" s="35"/>
      <c r="H937" s="35"/>
      <c r="I937" s="35"/>
    </row>
    <row r="938" spans="7:9" ht="15.75" customHeight="1">
      <c r="G938" s="35"/>
      <c r="H938" s="35"/>
      <c r="I938" s="35"/>
    </row>
    <row r="939" spans="7:9" ht="15.75" customHeight="1">
      <c r="G939" s="35"/>
      <c r="H939" s="35"/>
      <c r="I939" s="35"/>
    </row>
    <row r="940" spans="7:9" ht="15.75" customHeight="1">
      <c r="G940" s="35"/>
      <c r="H940" s="35"/>
      <c r="I940" s="35"/>
    </row>
    <row r="941" spans="7:9" ht="15.75" customHeight="1">
      <c r="G941" s="35"/>
      <c r="H941" s="35"/>
      <c r="I941" s="35"/>
    </row>
    <row r="942" spans="7:9" ht="15.75" customHeight="1">
      <c r="G942" s="35"/>
      <c r="H942" s="35"/>
      <c r="I942" s="35"/>
    </row>
    <row r="943" spans="7:9" ht="15.75" customHeight="1">
      <c r="G943" s="35"/>
      <c r="H943" s="35"/>
      <c r="I943" s="35"/>
    </row>
    <row r="944" spans="7:9" ht="15.75" customHeight="1">
      <c r="G944" s="35"/>
      <c r="H944" s="35"/>
      <c r="I944" s="35"/>
    </row>
    <row r="945" spans="7:9" ht="15.75" customHeight="1">
      <c r="G945" s="35"/>
      <c r="H945" s="35"/>
      <c r="I945" s="35"/>
    </row>
    <row r="946" spans="7:9" ht="15.75" customHeight="1">
      <c r="G946" s="35"/>
      <c r="H946" s="35"/>
      <c r="I946" s="35"/>
    </row>
    <row r="947" spans="7:9" ht="15.75" customHeight="1">
      <c r="G947" s="35"/>
      <c r="H947" s="35"/>
      <c r="I947" s="35"/>
    </row>
    <row r="948" spans="7:9" ht="15.75" customHeight="1">
      <c r="G948" s="35"/>
      <c r="H948" s="35"/>
      <c r="I948" s="35"/>
    </row>
    <row r="949" spans="7:9" ht="15.75" customHeight="1">
      <c r="G949" s="35"/>
      <c r="H949" s="35"/>
      <c r="I949" s="35"/>
    </row>
    <row r="950" spans="7:9" ht="15.75" customHeight="1">
      <c r="G950" s="35"/>
      <c r="H950" s="35"/>
      <c r="I950" s="35"/>
    </row>
    <row r="951" spans="7:9" ht="15.75" customHeight="1">
      <c r="G951" s="35"/>
      <c r="H951" s="35"/>
      <c r="I951" s="35"/>
    </row>
    <row r="952" spans="7:9" ht="15.75" customHeight="1">
      <c r="G952" s="35"/>
      <c r="H952" s="35"/>
      <c r="I952" s="35"/>
    </row>
    <row r="953" spans="7:9" ht="15.75" customHeight="1">
      <c r="G953" s="35"/>
      <c r="H953" s="35"/>
      <c r="I953" s="35"/>
    </row>
    <row r="954" spans="7:9" ht="15.75" customHeight="1">
      <c r="G954" s="35"/>
      <c r="H954" s="35"/>
      <c r="I954" s="35"/>
    </row>
    <row r="955" spans="7:9" ht="15.75" customHeight="1">
      <c r="G955" s="35"/>
      <c r="H955" s="35"/>
      <c r="I955" s="35"/>
    </row>
    <row r="956" spans="7:9" ht="15.75" customHeight="1">
      <c r="G956" s="35"/>
      <c r="H956" s="35"/>
      <c r="I956" s="35"/>
    </row>
    <row r="957" spans="7:9" ht="15.75" customHeight="1">
      <c r="G957" s="35"/>
      <c r="H957" s="35"/>
      <c r="I957" s="35"/>
    </row>
    <row r="958" spans="7:9" ht="15.75" customHeight="1">
      <c r="G958" s="35"/>
      <c r="H958" s="35"/>
      <c r="I958" s="35"/>
    </row>
    <row r="959" spans="7:9" ht="15.75" customHeight="1">
      <c r="G959" s="35"/>
      <c r="H959" s="35"/>
      <c r="I959" s="35"/>
    </row>
    <row r="960" spans="7:9" ht="15.75" customHeight="1">
      <c r="G960" s="35"/>
      <c r="H960" s="35"/>
      <c r="I960" s="35"/>
    </row>
    <row r="961" spans="7:9" ht="15.75" customHeight="1">
      <c r="G961" s="35"/>
      <c r="H961" s="35"/>
      <c r="I961" s="35"/>
    </row>
    <row r="962" spans="7:9" ht="15.75" customHeight="1">
      <c r="G962" s="35"/>
      <c r="H962" s="35"/>
      <c r="I962" s="35"/>
    </row>
    <row r="963" spans="7:9" ht="15.75" customHeight="1">
      <c r="G963" s="35"/>
      <c r="H963" s="35"/>
      <c r="I963" s="35"/>
    </row>
    <row r="964" spans="7:9" ht="15.75" customHeight="1">
      <c r="G964" s="35"/>
      <c r="H964" s="35"/>
      <c r="I964" s="35"/>
    </row>
    <row r="965" spans="7:9" ht="15.75" customHeight="1">
      <c r="G965" s="35"/>
      <c r="H965" s="35"/>
      <c r="I965" s="35"/>
    </row>
    <row r="966" spans="7:9" ht="15.75" customHeight="1">
      <c r="G966" s="35"/>
      <c r="H966" s="35"/>
      <c r="I966" s="35"/>
    </row>
    <row r="967" spans="7:9" ht="15.75" customHeight="1">
      <c r="G967" s="35"/>
      <c r="H967" s="35"/>
      <c r="I967" s="35"/>
    </row>
    <row r="968" spans="7:9" ht="15.75" customHeight="1">
      <c r="G968" s="35"/>
      <c r="H968" s="35"/>
      <c r="I968" s="35"/>
    </row>
    <row r="969" spans="7:9" ht="15.75" customHeight="1">
      <c r="G969" s="35"/>
      <c r="H969" s="35"/>
      <c r="I969" s="35"/>
    </row>
    <row r="970" spans="7:9" ht="15.75" customHeight="1">
      <c r="G970" s="35"/>
      <c r="H970" s="35"/>
      <c r="I970" s="35"/>
    </row>
    <row r="971" spans="7:9" ht="15.75" customHeight="1">
      <c r="G971" s="35"/>
      <c r="H971" s="35"/>
      <c r="I971" s="35"/>
    </row>
    <row r="972" spans="7:9" ht="15.75" customHeight="1">
      <c r="G972" s="35"/>
      <c r="H972" s="35"/>
      <c r="I972" s="35"/>
    </row>
    <row r="973" spans="7:9" ht="15.75" customHeight="1">
      <c r="G973" s="35"/>
      <c r="H973" s="35"/>
      <c r="I973" s="35"/>
    </row>
    <row r="974" spans="7:9" ht="15.75" customHeight="1">
      <c r="G974" s="35"/>
      <c r="H974" s="35"/>
      <c r="I974" s="35"/>
    </row>
    <row r="975" spans="7:9" ht="15.75" customHeight="1">
      <c r="G975" s="35"/>
      <c r="H975" s="35"/>
      <c r="I975" s="35"/>
    </row>
    <row r="976" spans="7:9" ht="15.75" customHeight="1">
      <c r="G976" s="35"/>
      <c r="H976" s="35"/>
      <c r="I976" s="35"/>
    </row>
    <row r="977" spans="7:9" ht="15.75" customHeight="1">
      <c r="G977" s="35"/>
      <c r="H977" s="35"/>
      <c r="I977" s="35"/>
    </row>
    <row r="978" spans="7:9" ht="15.75" customHeight="1">
      <c r="G978" s="35"/>
      <c r="H978" s="35"/>
      <c r="I978" s="35"/>
    </row>
    <row r="979" spans="7:9" ht="15.75" customHeight="1">
      <c r="G979" s="35"/>
      <c r="H979" s="35"/>
      <c r="I979" s="35"/>
    </row>
    <row r="980" spans="7:9" ht="15.75" customHeight="1">
      <c r="G980" s="35"/>
      <c r="H980" s="35"/>
      <c r="I980" s="35"/>
    </row>
    <row r="981" spans="7:9" ht="15.75" customHeight="1">
      <c r="G981" s="35"/>
      <c r="H981" s="35"/>
      <c r="I981" s="35"/>
    </row>
    <row r="982" spans="7:9" ht="15.75" customHeight="1">
      <c r="G982" s="35"/>
      <c r="H982" s="35"/>
      <c r="I982" s="35"/>
    </row>
    <row r="983" spans="7:9" ht="15.75" customHeight="1">
      <c r="G983" s="35"/>
      <c r="H983" s="35"/>
      <c r="I983" s="35"/>
    </row>
    <row r="984" spans="7:9" ht="15.75" customHeight="1">
      <c r="G984" s="35"/>
      <c r="H984" s="35"/>
      <c r="I984" s="35"/>
    </row>
    <row r="985" spans="7:9" ht="15.75" customHeight="1">
      <c r="G985" s="35"/>
      <c r="H985" s="35"/>
      <c r="I985" s="35"/>
    </row>
    <row r="986" spans="7:9" ht="15.75" customHeight="1">
      <c r="G986" s="35"/>
      <c r="H986" s="35"/>
      <c r="I986" s="35"/>
    </row>
    <row r="987" spans="7:9" ht="15.75" customHeight="1">
      <c r="G987" s="35"/>
      <c r="H987" s="35"/>
      <c r="I987" s="35"/>
    </row>
    <row r="988" spans="7:9" ht="15.75" customHeight="1">
      <c r="G988" s="35"/>
      <c r="H988" s="35"/>
      <c r="I988" s="35"/>
    </row>
    <row r="989" spans="7:9" ht="15.75" customHeight="1">
      <c r="G989" s="35"/>
      <c r="H989" s="35"/>
      <c r="I989" s="35"/>
    </row>
    <row r="990" spans="7:9" ht="15.75" customHeight="1">
      <c r="G990" s="35"/>
      <c r="H990" s="35"/>
      <c r="I990" s="35"/>
    </row>
    <row r="991" spans="7:9" ht="15.75" customHeight="1">
      <c r="G991" s="35"/>
      <c r="H991" s="35"/>
      <c r="I991" s="35"/>
    </row>
    <row r="992" spans="7:9" ht="15.75" customHeight="1">
      <c r="G992" s="35"/>
      <c r="H992" s="35"/>
      <c r="I992" s="35"/>
    </row>
    <row r="993" spans="7:9" ht="15.75" customHeight="1">
      <c r="G993" s="35"/>
      <c r="H993" s="35"/>
      <c r="I993" s="35"/>
    </row>
    <row r="994" spans="7:9" ht="15.75" customHeight="1">
      <c r="G994" s="35"/>
      <c r="H994" s="35"/>
      <c r="I994" s="35"/>
    </row>
    <row r="995" spans="7:9" ht="15.75" customHeight="1">
      <c r="G995" s="35"/>
      <c r="H995" s="35"/>
      <c r="I995" s="35"/>
    </row>
    <row r="996" spans="7:9" ht="15.75" customHeight="1">
      <c r="G996" s="35"/>
      <c r="H996" s="35"/>
      <c r="I996" s="35"/>
    </row>
    <row r="997" spans="7:9" ht="15.75" customHeight="1">
      <c r="G997" s="35"/>
      <c r="H997" s="35"/>
      <c r="I997" s="35"/>
    </row>
    <row r="998" spans="7:9" ht="15.75" customHeight="1">
      <c r="G998" s="35"/>
      <c r="H998" s="35"/>
      <c r="I998" s="35"/>
    </row>
  </sheetData>
  <mergeCells count="4">
    <mergeCell ref="E3:E4"/>
    <mergeCell ref="E5:E10"/>
    <mergeCell ref="E13:E15"/>
    <mergeCell ref="E16:E18"/>
  </mergeCells>
  <hyperlinks>
    <hyperlink ref="K2" r:id="rId1" xr:uid="{00000000-0004-0000-0800-000000000000}"/>
    <hyperlink ref="K3" r:id="rId2" xr:uid="{00000000-0004-0000-0800-000001000000}"/>
    <hyperlink ref="K4" r:id="rId3" xr:uid="{00000000-0004-0000-0800-000002000000}"/>
    <hyperlink ref="K5" r:id="rId4" xr:uid="{00000000-0004-0000-0800-000003000000}"/>
    <hyperlink ref="K6" r:id="rId5" xr:uid="{00000000-0004-0000-0800-000004000000}"/>
    <hyperlink ref="K7" r:id="rId6" xr:uid="{00000000-0004-0000-0800-000005000000}"/>
    <hyperlink ref="K8" r:id="rId7" xr:uid="{00000000-0004-0000-0800-000006000000}"/>
    <hyperlink ref="K9" r:id="rId8" xr:uid="{00000000-0004-0000-0800-000007000000}"/>
    <hyperlink ref="K10" r:id="rId9" xr:uid="{00000000-0004-0000-0800-000008000000}"/>
    <hyperlink ref="K11" r:id="rId10" xr:uid="{00000000-0004-0000-0800-000009000000}"/>
    <hyperlink ref="K12" r:id="rId11" xr:uid="{00000000-0004-0000-0800-00000A000000}"/>
    <hyperlink ref="K13" r:id="rId12" xr:uid="{00000000-0004-0000-0800-00000B000000}"/>
    <hyperlink ref="K14" r:id="rId13" xr:uid="{00000000-0004-0000-0800-00000C000000}"/>
    <hyperlink ref="K15" r:id="rId14" xr:uid="{00000000-0004-0000-0800-00000D000000}"/>
    <hyperlink ref="K16" r:id="rId15" xr:uid="{00000000-0004-0000-0800-00000E000000}"/>
    <hyperlink ref="K17" r:id="rId16" xr:uid="{00000000-0004-0000-0800-00000F000000}"/>
    <hyperlink ref="K18" r:id="rId17" xr:uid="{00000000-0004-0000-0800-00001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25"/>
  <sheetViews>
    <sheetView workbookViewId="0"/>
  </sheetViews>
  <sheetFormatPr baseColWidth="10" defaultColWidth="12.6640625" defaultRowHeight="15.75" customHeight="1"/>
  <cols>
    <col min="1" max="1" width="25.5" customWidth="1"/>
    <col min="2" max="26" width="17.33203125" customWidth="1"/>
  </cols>
  <sheetData>
    <row r="1" spans="1:26" ht="32.25" customHeight="1">
      <c r="A1" s="19" t="s">
        <v>0</v>
      </c>
      <c r="B1" s="19" t="s">
        <v>821</v>
      </c>
      <c r="C1" s="19" t="s">
        <v>2453</v>
      </c>
      <c r="D1" s="19" t="s">
        <v>1224</v>
      </c>
      <c r="E1" s="19" t="s">
        <v>2147</v>
      </c>
      <c r="F1" s="19" t="s">
        <v>2234</v>
      </c>
      <c r="G1" s="19" t="s">
        <v>2454</v>
      </c>
      <c r="H1" s="19" t="s">
        <v>2455</v>
      </c>
      <c r="I1" s="19" t="s">
        <v>2456</v>
      </c>
      <c r="J1" s="19" t="s">
        <v>2457</v>
      </c>
      <c r="K1" s="19" t="s">
        <v>2458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28">
      <c r="A2" s="169" t="s">
        <v>2459</v>
      </c>
      <c r="B2" s="169" t="s">
        <v>2460</v>
      </c>
      <c r="C2" s="21" t="s">
        <v>2461</v>
      </c>
      <c r="D2" s="22">
        <v>46209</v>
      </c>
      <c r="E2" s="23" t="s">
        <v>2238</v>
      </c>
      <c r="F2" s="23" t="s">
        <v>2239</v>
      </c>
      <c r="G2" s="24" t="b">
        <v>0</v>
      </c>
      <c r="H2" s="23" t="b">
        <v>0</v>
      </c>
      <c r="I2" s="24"/>
      <c r="J2" s="24" t="b">
        <v>0</v>
      </c>
      <c r="K2" s="25" t="b">
        <v>0</v>
      </c>
    </row>
    <row r="3" spans="1:26" ht="84">
      <c r="A3" s="170"/>
      <c r="B3" s="170"/>
      <c r="C3" s="21" t="s">
        <v>2462</v>
      </c>
      <c r="D3" s="22">
        <v>46209</v>
      </c>
      <c r="E3" s="23" t="s">
        <v>2242</v>
      </c>
      <c r="F3" s="23" t="s">
        <v>2239</v>
      </c>
      <c r="G3" s="24" t="b">
        <v>0</v>
      </c>
      <c r="H3" s="23" t="b">
        <v>0</v>
      </c>
      <c r="I3" s="24"/>
      <c r="J3" s="24" t="b">
        <v>0</v>
      </c>
      <c r="K3" s="25" t="b">
        <v>0</v>
      </c>
    </row>
    <row r="4" spans="1:26" ht="112">
      <c r="A4" s="21" t="s">
        <v>2463</v>
      </c>
      <c r="B4" s="21" t="s">
        <v>2464</v>
      </c>
      <c r="C4" s="21" t="s">
        <v>2465</v>
      </c>
      <c r="D4" s="22">
        <v>46210</v>
      </c>
      <c r="E4" s="23" t="s">
        <v>2246</v>
      </c>
      <c r="F4" s="23" t="s">
        <v>2239</v>
      </c>
      <c r="G4" s="24" t="b">
        <v>1</v>
      </c>
      <c r="H4" s="23" t="b">
        <v>0</v>
      </c>
      <c r="I4" s="26" t="s">
        <v>2466</v>
      </c>
      <c r="J4" s="24" t="b">
        <v>1</v>
      </c>
      <c r="K4" s="25" t="b">
        <v>0</v>
      </c>
    </row>
    <row r="5" spans="1:26" ht="84">
      <c r="A5" s="21" t="s">
        <v>2467</v>
      </c>
      <c r="B5" s="21" t="s">
        <v>2468</v>
      </c>
      <c r="C5" s="21" t="s">
        <v>2469</v>
      </c>
      <c r="D5" s="22">
        <v>46210</v>
      </c>
      <c r="E5" s="23" t="s">
        <v>2248</v>
      </c>
      <c r="F5" s="23" t="s">
        <v>2239</v>
      </c>
      <c r="G5" s="24" t="b">
        <v>1</v>
      </c>
      <c r="H5" s="23" t="b">
        <v>0</v>
      </c>
      <c r="I5" s="26" t="s">
        <v>2470</v>
      </c>
      <c r="J5" s="24" t="b">
        <v>1</v>
      </c>
      <c r="K5" s="25" t="b">
        <v>0</v>
      </c>
    </row>
    <row r="6" spans="1:26" ht="70">
      <c r="A6" s="21" t="s">
        <v>2471</v>
      </c>
      <c r="B6" s="21" t="s">
        <v>2472</v>
      </c>
      <c r="C6" s="21" t="s">
        <v>2473</v>
      </c>
      <c r="D6" s="22">
        <v>46211</v>
      </c>
      <c r="E6" s="23" t="s">
        <v>2246</v>
      </c>
      <c r="F6" s="23" t="s">
        <v>2239</v>
      </c>
      <c r="G6" s="24" t="b">
        <v>1</v>
      </c>
      <c r="H6" s="23" t="b">
        <v>0</v>
      </c>
      <c r="I6" s="26" t="s">
        <v>2474</v>
      </c>
      <c r="J6" s="24" t="b">
        <v>1</v>
      </c>
      <c r="K6" s="25" t="b">
        <v>0</v>
      </c>
    </row>
    <row r="7" spans="1:26" ht="182">
      <c r="A7" s="21" t="s">
        <v>2475</v>
      </c>
      <c r="B7" s="21" t="s">
        <v>2476</v>
      </c>
      <c r="C7" s="21" t="s">
        <v>2477</v>
      </c>
      <c r="D7" s="22">
        <v>46211</v>
      </c>
      <c r="E7" s="23" t="s">
        <v>2248</v>
      </c>
      <c r="F7" s="23" t="s">
        <v>2239</v>
      </c>
      <c r="G7" s="24" t="b">
        <v>1</v>
      </c>
      <c r="H7" s="23" t="b">
        <v>0</v>
      </c>
      <c r="I7" s="26" t="s">
        <v>2478</v>
      </c>
      <c r="J7" s="24" t="b">
        <v>0</v>
      </c>
      <c r="K7" s="25" t="b">
        <v>0</v>
      </c>
    </row>
    <row r="8" spans="1:26" ht="126">
      <c r="A8" s="21" t="s">
        <v>2479</v>
      </c>
      <c r="B8" s="21" t="s">
        <v>2480</v>
      </c>
      <c r="C8" s="21" t="s">
        <v>2481</v>
      </c>
      <c r="D8" s="22">
        <v>46212</v>
      </c>
      <c r="E8" s="23" t="s">
        <v>2246</v>
      </c>
      <c r="F8" s="23" t="s">
        <v>2239</v>
      </c>
      <c r="G8" s="23" t="b">
        <v>0</v>
      </c>
      <c r="H8" s="23" t="b">
        <v>0</v>
      </c>
      <c r="I8" s="26" t="s">
        <v>2482</v>
      </c>
      <c r="J8" s="24" t="b">
        <v>0</v>
      </c>
      <c r="K8" s="25" t="b">
        <v>0</v>
      </c>
    </row>
    <row r="9" spans="1:26" ht="98">
      <c r="A9" s="21" t="s">
        <v>2459</v>
      </c>
      <c r="B9" s="21" t="s">
        <v>2460</v>
      </c>
      <c r="C9" s="21" t="s">
        <v>2483</v>
      </c>
      <c r="D9" s="22">
        <v>46212</v>
      </c>
      <c r="E9" s="23" t="s">
        <v>2248</v>
      </c>
      <c r="F9" s="23" t="s">
        <v>2239</v>
      </c>
      <c r="G9" s="24" t="b">
        <v>0</v>
      </c>
      <c r="H9" s="23" t="b">
        <v>0</v>
      </c>
      <c r="I9" s="24"/>
      <c r="J9" s="24" t="b">
        <v>0</v>
      </c>
      <c r="K9" s="25" t="b">
        <v>0</v>
      </c>
    </row>
    <row r="10" spans="1:26" ht="42">
      <c r="A10" s="21" t="s">
        <v>2484</v>
      </c>
      <c r="B10" s="21" t="s">
        <v>2485</v>
      </c>
      <c r="C10" s="169" t="s">
        <v>2486</v>
      </c>
      <c r="D10" s="171">
        <v>46216</v>
      </c>
      <c r="E10" s="172" t="s">
        <v>2248</v>
      </c>
      <c r="F10" s="172" t="s">
        <v>2239</v>
      </c>
      <c r="G10" s="24" t="b">
        <v>0</v>
      </c>
      <c r="H10" s="23" t="b">
        <v>0</v>
      </c>
      <c r="I10" s="26" t="s">
        <v>2487</v>
      </c>
      <c r="J10" s="24" t="b">
        <v>0</v>
      </c>
      <c r="K10" s="25" t="b">
        <v>0</v>
      </c>
    </row>
    <row r="11" spans="1:26" ht="42">
      <c r="A11" s="21" t="s">
        <v>2488</v>
      </c>
      <c r="B11" s="21" t="s">
        <v>2489</v>
      </c>
      <c r="C11" s="156"/>
      <c r="D11" s="156"/>
      <c r="E11" s="156"/>
      <c r="F11" s="156"/>
      <c r="G11" s="24" t="b">
        <v>0</v>
      </c>
      <c r="H11" s="23" t="b">
        <v>0</v>
      </c>
      <c r="I11" s="26" t="s">
        <v>2490</v>
      </c>
      <c r="J11" s="24" t="b">
        <v>0</v>
      </c>
      <c r="K11" s="25" t="b">
        <v>0</v>
      </c>
    </row>
    <row r="12" spans="1:26" ht="70">
      <c r="A12" s="21" t="s">
        <v>2491</v>
      </c>
      <c r="B12" s="21" t="s">
        <v>2492</v>
      </c>
      <c r="C12" s="170"/>
      <c r="D12" s="170"/>
      <c r="E12" s="170"/>
      <c r="F12" s="170"/>
      <c r="G12" s="24" t="b">
        <v>0</v>
      </c>
      <c r="H12" s="23" t="b">
        <v>0</v>
      </c>
      <c r="I12" s="26" t="s">
        <v>2493</v>
      </c>
      <c r="J12" s="24" t="b">
        <v>0</v>
      </c>
      <c r="K12" s="25" t="b">
        <v>0</v>
      </c>
    </row>
    <row r="13" spans="1:26" ht="98">
      <c r="A13" s="27" t="s">
        <v>2494</v>
      </c>
      <c r="B13" s="27" t="s">
        <v>2460</v>
      </c>
      <c r="C13" s="27" t="s">
        <v>2495</v>
      </c>
      <c r="D13" s="24"/>
      <c r="E13" s="28" t="s">
        <v>2258</v>
      </c>
      <c r="F13" s="28" t="s">
        <v>2239</v>
      </c>
      <c r="G13" s="24" t="b">
        <v>0</v>
      </c>
      <c r="H13" s="28" t="b">
        <v>0</v>
      </c>
      <c r="I13" s="24"/>
      <c r="J13" s="24" t="b">
        <v>0</v>
      </c>
      <c r="K13" s="25" t="b">
        <v>0</v>
      </c>
    </row>
    <row r="14" spans="1:26" ht="112">
      <c r="A14" s="27" t="s">
        <v>2496</v>
      </c>
      <c r="B14" s="27" t="s">
        <v>2497</v>
      </c>
      <c r="C14" s="27" t="s">
        <v>2498</v>
      </c>
      <c r="D14" s="24"/>
      <c r="E14" s="28" t="s">
        <v>2258</v>
      </c>
      <c r="F14" s="28" t="s">
        <v>2239</v>
      </c>
      <c r="G14" s="24" t="b">
        <v>0</v>
      </c>
      <c r="H14" s="28" t="b">
        <v>1</v>
      </c>
      <c r="I14" s="24"/>
      <c r="J14" s="24" t="b">
        <v>0</v>
      </c>
      <c r="K14" s="25" t="b">
        <v>0</v>
      </c>
    </row>
    <row r="15" spans="1:26" ht="84">
      <c r="A15" s="21" t="s">
        <v>2499</v>
      </c>
      <c r="B15" s="21" t="s">
        <v>2500</v>
      </c>
      <c r="C15" s="21" t="s">
        <v>2501</v>
      </c>
      <c r="D15" s="22">
        <v>46219</v>
      </c>
      <c r="E15" s="23" t="s">
        <v>2246</v>
      </c>
      <c r="F15" s="23" t="s">
        <v>2239</v>
      </c>
      <c r="G15" s="24" t="b">
        <v>0</v>
      </c>
      <c r="H15" s="23" t="b">
        <v>0</v>
      </c>
      <c r="I15" s="24"/>
      <c r="J15" s="24" t="b">
        <v>0</v>
      </c>
      <c r="K15" s="25" t="b">
        <v>0</v>
      </c>
    </row>
    <row r="16" spans="1:26" ht="140">
      <c r="A16" s="21" t="s">
        <v>2502</v>
      </c>
      <c r="B16" s="21" t="s">
        <v>2503</v>
      </c>
      <c r="C16" s="21" t="s">
        <v>2504</v>
      </c>
      <c r="D16" s="22">
        <v>46219</v>
      </c>
      <c r="E16" s="23" t="s">
        <v>2271</v>
      </c>
      <c r="F16" s="23" t="s">
        <v>2239</v>
      </c>
      <c r="G16" s="24" t="b">
        <v>0</v>
      </c>
      <c r="H16" s="23" t="b">
        <v>0</v>
      </c>
      <c r="I16" s="26" t="s">
        <v>2505</v>
      </c>
      <c r="J16" s="24" t="b">
        <v>0</v>
      </c>
      <c r="K16" s="25" t="b">
        <v>0</v>
      </c>
    </row>
    <row r="17" spans="1:11" ht="70">
      <c r="A17" s="27" t="s">
        <v>2506</v>
      </c>
      <c r="B17" s="27" t="s">
        <v>2507</v>
      </c>
      <c r="C17" s="27" t="s">
        <v>2508</v>
      </c>
      <c r="D17" s="24"/>
      <c r="E17" s="28" t="s">
        <v>2258</v>
      </c>
      <c r="F17" s="28" t="s">
        <v>2239</v>
      </c>
      <c r="G17" s="24" t="b">
        <v>0</v>
      </c>
      <c r="H17" s="28" t="b">
        <v>1</v>
      </c>
      <c r="I17" s="24"/>
      <c r="J17" s="24" t="b">
        <v>0</v>
      </c>
      <c r="K17" s="25" t="b">
        <v>0</v>
      </c>
    </row>
    <row r="18" spans="1:11" ht="154">
      <c r="A18" s="21" t="s">
        <v>2509</v>
      </c>
      <c r="B18" s="21" t="s">
        <v>2510</v>
      </c>
      <c r="C18" s="21" t="s">
        <v>2511</v>
      </c>
      <c r="D18" s="22">
        <v>46220</v>
      </c>
      <c r="E18" s="23" t="s">
        <v>2280</v>
      </c>
      <c r="F18" s="23" t="s">
        <v>2239</v>
      </c>
      <c r="G18" s="24" t="b">
        <v>0</v>
      </c>
      <c r="H18" s="23" t="b">
        <v>0</v>
      </c>
      <c r="I18" s="26" t="s">
        <v>2512</v>
      </c>
      <c r="J18" s="24" t="b">
        <v>0</v>
      </c>
      <c r="K18" s="25" t="b">
        <v>0</v>
      </c>
    </row>
    <row r="19" spans="1:11" ht="112">
      <c r="A19" s="27" t="s">
        <v>2513</v>
      </c>
      <c r="B19" s="27" t="s">
        <v>2514</v>
      </c>
      <c r="C19" s="27" t="s">
        <v>2515</v>
      </c>
      <c r="D19" s="29">
        <v>46223</v>
      </c>
      <c r="E19" s="28" t="s">
        <v>2258</v>
      </c>
      <c r="F19" s="28" t="s">
        <v>2239</v>
      </c>
      <c r="G19" s="24" t="b">
        <v>0</v>
      </c>
      <c r="H19" s="28" t="b">
        <v>1</v>
      </c>
      <c r="I19" s="24"/>
      <c r="J19" s="24" t="b">
        <v>0</v>
      </c>
      <c r="K19" s="25" t="b">
        <v>0</v>
      </c>
    </row>
    <row r="20" spans="1:11" ht="112">
      <c r="A20" s="21" t="s">
        <v>2516</v>
      </c>
      <c r="B20" s="21" t="s">
        <v>2517</v>
      </c>
      <c r="C20" s="21" t="s">
        <v>2518</v>
      </c>
      <c r="D20" s="22">
        <v>46224</v>
      </c>
      <c r="E20" s="23" t="s">
        <v>2280</v>
      </c>
      <c r="F20" s="23" t="s">
        <v>2239</v>
      </c>
      <c r="G20" s="24" t="b">
        <v>0</v>
      </c>
      <c r="H20" s="23" t="b">
        <v>0</v>
      </c>
      <c r="I20" s="26" t="s">
        <v>2519</v>
      </c>
      <c r="J20" s="24" t="b">
        <v>0</v>
      </c>
      <c r="K20" s="25" t="b">
        <v>0</v>
      </c>
    </row>
    <row r="21" spans="1:11" ht="210">
      <c r="A21" s="21" t="s">
        <v>2520</v>
      </c>
      <c r="B21" s="21" t="s">
        <v>2521</v>
      </c>
      <c r="C21" s="21" t="s">
        <v>2522</v>
      </c>
      <c r="D21" s="22">
        <v>46224</v>
      </c>
      <c r="E21" s="23" t="s">
        <v>2282</v>
      </c>
      <c r="F21" s="23" t="s">
        <v>2239</v>
      </c>
      <c r="G21" s="24" t="b">
        <v>0</v>
      </c>
      <c r="H21" s="23" t="b">
        <v>0</v>
      </c>
      <c r="I21" s="30" t="s">
        <v>2523</v>
      </c>
      <c r="J21" s="24" t="b">
        <v>0</v>
      </c>
      <c r="K21" s="25" t="b">
        <v>0</v>
      </c>
    </row>
    <row r="22" spans="1:11" ht="98">
      <c r="A22" s="31" t="s">
        <v>2524</v>
      </c>
      <c r="B22" s="24"/>
      <c r="C22" s="21" t="s">
        <v>2525</v>
      </c>
      <c r="D22" s="22">
        <v>46225</v>
      </c>
      <c r="E22" s="23" t="s">
        <v>2280</v>
      </c>
      <c r="F22" s="23" t="s">
        <v>2239</v>
      </c>
      <c r="G22" s="24" t="b">
        <v>0</v>
      </c>
      <c r="H22" s="23" t="b">
        <v>0</v>
      </c>
      <c r="I22" s="24"/>
      <c r="J22" s="24" t="b">
        <v>0</v>
      </c>
      <c r="K22" s="25" t="b">
        <v>0</v>
      </c>
    </row>
    <row r="23" spans="1:11" ht="84">
      <c r="A23" s="21" t="s">
        <v>2484</v>
      </c>
      <c r="B23" s="24"/>
      <c r="C23" s="21" t="s">
        <v>2526</v>
      </c>
      <c r="D23" s="22">
        <v>46225</v>
      </c>
      <c r="E23" s="23" t="s">
        <v>2286</v>
      </c>
      <c r="F23" s="23" t="s">
        <v>2239</v>
      </c>
      <c r="G23" s="24" t="b">
        <v>0</v>
      </c>
      <c r="H23" s="23" t="b">
        <v>0</v>
      </c>
      <c r="I23" s="26" t="s">
        <v>2487</v>
      </c>
      <c r="J23" s="24" t="b">
        <v>0</v>
      </c>
      <c r="K23" s="25" t="b">
        <v>0</v>
      </c>
    </row>
    <row r="24" spans="1:11" ht="84">
      <c r="A24" s="21" t="s">
        <v>2527</v>
      </c>
      <c r="B24" s="21" t="s">
        <v>2528</v>
      </c>
      <c r="C24" s="21" t="s">
        <v>2529</v>
      </c>
      <c r="D24" s="22">
        <v>46230</v>
      </c>
      <c r="E24" s="23" t="s">
        <v>2295</v>
      </c>
      <c r="F24" s="23" t="s">
        <v>2530</v>
      </c>
      <c r="G24" s="24" t="b">
        <v>0</v>
      </c>
      <c r="H24" s="23" t="b">
        <v>1</v>
      </c>
      <c r="I24" s="24"/>
      <c r="J24" s="24" t="b">
        <v>0</v>
      </c>
      <c r="K24" s="25" t="b">
        <v>0</v>
      </c>
    </row>
    <row r="25" spans="1:11" ht="112">
      <c r="A25" s="21" t="s">
        <v>2459</v>
      </c>
      <c r="B25" s="21" t="s">
        <v>2531</v>
      </c>
      <c r="C25" s="24"/>
      <c r="D25" s="22">
        <v>46230</v>
      </c>
      <c r="E25" s="23" t="s">
        <v>2532</v>
      </c>
      <c r="F25" s="23" t="s">
        <v>2530</v>
      </c>
      <c r="G25" s="24" t="b">
        <v>0</v>
      </c>
      <c r="H25" s="23" t="b">
        <v>0</v>
      </c>
      <c r="I25" s="24"/>
      <c r="J25" s="24" t="b">
        <v>0</v>
      </c>
      <c r="K25" s="25" t="b">
        <v>0</v>
      </c>
    </row>
  </sheetData>
  <mergeCells count="6">
    <mergeCell ref="F10:F12"/>
    <mergeCell ref="A2:A3"/>
    <mergeCell ref="B2:B3"/>
    <mergeCell ref="C10:C12"/>
    <mergeCell ref="D10:D12"/>
    <mergeCell ref="E10:E12"/>
  </mergeCells>
  <hyperlinks>
    <hyperlink ref="I4" r:id="rId1" xr:uid="{00000000-0004-0000-0900-000000000000}"/>
    <hyperlink ref="I5" r:id="rId2" xr:uid="{00000000-0004-0000-0900-000001000000}"/>
    <hyperlink ref="I6" r:id="rId3" xr:uid="{00000000-0004-0000-0900-000002000000}"/>
    <hyperlink ref="I7" r:id="rId4" xr:uid="{00000000-0004-0000-0900-000003000000}"/>
    <hyperlink ref="I8" r:id="rId5" xr:uid="{00000000-0004-0000-0900-000004000000}"/>
    <hyperlink ref="I10" r:id="rId6" xr:uid="{00000000-0004-0000-0900-000005000000}"/>
    <hyperlink ref="I11" r:id="rId7" xr:uid="{00000000-0004-0000-0900-000006000000}"/>
    <hyperlink ref="I12" r:id="rId8" xr:uid="{00000000-0004-0000-0900-000007000000}"/>
    <hyperlink ref="I16" r:id="rId9" xr:uid="{00000000-0004-0000-0900-000008000000}"/>
    <hyperlink ref="I18" r:id="rId10" xr:uid="{00000000-0004-0000-0900-000009000000}"/>
    <hyperlink ref="I20" r:id="rId11" xr:uid="{00000000-0004-0000-0900-00000A000000}"/>
    <hyperlink ref="I21" r:id="rId12" xr:uid="{00000000-0004-0000-0900-00000B000000}"/>
    <hyperlink ref="I23" r:id="rId13" xr:uid="{00000000-0004-0000-0900-00000C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AD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sheetData>
    <row r="1" spans="2:30" ht="15.75" customHeight="1">
      <c r="B1" s="7" t="s">
        <v>2533</v>
      </c>
    </row>
    <row r="2" spans="2:30" ht="15.75" customHeight="1">
      <c r="B2" s="7" t="s">
        <v>2534</v>
      </c>
      <c r="C2" s="7" t="s">
        <v>2535</v>
      </c>
      <c r="D2" s="7" t="s">
        <v>2536</v>
      </c>
      <c r="E2" s="7" t="s">
        <v>859</v>
      </c>
      <c r="F2" s="7" t="s">
        <v>0</v>
      </c>
      <c r="G2" s="7" t="s">
        <v>861</v>
      </c>
      <c r="H2" s="7" t="s">
        <v>860</v>
      </c>
      <c r="I2" s="7" t="s">
        <v>858</v>
      </c>
      <c r="J2" s="7" t="s">
        <v>2537</v>
      </c>
      <c r="K2" s="7" t="s">
        <v>2538</v>
      </c>
      <c r="L2" s="7" t="s">
        <v>2539</v>
      </c>
      <c r="M2" s="7" t="s">
        <v>2540</v>
      </c>
      <c r="N2" s="7" t="s">
        <v>2541</v>
      </c>
      <c r="O2" s="7" t="s">
        <v>2542</v>
      </c>
      <c r="P2" s="7" t="s">
        <v>2543</v>
      </c>
      <c r="Q2" s="7" t="s">
        <v>2544</v>
      </c>
      <c r="R2" s="7" t="s">
        <v>2545</v>
      </c>
      <c r="S2" s="7" t="s">
        <v>2546</v>
      </c>
      <c r="T2" s="7" t="s">
        <v>2547</v>
      </c>
      <c r="U2" s="7" t="s">
        <v>2548</v>
      </c>
      <c r="V2" s="7" t="s">
        <v>2549</v>
      </c>
      <c r="W2" s="7" t="s">
        <v>2550</v>
      </c>
      <c r="X2" s="7" t="s">
        <v>2551</v>
      </c>
      <c r="Y2" s="7" t="s">
        <v>2552</v>
      </c>
      <c r="Z2" s="7" t="s">
        <v>2553</v>
      </c>
      <c r="AA2" s="7" t="s">
        <v>2554</v>
      </c>
      <c r="AB2" s="7" t="s">
        <v>2555</v>
      </c>
      <c r="AC2" s="7" t="s">
        <v>2556</v>
      </c>
      <c r="AD2" s="7" t="s">
        <v>2538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Z2"/>
  <sheetViews>
    <sheetView tabSelected="1" workbookViewId="0">
      <pane ySplit="1" topLeftCell="A2" activePane="bottomLeft" state="frozen"/>
      <selection pane="bottomLeft" activeCell="E8" sqref="E8"/>
    </sheetView>
  </sheetViews>
  <sheetFormatPr baseColWidth="10" defaultColWidth="12.6640625" defaultRowHeight="15.75" customHeight="1"/>
  <cols>
    <col min="4" max="4" width="17.6640625" hidden="1"/>
  </cols>
  <sheetData>
    <row r="1" spans="1:52" ht="15.75" customHeight="1">
      <c r="A1" s="14" t="s">
        <v>2557</v>
      </c>
      <c r="B1" s="14" t="s">
        <v>2558</v>
      </c>
      <c r="C1" s="14" t="s">
        <v>2559</v>
      </c>
      <c r="D1" s="14" t="s">
        <v>2560</v>
      </c>
      <c r="E1" s="14" t="s">
        <v>2561</v>
      </c>
      <c r="F1" s="14" t="s">
        <v>2562</v>
      </c>
      <c r="G1" s="14" t="s">
        <v>2563</v>
      </c>
      <c r="H1" s="14" t="s">
        <v>2564</v>
      </c>
      <c r="I1" s="14" t="s">
        <v>2565</v>
      </c>
      <c r="J1" s="14" t="s">
        <v>2566</v>
      </c>
      <c r="K1" s="14" t="s">
        <v>2567</v>
      </c>
      <c r="L1" s="14" t="s">
        <v>2568</v>
      </c>
      <c r="M1" s="14" t="s">
        <v>2569</v>
      </c>
      <c r="N1" s="14" t="s">
        <v>2570</v>
      </c>
      <c r="O1" s="14" t="s">
        <v>2571</v>
      </c>
      <c r="P1" s="14" t="s">
        <v>2572</v>
      </c>
      <c r="Q1" s="14" t="s">
        <v>2573</v>
      </c>
      <c r="R1" s="14" t="s">
        <v>2574</v>
      </c>
      <c r="S1" s="14" t="s">
        <v>2575</v>
      </c>
      <c r="T1" s="14" t="s">
        <v>2576</v>
      </c>
      <c r="U1" s="14" t="s">
        <v>2577</v>
      </c>
      <c r="V1" s="14" t="s">
        <v>2578</v>
      </c>
      <c r="W1" s="14" t="s">
        <v>2579</v>
      </c>
      <c r="X1" s="14" t="s">
        <v>2580</v>
      </c>
      <c r="Y1" s="14" t="s">
        <v>2581</v>
      </c>
      <c r="Z1" s="14" t="s">
        <v>2582</v>
      </c>
      <c r="AA1" s="14" t="s">
        <v>2583</v>
      </c>
      <c r="AB1" s="14" t="s">
        <v>2584</v>
      </c>
      <c r="AC1" s="14" t="s">
        <v>2585</v>
      </c>
      <c r="AD1" s="14" t="s">
        <v>2586</v>
      </c>
      <c r="AE1" s="14" t="s">
        <v>2587</v>
      </c>
      <c r="AF1" s="14" t="s">
        <v>2588</v>
      </c>
      <c r="AG1" s="14" t="s">
        <v>2589</v>
      </c>
      <c r="AH1" s="14" t="s">
        <v>2590</v>
      </c>
      <c r="AI1" s="14" t="s">
        <v>2591</v>
      </c>
      <c r="AJ1" s="14" t="s">
        <v>2592</v>
      </c>
      <c r="AK1" s="14" t="s">
        <v>2593</v>
      </c>
      <c r="AL1" s="14" t="s">
        <v>2594</v>
      </c>
      <c r="AM1" s="14" t="s">
        <v>2595</v>
      </c>
      <c r="AN1" s="14" t="s">
        <v>2596</v>
      </c>
      <c r="AO1" s="14" t="s">
        <v>2597</v>
      </c>
      <c r="AP1" s="14" t="s">
        <v>2598</v>
      </c>
      <c r="AQ1" s="14" t="s">
        <v>2599</v>
      </c>
      <c r="AR1" s="14" t="s">
        <v>2600</v>
      </c>
      <c r="AS1" s="14" t="s">
        <v>2601</v>
      </c>
      <c r="AT1" s="14" t="s">
        <v>2602</v>
      </c>
      <c r="AU1" s="14" t="s">
        <v>2603</v>
      </c>
      <c r="AV1" s="14" t="s">
        <v>2604</v>
      </c>
      <c r="AW1" s="14" t="s">
        <v>2605</v>
      </c>
      <c r="AX1" s="14" t="s">
        <v>2606</v>
      </c>
      <c r="AY1" s="14" t="s">
        <v>2607</v>
      </c>
      <c r="AZ1" s="15" t="s">
        <v>2608</v>
      </c>
    </row>
    <row r="2" spans="1:52" ht="15.75" customHeight="1">
      <c r="A2" s="16" t="s">
        <v>2609</v>
      </c>
      <c r="B2" s="16" t="str">
        <f ca="1">IFERROR(__xludf.DUMMYFUNCTION("IFERROR(XLOOKUP(VALUE(REGEXEXTRACT(A31,""\d+"")),'ПА 15.07'!G:G,'ПА 15.07'!H:H),"""")"),"Волчек Д.Г.")</f>
        <v>Волчек Д.Г.</v>
      </c>
      <c r="C2" s="16" t="s">
        <v>2610</v>
      </c>
      <c r="D2" s="16"/>
      <c r="E2" s="17">
        <v>174</v>
      </c>
      <c r="F2" s="17">
        <v>210</v>
      </c>
      <c r="G2" s="17">
        <v>82.9</v>
      </c>
      <c r="H2" s="17">
        <v>8</v>
      </c>
      <c r="I2" s="16" t="s">
        <v>2611</v>
      </c>
      <c r="J2" s="17">
        <v>9</v>
      </c>
      <c r="K2" s="16" t="s">
        <v>2612</v>
      </c>
      <c r="L2" s="17">
        <v>9</v>
      </c>
      <c r="M2" s="16" t="s">
        <v>2613</v>
      </c>
      <c r="N2" s="17">
        <v>8</v>
      </c>
      <c r="O2" s="16" t="s">
        <v>2614</v>
      </c>
      <c r="P2" s="17">
        <v>8</v>
      </c>
      <c r="Q2" s="16" t="s">
        <v>2615</v>
      </c>
      <c r="R2" s="17">
        <v>6</v>
      </c>
      <c r="S2" s="16" t="s">
        <v>2616</v>
      </c>
      <c r="T2" s="17">
        <v>9</v>
      </c>
      <c r="U2" s="16" t="s">
        <v>2617</v>
      </c>
      <c r="V2" s="17">
        <v>8</v>
      </c>
      <c r="W2" s="16" t="s">
        <v>2618</v>
      </c>
      <c r="X2" s="17">
        <v>9</v>
      </c>
      <c r="Y2" s="16" t="s">
        <v>2619</v>
      </c>
      <c r="Z2" s="17">
        <v>8</v>
      </c>
      <c r="AA2" s="16" t="s">
        <v>2620</v>
      </c>
      <c r="AB2" s="17">
        <v>9</v>
      </c>
      <c r="AC2" s="16" t="s">
        <v>2621</v>
      </c>
      <c r="AD2" s="17">
        <v>7</v>
      </c>
      <c r="AE2" s="16" t="s">
        <v>2622</v>
      </c>
      <c r="AF2" s="17">
        <v>7</v>
      </c>
      <c r="AG2" s="16" t="s">
        <v>2623</v>
      </c>
      <c r="AH2" s="17">
        <v>8</v>
      </c>
      <c r="AI2" s="16" t="s">
        <v>2624</v>
      </c>
      <c r="AJ2" s="17">
        <v>9</v>
      </c>
      <c r="AK2" s="16" t="s">
        <v>2625</v>
      </c>
      <c r="AL2" s="17">
        <v>8</v>
      </c>
      <c r="AM2" s="16" t="s">
        <v>2626</v>
      </c>
      <c r="AN2" s="17">
        <v>8</v>
      </c>
      <c r="AO2" s="16" t="s">
        <v>2627</v>
      </c>
      <c r="AP2" s="17">
        <v>9</v>
      </c>
      <c r="AQ2" s="16" t="s">
        <v>2628</v>
      </c>
      <c r="AR2" s="17">
        <v>9</v>
      </c>
      <c r="AS2" s="16" t="s">
        <v>2629</v>
      </c>
      <c r="AT2" s="17">
        <v>10</v>
      </c>
      <c r="AU2" s="16" t="s">
        <v>2630</v>
      </c>
      <c r="AV2" s="17">
        <v>8</v>
      </c>
      <c r="AW2" s="16" t="s">
        <v>2631</v>
      </c>
      <c r="AX2" s="16" t="s">
        <v>2632</v>
      </c>
      <c r="AY2" s="16" t="s">
        <v>2633</v>
      </c>
      <c r="AZ2" s="18" t="s">
        <v>2634</v>
      </c>
    </row>
  </sheetData>
  <autoFilter ref="A1:AZ2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Y99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4.33203125" customWidth="1"/>
    <col min="2" max="2" width="12" customWidth="1"/>
    <col min="3" max="3" width="3.83203125" customWidth="1"/>
    <col min="5" max="6" width="4.33203125" customWidth="1"/>
    <col min="7" max="7" width="14.5" customWidth="1"/>
    <col min="8" max="8" width="9.33203125" customWidth="1"/>
    <col min="9" max="9" width="8" customWidth="1"/>
  </cols>
  <sheetData>
    <row r="1" spans="1:25" ht="15.75" customHeight="1">
      <c r="A1" s="1" t="s">
        <v>2635</v>
      </c>
      <c r="B1" s="1" t="s">
        <v>2636</v>
      </c>
      <c r="C1" s="1" t="s">
        <v>2637</v>
      </c>
      <c r="D1" s="1" t="s">
        <v>1223</v>
      </c>
      <c r="E1" s="10" t="s">
        <v>2638</v>
      </c>
      <c r="F1" s="10" t="s">
        <v>2639</v>
      </c>
      <c r="G1" s="10" t="s">
        <v>2640</v>
      </c>
      <c r="H1" s="11" t="s">
        <v>2641</v>
      </c>
      <c r="I1" s="12" t="s">
        <v>2642</v>
      </c>
      <c r="J1" s="11" t="s">
        <v>2643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15.75" customHeight="1">
      <c r="A2" s="2" t="s">
        <v>2644</v>
      </c>
      <c r="B2" s="2" t="s">
        <v>2645</v>
      </c>
      <c r="C2" s="3">
        <v>791</v>
      </c>
      <c r="D2" s="2" t="s">
        <v>782</v>
      </c>
      <c r="E2" s="7">
        <f>IF($D2="","",COUNTIF('Импорт посещаемость'!I2:AE2,"L*"))</f>
        <v>11</v>
      </c>
      <c r="F2" s="7">
        <f>IF($D2="","",COUNTIF('Импорт посещаемость'!I2:AE2,"R*"))</f>
        <v>12</v>
      </c>
      <c r="G2" s="7">
        <f>IF($D2="","",MAX(0,COUNTA('Импорт посещаемость'!$I$1:$AE$1)-E2-F2))</f>
        <v>0</v>
      </c>
      <c r="H2" s="7">
        <f t="shared" ref="H2:H65" si="0">IF($D2="","",E2+F2)</f>
        <v>23</v>
      </c>
      <c r="I2" s="9">
        <f>IFERROR(H2/COUNTA('Импорт посещаемость'!$I$1:$AE$1),"")</f>
        <v>1</v>
      </c>
      <c r="J2" s="13" t="str">
        <f>IFERROR(__xludf.DUMMYFUNCTION("IF($D2="""","""",SPARKLINE(I2,{""charttype"",""bar"";""max"",1;""color1"",""#FFFFFF""}))"),"")</f>
        <v/>
      </c>
    </row>
    <row r="3" spans="1:25" ht="15.75" customHeight="1">
      <c r="A3" s="2" t="s">
        <v>2646</v>
      </c>
      <c r="B3" s="2" t="s">
        <v>2647</v>
      </c>
      <c r="C3" s="3">
        <v>583</v>
      </c>
      <c r="D3" s="2" t="s">
        <v>2648</v>
      </c>
      <c r="E3" s="7" t="e">
        <f>IF($D3="","",COUNTIF(#REF!,"L*"))</f>
        <v>#REF!</v>
      </c>
      <c r="F3" s="7" t="e">
        <f>IF($D3="","",COUNTIF(#REF!,"R*"))</f>
        <v>#REF!</v>
      </c>
      <c r="G3" s="7" t="e">
        <f>IF($D3="","",MAX(0,COUNTA('Импорт посещаемость'!$I$1:$AE$1)-E3-F3))</f>
        <v>#REF!</v>
      </c>
      <c r="H3" s="7" t="e">
        <f t="shared" si="0"/>
        <v>#REF!</v>
      </c>
      <c r="I3" s="9" t="str">
        <f>IFERROR(H3/COUNTA('Импорт посещаемость'!$I$1:$AE$1),"")</f>
        <v/>
      </c>
      <c r="J3" s="13" t="str">
        <f>IFERROR(__xludf.DUMMYFUNCTION("IF($D3="""","""",SPARKLINE(I3,{""charttype"",""bar"";""max"",1;""color1"",""#FFFFFF""}))"),"")</f>
        <v/>
      </c>
    </row>
    <row r="4" spans="1:25" ht="15.75" customHeight="1">
      <c r="A4" s="2" t="s">
        <v>2649</v>
      </c>
      <c r="B4" s="2" t="s">
        <v>2650</v>
      </c>
      <c r="C4" s="3">
        <v>500</v>
      </c>
      <c r="D4" s="2" t="s">
        <v>714</v>
      </c>
      <c r="E4" s="7">
        <f>IF($D4="","",COUNTIF('Импорт посещаемость'!I3:AE3,"L*"))</f>
        <v>0</v>
      </c>
      <c r="F4" s="7">
        <f>IF($D4="","",COUNTIF('Импорт посещаемость'!I3:AE3,"R*"))</f>
        <v>1</v>
      </c>
      <c r="G4" s="7">
        <f>IF($D4="","",MAX(0,COUNTA('Импорт посещаемость'!$I$1:$AE$1)-E4-F4))</f>
        <v>22</v>
      </c>
      <c r="H4" s="7">
        <f t="shared" si="0"/>
        <v>1</v>
      </c>
      <c r="I4" s="9">
        <f>IFERROR(H4/COUNTA('Импорт посещаемость'!$I$1:$AE$1),"")</f>
        <v>4.3478260869565202E-2</v>
      </c>
      <c r="J4" s="13" t="str">
        <f>IFERROR(__xludf.DUMMYFUNCTION("IF($D4="""","""",SPARKLINE(I4,{""charttype"",""bar"";""max"",1;""color1"",""#FFFFFF""}))"),"")</f>
        <v/>
      </c>
    </row>
    <row r="5" spans="1:25" ht="15.75" customHeight="1">
      <c r="A5" s="2" t="s">
        <v>2651</v>
      </c>
      <c r="B5" s="2" t="s">
        <v>2652</v>
      </c>
      <c r="C5" s="3">
        <v>275</v>
      </c>
      <c r="D5" s="2" t="s">
        <v>495</v>
      </c>
      <c r="E5" s="7" t="e">
        <f>IF($D5="","",COUNTIF(#REF!,"L*"))</f>
        <v>#REF!</v>
      </c>
      <c r="F5" s="7" t="e">
        <f>IF($D5="","",COUNTIF(#REF!,"R*"))</f>
        <v>#REF!</v>
      </c>
      <c r="G5" s="7" t="e">
        <f>IF($D5="","",MAX(0,COUNTA('Импорт посещаемость'!$I$1:$AE$1)-E5-F5))</f>
        <v>#REF!</v>
      </c>
      <c r="H5" s="7" t="e">
        <f t="shared" si="0"/>
        <v>#REF!</v>
      </c>
      <c r="I5" s="9" t="str">
        <f>IFERROR(H5/COUNTA('Импорт посещаемость'!$I$1:$AE$1),"")</f>
        <v/>
      </c>
      <c r="J5" s="13" t="str">
        <f>IFERROR(__xludf.DUMMYFUNCTION("IF($D5="""","""",SPARKLINE(I5,{""charttype"",""bar"";""max"",1;""color1"",""#FFFFFF""}))"),"")</f>
        <v/>
      </c>
    </row>
    <row r="6" spans="1:25" ht="15.75" customHeight="1">
      <c r="A6" s="2" t="s">
        <v>2653</v>
      </c>
      <c r="B6" s="2" t="s">
        <v>2654</v>
      </c>
      <c r="C6" s="3">
        <v>282</v>
      </c>
      <c r="D6" s="2" t="s">
        <v>1219</v>
      </c>
      <c r="E6" s="7">
        <f>IF($D6="","",COUNTIF('Импорт посещаемость'!I4:AE4,"L*"))</f>
        <v>4</v>
      </c>
      <c r="F6" s="7">
        <f>IF($D6="","",COUNTIF('Импорт посещаемость'!I4:AE4,"R*"))</f>
        <v>7</v>
      </c>
      <c r="G6" s="7">
        <f>IF($D6="","",MAX(0,COUNTA('Импорт посещаемость'!$I$1:$AE$1)-E6-F6))</f>
        <v>12</v>
      </c>
      <c r="H6" s="7">
        <f t="shared" si="0"/>
        <v>11</v>
      </c>
      <c r="I6" s="9">
        <f>IFERROR(H6/COUNTA('Импорт посещаемость'!$I$1:$AE$1),"")</f>
        <v>0.47826086956521702</v>
      </c>
      <c r="J6" s="13" t="str">
        <f>IFERROR(__xludf.DUMMYFUNCTION("IF($D6="""","""",SPARKLINE(I6,{""charttype"",""bar"";""max"",1;""color1"",""#FFFFFF""}))"),"")</f>
        <v/>
      </c>
    </row>
    <row r="7" spans="1:25" ht="15.75" customHeight="1">
      <c r="A7" s="2" t="s">
        <v>2655</v>
      </c>
      <c r="B7" s="2" t="s">
        <v>2656</v>
      </c>
      <c r="C7" s="3">
        <v>743</v>
      </c>
      <c r="D7" s="2" t="s">
        <v>145</v>
      </c>
      <c r="E7" s="7" t="e">
        <f>IF($D7="","",COUNTIF(#REF!,"L*"))</f>
        <v>#REF!</v>
      </c>
      <c r="F7" s="7" t="e">
        <f>IF($D7="","",COUNTIF(#REF!,"R*"))</f>
        <v>#REF!</v>
      </c>
      <c r="G7" s="7" t="e">
        <f>IF($D7="","",MAX(0,COUNTA('Импорт посещаемость'!$I$1:$AE$1)-E7-F7))</f>
        <v>#REF!</v>
      </c>
      <c r="H7" s="7" t="e">
        <f t="shared" si="0"/>
        <v>#REF!</v>
      </c>
      <c r="I7" s="9" t="str">
        <f>IFERROR(H7/COUNTA('Импорт посещаемость'!$I$1:$AE$1),"")</f>
        <v/>
      </c>
      <c r="J7" s="13" t="str">
        <f>IFERROR(__xludf.DUMMYFUNCTION("IF($D7="""","""",SPARKLINE(I7,{""charttype"",""bar"";""max"",1;""color1"",""#FFFFFF""}))"),"")</f>
        <v/>
      </c>
    </row>
    <row r="8" spans="1:25" ht="15.75" customHeight="1">
      <c r="A8" s="2" t="s">
        <v>2338</v>
      </c>
      <c r="B8" s="2" t="s">
        <v>2657</v>
      </c>
      <c r="C8" s="3">
        <v>810</v>
      </c>
      <c r="D8" s="2" t="s">
        <v>53</v>
      </c>
      <c r="E8" s="7">
        <f>IF($D8="","",COUNTIF('Импорт посещаемость'!I5:AE5,"L*"))</f>
        <v>10</v>
      </c>
      <c r="F8" s="7">
        <f>IF($D8="","",COUNTIF('Импорт посещаемость'!I5:AE5,"R*"))</f>
        <v>13</v>
      </c>
      <c r="G8" s="7">
        <f>IF($D8="","",MAX(0,COUNTA('Импорт посещаемость'!$I$1:$AE$1)-E8-F8))</f>
        <v>0</v>
      </c>
      <c r="H8" s="7">
        <f t="shared" si="0"/>
        <v>23</v>
      </c>
      <c r="I8" s="9">
        <f>IFERROR(H8/COUNTA('Импорт посещаемость'!$I$1:$AE$1),"")</f>
        <v>1</v>
      </c>
      <c r="J8" s="13" t="str">
        <f>IFERROR(__xludf.DUMMYFUNCTION("IF($D8="""","""",SPARKLINE(I8,{""charttype"",""bar"";""max"",1;""color1"",""#FFFFFF""}))"),"")</f>
        <v/>
      </c>
    </row>
    <row r="9" spans="1:25" ht="15.75" customHeight="1">
      <c r="A9" s="2" t="s">
        <v>2658</v>
      </c>
      <c r="B9" s="2" t="s">
        <v>2659</v>
      </c>
      <c r="C9" s="3">
        <v>680</v>
      </c>
      <c r="D9" s="2" t="s">
        <v>102</v>
      </c>
      <c r="E9" s="7">
        <f>IF($D9="","",COUNTIF('Импорт посещаемость'!I6:AE6,"L*"))</f>
        <v>1</v>
      </c>
      <c r="F9" s="7">
        <f>IF($D9="","",COUNTIF('Импорт посещаемость'!I6:AE6,"R*"))</f>
        <v>6</v>
      </c>
      <c r="G9" s="7">
        <f>IF($D9="","",MAX(0,COUNTA('Импорт посещаемость'!$I$1:$AE$1)-E9-F9))</f>
        <v>16</v>
      </c>
      <c r="H9" s="7">
        <f t="shared" si="0"/>
        <v>7</v>
      </c>
      <c r="I9" s="9">
        <f>IFERROR(H9/COUNTA('Импорт посещаемость'!$I$1:$AE$1),"")</f>
        <v>0.30434782608695699</v>
      </c>
      <c r="J9" s="13" t="str">
        <f>IFERROR(__xludf.DUMMYFUNCTION("IF($D9="""","""",SPARKLINE(I9,{""charttype"",""bar"";""max"",1;""color1"",""#FFFFFF""}))"),"")</f>
        <v/>
      </c>
    </row>
    <row r="10" spans="1:25" ht="15.75" customHeight="1">
      <c r="A10" s="2" t="s">
        <v>2660</v>
      </c>
      <c r="B10" s="2" t="s">
        <v>2661</v>
      </c>
      <c r="C10" s="3">
        <v>269</v>
      </c>
      <c r="D10" s="2" t="s">
        <v>383</v>
      </c>
      <c r="E10" s="7">
        <f>IF($D10="","",COUNTIF('Импорт посещаемость'!I7:AE7,"L*"))</f>
        <v>17</v>
      </c>
      <c r="F10" s="7">
        <f>IF($D10="","",COUNTIF('Импорт посещаемость'!I7:AE7,"R*"))</f>
        <v>5</v>
      </c>
      <c r="G10" s="7">
        <f>IF($D10="","",MAX(0,COUNTA('Импорт посещаемость'!$I$1:$AE$1)-E10-F10))</f>
        <v>1</v>
      </c>
      <c r="H10" s="7">
        <f t="shared" si="0"/>
        <v>22</v>
      </c>
      <c r="I10" s="9">
        <f>IFERROR(H10/COUNTA('Импорт посещаемость'!$I$1:$AE$1),"")</f>
        <v>0.95652173913043503</v>
      </c>
      <c r="J10" s="13" t="str">
        <f>IFERROR(__xludf.DUMMYFUNCTION("IF($D10="""","""",SPARKLINE(I10,{""charttype"",""bar"";""max"",1;""color1"",""#FFFFFF""}))"),"")</f>
        <v/>
      </c>
    </row>
    <row r="11" spans="1:25" ht="15.75" customHeight="1">
      <c r="A11" s="2" t="s">
        <v>2662</v>
      </c>
      <c r="B11" s="2" t="s">
        <v>2663</v>
      </c>
      <c r="C11" s="3">
        <v>440</v>
      </c>
      <c r="D11" s="2" t="s">
        <v>502</v>
      </c>
      <c r="E11" s="7">
        <f>IF($D11="","",COUNTIF('Импорт посещаемость'!I8:AE8,"L*"))</f>
        <v>16</v>
      </c>
      <c r="F11" s="7">
        <f>IF($D11="","",COUNTIF('Импорт посещаемость'!I8:AE8,"R*"))</f>
        <v>7</v>
      </c>
      <c r="G11" s="7">
        <f>IF($D11="","",MAX(0,COUNTA('Импорт посещаемость'!$I$1:$AE$1)-E11-F11))</f>
        <v>0</v>
      </c>
      <c r="H11" s="7">
        <f t="shared" si="0"/>
        <v>23</v>
      </c>
      <c r="I11" s="9">
        <f>IFERROR(H11/COUNTA('Импорт посещаемость'!$I$1:$AE$1),"")</f>
        <v>1</v>
      </c>
      <c r="J11" s="13" t="str">
        <f>IFERROR(__xludf.DUMMYFUNCTION("IF($D11="""","""",SPARKLINE(I11,{""charttype"",""bar"";""max"",1;""color1"",""#FFFFFF""}))"),"")</f>
        <v/>
      </c>
    </row>
    <row r="12" spans="1:25" ht="15.75" customHeight="1">
      <c r="A12" s="2" t="s">
        <v>2662</v>
      </c>
      <c r="B12" s="2" t="s">
        <v>2664</v>
      </c>
      <c r="C12" s="3">
        <v>717</v>
      </c>
      <c r="D12" s="2" t="s">
        <v>583</v>
      </c>
      <c r="E12" s="7">
        <f>IF($D12="","",COUNTIF('Импорт посещаемость'!I9:AE9,"L*"))</f>
        <v>13</v>
      </c>
      <c r="F12" s="7">
        <f>IF($D12="","",COUNTIF('Импорт посещаемость'!I9:AE9,"R*"))</f>
        <v>10</v>
      </c>
      <c r="G12" s="7">
        <f>IF($D12="","",MAX(0,COUNTA('Импорт посещаемость'!$I$1:$AE$1)-E12-F12))</f>
        <v>0</v>
      </c>
      <c r="H12" s="7">
        <f t="shared" si="0"/>
        <v>23</v>
      </c>
      <c r="I12" s="9">
        <f>IFERROR(H12/COUNTA('Импорт посещаемость'!$I$1:$AE$1),"")</f>
        <v>1</v>
      </c>
      <c r="J12" s="13" t="str">
        <f>IFERROR(__xludf.DUMMYFUNCTION("IF($D12="""","""",SPARKLINE(I12,{""charttype"",""bar"";""max"",1;""color1"",""#FFFFFF""}))"),"")</f>
        <v/>
      </c>
    </row>
    <row r="13" spans="1:25" ht="15.75" customHeight="1">
      <c r="A13" s="2" t="s">
        <v>2665</v>
      </c>
      <c r="B13" s="2" t="s">
        <v>2666</v>
      </c>
      <c r="C13" s="3">
        <v>686</v>
      </c>
      <c r="D13" s="2" t="s">
        <v>661</v>
      </c>
      <c r="E13" s="7">
        <f>IF($D13="","",COUNTIF('Импорт посещаемость'!I10:AE10,"L*"))</f>
        <v>17</v>
      </c>
      <c r="F13" s="7">
        <f>IF($D13="","",COUNTIF('Импорт посещаемость'!I10:AE10,"R*"))</f>
        <v>4</v>
      </c>
      <c r="G13" s="7">
        <f>IF($D13="","",MAX(0,COUNTA('Импорт посещаемость'!$I$1:$AE$1)-E13-F13))</f>
        <v>2</v>
      </c>
      <c r="H13" s="7">
        <f t="shared" si="0"/>
        <v>21</v>
      </c>
      <c r="I13" s="9">
        <f>IFERROR(H13/COUNTA('Импорт посещаемость'!$I$1:$AE$1),"")</f>
        <v>0.91304347826086996</v>
      </c>
      <c r="J13" s="13" t="str">
        <f>IFERROR(__xludf.DUMMYFUNCTION("IF($D13="""","""",SPARKLINE(I13,{""charttype"",""bar"";""max"",1;""color1"",""#FFFFFF""}))"),"")</f>
        <v/>
      </c>
    </row>
    <row r="14" spans="1:25" ht="15.75" customHeight="1">
      <c r="A14" s="2" t="s">
        <v>2667</v>
      </c>
      <c r="B14" s="2" t="s">
        <v>2668</v>
      </c>
      <c r="C14" s="3">
        <v>648</v>
      </c>
      <c r="D14" s="2" t="s">
        <v>148</v>
      </c>
      <c r="E14" s="7">
        <f>IF($D14="","",COUNTIF('Импорт посещаемость'!I11:AE11,"L*"))</f>
        <v>9</v>
      </c>
      <c r="F14" s="7">
        <f>IF($D14="","",COUNTIF('Импорт посещаемость'!I11:AE11,"R*"))</f>
        <v>14</v>
      </c>
      <c r="G14" s="7">
        <f>IF($D14="","",MAX(0,COUNTA('Импорт посещаемость'!$I$1:$AE$1)-E14-F14))</f>
        <v>0</v>
      </c>
      <c r="H14" s="7">
        <f t="shared" si="0"/>
        <v>23</v>
      </c>
      <c r="I14" s="9">
        <f>IFERROR(H14/COUNTA('Импорт посещаемость'!$I$1:$AE$1),"")</f>
        <v>1</v>
      </c>
      <c r="J14" s="13" t="str">
        <f>IFERROR(__xludf.DUMMYFUNCTION("IF($D14="""","""",SPARKLINE(I14,{""charttype"",""bar"";""max"",1;""color1"",""#FFFFFF""}))"),"")</f>
        <v/>
      </c>
    </row>
    <row r="15" spans="1:25" ht="15.75" customHeight="1">
      <c r="A15" s="2" t="s">
        <v>2669</v>
      </c>
      <c r="B15" s="2" t="s">
        <v>2670</v>
      </c>
      <c r="C15" s="3">
        <v>782</v>
      </c>
      <c r="D15" s="2" t="s">
        <v>776</v>
      </c>
      <c r="E15" s="7">
        <f>IF($D15="","",COUNTIF('Импорт посещаемость'!I12:AE12,"L*"))</f>
        <v>16</v>
      </c>
      <c r="F15" s="7">
        <f>IF($D15="","",COUNTIF('Импорт посещаемость'!I12:AE12,"R*"))</f>
        <v>7</v>
      </c>
      <c r="G15" s="7">
        <f>IF($D15="","",MAX(0,COUNTA('Импорт посещаемость'!$I$1:$AE$1)-E15-F15))</f>
        <v>0</v>
      </c>
      <c r="H15" s="7">
        <f t="shared" si="0"/>
        <v>23</v>
      </c>
      <c r="I15" s="9">
        <f>IFERROR(H15/COUNTA('Импорт посещаемость'!$I$1:$AE$1),"")</f>
        <v>1</v>
      </c>
      <c r="J15" s="13" t="str">
        <f>IFERROR(__xludf.DUMMYFUNCTION("IF($D15="""","""",SPARKLINE(I15,{""charttype"",""bar"";""max"",1;""color1"",""#FFFFFF""}))"),"")</f>
        <v/>
      </c>
    </row>
    <row r="16" spans="1:25" ht="15.75" customHeight="1">
      <c r="A16" s="2" t="s">
        <v>2671</v>
      </c>
      <c r="B16" s="2" t="s">
        <v>2672</v>
      </c>
      <c r="C16" s="3">
        <v>462</v>
      </c>
      <c r="D16" s="2" t="s">
        <v>335</v>
      </c>
      <c r="E16" s="7">
        <f>IF($D16="","",COUNTIF('Импорт посещаемость'!I13:AE13,"L*"))</f>
        <v>4</v>
      </c>
      <c r="F16" s="7">
        <f>IF($D16="","",COUNTIF('Импорт посещаемость'!I13:AE13,"R*"))</f>
        <v>1</v>
      </c>
      <c r="G16" s="7">
        <f>IF($D16="","",MAX(0,COUNTA('Импорт посещаемость'!$I$1:$AE$1)-E16-F16))</f>
        <v>18</v>
      </c>
      <c r="H16" s="7">
        <f t="shared" si="0"/>
        <v>5</v>
      </c>
      <c r="I16" s="9">
        <f>IFERROR(H16/COUNTA('Импорт посещаемость'!$I$1:$AE$1),"")</f>
        <v>0.217391304347826</v>
      </c>
      <c r="J16" s="13" t="str">
        <f>IFERROR(__xludf.DUMMYFUNCTION("IF($D16="""","""",SPARKLINE(I16,{""charttype"",""bar"";""max"",1;""color1"",""#FFFFFF""}))"),"")</f>
        <v/>
      </c>
    </row>
    <row r="17" spans="1:10" ht="15.75" customHeight="1">
      <c r="A17" s="2" t="s">
        <v>2673</v>
      </c>
      <c r="B17" s="2" t="s">
        <v>2674</v>
      </c>
      <c r="C17" s="3">
        <v>681</v>
      </c>
      <c r="D17" s="2" t="s">
        <v>663</v>
      </c>
      <c r="E17" s="7">
        <f>IF($D17="","",COUNTIF('Импорт посещаемость'!I14:AE14,"L*"))</f>
        <v>5</v>
      </c>
      <c r="F17" s="7">
        <f>IF($D17="","",COUNTIF('Импорт посещаемость'!I14:AE14,"R*"))</f>
        <v>17</v>
      </c>
      <c r="G17" s="7">
        <f>IF($D17="","",MAX(0,COUNTA('Импорт посещаемость'!$I$1:$AE$1)-E17-F17))</f>
        <v>1</v>
      </c>
      <c r="H17" s="7">
        <f t="shared" si="0"/>
        <v>22</v>
      </c>
      <c r="I17" s="9">
        <f>IFERROR(H17/COUNTA('Импорт посещаемость'!$I$1:$AE$1),"")</f>
        <v>0.95652173913043503</v>
      </c>
      <c r="J17" s="13" t="str">
        <f>IFERROR(__xludf.DUMMYFUNCTION("IF($D17="""","""",SPARKLINE(I17,{""charttype"",""bar"";""max"",1;""color1"",""#FFFFFF""}))"),"")</f>
        <v/>
      </c>
    </row>
    <row r="18" spans="1:10" ht="15.75" customHeight="1">
      <c r="A18" s="2" t="s">
        <v>2675</v>
      </c>
      <c r="B18" s="2" t="s">
        <v>2676</v>
      </c>
      <c r="C18" s="3">
        <v>785</v>
      </c>
      <c r="D18" s="2" t="s">
        <v>197</v>
      </c>
      <c r="E18" s="7">
        <f>IF($D18="","",COUNTIF('Импорт посещаемость'!I15:AE15,"L*"))</f>
        <v>1</v>
      </c>
      <c r="F18" s="7">
        <f>IF($D18="","",COUNTIF('Импорт посещаемость'!I15:AE15,"R*"))</f>
        <v>22</v>
      </c>
      <c r="G18" s="7">
        <f>IF($D18="","",MAX(0,COUNTA('Импорт посещаемость'!$I$1:$AE$1)-E18-F18))</f>
        <v>0</v>
      </c>
      <c r="H18" s="7">
        <f t="shared" si="0"/>
        <v>23</v>
      </c>
      <c r="I18" s="9">
        <f>IFERROR(H18/COUNTA('Импорт посещаемость'!$I$1:$AE$1),"")</f>
        <v>1</v>
      </c>
      <c r="J18" s="13" t="str">
        <f>IFERROR(__xludf.DUMMYFUNCTION("IF($D18="""","""",SPARKLINE(I18,{""charttype"",""bar"";""max"",1;""color1"",""#FFFFFF""}))"),"")</f>
        <v/>
      </c>
    </row>
    <row r="19" spans="1:10" ht="15.75" customHeight="1">
      <c r="A19" s="2" t="s">
        <v>2677</v>
      </c>
      <c r="B19" s="2" t="s">
        <v>2668</v>
      </c>
      <c r="C19" s="3">
        <v>621</v>
      </c>
      <c r="D19" s="2" t="s">
        <v>665</v>
      </c>
      <c r="E19" s="7">
        <f>IF($D19="","",COUNTIF('Импорт посещаемость'!I16:AE16,"L*"))</f>
        <v>15</v>
      </c>
      <c r="F19" s="7">
        <f>IF($D19="","",COUNTIF('Импорт посещаемость'!I16:AE16,"R*"))</f>
        <v>6</v>
      </c>
      <c r="G19" s="7">
        <f>IF($D19="","",MAX(0,COUNTA('Импорт посещаемость'!$I$1:$AE$1)-E19-F19))</f>
        <v>2</v>
      </c>
      <c r="H19" s="7">
        <f t="shared" si="0"/>
        <v>21</v>
      </c>
      <c r="I19" s="9">
        <f>IFERROR(H19/COUNTA('Импорт посещаемость'!$I$1:$AE$1),"")</f>
        <v>0.91304347826086996</v>
      </c>
      <c r="J19" s="13" t="str">
        <f>IFERROR(__xludf.DUMMYFUNCTION("IF($D19="""","""",SPARKLINE(I19,{""charttype"",""bar"";""max"",1;""color1"",""#FFFFFF""}))"),"")</f>
        <v/>
      </c>
    </row>
    <row r="20" spans="1:10" ht="15.75" customHeight="1">
      <c r="A20" s="2" t="s">
        <v>2370</v>
      </c>
      <c r="B20" s="2" t="s">
        <v>2678</v>
      </c>
      <c r="C20" s="3">
        <v>280</v>
      </c>
      <c r="D20" s="2" t="s">
        <v>56</v>
      </c>
      <c r="E20" s="7">
        <f>IF($D20="","",COUNTIF('Импорт посещаемость'!I17:AE17,"L*"))</f>
        <v>14</v>
      </c>
      <c r="F20" s="7">
        <f>IF($D20="","",COUNTIF('Импорт посещаемость'!I17:AE17,"R*"))</f>
        <v>9</v>
      </c>
      <c r="G20" s="7">
        <f>IF($D20="","",MAX(0,COUNTA('Импорт посещаемость'!$I$1:$AE$1)-E20-F20))</f>
        <v>0</v>
      </c>
      <c r="H20" s="7">
        <f t="shared" si="0"/>
        <v>23</v>
      </c>
      <c r="I20" s="9">
        <f>IFERROR(H20/COUNTA('Импорт посещаемость'!$I$1:$AE$1),"")</f>
        <v>1</v>
      </c>
      <c r="J20" s="13" t="str">
        <f>IFERROR(__xludf.DUMMYFUNCTION("IF($D20="""","""",SPARKLINE(I20,{""charttype"",""bar"";""max"",1;""color1"",""#FFFFFF""}))"),"")</f>
        <v/>
      </c>
    </row>
    <row r="21" spans="1:10" ht="15.75" customHeight="1">
      <c r="A21" s="2" t="s">
        <v>2679</v>
      </c>
      <c r="B21" s="2" t="s">
        <v>2680</v>
      </c>
      <c r="C21" s="3">
        <v>796</v>
      </c>
      <c r="D21" s="2" t="s">
        <v>780</v>
      </c>
      <c r="E21" s="7">
        <f>IF($D21="","",COUNTIF('Импорт посещаемость'!I18:AE18,"L*"))</f>
        <v>2</v>
      </c>
      <c r="F21" s="7">
        <f>IF($D21="","",COUNTIF('Импорт посещаемость'!I18:AE18,"R*"))</f>
        <v>20</v>
      </c>
      <c r="G21" s="7">
        <f>IF($D21="","",MAX(0,COUNTA('Импорт посещаемость'!$I$1:$AE$1)-E21-F21))</f>
        <v>1</v>
      </c>
      <c r="H21" s="7">
        <f t="shared" si="0"/>
        <v>22</v>
      </c>
      <c r="I21" s="9">
        <f>IFERROR(H21/COUNTA('Импорт посещаемость'!$I$1:$AE$1),"")</f>
        <v>0.95652173913043503</v>
      </c>
      <c r="J21" s="13" t="str">
        <f>IFERROR(__xludf.DUMMYFUNCTION("IF($D21="""","""",SPARKLINE(I21,{""charttype"",""bar"";""max"",1;""color1"",""#FFFFFF""}))"),"")</f>
        <v/>
      </c>
    </row>
    <row r="22" spans="1:10" ht="15.75" customHeight="1">
      <c r="A22" s="2" t="s">
        <v>2681</v>
      </c>
      <c r="B22" s="2" t="s">
        <v>2682</v>
      </c>
      <c r="C22" s="3">
        <v>747</v>
      </c>
      <c r="D22" s="2" t="s">
        <v>59</v>
      </c>
      <c r="E22" s="7">
        <f>IF($D22="","",COUNTIF('Импорт посещаемость'!I19:AE19,"L*"))</f>
        <v>15</v>
      </c>
      <c r="F22" s="7">
        <f>IF($D22="","",COUNTIF('Импорт посещаемость'!I19:AE19,"R*"))</f>
        <v>8</v>
      </c>
      <c r="G22" s="7">
        <f>IF($D22="","",MAX(0,COUNTA('Импорт посещаемость'!$I$1:$AE$1)-E22-F22))</f>
        <v>0</v>
      </c>
      <c r="H22" s="7">
        <f t="shared" si="0"/>
        <v>23</v>
      </c>
      <c r="I22" s="9">
        <f>IFERROR(H22/COUNTA('Импорт посещаемость'!$I$1:$AE$1),"")</f>
        <v>1</v>
      </c>
      <c r="J22" s="13" t="str">
        <f>IFERROR(__xludf.DUMMYFUNCTION("IF($D22="""","""",SPARKLINE(I22,{""charttype"",""bar"";""max"",1;""color1"",""#FFFFFF""}))"),"")</f>
        <v/>
      </c>
    </row>
    <row r="23" spans="1:10" ht="15.75" customHeight="1">
      <c r="A23" s="2" t="s">
        <v>2683</v>
      </c>
      <c r="B23" s="2" t="s">
        <v>2678</v>
      </c>
      <c r="C23" s="3">
        <v>678</v>
      </c>
      <c r="D23" s="2" t="s">
        <v>542</v>
      </c>
      <c r="E23" s="7">
        <f>IF($D23="","",COUNTIF('Импорт посещаемость'!I20:AE20,"L*"))</f>
        <v>7</v>
      </c>
      <c r="F23" s="7">
        <f>IF($D23="","",COUNTIF('Импорт посещаемость'!I20:AE20,"R*"))</f>
        <v>2</v>
      </c>
      <c r="G23" s="7">
        <f>IF($D23="","",MAX(0,COUNTA('Импорт посещаемость'!$I$1:$AE$1)-E23-F23))</f>
        <v>14</v>
      </c>
      <c r="H23" s="7">
        <f t="shared" si="0"/>
        <v>9</v>
      </c>
      <c r="I23" s="9">
        <f>IFERROR(H23/COUNTA('Импорт посещаемость'!$I$1:$AE$1),"")</f>
        <v>0.39130434782608697</v>
      </c>
      <c r="J23" s="13" t="str">
        <f>IFERROR(__xludf.DUMMYFUNCTION("IF($D23="""","""",SPARKLINE(I23,{""charttype"",""bar"";""max"",1;""color1"",""#FFFFFF""}))"),"")</f>
        <v/>
      </c>
    </row>
    <row r="24" spans="1:10" ht="15.75" customHeight="1">
      <c r="A24" s="2" t="s">
        <v>2684</v>
      </c>
      <c r="B24" s="2" t="s">
        <v>2682</v>
      </c>
      <c r="C24" s="3">
        <v>758</v>
      </c>
      <c r="D24" s="2" t="s">
        <v>579</v>
      </c>
      <c r="E24" s="7">
        <f>IF($D24="","",COUNTIF('Импорт посещаемость'!I21:AE21,"L*"))</f>
        <v>16</v>
      </c>
      <c r="F24" s="7">
        <f>IF($D24="","",COUNTIF('Импорт посещаемость'!I21:AE21,"R*"))</f>
        <v>7</v>
      </c>
      <c r="G24" s="7">
        <f>IF($D24="","",MAX(0,COUNTA('Импорт посещаемость'!$I$1:$AE$1)-E24-F24))</f>
        <v>0</v>
      </c>
      <c r="H24" s="7">
        <f t="shared" si="0"/>
        <v>23</v>
      </c>
      <c r="I24" s="9">
        <f>IFERROR(H24/COUNTA('Импорт посещаемость'!$I$1:$AE$1),"")</f>
        <v>1</v>
      </c>
      <c r="J24" s="13" t="str">
        <f>IFERROR(__xludf.DUMMYFUNCTION("IF($D24="""","""",SPARKLINE(I24,{""charttype"",""bar"";""max"",1;""color1"",""#FFFFFF""}))"),"")</f>
        <v/>
      </c>
    </row>
    <row r="25" spans="1:10" ht="15.75" customHeight="1">
      <c r="A25" s="2" t="s">
        <v>2685</v>
      </c>
      <c r="B25" s="2" t="s">
        <v>851</v>
      </c>
      <c r="C25" s="3">
        <v>406</v>
      </c>
      <c r="D25" s="2" t="s">
        <v>581</v>
      </c>
      <c r="E25" s="7">
        <f>IF($D25="","",COUNTIF('Импорт посещаемость'!I22:AE22,"L*"))</f>
        <v>12</v>
      </c>
      <c r="F25" s="7">
        <f>IF($D25="","",COUNTIF('Импорт посещаемость'!I22:AE22,"R*"))</f>
        <v>10</v>
      </c>
      <c r="G25" s="7">
        <f>IF($D25="","",MAX(0,COUNTA('Импорт посещаемость'!$I$1:$AE$1)-E25-F25))</f>
        <v>1</v>
      </c>
      <c r="H25" s="7">
        <f t="shared" si="0"/>
        <v>22</v>
      </c>
      <c r="I25" s="9">
        <f>IFERROR(H25/COUNTA('Импорт посещаемость'!$I$1:$AE$1),"")</f>
        <v>0.95652173913043503</v>
      </c>
      <c r="J25" s="13" t="str">
        <f>IFERROR(__xludf.DUMMYFUNCTION("IF($D25="""","""",SPARKLINE(I25,{""charttype"",""bar"";""max"",1;""color1"",""#FFFFFF""}))"),"")</f>
        <v/>
      </c>
    </row>
    <row r="26" spans="1:10" ht="15.75" customHeight="1">
      <c r="A26" s="2" t="s">
        <v>2686</v>
      </c>
      <c r="B26" s="2" t="s">
        <v>2687</v>
      </c>
      <c r="C26" s="3">
        <v>720</v>
      </c>
      <c r="D26" s="2" t="s">
        <v>668</v>
      </c>
      <c r="E26" s="7">
        <f>IF($D26="","",COUNTIF('Импорт посещаемость'!I23:AE23,"L*"))</f>
        <v>10</v>
      </c>
      <c r="F26" s="7">
        <f>IF($D26="","",COUNTIF('Импорт посещаемость'!I23:AE23,"R*"))</f>
        <v>4</v>
      </c>
      <c r="G26" s="7">
        <f>IF($D26="","",MAX(0,COUNTA('Импорт посещаемость'!$I$1:$AE$1)-E26-F26))</f>
        <v>9</v>
      </c>
      <c r="H26" s="7">
        <f t="shared" si="0"/>
        <v>14</v>
      </c>
      <c r="I26" s="9">
        <f>IFERROR(H26/COUNTA('Импорт посещаемость'!$I$1:$AE$1),"")</f>
        <v>0.60869565217391297</v>
      </c>
      <c r="J26" s="13" t="str">
        <f>IFERROR(__xludf.DUMMYFUNCTION("IF($D26="""","""",SPARKLINE(I26,{""charttype"",""bar"";""max"",1;""color1"",""#FFFFFF""}))"),"")</f>
        <v/>
      </c>
    </row>
    <row r="27" spans="1:10" ht="15.75" customHeight="1">
      <c r="A27" s="2" t="s">
        <v>2688</v>
      </c>
      <c r="B27" s="2" t="s">
        <v>2682</v>
      </c>
      <c r="C27" s="3">
        <v>671</v>
      </c>
      <c r="D27" s="2" t="s">
        <v>585</v>
      </c>
      <c r="E27" s="7">
        <f>IF($D27="","",COUNTIF('Импорт посещаемость'!I24:AE24,"L*"))</f>
        <v>10</v>
      </c>
      <c r="F27" s="7">
        <f>IF($D27="","",COUNTIF('Импорт посещаемость'!I24:AE24,"R*"))</f>
        <v>13</v>
      </c>
      <c r="G27" s="7">
        <f>IF($D27="","",MAX(0,COUNTA('Импорт посещаемость'!$I$1:$AE$1)-E27-F27))</f>
        <v>0</v>
      </c>
      <c r="H27" s="7">
        <f t="shared" si="0"/>
        <v>23</v>
      </c>
      <c r="I27" s="9">
        <f>IFERROR(H27/COUNTA('Импорт посещаемость'!$I$1:$AE$1),"")</f>
        <v>1</v>
      </c>
      <c r="J27" s="13" t="str">
        <f>IFERROR(__xludf.DUMMYFUNCTION("IF($D27="""","""",SPARKLINE(I27,{""charttype"",""bar"";""max"",1;""color1"",""#FFFFFF""}))"),"")</f>
        <v/>
      </c>
    </row>
    <row r="28" spans="1:10" ht="15.75" customHeight="1">
      <c r="A28" s="2" t="s">
        <v>2689</v>
      </c>
      <c r="B28" s="2" t="s">
        <v>2690</v>
      </c>
      <c r="C28" s="3">
        <v>776</v>
      </c>
      <c r="D28" s="2" t="s">
        <v>287</v>
      </c>
      <c r="E28" s="7">
        <f>IF($D28="","",COUNTIF('Импорт посещаемость'!I25:AE25,"L*"))</f>
        <v>0</v>
      </c>
      <c r="F28" s="7">
        <f>IF($D28="","",COUNTIF('Импорт посещаемость'!I25:AE25,"R*"))</f>
        <v>7</v>
      </c>
      <c r="G28" s="7">
        <f>IF($D28="","",MAX(0,COUNTA('Импорт посещаемость'!$I$1:$AE$1)-E28-F28))</f>
        <v>16</v>
      </c>
      <c r="H28" s="7">
        <f t="shared" si="0"/>
        <v>7</v>
      </c>
      <c r="I28" s="9">
        <f>IFERROR(H28/COUNTA('Импорт посещаемость'!$I$1:$AE$1),"")</f>
        <v>0.30434782608695699</v>
      </c>
      <c r="J28" s="13" t="str">
        <f>IFERROR(__xludf.DUMMYFUNCTION("IF($D28="""","""",SPARKLINE(I28,{""charttype"",""bar"";""max"",1;""color1"",""#FFFFFF""}))"),"")</f>
        <v/>
      </c>
    </row>
    <row r="29" spans="1:10" ht="15.75" customHeight="1">
      <c r="A29" s="2" t="s">
        <v>2691</v>
      </c>
      <c r="B29" s="2" t="s">
        <v>2657</v>
      </c>
      <c r="C29" s="3">
        <v>301</v>
      </c>
      <c r="D29" s="2" t="s">
        <v>150</v>
      </c>
      <c r="E29" s="7">
        <f>IF($D29="","",COUNTIF('Импорт посещаемость'!I26:AE26,"L*"))</f>
        <v>4</v>
      </c>
      <c r="F29" s="7">
        <f>IF($D29="","",COUNTIF('Импорт посещаемость'!I26:AE26,"R*"))</f>
        <v>19</v>
      </c>
      <c r="G29" s="7">
        <f>IF($D29="","",MAX(0,COUNTA('Импорт посещаемость'!$I$1:$AE$1)-E29-F29))</f>
        <v>0</v>
      </c>
      <c r="H29" s="7">
        <f t="shared" si="0"/>
        <v>23</v>
      </c>
      <c r="I29" s="9">
        <f>IFERROR(H29/COUNTA('Импорт посещаемость'!$I$1:$AE$1),"")</f>
        <v>1</v>
      </c>
      <c r="J29" s="13" t="str">
        <f>IFERROR(__xludf.DUMMYFUNCTION("IF($D29="""","""",SPARKLINE(I29,{""charttype"",""bar"";""max"",1;""color1"",""#FFFFFF""}))"),"")</f>
        <v/>
      </c>
    </row>
    <row r="30" spans="1:10" ht="15.75" customHeight="1">
      <c r="A30" s="2" t="s">
        <v>2692</v>
      </c>
      <c r="B30" s="2" t="s">
        <v>2693</v>
      </c>
      <c r="C30" s="3">
        <v>691</v>
      </c>
      <c r="D30" s="2" t="s">
        <v>587</v>
      </c>
      <c r="E30" s="7">
        <f>IF($D30="","",COUNTIF('Импорт посещаемость'!I27:AE27,"L*"))</f>
        <v>12</v>
      </c>
      <c r="F30" s="7">
        <f>IF($D30="","",COUNTIF('Импорт посещаемость'!I27:AE27,"R*"))</f>
        <v>5</v>
      </c>
      <c r="G30" s="7">
        <f>IF($D30="","",MAX(0,COUNTA('Импорт посещаемость'!$I$1:$AE$1)-E30-F30))</f>
        <v>6</v>
      </c>
      <c r="H30" s="7">
        <f t="shared" si="0"/>
        <v>17</v>
      </c>
      <c r="I30" s="9">
        <f>IFERROR(H30/COUNTA('Импорт посещаемость'!$I$1:$AE$1),"")</f>
        <v>0.73913043478260898</v>
      </c>
      <c r="J30" s="13" t="str">
        <f>IFERROR(__xludf.DUMMYFUNCTION("IF($D30="""","""",SPARKLINE(I30,{""charttype"",""bar"";""max"",1;""color1"",""#FFFFFF""}))"),"")</f>
        <v/>
      </c>
    </row>
    <row r="31" spans="1:10" ht="15.75" customHeight="1">
      <c r="A31" s="2" t="s">
        <v>2694</v>
      </c>
      <c r="B31" s="2" t="s">
        <v>2695</v>
      </c>
      <c r="C31" s="3">
        <v>599</v>
      </c>
      <c r="D31" s="2" t="s">
        <v>290</v>
      </c>
      <c r="E31" s="7">
        <f>IF($D31="","",COUNTIF('Импорт посещаемость'!I28:AE28,"L*"))</f>
        <v>17</v>
      </c>
      <c r="F31" s="7">
        <f>IF($D31="","",COUNTIF('Импорт посещаемость'!I28:AE28,"R*"))</f>
        <v>2</v>
      </c>
      <c r="G31" s="7">
        <f>IF($D31="","",MAX(0,COUNTA('Импорт посещаемость'!$I$1:$AE$1)-E31-F31))</f>
        <v>4</v>
      </c>
      <c r="H31" s="7">
        <f t="shared" si="0"/>
        <v>19</v>
      </c>
      <c r="I31" s="9">
        <f>IFERROR(H31/COUNTA('Импорт посещаемость'!$I$1:$AE$1),"")</f>
        <v>0.82608695652173902</v>
      </c>
      <c r="J31" s="13" t="str">
        <f>IFERROR(__xludf.DUMMYFUNCTION("IF($D31="""","""",SPARKLINE(I31,{""charttype"",""bar"";""max"",1;""color1"",""#FFFFFF""}))"),"")</f>
        <v/>
      </c>
    </row>
    <row r="32" spans="1:10" ht="15.75" customHeight="1">
      <c r="A32" s="2" t="s">
        <v>2696</v>
      </c>
      <c r="B32" s="2" t="s">
        <v>2697</v>
      </c>
      <c r="C32" s="3">
        <v>625</v>
      </c>
      <c r="D32" s="2" t="s">
        <v>199</v>
      </c>
      <c r="E32" s="7">
        <f>IF($D32="","",COUNTIF('Импорт посещаемость'!I29:AE29,"L*"))</f>
        <v>10</v>
      </c>
      <c r="F32" s="7">
        <f>IF($D32="","",COUNTIF('Импорт посещаемость'!I29:AE29,"R*"))</f>
        <v>13</v>
      </c>
      <c r="G32" s="7">
        <f>IF($D32="","",MAX(0,COUNTA('Импорт посещаемость'!$I$1:$AE$1)-E32-F32))</f>
        <v>0</v>
      </c>
      <c r="H32" s="7">
        <f t="shared" si="0"/>
        <v>23</v>
      </c>
      <c r="I32" s="9">
        <f>IFERROR(H32/COUNTA('Импорт посещаемость'!$I$1:$AE$1),"")</f>
        <v>1</v>
      </c>
      <c r="J32" s="13" t="str">
        <f>IFERROR(__xludf.DUMMYFUNCTION("IF($D32="""","""",SPARKLINE(I32,{""charttype"",""bar"";""max"",1;""color1"",""#FFFFFF""}))"),"")</f>
        <v/>
      </c>
    </row>
    <row r="33" spans="1:10" ht="15.75" customHeight="1">
      <c r="A33" s="2" t="s">
        <v>2698</v>
      </c>
      <c r="B33" s="2" t="s">
        <v>2699</v>
      </c>
      <c r="C33" s="3">
        <v>590</v>
      </c>
      <c r="D33" s="2" t="s">
        <v>745</v>
      </c>
      <c r="E33" s="7">
        <f>IF($D33="","",COUNTIF('Импорт посещаемость'!I30:AE30,"L*"))</f>
        <v>0</v>
      </c>
      <c r="F33" s="7">
        <f>IF($D33="","",COUNTIF('Импорт посещаемость'!I30:AE30,"R*"))</f>
        <v>13</v>
      </c>
      <c r="G33" s="7">
        <f>IF($D33="","",MAX(0,COUNTA('Импорт посещаемость'!$I$1:$AE$1)-E33-F33))</f>
        <v>10</v>
      </c>
      <c r="H33" s="7">
        <f t="shared" si="0"/>
        <v>13</v>
      </c>
      <c r="I33" s="9">
        <f>IFERROR(H33/COUNTA('Импорт посещаемость'!$I$1:$AE$1),"")</f>
        <v>0.565217391304348</v>
      </c>
      <c r="J33" s="13" t="str">
        <f>IFERROR(__xludf.DUMMYFUNCTION("IF($D33="""","""",SPARKLINE(I33,{""charttype"",""bar"";""max"",1;""color1"",""#FFFFFF""}))"),"")</f>
        <v/>
      </c>
    </row>
    <row r="34" spans="1:10" ht="15.75" customHeight="1">
      <c r="A34" s="2" t="s">
        <v>2700</v>
      </c>
      <c r="B34" s="2" t="s">
        <v>2701</v>
      </c>
      <c r="C34" s="3">
        <v>770</v>
      </c>
      <c r="D34" s="2" t="s">
        <v>202</v>
      </c>
      <c r="E34" s="7">
        <f>IF($D34="","",COUNTIF('Импорт посещаемость'!I31:AE31,"L*"))</f>
        <v>2</v>
      </c>
      <c r="F34" s="7">
        <f>IF($D34="","",COUNTIF('Импорт посещаемость'!I31:AE31,"R*"))</f>
        <v>12</v>
      </c>
      <c r="G34" s="7">
        <f>IF($D34="","",MAX(0,COUNTA('Импорт посещаемость'!$I$1:$AE$1)-E34-F34))</f>
        <v>9</v>
      </c>
      <c r="H34" s="7">
        <f t="shared" si="0"/>
        <v>14</v>
      </c>
      <c r="I34" s="9">
        <f>IFERROR(H34/COUNTA('Импорт посещаемость'!$I$1:$AE$1),"")</f>
        <v>0.60869565217391297</v>
      </c>
      <c r="J34" s="13" t="str">
        <f>IFERROR(__xludf.DUMMYFUNCTION("IF($D34="""","""",SPARKLINE(I34,{""charttype"",""bar"";""max"",1;""color1"",""#FFFFFF""}))"),"")</f>
        <v/>
      </c>
    </row>
    <row r="35" spans="1:10" ht="15.75" customHeight="1">
      <c r="A35" s="2" t="s">
        <v>2702</v>
      </c>
      <c r="B35" s="2" t="s">
        <v>2703</v>
      </c>
      <c r="C35" s="3">
        <v>638</v>
      </c>
      <c r="D35" s="2" t="s">
        <v>544</v>
      </c>
      <c r="E35" s="7">
        <f>IF($D35="","",COUNTIF('Импорт посещаемость'!I32:AE32,"L*"))</f>
        <v>0</v>
      </c>
      <c r="F35" s="7">
        <f>IF($D35="","",COUNTIF('Импорт посещаемость'!I32:AE32,"R*"))</f>
        <v>22</v>
      </c>
      <c r="G35" s="7">
        <f>IF($D35="","",MAX(0,COUNTA('Импорт посещаемость'!$I$1:$AE$1)-E35-F35))</f>
        <v>1</v>
      </c>
      <c r="H35" s="7">
        <f t="shared" si="0"/>
        <v>22</v>
      </c>
      <c r="I35" s="9">
        <f>IFERROR(H35/COUNTA('Импорт посещаемость'!$I$1:$AE$1),"")</f>
        <v>0.95652173913043503</v>
      </c>
      <c r="J35" s="13" t="str">
        <f>IFERROR(__xludf.DUMMYFUNCTION("IF($D35="""","""",SPARKLINE(I35,{""charttype"",""bar"";""max"",1;""color1"",""#FFFFFF""}))"),"")</f>
        <v/>
      </c>
    </row>
    <row r="36" spans="1:10" ht="15.75" customHeight="1">
      <c r="A36" s="2" t="s">
        <v>2704</v>
      </c>
      <c r="B36" s="2" t="s">
        <v>2693</v>
      </c>
      <c r="C36" s="3">
        <v>322</v>
      </c>
      <c r="D36" s="2" t="s">
        <v>152</v>
      </c>
      <c r="E36" s="7">
        <f>IF($D36="","",COUNTIF('Импорт посещаемость'!I33:AE33,"L*"))</f>
        <v>8</v>
      </c>
      <c r="F36" s="7">
        <f>IF($D36="","",COUNTIF('Импорт посещаемость'!I33:AE33,"R*"))</f>
        <v>15</v>
      </c>
      <c r="G36" s="7">
        <f>IF($D36="","",MAX(0,COUNTA('Импорт посещаемость'!$I$1:$AE$1)-E36-F36))</f>
        <v>0</v>
      </c>
      <c r="H36" s="7">
        <f t="shared" si="0"/>
        <v>23</v>
      </c>
      <c r="I36" s="9">
        <f>IFERROR(H36/COUNTA('Импорт посещаемость'!$I$1:$AE$1),"")</f>
        <v>1</v>
      </c>
      <c r="J36" s="13" t="str">
        <f>IFERROR(__xludf.DUMMYFUNCTION("IF($D36="""","""",SPARKLINE(I36,{""charttype"",""bar"";""max"",1;""color1"",""#FFFFFF""}))"),"")</f>
        <v/>
      </c>
    </row>
    <row r="37" spans="1:10" ht="15.75" customHeight="1">
      <c r="A37" s="2" t="s">
        <v>2705</v>
      </c>
      <c r="B37" s="2" t="s">
        <v>2706</v>
      </c>
      <c r="C37" s="3">
        <v>303</v>
      </c>
      <c r="D37" s="2" t="s">
        <v>62</v>
      </c>
      <c r="E37" s="7">
        <f>IF($D37="","",COUNTIF('Импорт посещаемость'!I34:AE34,"L*"))</f>
        <v>17</v>
      </c>
      <c r="F37" s="7">
        <f>IF($D37="","",COUNTIF('Импорт посещаемость'!I34:AE34,"R*"))</f>
        <v>6</v>
      </c>
      <c r="G37" s="7">
        <f>IF($D37="","",MAX(0,COUNTA('Импорт посещаемость'!$I$1:$AE$1)-E37-F37))</f>
        <v>0</v>
      </c>
      <c r="H37" s="7">
        <f t="shared" si="0"/>
        <v>23</v>
      </c>
      <c r="I37" s="9">
        <f>IFERROR(H37/COUNTA('Импорт посещаемость'!$I$1:$AE$1),"")</f>
        <v>1</v>
      </c>
      <c r="J37" s="13" t="str">
        <f>IFERROR(__xludf.DUMMYFUNCTION("IF($D37="""","""",SPARKLINE(I37,{""charttype"",""bar"";""max"",1;""color1"",""#FFFFFF""}))"),"")</f>
        <v/>
      </c>
    </row>
    <row r="38" spans="1:10" ht="15.75" customHeight="1">
      <c r="A38" s="2" t="s">
        <v>2707</v>
      </c>
      <c r="B38" s="2" t="s">
        <v>2708</v>
      </c>
      <c r="C38" s="3">
        <v>719</v>
      </c>
      <c r="D38" s="2" t="s">
        <v>459</v>
      </c>
      <c r="E38" s="7">
        <f>IF($D38="","",COUNTIF('Импорт посещаемость'!I35:AE35,"L*"))</f>
        <v>2</v>
      </c>
      <c r="F38" s="7">
        <f>IF($D38="","",COUNTIF('Импорт посещаемость'!I35:AE35,"R*"))</f>
        <v>21</v>
      </c>
      <c r="G38" s="7">
        <f>IF($D38="","",MAX(0,COUNTA('Импорт посещаемость'!$I$1:$AE$1)-E38-F38))</f>
        <v>0</v>
      </c>
      <c r="H38" s="7">
        <f t="shared" si="0"/>
        <v>23</v>
      </c>
      <c r="I38" s="9">
        <f>IFERROR(H38/COUNTA('Импорт посещаемость'!$I$1:$AE$1),"")</f>
        <v>1</v>
      </c>
      <c r="J38" s="13" t="str">
        <f>IFERROR(__xludf.DUMMYFUNCTION("IF($D38="""","""",SPARKLINE(I38,{""charttype"",""bar"";""max"",1;""color1"",""#FFFFFF""}))"),"")</f>
        <v/>
      </c>
    </row>
    <row r="39" spans="1:10" ht="15.75" customHeight="1">
      <c r="A39" s="2" t="s">
        <v>2709</v>
      </c>
      <c r="B39" s="2" t="s">
        <v>2710</v>
      </c>
      <c r="C39" s="3">
        <v>457</v>
      </c>
      <c r="D39" s="2" t="s">
        <v>293</v>
      </c>
      <c r="E39" s="7">
        <f>IF($D39="","",COUNTIF('Импорт посещаемость'!I36:AE36,"L*"))</f>
        <v>3</v>
      </c>
      <c r="F39" s="7">
        <f>IF($D39="","",COUNTIF('Импорт посещаемость'!I36:AE36,"R*"))</f>
        <v>20</v>
      </c>
      <c r="G39" s="7">
        <f>IF($D39="","",MAX(0,COUNTA('Импорт посещаемость'!$I$1:$AE$1)-E39-F39))</f>
        <v>0</v>
      </c>
      <c r="H39" s="7">
        <f t="shared" si="0"/>
        <v>23</v>
      </c>
      <c r="I39" s="9">
        <f>IFERROR(H39/COUNTA('Импорт посещаемость'!$I$1:$AE$1),"")</f>
        <v>1</v>
      </c>
      <c r="J39" s="13" t="str">
        <f>IFERROR(__xludf.DUMMYFUNCTION("IF($D39="""","""",SPARKLINE(I39,{""charttype"",""bar"";""max"",1;""color1"",""#FFFFFF""}))"),"")</f>
        <v/>
      </c>
    </row>
    <row r="40" spans="1:10" ht="15.75" customHeight="1">
      <c r="A40" s="2" t="s">
        <v>2711</v>
      </c>
      <c r="B40" s="2" t="s">
        <v>2671</v>
      </c>
      <c r="C40" s="3">
        <v>416</v>
      </c>
      <c r="D40" s="2" t="s">
        <v>505</v>
      </c>
      <c r="E40" s="7">
        <f>IF($D40="","",COUNTIF('Импорт посещаемость'!I37:AE37,"L*"))</f>
        <v>9</v>
      </c>
      <c r="F40" s="7">
        <f>IF($D40="","",COUNTIF('Импорт посещаемость'!I37:AE37,"R*"))</f>
        <v>14</v>
      </c>
      <c r="G40" s="7">
        <f>IF($D40="","",MAX(0,COUNTA('Импорт посещаемость'!$I$1:$AE$1)-E40-F40))</f>
        <v>0</v>
      </c>
      <c r="H40" s="7">
        <f t="shared" si="0"/>
        <v>23</v>
      </c>
      <c r="I40" s="9">
        <f>IFERROR(H40/COUNTA('Импорт посещаемость'!$I$1:$AE$1),"")</f>
        <v>1</v>
      </c>
      <c r="J40" s="13" t="str">
        <f>IFERROR(__xludf.DUMMYFUNCTION("IF($D40="""","""",SPARKLINE(I40,{""charttype"",""bar"";""max"",1;""color1"",""#FFFFFF""}))"),"")</f>
        <v/>
      </c>
    </row>
    <row r="41" spans="1:10" ht="15.75" customHeight="1">
      <c r="A41" s="2" t="s">
        <v>2712</v>
      </c>
      <c r="B41" s="2" t="s">
        <v>2662</v>
      </c>
      <c r="C41" s="3">
        <v>346</v>
      </c>
      <c r="D41" s="2" t="s">
        <v>155</v>
      </c>
      <c r="E41" s="7">
        <f>IF($D41="","",COUNTIF('Импорт посещаемость'!I38:AE38,"L*"))</f>
        <v>11</v>
      </c>
      <c r="F41" s="7">
        <f>IF($D41="","",COUNTIF('Импорт посещаемость'!I38:AE38,"R*"))</f>
        <v>12</v>
      </c>
      <c r="G41" s="7">
        <f>IF($D41="","",MAX(0,COUNTA('Импорт посещаемость'!$I$1:$AE$1)-E41-F41))</f>
        <v>0</v>
      </c>
      <c r="H41" s="7">
        <f t="shared" si="0"/>
        <v>23</v>
      </c>
      <c r="I41" s="9">
        <f>IFERROR(H41/COUNTA('Импорт посещаемость'!$I$1:$AE$1),"")</f>
        <v>1</v>
      </c>
      <c r="J41" s="13" t="str">
        <f>IFERROR(__xludf.DUMMYFUNCTION("IF($D41="""","""",SPARKLINE(I41,{""charttype"",""bar"";""max"",1;""color1"",""#FFFFFF""}))"),"")</f>
        <v/>
      </c>
    </row>
    <row r="42" spans="1:10" ht="15.75" customHeight="1">
      <c r="A42" s="2" t="s">
        <v>2713</v>
      </c>
      <c r="B42" s="2" t="s">
        <v>2682</v>
      </c>
      <c r="C42" s="3">
        <v>777</v>
      </c>
      <c r="D42" s="2" t="s">
        <v>747</v>
      </c>
      <c r="E42" s="7">
        <f>IF($D42="","",COUNTIF('Импорт посещаемость'!I39:AE39,"L*"))</f>
        <v>17</v>
      </c>
      <c r="F42" s="7">
        <f>IF($D42="","",COUNTIF('Импорт посещаемость'!I39:AE39,"R*"))</f>
        <v>6</v>
      </c>
      <c r="G42" s="7">
        <f>IF($D42="","",MAX(0,COUNTA('Импорт посещаемость'!$I$1:$AE$1)-E42-F42))</f>
        <v>0</v>
      </c>
      <c r="H42" s="7">
        <f t="shared" si="0"/>
        <v>23</v>
      </c>
      <c r="I42" s="9">
        <f>IFERROR(H42/COUNTA('Импорт посещаемость'!$I$1:$AE$1),"")</f>
        <v>1</v>
      </c>
      <c r="J42" s="13" t="str">
        <f>IFERROR(__xludf.DUMMYFUNCTION("IF($D42="""","""",SPARKLINE(I42,{""charttype"",""bar"";""max"",1;""color1"",""#FFFFFF""}))"),"")</f>
        <v/>
      </c>
    </row>
    <row r="43" spans="1:10" ht="15.75" customHeight="1">
      <c r="A43" s="2" t="s">
        <v>2714</v>
      </c>
      <c r="B43" s="2" t="s">
        <v>2715</v>
      </c>
      <c r="C43" s="3">
        <v>368</v>
      </c>
      <c r="D43" s="2" t="s">
        <v>546</v>
      </c>
      <c r="E43" s="7">
        <f>IF($D43="","",COUNTIF('Импорт посещаемость'!I40:AE40,"L*"))</f>
        <v>17</v>
      </c>
      <c r="F43" s="7">
        <f>IF($D43="","",COUNTIF('Импорт посещаемость'!I40:AE40,"R*"))</f>
        <v>4</v>
      </c>
      <c r="G43" s="7">
        <f>IF($D43="","",MAX(0,COUNTA('Импорт посещаемость'!$I$1:$AE$1)-E43-F43))</f>
        <v>2</v>
      </c>
      <c r="H43" s="7">
        <f t="shared" si="0"/>
        <v>21</v>
      </c>
      <c r="I43" s="9">
        <f>IFERROR(H43/COUNTA('Импорт посещаемость'!$I$1:$AE$1),"")</f>
        <v>0.91304347826086996</v>
      </c>
      <c r="J43" s="13" t="str">
        <f>IFERROR(__xludf.DUMMYFUNCTION("IF($D43="""","""",SPARKLINE(I43,{""charttype"",""bar"";""max"",1;""color1"",""#FFFFFF""}))"),"")</f>
        <v/>
      </c>
    </row>
    <row r="44" spans="1:10" ht="15.75" customHeight="1">
      <c r="A44" s="2" t="s">
        <v>2716</v>
      </c>
      <c r="B44" s="2" t="s">
        <v>2717</v>
      </c>
      <c r="C44" s="3">
        <v>738</v>
      </c>
      <c r="D44" s="2" t="s">
        <v>204</v>
      </c>
      <c r="E44" s="7">
        <f>IF($D44="","",COUNTIF('Импорт посещаемость'!I41:AE41,"L*"))</f>
        <v>13</v>
      </c>
      <c r="F44" s="7">
        <f>IF($D44="","",COUNTIF('Импорт посещаемость'!I41:AE41,"R*"))</f>
        <v>10</v>
      </c>
      <c r="G44" s="7">
        <f>IF($D44="","",MAX(0,COUNTA('Импорт посещаемость'!$I$1:$AE$1)-E44-F44))</f>
        <v>0</v>
      </c>
      <c r="H44" s="7">
        <f t="shared" si="0"/>
        <v>23</v>
      </c>
      <c r="I44" s="9">
        <f>IFERROR(H44/COUNTA('Импорт посещаемость'!$I$1:$AE$1),"")</f>
        <v>1</v>
      </c>
      <c r="J44" s="13" t="str">
        <f>IFERROR(__xludf.DUMMYFUNCTION("IF($D44="""","""",SPARKLINE(I44,{""charttype"",""bar"";""max"",1;""color1"",""#FFFFFF""}))"),"")</f>
        <v/>
      </c>
    </row>
    <row r="45" spans="1:10" ht="15.75" customHeight="1">
      <c r="A45" s="2" t="s">
        <v>2717</v>
      </c>
      <c r="B45" s="2" t="s">
        <v>2718</v>
      </c>
      <c r="C45" s="3">
        <v>786</v>
      </c>
      <c r="D45" s="2" t="s">
        <v>270</v>
      </c>
      <c r="E45" s="7">
        <f>IF($D45="","",COUNTIF('Импорт посещаемость'!I42:AE42,"L*"))</f>
        <v>0</v>
      </c>
      <c r="F45" s="7">
        <f>IF($D45="","",COUNTIF('Импорт посещаемость'!I42:AE42,"R*"))</f>
        <v>23</v>
      </c>
      <c r="G45" s="7">
        <f>IF($D45="","",MAX(0,COUNTA('Импорт посещаемость'!$I$1:$AE$1)-E45-F45))</f>
        <v>0</v>
      </c>
      <c r="H45" s="7">
        <f t="shared" si="0"/>
        <v>23</v>
      </c>
      <c r="I45" s="9">
        <f>IFERROR(H45/COUNTA('Импорт посещаемость'!$I$1:$AE$1),"")</f>
        <v>1</v>
      </c>
      <c r="J45" s="13" t="str">
        <f>IFERROR(__xludf.DUMMYFUNCTION("IF($D45="""","""",SPARKLINE(I45,{""charttype"",""bar"";""max"",1;""color1"",""#FFFFFF""}))"),"")</f>
        <v/>
      </c>
    </row>
    <row r="46" spans="1:10" ht="15.75" customHeight="1">
      <c r="A46" s="2" t="s">
        <v>2719</v>
      </c>
      <c r="B46" s="2" t="s">
        <v>2720</v>
      </c>
      <c r="C46" s="3">
        <v>764</v>
      </c>
      <c r="D46" s="2" t="s">
        <v>426</v>
      </c>
      <c r="E46" s="7">
        <f>IF($D46="","",COUNTIF('Импорт посещаемость'!I43:AE43,"L*"))</f>
        <v>1</v>
      </c>
      <c r="F46" s="7">
        <f>IF($D46="","",COUNTIF('Импорт посещаемость'!I43:AE43,"R*"))</f>
        <v>22</v>
      </c>
      <c r="G46" s="7">
        <f>IF($D46="","",MAX(0,COUNTA('Импорт посещаемость'!$I$1:$AE$1)-E46-F46))</f>
        <v>0</v>
      </c>
      <c r="H46" s="7">
        <f t="shared" si="0"/>
        <v>23</v>
      </c>
      <c r="I46" s="9">
        <f>IFERROR(H46/COUNTA('Импорт посещаемость'!$I$1:$AE$1),"")</f>
        <v>1</v>
      </c>
      <c r="J46" s="13" t="str">
        <f>IFERROR(__xludf.DUMMYFUNCTION("IF($D46="""","""",SPARKLINE(I46,{""charttype"",""bar"";""max"",1;""color1"",""#FFFFFF""}))"),"")</f>
        <v/>
      </c>
    </row>
    <row r="47" spans="1:10" ht="15.75" customHeight="1">
      <c r="A47" s="2" t="s">
        <v>2721</v>
      </c>
      <c r="B47" s="2" t="s">
        <v>2722</v>
      </c>
      <c r="C47" s="3">
        <v>694</v>
      </c>
      <c r="D47" s="2" t="s">
        <v>785</v>
      </c>
      <c r="E47" s="7">
        <f>IF($D47="","",COUNTIF('Импорт посещаемость'!I44:AE44,"L*"))</f>
        <v>9</v>
      </c>
      <c r="F47" s="7">
        <f>IF($D47="","",COUNTIF('Импорт посещаемость'!I44:AE44,"R*"))</f>
        <v>14</v>
      </c>
      <c r="G47" s="7">
        <f>IF($D47="","",MAX(0,COUNTA('Импорт посещаемость'!$I$1:$AE$1)-E47-F47))</f>
        <v>0</v>
      </c>
      <c r="H47" s="7">
        <f t="shared" si="0"/>
        <v>23</v>
      </c>
      <c r="I47" s="9">
        <f>IFERROR(H47/COUNTA('Импорт посещаемость'!$I$1:$AE$1),"")</f>
        <v>1</v>
      </c>
      <c r="J47" s="13" t="str">
        <f>IFERROR(__xludf.DUMMYFUNCTION("IF($D47="""","""",SPARKLINE(I47,{""charttype"",""bar"";""max"",1;""color1"",""#FFFFFF""}))"),"")</f>
        <v/>
      </c>
    </row>
    <row r="48" spans="1:10" ht="15.75" customHeight="1">
      <c r="A48" s="2" t="s">
        <v>2723</v>
      </c>
      <c r="B48" s="2" t="s">
        <v>2724</v>
      </c>
      <c r="C48" s="3">
        <v>663</v>
      </c>
      <c r="D48" s="2" t="s">
        <v>244</v>
      </c>
      <c r="E48" s="7">
        <f>IF($D48="","",COUNTIF('Импорт посещаемость'!I45:AE45,"L*"))</f>
        <v>4</v>
      </c>
      <c r="F48" s="7">
        <f>IF($D48="","",COUNTIF('Импорт посещаемость'!I45:AE45,"R*"))</f>
        <v>0</v>
      </c>
      <c r="G48" s="7">
        <f>IF($D48="","",MAX(0,COUNTA('Импорт посещаемость'!$I$1:$AE$1)-E48-F48))</f>
        <v>19</v>
      </c>
      <c r="H48" s="7">
        <f t="shared" si="0"/>
        <v>4</v>
      </c>
      <c r="I48" s="9">
        <f>IFERROR(H48/COUNTA('Импорт посещаемость'!$I$1:$AE$1),"")</f>
        <v>0.173913043478261</v>
      </c>
      <c r="J48" s="13" t="str">
        <f>IFERROR(__xludf.DUMMYFUNCTION("IF($D48="""","""",SPARKLINE(I48,{""charttype"",""bar"";""max"",1;""color1"",""#FFFFFF""}))"),"")</f>
        <v/>
      </c>
    </row>
    <row r="49" spans="1:10" ht="15.75" customHeight="1">
      <c r="A49" s="2" t="s">
        <v>2725</v>
      </c>
      <c r="B49" s="2" t="s">
        <v>2726</v>
      </c>
      <c r="C49" s="3">
        <v>704</v>
      </c>
      <c r="D49" s="2" t="s">
        <v>548</v>
      </c>
      <c r="E49" s="7">
        <f>IF($D49="","",COUNTIF('Импорт посещаемость'!I46:AE46,"L*"))</f>
        <v>17</v>
      </c>
      <c r="F49" s="7">
        <f>IF($D49="","",COUNTIF('Импорт посещаемость'!I46:AE46,"R*"))</f>
        <v>6</v>
      </c>
      <c r="G49" s="7">
        <f>IF($D49="","",MAX(0,COUNTA('Импорт посещаемость'!$I$1:$AE$1)-E49-F49))</f>
        <v>0</v>
      </c>
      <c r="H49" s="7">
        <f t="shared" si="0"/>
        <v>23</v>
      </c>
      <c r="I49" s="9">
        <f>IFERROR(H49/COUNTA('Импорт посещаемость'!$I$1:$AE$1),"")</f>
        <v>1</v>
      </c>
      <c r="J49" s="13" t="str">
        <f>IFERROR(__xludf.DUMMYFUNCTION("IF($D49="""","""",SPARKLINE(I49,{""charttype"",""bar"";""max"",1;""color1"",""#FFFFFF""}))"),"")</f>
        <v/>
      </c>
    </row>
    <row r="50" spans="1:10" ht="15.75" customHeight="1">
      <c r="A50" s="2" t="s">
        <v>833</v>
      </c>
      <c r="B50" s="2" t="s">
        <v>2727</v>
      </c>
      <c r="C50" s="3">
        <v>733</v>
      </c>
      <c r="D50" s="2" t="s">
        <v>791</v>
      </c>
      <c r="E50" s="7">
        <f>IF($D50="","",COUNTIF('Импорт посещаемость'!I47:AE47,"L*"))</f>
        <v>1</v>
      </c>
      <c r="F50" s="7">
        <f>IF($D50="","",COUNTIF('Импорт посещаемость'!I47:AE47,"R*"))</f>
        <v>22</v>
      </c>
      <c r="G50" s="7">
        <f>IF($D50="","",MAX(0,COUNTA('Импорт посещаемость'!$I$1:$AE$1)-E50-F50))</f>
        <v>0</v>
      </c>
      <c r="H50" s="7">
        <f t="shared" si="0"/>
        <v>23</v>
      </c>
      <c r="I50" s="9">
        <f>IFERROR(H50/COUNTA('Импорт посещаемость'!$I$1:$AE$1),"")</f>
        <v>1</v>
      </c>
      <c r="J50" s="13" t="str">
        <f>IFERROR(__xludf.DUMMYFUNCTION("IF($D50="""","""",SPARKLINE(I50,{""charttype"",""bar"";""max"",1;""color1"",""#FFFFFF""}))"),"")</f>
        <v/>
      </c>
    </row>
    <row r="51" spans="1:10" ht="15.75" customHeight="1">
      <c r="A51" s="2" t="s">
        <v>2728</v>
      </c>
      <c r="B51" s="2" t="s">
        <v>2682</v>
      </c>
      <c r="C51" s="3">
        <v>656</v>
      </c>
      <c r="D51" s="2" t="s">
        <v>771</v>
      </c>
      <c r="E51" s="7">
        <f>IF($D51="","",COUNTIF('Импорт посещаемость'!I48:AE48,"L*"))</f>
        <v>15</v>
      </c>
      <c r="F51" s="7">
        <f>IF($D51="","",COUNTIF('Импорт посещаемость'!I48:AE48,"R*"))</f>
        <v>8</v>
      </c>
      <c r="G51" s="7">
        <f>IF($D51="","",MAX(0,COUNTA('Импорт посещаемость'!$I$1:$AE$1)-E51-F51))</f>
        <v>0</v>
      </c>
      <c r="H51" s="7">
        <f t="shared" si="0"/>
        <v>23</v>
      </c>
      <c r="I51" s="9">
        <f>IFERROR(H51/COUNTA('Импорт посещаемость'!$I$1:$AE$1),"")</f>
        <v>1</v>
      </c>
      <c r="J51" s="13" t="str">
        <f>IFERROR(__xludf.DUMMYFUNCTION("IF($D51="""","""",SPARKLINE(I51,{""charttype"",""bar"";""max"",1;""color1"",""#FFFFFF""}))"),"")</f>
        <v/>
      </c>
    </row>
    <row r="52" spans="1:10" ht="15.75" customHeight="1">
      <c r="A52" s="2" t="s">
        <v>2729</v>
      </c>
      <c r="B52" s="2" t="s">
        <v>2730</v>
      </c>
      <c r="C52" s="3">
        <v>649</v>
      </c>
      <c r="D52" s="2" t="s">
        <v>670</v>
      </c>
      <c r="E52" s="7">
        <f>IF($D52="","",COUNTIF('Импорт посещаемость'!I49:AE49,"L*"))</f>
        <v>15</v>
      </c>
      <c r="F52" s="7">
        <f>IF($D52="","",COUNTIF('Импорт посещаемость'!I49:AE49,"R*"))</f>
        <v>8</v>
      </c>
      <c r="G52" s="7">
        <f>IF($D52="","",MAX(0,COUNTA('Импорт посещаемость'!$I$1:$AE$1)-E52-F52))</f>
        <v>0</v>
      </c>
      <c r="H52" s="7">
        <f t="shared" si="0"/>
        <v>23</v>
      </c>
      <c r="I52" s="9">
        <f>IFERROR(H52/COUNTA('Импорт посещаемость'!$I$1:$AE$1),"")</f>
        <v>1</v>
      </c>
      <c r="J52" s="13" t="str">
        <f>IFERROR(__xludf.DUMMYFUNCTION("IF($D52="""","""",SPARKLINE(I52,{""charttype"",""bar"";""max"",1;""color1"",""#FFFFFF""}))"),"")</f>
        <v/>
      </c>
    </row>
    <row r="53" spans="1:10" ht="15.75" customHeight="1">
      <c r="A53" s="2" t="s">
        <v>2731</v>
      </c>
      <c r="B53" s="2" t="s">
        <v>2732</v>
      </c>
      <c r="C53" s="3">
        <v>761</v>
      </c>
      <c r="D53" s="2" t="s">
        <v>508</v>
      </c>
      <c r="E53" s="7">
        <f>IF($D53="","",COUNTIF('Импорт посещаемость'!I50:AE50,"L*"))</f>
        <v>17</v>
      </c>
      <c r="F53" s="7">
        <f>IF($D53="","",COUNTIF('Импорт посещаемость'!I50:AE50,"R*"))</f>
        <v>0</v>
      </c>
      <c r="G53" s="7">
        <f>IF($D53="","",MAX(0,COUNTA('Импорт посещаемость'!$I$1:$AE$1)-E53-F53))</f>
        <v>6</v>
      </c>
      <c r="H53" s="7">
        <f t="shared" si="0"/>
        <v>17</v>
      </c>
      <c r="I53" s="9">
        <f>IFERROR(H53/COUNTA('Импорт посещаемость'!$I$1:$AE$1),"")</f>
        <v>0.73913043478260898</v>
      </c>
      <c r="J53" s="13" t="str">
        <f>IFERROR(__xludf.DUMMYFUNCTION("IF($D53="""","""",SPARKLINE(I53,{""charttype"",""bar"";""max"",1;""color1"",""#FFFFFF""}))"),"")</f>
        <v/>
      </c>
    </row>
    <row r="54" spans="1:10" ht="15.75" customHeight="1">
      <c r="A54" s="2" t="s">
        <v>2733</v>
      </c>
      <c r="B54" s="2" t="s">
        <v>2734</v>
      </c>
      <c r="C54" s="3">
        <v>774</v>
      </c>
      <c r="D54" s="2" t="s">
        <v>749</v>
      </c>
      <c r="E54" s="7">
        <f>IF($D54="","",COUNTIF('Импорт посещаемость'!I51:AE51,"L*"))</f>
        <v>14</v>
      </c>
      <c r="F54" s="7">
        <f>IF($D54="","",COUNTIF('Импорт посещаемость'!I51:AE51,"R*"))</f>
        <v>9</v>
      </c>
      <c r="G54" s="7">
        <f>IF($D54="","",MAX(0,COUNTA('Импорт посещаемость'!$I$1:$AE$1)-E54-F54))</f>
        <v>0</v>
      </c>
      <c r="H54" s="7">
        <f t="shared" si="0"/>
        <v>23</v>
      </c>
      <c r="I54" s="9">
        <f>IFERROR(H54/COUNTA('Импорт посещаемость'!$I$1:$AE$1),"")</f>
        <v>1</v>
      </c>
      <c r="J54" s="13" t="str">
        <f>IFERROR(__xludf.DUMMYFUNCTION("IF($D54="""","""",SPARKLINE(I54,{""charttype"",""bar"";""max"",1;""color1"",""#FFFFFF""}))"),"")</f>
        <v/>
      </c>
    </row>
    <row r="55" spans="1:10" ht="15.75" customHeight="1">
      <c r="A55" s="2" t="s">
        <v>2735</v>
      </c>
      <c r="B55" s="2" t="s">
        <v>2701</v>
      </c>
      <c r="C55" s="3">
        <v>784</v>
      </c>
      <c r="D55" s="2" t="s">
        <v>6</v>
      </c>
      <c r="E55" s="7">
        <f>IF($D55="","",COUNTIF('Импорт посещаемость'!I52:AE52,"L*"))</f>
        <v>15</v>
      </c>
      <c r="F55" s="7">
        <f>IF($D55="","",COUNTIF('Импорт посещаемость'!I52:AE52,"R*"))</f>
        <v>8</v>
      </c>
      <c r="G55" s="7">
        <f>IF($D55="","",MAX(0,COUNTA('Импорт посещаемость'!$I$1:$AE$1)-E55-F55))</f>
        <v>0</v>
      </c>
      <c r="H55" s="7">
        <f t="shared" si="0"/>
        <v>23</v>
      </c>
      <c r="I55" s="9">
        <f>IFERROR(H55/COUNTA('Импорт посещаемость'!$I$1:$AE$1),"")</f>
        <v>1</v>
      </c>
      <c r="J55" s="13" t="str">
        <f>IFERROR(__xludf.DUMMYFUNCTION("IF($D55="""","""",SPARKLINE(I55,{""charttype"",""bar"";""max"",1;""color1"",""#FFFFFF""}))"),"")</f>
        <v/>
      </c>
    </row>
    <row r="56" spans="1:10" ht="15.75" customHeight="1">
      <c r="A56" s="2" t="s">
        <v>2736</v>
      </c>
      <c r="B56" s="2" t="s">
        <v>2708</v>
      </c>
      <c r="C56" s="3">
        <v>684</v>
      </c>
      <c r="D56" s="2" t="s">
        <v>710</v>
      </c>
      <c r="E56" s="7">
        <f>IF($D56="","",COUNTIF('Импорт посещаемость'!I53:AE53,"L*"))</f>
        <v>7</v>
      </c>
      <c r="F56" s="7">
        <f>IF($D56="","",COUNTIF('Импорт посещаемость'!I53:AE53,"R*"))</f>
        <v>11</v>
      </c>
      <c r="G56" s="7">
        <f>IF($D56="","",MAX(0,COUNTA('Импорт посещаемость'!$I$1:$AE$1)-E56-F56))</f>
        <v>5</v>
      </c>
      <c r="H56" s="7">
        <f t="shared" si="0"/>
        <v>18</v>
      </c>
      <c r="I56" s="9">
        <f>IFERROR(H56/COUNTA('Импорт посещаемость'!$I$1:$AE$1),"")</f>
        <v>0.78260869565217395</v>
      </c>
      <c r="J56" s="13" t="str">
        <f>IFERROR(__xludf.DUMMYFUNCTION("IF($D56="""","""",SPARKLINE(I56,{""charttype"",""bar"";""max"",1;""color1"",""#FFFFFF""}))"),"")</f>
        <v/>
      </c>
    </row>
    <row r="57" spans="1:10" ht="15.75" customHeight="1">
      <c r="A57" s="2" t="s">
        <v>2737</v>
      </c>
      <c r="B57" s="2" t="s">
        <v>2674</v>
      </c>
      <c r="C57" s="3">
        <v>640</v>
      </c>
      <c r="D57" s="2" t="s">
        <v>246</v>
      </c>
      <c r="E57" s="7">
        <f>IF($D57="","",COUNTIF('Импорт посещаемость'!I54:AE54,"L*"))</f>
        <v>3</v>
      </c>
      <c r="F57" s="7">
        <f>IF($D57="","",COUNTIF('Импорт посещаемость'!I54:AE54,"R*"))</f>
        <v>5</v>
      </c>
      <c r="G57" s="7">
        <f>IF($D57="","",MAX(0,COUNTA('Импорт посещаемость'!$I$1:$AE$1)-E57-F57))</f>
        <v>15</v>
      </c>
      <c r="H57" s="7">
        <f t="shared" si="0"/>
        <v>8</v>
      </c>
      <c r="I57" s="9">
        <f>IFERROR(H57/COUNTA('Импорт посещаемость'!$I$1:$AE$1),"")</f>
        <v>0.34782608695652201</v>
      </c>
      <c r="J57" s="13" t="str">
        <f>IFERROR(__xludf.DUMMYFUNCTION("IF($D57="""","""",SPARKLINE(I57,{""charttype"",""bar"";""max"",1;""color1"",""#FFFFFF""}))"),"")</f>
        <v/>
      </c>
    </row>
    <row r="58" spans="1:10" ht="15.75" customHeight="1">
      <c r="A58" s="2" t="s">
        <v>2738</v>
      </c>
      <c r="B58" s="2" t="s">
        <v>2687</v>
      </c>
      <c r="C58" s="3">
        <v>606</v>
      </c>
      <c r="D58" s="2" t="s">
        <v>609</v>
      </c>
      <c r="E58" s="7">
        <f>IF($D58="","",COUNTIF('Импорт посещаемость'!I55:AE55,"L*"))</f>
        <v>3</v>
      </c>
      <c r="F58" s="7">
        <f>IF($D58="","",COUNTIF('Импорт посещаемость'!I55:AE55,"R*"))</f>
        <v>15</v>
      </c>
      <c r="G58" s="7">
        <f>IF($D58="","",MAX(0,COUNTA('Импорт посещаемость'!$I$1:$AE$1)-E58-F58))</f>
        <v>5</v>
      </c>
      <c r="H58" s="7">
        <f t="shared" si="0"/>
        <v>18</v>
      </c>
      <c r="I58" s="9">
        <f>IFERROR(H58/COUNTA('Импорт посещаемость'!$I$1:$AE$1),"")</f>
        <v>0.78260869565217395</v>
      </c>
      <c r="J58" s="13" t="str">
        <f>IFERROR(__xludf.DUMMYFUNCTION("IF($D58="""","""",SPARKLINE(I58,{""charttype"",""bar"";""max"",1;""color1"",""#FFFFFF""}))"),"")</f>
        <v/>
      </c>
    </row>
    <row r="59" spans="1:10" ht="15.75" customHeight="1">
      <c r="A59" s="2" t="s">
        <v>2739</v>
      </c>
      <c r="B59" s="2" t="s">
        <v>2740</v>
      </c>
      <c r="C59" s="3">
        <v>713</v>
      </c>
      <c r="D59" s="2" t="s">
        <v>752</v>
      </c>
      <c r="E59" s="7">
        <f>IF($D59="","",COUNTIF('Импорт посещаемость'!I56:AE56,"L*"))</f>
        <v>10</v>
      </c>
      <c r="F59" s="7">
        <f>IF($D59="","",COUNTIF('Импорт посещаемость'!I56:AE56,"R*"))</f>
        <v>12</v>
      </c>
      <c r="G59" s="7">
        <f>IF($D59="","",MAX(0,COUNTA('Импорт посещаемость'!$I$1:$AE$1)-E59-F59))</f>
        <v>1</v>
      </c>
      <c r="H59" s="7">
        <f t="shared" si="0"/>
        <v>22</v>
      </c>
      <c r="I59" s="9">
        <f>IFERROR(H59/COUNTA('Импорт посещаемость'!$I$1:$AE$1),"")</f>
        <v>0.95652173913043503</v>
      </c>
      <c r="J59" s="13" t="str">
        <f>IFERROR(__xludf.DUMMYFUNCTION("IF($D59="""","""",SPARKLINE(I59,{""charttype"",""bar"";""max"",1;""color1"",""#FFFFFF""}))"),"")</f>
        <v/>
      </c>
    </row>
    <row r="60" spans="1:10" ht="15.75" customHeight="1">
      <c r="A60" s="2" t="s">
        <v>2741</v>
      </c>
      <c r="B60" s="2" t="s">
        <v>2674</v>
      </c>
      <c r="C60" s="3">
        <v>641</v>
      </c>
      <c r="D60" s="2" t="s">
        <v>350</v>
      </c>
      <c r="E60" s="7">
        <f>IF($D60="","",COUNTIF('Импорт посещаемость'!I57:AE57,"L*"))</f>
        <v>5</v>
      </c>
      <c r="F60" s="7">
        <f>IF($D60="","",COUNTIF('Импорт посещаемость'!I57:AE57,"R*"))</f>
        <v>3</v>
      </c>
      <c r="G60" s="7">
        <f>IF($D60="","",MAX(0,COUNTA('Импорт посещаемость'!$I$1:$AE$1)-E60-F60))</f>
        <v>15</v>
      </c>
      <c r="H60" s="7">
        <f t="shared" si="0"/>
        <v>8</v>
      </c>
      <c r="I60" s="9">
        <f>IFERROR(H60/COUNTA('Импорт посещаемость'!$I$1:$AE$1),"")</f>
        <v>0.34782608695652201</v>
      </c>
      <c r="J60" s="13" t="str">
        <f>IFERROR(__xludf.DUMMYFUNCTION("IF($D60="""","""",SPARKLINE(I60,{""charttype"",""bar"";""max"",1;""color1"",""#FFFFFF""}))"),"")</f>
        <v/>
      </c>
    </row>
    <row r="61" spans="1:10" ht="15.75" customHeight="1">
      <c r="A61" s="2" t="s">
        <v>2742</v>
      </c>
      <c r="B61" s="2" t="s">
        <v>2669</v>
      </c>
      <c r="C61" s="3">
        <v>652</v>
      </c>
      <c r="D61" s="2" t="s">
        <v>754</v>
      </c>
      <c r="E61" s="7">
        <f>IF($D61="","",COUNTIF('Импорт посещаемость'!I58:AE58,"L*"))</f>
        <v>5</v>
      </c>
      <c r="F61" s="7">
        <f>IF($D61="","",COUNTIF('Импорт посещаемость'!I58:AE58,"R*"))</f>
        <v>11</v>
      </c>
      <c r="G61" s="7">
        <f>IF($D61="","",MAX(0,COUNTA('Импорт посещаемость'!$I$1:$AE$1)-E61-F61))</f>
        <v>7</v>
      </c>
      <c r="H61" s="7">
        <f t="shared" si="0"/>
        <v>16</v>
      </c>
      <c r="I61" s="9">
        <f>IFERROR(H61/COUNTA('Импорт посещаемость'!$I$1:$AE$1),"")</f>
        <v>0.69565217391304301</v>
      </c>
      <c r="J61" s="13" t="str">
        <f>IFERROR(__xludf.DUMMYFUNCTION("IF($D61="""","""",SPARKLINE(I61,{""charttype"",""bar"";""max"",1;""color1"",""#FFFFFF""}))"),"")</f>
        <v/>
      </c>
    </row>
    <row r="62" spans="1:10" ht="15.75" customHeight="1">
      <c r="A62" s="2" t="s">
        <v>2743</v>
      </c>
      <c r="B62" s="2" t="s">
        <v>2744</v>
      </c>
      <c r="C62" s="3">
        <v>264</v>
      </c>
      <c r="D62" s="2" t="s">
        <v>428</v>
      </c>
      <c r="E62" s="7">
        <f>IF($D62="","",COUNTIF('Импорт посещаемость'!I59:AE59,"L*"))</f>
        <v>16</v>
      </c>
      <c r="F62" s="7">
        <f>IF($D62="","",COUNTIF('Импорт посещаемость'!I59:AE59,"R*"))</f>
        <v>7</v>
      </c>
      <c r="G62" s="7">
        <f>IF($D62="","",MAX(0,COUNTA('Импорт посещаемость'!$I$1:$AE$1)-E62-F62))</f>
        <v>0</v>
      </c>
      <c r="H62" s="7">
        <f t="shared" si="0"/>
        <v>23</v>
      </c>
      <c r="I62" s="9">
        <f>IFERROR(H62/COUNTA('Импорт посещаемость'!$I$1:$AE$1),"")</f>
        <v>1</v>
      </c>
      <c r="J62" s="13" t="str">
        <f>IFERROR(__xludf.DUMMYFUNCTION("IF($D62="""","""",SPARKLINE(I62,{""charttype"",""bar"";""max"",1;""color1"",""#FFFFFF""}))"),"")</f>
        <v/>
      </c>
    </row>
    <row r="63" spans="1:10" ht="15.75" customHeight="1">
      <c r="A63" s="2" t="s">
        <v>2745</v>
      </c>
      <c r="B63" s="2" t="s">
        <v>2746</v>
      </c>
      <c r="C63" s="3">
        <v>232</v>
      </c>
      <c r="D63" s="2" t="s">
        <v>35</v>
      </c>
      <c r="E63" s="7">
        <f>IF($D63="","",COUNTIF('Импорт посещаемость'!I60:AE60,"L*"))</f>
        <v>6</v>
      </c>
      <c r="F63" s="7">
        <f>IF($D63="","",COUNTIF('Импорт посещаемость'!I60:AE60,"R*"))</f>
        <v>17</v>
      </c>
      <c r="G63" s="7">
        <f>IF($D63="","",MAX(0,COUNTA('Импорт посещаемость'!$I$1:$AE$1)-E63-F63))</f>
        <v>0</v>
      </c>
      <c r="H63" s="7">
        <f t="shared" si="0"/>
        <v>23</v>
      </c>
      <c r="I63" s="9">
        <f>IFERROR(H63/COUNTA('Импорт посещаемость'!$I$1:$AE$1),"")</f>
        <v>1</v>
      </c>
      <c r="J63" s="13" t="str">
        <f>IFERROR(__xludf.DUMMYFUNCTION("IF($D63="""","""",SPARKLINE(I63,{""charttype"",""bar"";""max"",1;""color1"",""#FFFFFF""}))"),"")</f>
        <v/>
      </c>
    </row>
    <row r="64" spans="1:10" ht="15.75" customHeight="1">
      <c r="A64" s="2" t="s">
        <v>2747</v>
      </c>
      <c r="B64" s="2" t="s">
        <v>2748</v>
      </c>
      <c r="C64" s="3">
        <v>389</v>
      </c>
      <c r="D64" s="2" t="s">
        <v>672</v>
      </c>
      <c r="E64" s="7">
        <f>IF($D64="","",COUNTIF('Импорт посещаемость'!I61:AE61,"L*"))</f>
        <v>0</v>
      </c>
      <c r="F64" s="7">
        <f>IF($D64="","",COUNTIF('Импорт посещаемость'!I61:AE61,"R*"))</f>
        <v>12</v>
      </c>
      <c r="G64" s="7">
        <f>IF($D64="","",MAX(0,COUNTA('Импорт посещаемость'!$I$1:$AE$1)-E64-F64))</f>
        <v>11</v>
      </c>
      <c r="H64" s="7">
        <f t="shared" si="0"/>
        <v>12</v>
      </c>
      <c r="I64" s="9">
        <f>IFERROR(H64/COUNTA('Импорт посещаемость'!$I$1:$AE$1),"")</f>
        <v>0.52173913043478304</v>
      </c>
      <c r="J64" s="13" t="str">
        <f>IFERROR(__xludf.DUMMYFUNCTION("IF($D64="""","""",SPARKLINE(I64,{""charttype"",""bar"";""max"",1;""color1"",""#FFFFFF""}))"),"")</f>
        <v/>
      </c>
    </row>
    <row r="65" spans="1:10" ht="15.75" customHeight="1">
      <c r="A65" s="2" t="s">
        <v>2749</v>
      </c>
      <c r="B65" s="2" t="s">
        <v>2662</v>
      </c>
      <c r="C65" s="3">
        <v>378</v>
      </c>
      <c r="D65" s="2" t="s">
        <v>589</v>
      </c>
      <c r="E65" s="7">
        <f>IF($D65="","",COUNTIF('Импорт посещаемость'!I62:AE62,"L*"))</f>
        <v>12</v>
      </c>
      <c r="F65" s="7">
        <f>IF($D65="","",COUNTIF('Импорт посещаемость'!I62:AE62,"R*"))</f>
        <v>11</v>
      </c>
      <c r="G65" s="7">
        <f>IF($D65="","",MAX(0,COUNTA('Импорт посещаемость'!$I$1:$AE$1)-E65-F65))</f>
        <v>0</v>
      </c>
      <c r="H65" s="7">
        <f t="shared" si="0"/>
        <v>23</v>
      </c>
      <c r="I65" s="9">
        <f>IFERROR(H65/COUNTA('Импорт посещаемость'!$I$1:$AE$1),"")</f>
        <v>1</v>
      </c>
      <c r="J65" s="13" t="str">
        <f>IFERROR(__xludf.DUMMYFUNCTION("IF($D65="""","""",SPARKLINE(I65,{""charttype"",""bar"";""max"",1;""color1"",""#FFFFFF""}))"),"")</f>
        <v/>
      </c>
    </row>
    <row r="66" spans="1:10" ht="15.75" customHeight="1">
      <c r="A66" s="2" t="s">
        <v>2750</v>
      </c>
      <c r="B66" s="2" t="s">
        <v>2674</v>
      </c>
      <c r="C66" s="3">
        <v>736</v>
      </c>
      <c r="D66" s="2" t="s">
        <v>248</v>
      </c>
      <c r="E66" s="7">
        <f>IF($D66="","",COUNTIF('Импорт посещаемость'!I63:AE63,"L*"))</f>
        <v>11</v>
      </c>
      <c r="F66" s="7">
        <f>IF($D66="","",COUNTIF('Импорт посещаемость'!I63:AE63,"R*"))</f>
        <v>10</v>
      </c>
      <c r="G66" s="7">
        <f>IF($D66="","",MAX(0,COUNTA('Импорт посещаемость'!$I$1:$AE$1)-E66-F66))</f>
        <v>2</v>
      </c>
      <c r="H66" s="7">
        <f t="shared" ref="H66:H129" si="1">IF($D66="","",E66+F66)</f>
        <v>21</v>
      </c>
      <c r="I66" s="9">
        <f>IFERROR(H66/COUNTA('Импорт посещаемость'!$I$1:$AE$1),"")</f>
        <v>0.91304347826086996</v>
      </c>
      <c r="J66" s="13" t="str">
        <f>IFERROR(__xludf.DUMMYFUNCTION("IF($D66="""","""",SPARKLINE(I66,{""charttype"",""bar"";""max"",1;""color1"",""#FFFFFF""}))"),"")</f>
        <v/>
      </c>
    </row>
    <row r="67" spans="1:10" ht="15.75" customHeight="1">
      <c r="A67" s="2" t="s">
        <v>2751</v>
      </c>
      <c r="B67" s="2" t="s">
        <v>2671</v>
      </c>
      <c r="C67" s="3">
        <v>594</v>
      </c>
      <c r="D67" s="2" t="s">
        <v>105</v>
      </c>
      <c r="E67" s="7">
        <f>IF($D67="","",COUNTIF('Импорт посещаемость'!I64:AE64,"L*"))</f>
        <v>0</v>
      </c>
      <c r="F67" s="7">
        <f>IF($D67="","",COUNTIF('Импорт посещаемость'!I64:AE64,"R*"))</f>
        <v>15</v>
      </c>
      <c r="G67" s="7">
        <f>IF($D67="","",MAX(0,COUNTA('Импорт посещаемость'!$I$1:$AE$1)-E67-F67))</f>
        <v>8</v>
      </c>
      <c r="H67" s="7">
        <f t="shared" si="1"/>
        <v>15</v>
      </c>
      <c r="I67" s="9">
        <f>IFERROR(H67/COUNTA('Импорт посещаемость'!$I$1:$AE$1),"")</f>
        <v>0.65217391304347805</v>
      </c>
      <c r="J67" s="13" t="str">
        <f>IFERROR(__xludf.DUMMYFUNCTION("IF($D67="""","""",SPARKLINE(I67,{""charttype"",""bar"";""max"",1;""color1"",""#FFFFFF""}))"),"")</f>
        <v/>
      </c>
    </row>
    <row r="68" spans="1:10" ht="15.75" customHeight="1">
      <c r="A68" s="2" t="s">
        <v>2752</v>
      </c>
      <c r="B68" s="2" t="s">
        <v>2682</v>
      </c>
      <c r="C68" s="3">
        <v>727</v>
      </c>
      <c r="D68" s="2" t="s">
        <v>207</v>
      </c>
      <c r="E68" s="7">
        <f>IF($D68="","",COUNTIF('Импорт посещаемость'!I65:AE65,"L*"))</f>
        <v>3</v>
      </c>
      <c r="F68" s="7">
        <f>IF($D68="","",COUNTIF('Импорт посещаемость'!I65:AE65,"R*"))</f>
        <v>3</v>
      </c>
      <c r="G68" s="7">
        <f>IF($D68="","",MAX(0,COUNTA('Импорт посещаемость'!$I$1:$AE$1)-E68-F68))</f>
        <v>17</v>
      </c>
      <c r="H68" s="7">
        <f t="shared" si="1"/>
        <v>6</v>
      </c>
      <c r="I68" s="9">
        <f>IFERROR(H68/COUNTA('Импорт посещаемость'!$I$1:$AE$1),"")</f>
        <v>0.26086956521739102</v>
      </c>
      <c r="J68" s="13" t="str">
        <f>IFERROR(__xludf.DUMMYFUNCTION("IF($D68="""","""",SPARKLINE(I68,{""charttype"",""bar"";""max"",1;""color1"",""#FFFFFF""}))"),"")</f>
        <v/>
      </c>
    </row>
    <row r="69" spans="1:10" ht="15.75" customHeight="1">
      <c r="A69" s="2" t="s">
        <v>2753</v>
      </c>
      <c r="B69" s="2" t="s">
        <v>2693</v>
      </c>
      <c r="C69" s="3">
        <v>412</v>
      </c>
      <c r="D69" s="2" t="s">
        <v>209</v>
      </c>
      <c r="E69" s="7">
        <f>IF($D69="","",COUNTIF('Импорт посещаемость'!I66:AE66,"L*"))</f>
        <v>17</v>
      </c>
      <c r="F69" s="7">
        <f>IF($D69="","",COUNTIF('Импорт посещаемость'!I66:AE66,"R*"))</f>
        <v>6</v>
      </c>
      <c r="G69" s="7">
        <f>IF($D69="","",MAX(0,COUNTA('Импорт посещаемость'!$I$1:$AE$1)-E69-F69))</f>
        <v>0</v>
      </c>
      <c r="H69" s="7">
        <f t="shared" si="1"/>
        <v>23</v>
      </c>
      <c r="I69" s="9">
        <f>IFERROR(H69/COUNTA('Импорт посещаемость'!$I$1:$AE$1),"")</f>
        <v>1</v>
      </c>
      <c r="J69" s="13" t="str">
        <f>IFERROR(__xludf.DUMMYFUNCTION("IF($D69="""","""",SPARKLINE(I69,{""charttype"",""bar"";""max"",1;""color1"",""#FFFFFF""}))"),"")</f>
        <v/>
      </c>
    </row>
    <row r="70" spans="1:10" ht="15.75" customHeight="1">
      <c r="A70" s="2" t="s">
        <v>2754</v>
      </c>
      <c r="B70" s="2" t="s">
        <v>2755</v>
      </c>
      <c r="C70" s="3">
        <v>496</v>
      </c>
      <c r="D70" s="2" t="s">
        <v>787</v>
      </c>
      <c r="E70" s="7">
        <f>IF($D70="","",COUNTIF('Импорт посещаемость'!I67:AE67,"L*"))</f>
        <v>16</v>
      </c>
      <c r="F70" s="7">
        <f>IF($D70="","",COUNTIF('Импорт посещаемость'!I67:AE67,"R*"))</f>
        <v>7</v>
      </c>
      <c r="G70" s="7">
        <f>IF($D70="","",MAX(0,COUNTA('Импорт посещаемость'!$I$1:$AE$1)-E70-F70))</f>
        <v>0</v>
      </c>
      <c r="H70" s="7">
        <f t="shared" si="1"/>
        <v>23</v>
      </c>
      <c r="I70" s="9">
        <f>IFERROR(H70/COUNTA('Импорт посещаемость'!$I$1:$AE$1),"")</f>
        <v>1</v>
      </c>
      <c r="J70" s="13" t="str">
        <f>IFERROR(__xludf.DUMMYFUNCTION("IF($D70="""","""",SPARKLINE(I70,{""charttype"",""bar"";""max"",1;""color1"",""#FFFFFF""}))"),"")</f>
        <v/>
      </c>
    </row>
    <row r="71" spans="1:10" ht="15.75" customHeight="1">
      <c r="A71" s="2" t="s">
        <v>2756</v>
      </c>
      <c r="B71" s="2" t="s">
        <v>2757</v>
      </c>
      <c r="C71" s="3">
        <v>703</v>
      </c>
      <c r="D71" s="2" t="s">
        <v>712</v>
      </c>
      <c r="E71" s="7">
        <f>IF($D71="","",COUNTIF('Импорт посещаемость'!I68:AE68,"L*"))</f>
        <v>3</v>
      </c>
      <c r="F71" s="7">
        <f>IF($D71="","",COUNTIF('Импорт посещаемость'!I68:AE68,"R*"))</f>
        <v>20</v>
      </c>
      <c r="G71" s="7">
        <f>IF($D71="","",MAX(0,COUNTA('Импорт посещаемость'!$I$1:$AE$1)-E71-F71))</f>
        <v>0</v>
      </c>
      <c r="H71" s="7">
        <f t="shared" si="1"/>
        <v>23</v>
      </c>
      <c r="I71" s="9">
        <f>IFERROR(H71/COUNTA('Импорт посещаемость'!$I$1:$AE$1),"")</f>
        <v>1</v>
      </c>
      <c r="J71" s="13" t="str">
        <f>IFERROR(__xludf.DUMMYFUNCTION("IF($D71="""","""",SPARKLINE(I71,{""charttype"",""bar"";""max"",1;""color1"",""#FFFFFF""}))"),"")</f>
        <v/>
      </c>
    </row>
    <row r="72" spans="1:10" ht="15.75" customHeight="1">
      <c r="A72" s="2" t="s">
        <v>2758</v>
      </c>
      <c r="B72" s="2" t="s">
        <v>2759</v>
      </c>
      <c r="C72" s="3">
        <v>251</v>
      </c>
      <c r="D72" s="2" t="s">
        <v>550</v>
      </c>
      <c r="E72" s="7">
        <f>IF($D72="","",COUNTIF('Импорт посещаемость'!I69:AE69,"L*"))</f>
        <v>0</v>
      </c>
      <c r="F72" s="7">
        <f>IF($D72="","",COUNTIF('Импорт посещаемость'!I69:AE69,"R*"))</f>
        <v>18</v>
      </c>
      <c r="G72" s="7">
        <f>IF($D72="","",MAX(0,COUNTA('Импорт посещаемость'!$I$1:$AE$1)-E72-F72))</f>
        <v>5</v>
      </c>
      <c r="H72" s="7">
        <f t="shared" si="1"/>
        <v>18</v>
      </c>
      <c r="I72" s="9">
        <f>IFERROR(H72/COUNTA('Импорт посещаемость'!$I$1:$AE$1),"")</f>
        <v>0.78260869565217395</v>
      </c>
      <c r="J72" s="13" t="str">
        <f>IFERROR(__xludf.DUMMYFUNCTION("IF($D72="""","""",SPARKLINE(I72,{""charttype"",""bar"";""max"",1;""color1"",""#FFFFFF""}))"),"")</f>
        <v/>
      </c>
    </row>
    <row r="73" spans="1:10" ht="15.75" customHeight="1">
      <c r="A73" s="2" t="s">
        <v>2760</v>
      </c>
      <c r="B73" s="2" t="s">
        <v>2761</v>
      </c>
      <c r="C73" s="3">
        <v>659</v>
      </c>
      <c r="D73" s="2" t="s">
        <v>756</v>
      </c>
      <c r="E73" s="7">
        <f>IF($D73="","",COUNTIF('Импорт посещаемость'!I70:AE70,"L*"))</f>
        <v>16</v>
      </c>
      <c r="F73" s="7">
        <f>IF($D73="","",COUNTIF('Импорт посещаемость'!I70:AE70,"R*"))</f>
        <v>7</v>
      </c>
      <c r="G73" s="7">
        <f>IF($D73="","",MAX(0,COUNTA('Импорт посещаемость'!$I$1:$AE$1)-E73-F73))</f>
        <v>0</v>
      </c>
      <c r="H73" s="7">
        <f t="shared" si="1"/>
        <v>23</v>
      </c>
      <c r="I73" s="9">
        <f>IFERROR(H73/COUNTA('Импорт посещаемость'!$I$1:$AE$1),"")</f>
        <v>1</v>
      </c>
      <c r="J73" s="13" t="str">
        <f>IFERROR(__xludf.DUMMYFUNCTION("IF($D73="""","""",SPARKLINE(I73,{""charttype"",""bar"";""max"",1;""color1"",""#FFFFFF""}))"),"")</f>
        <v/>
      </c>
    </row>
    <row r="74" spans="1:10" ht="15.75" customHeight="1">
      <c r="A74" s="2" t="s">
        <v>2762</v>
      </c>
      <c r="B74" s="2" t="s">
        <v>2701</v>
      </c>
      <c r="C74" s="3">
        <v>670</v>
      </c>
      <c r="D74" s="2" t="s">
        <v>64</v>
      </c>
      <c r="E74" s="7">
        <f>IF($D74="","",COUNTIF('Импорт посещаемость'!I71:AE71,"L*"))</f>
        <v>15</v>
      </c>
      <c r="F74" s="7">
        <f>IF($D74="","",COUNTIF('Импорт посещаемость'!I71:AE71,"R*"))</f>
        <v>7</v>
      </c>
      <c r="G74" s="7">
        <f>IF($D74="","",MAX(0,COUNTA('Импорт посещаемость'!$I$1:$AE$1)-E74-F74))</f>
        <v>1</v>
      </c>
      <c r="H74" s="7">
        <f t="shared" si="1"/>
        <v>22</v>
      </c>
      <c r="I74" s="9">
        <f>IFERROR(H74/COUNTA('Импорт посещаемость'!$I$1:$AE$1),"")</f>
        <v>0.95652173913043503</v>
      </c>
      <c r="J74" s="13" t="str">
        <f>IFERROR(__xludf.DUMMYFUNCTION("IF($D74="""","""",SPARKLINE(I74,{""charttype"",""bar"";""max"",1;""color1"",""#FFFFFF""}))"),"")</f>
        <v/>
      </c>
    </row>
    <row r="75" spans="1:10" ht="15.75" customHeight="1">
      <c r="A75" s="2" t="s">
        <v>2763</v>
      </c>
      <c r="B75" s="2" t="s">
        <v>2671</v>
      </c>
      <c r="C75" s="3">
        <v>413</v>
      </c>
      <c r="D75" s="2" t="s">
        <v>510</v>
      </c>
      <c r="E75" s="7">
        <f>IF($D75="","",COUNTIF('Импорт посещаемость'!I72:AE72,"L*"))</f>
        <v>8</v>
      </c>
      <c r="F75" s="7">
        <f>IF($D75="","",COUNTIF('Импорт посещаемость'!I72:AE72,"R*"))</f>
        <v>14</v>
      </c>
      <c r="G75" s="7">
        <f>IF($D75="","",MAX(0,COUNTA('Импорт посещаемость'!$I$1:$AE$1)-E75-F75))</f>
        <v>1</v>
      </c>
      <c r="H75" s="7">
        <f t="shared" si="1"/>
        <v>22</v>
      </c>
      <c r="I75" s="9">
        <f>IFERROR(H75/COUNTA('Импорт посещаемость'!$I$1:$AE$1),"")</f>
        <v>0.95652173913043503</v>
      </c>
      <c r="J75" s="13" t="str">
        <f>IFERROR(__xludf.DUMMYFUNCTION("IF($D75="""","""",SPARKLINE(I75,{""charttype"",""bar"";""max"",1;""color1"",""#FFFFFF""}))"),"")</f>
        <v/>
      </c>
    </row>
    <row r="76" spans="1:10" ht="15.75" customHeight="1">
      <c r="A76" s="2" t="s">
        <v>2764</v>
      </c>
      <c r="B76" s="2" t="s">
        <v>2732</v>
      </c>
      <c r="C76" s="3">
        <v>593</v>
      </c>
      <c r="D76" s="2" t="s">
        <v>108</v>
      </c>
      <c r="E76" s="7">
        <f>IF($D76="","",COUNTIF('Импорт посещаемость'!I73:AE73,"L*"))</f>
        <v>2</v>
      </c>
      <c r="F76" s="7">
        <f>IF($D76="","",COUNTIF('Импорт посещаемость'!I73:AE73,"R*"))</f>
        <v>17</v>
      </c>
      <c r="G76" s="7">
        <f>IF($D76="","",MAX(0,COUNTA('Импорт посещаемость'!$I$1:$AE$1)-E76-F76))</f>
        <v>4</v>
      </c>
      <c r="H76" s="7">
        <f t="shared" si="1"/>
        <v>19</v>
      </c>
      <c r="I76" s="9">
        <f>IFERROR(H76/COUNTA('Импорт посещаемость'!$I$1:$AE$1),"")</f>
        <v>0.82608695652173902</v>
      </c>
      <c r="J76" s="13" t="str">
        <f>IFERROR(__xludf.DUMMYFUNCTION("IF($D76="""","""",SPARKLINE(I76,{""charttype"",""bar"";""max"",1;""color1"",""#FFFFFF""}))"),"")</f>
        <v/>
      </c>
    </row>
    <row r="77" spans="1:10" ht="15.75" customHeight="1">
      <c r="A77" s="2" t="s">
        <v>2765</v>
      </c>
      <c r="B77" s="2" t="s">
        <v>2766</v>
      </c>
      <c r="C77" s="3">
        <v>723</v>
      </c>
      <c r="D77" s="2" t="s">
        <v>591</v>
      </c>
      <c r="E77" s="7">
        <f>IF($D77="","",COUNTIF('Импорт посещаемость'!I74:AE74,"L*"))</f>
        <v>17</v>
      </c>
      <c r="F77" s="7">
        <f>IF($D77="","",COUNTIF('Импорт посещаемость'!I74:AE74,"R*"))</f>
        <v>6</v>
      </c>
      <c r="G77" s="7">
        <f>IF($D77="","",MAX(0,COUNTA('Импорт посещаемость'!$I$1:$AE$1)-E77-F77))</f>
        <v>0</v>
      </c>
      <c r="H77" s="7">
        <f t="shared" si="1"/>
        <v>23</v>
      </c>
      <c r="I77" s="9">
        <f>IFERROR(H77/COUNTA('Импорт посещаемость'!$I$1:$AE$1),"")</f>
        <v>1</v>
      </c>
      <c r="J77" s="13" t="str">
        <f>IFERROR(__xludf.DUMMYFUNCTION("IF($D77="""","""",SPARKLINE(I77,{""charttype"",""bar"";""max"",1;""color1"",""#FFFFFF""}))"),"")</f>
        <v/>
      </c>
    </row>
    <row r="78" spans="1:10" ht="15.75" customHeight="1">
      <c r="A78" s="2" t="s">
        <v>2767</v>
      </c>
      <c r="B78" s="2" t="s">
        <v>2768</v>
      </c>
      <c r="C78" s="3">
        <v>759</v>
      </c>
      <c r="D78" s="2" t="s">
        <v>716</v>
      </c>
      <c r="E78" s="7">
        <f>IF($D78="","",COUNTIF('Импорт посещаемость'!I75:AE75,"L*"))</f>
        <v>17</v>
      </c>
      <c r="F78" s="7">
        <f>IF($D78="","",COUNTIF('Импорт посещаемость'!I75:AE75,"R*"))</f>
        <v>6</v>
      </c>
      <c r="G78" s="7">
        <f>IF($D78="","",MAX(0,COUNTA('Импорт посещаемость'!$I$1:$AE$1)-E78-F78))</f>
        <v>0</v>
      </c>
      <c r="H78" s="7">
        <f t="shared" si="1"/>
        <v>23</v>
      </c>
      <c r="I78" s="9">
        <f>IFERROR(H78/COUNTA('Импорт посещаемость'!$I$1:$AE$1),"")</f>
        <v>1</v>
      </c>
      <c r="J78" s="13" t="str">
        <f>IFERROR(__xludf.DUMMYFUNCTION("IF($D78="""","""",SPARKLINE(I78,{""charttype"",""bar"";""max"",1;""color1"",""#FFFFFF""}))"),"")</f>
        <v/>
      </c>
    </row>
    <row r="79" spans="1:10" ht="15.75" customHeight="1">
      <c r="A79" s="2" t="s">
        <v>2769</v>
      </c>
      <c r="B79" s="2" t="s">
        <v>2770</v>
      </c>
      <c r="C79" s="3">
        <v>277</v>
      </c>
      <c r="D79" s="2" t="s">
        <v>385</v>
      </c>
      <c r="E79" s="7">
        <f>IF($D79="","",COUNTIF('Импорт посещаемость'!I76:AE76,"L*"))</f>
        <v>0</v>
      </c>
      <c r="F79" s="7">
        <f>IF($D79="","",COUNTIF('Импорт посещаемость'!I76:AE76,"R*"))</f>
        <v>2</v>
      </c>
      <c r="G79" s="7">
        <f>IF($D79="","",MAX(0,COUNTA('Импорт посещаемость'!$I$1:$AE$1)-E79-F79))</f>
        <v>21</v>
      </c>
      <c r="H79" s="7">
        <f t="shared" si="1"/>
        <v>2</v>
      </c>
      <c r="I79" s="9">
        <f>IFERROR(H79/COUNTA('Импорт посещаемость'!$I$1:$AE$1),"")</f>
        <v>8.6956521739130405E-2</v>
      </c>
      <c r="J79" s="13" t="str">
        <f>IFERROR(__xludf.DUMMYFUNCTION("IF($D79="""","""",SPARKLINE(I79,{""charttype"",""bar"";""max"",1;""color1"",""#FFFFFF""}))"),"")</f>
        <v/>
      </c>
    </row>
    <row r="80" spans="1:10" ht="15.75" customHeight="1">
      <c r="A80" s="2" t="s">
        <v>2771</v>
      </c>
      <c r="B80" s="2" t="s">
        <v>2680</v>
      </c>
      <c r="C80" s="3">
        <v>331</v>
      </c>
      <c r="D80" s="2" t="s">
        <v>296</v>
      </c>
      <c r="E80" s="7">
        <f>IF($D80="","",COUNTIF('Импорт посещаемость'!I77:AE77,"L*"))</f>
        <v>13</v>
      </c>
      <c r="F80" s="7">
        <f>IF($D80="","",COUNTIF('Импорт посещаемость'!I77:AE77,"R*"))</f>
        <v>10</v>
      </c>
      <c r="G80" s="7">
        <f>IF($D80="","",MAX(0,COUNTA('Импорт посещаемость'!$I$1:$AE$1)-E80-F80))</f>
        <v>0</v>
      </c>
      <c r="H80" s="7">
        <f t="shared" si="1"/>
        <v>23</v>
      </c>
      <c r="I80" s="9">
        <f>IFERROR(H80/COUNTA('Импорт посещаемость'!$I$1:$AE$1),"")</f>
        <v>1</v>
      </c>
      <c r="J80" s="13" t="str">
        <f>IFERROR(__xludf.DUMMYFUNCTION("IF($D80="""","""",SPARKLINE(I80,{""charttype"",""bar"";""max"",1;""color1"",""#FFFFFF""}))"),"")</f>
        <v/>
      </c>
    </row>
    <row r="81" spans="1:10" ht="15.75" customHeight="1">
      <c r="A81" s="2" t="s">
        <v>2772</v>
      </c>
      <c r="B81" s="2" t="s">
        <v>2676</v>
      </c>
      <c r="C81" s="3">
        <v>259</v>
      </c>
      <c r="D81" s="2" t="s">
        <v>612</v>
      </c>
      <c r="E81" s="7">
        <f>IF($D81="","",COUNTIF('Импорт посещаемость'!I78:AE78,"L*"))</f>
        <v>16</v>
      </c>
      <c r="F81" s="7">
        <f>IF($D81="","",COUNTIF('Импорт посещаемость'!I78:AE78,"R*"))</f>
        <v>7</v>
      </c>
      <c r="G81" s="7">
        <f>IF($D81="","",MAX(0,COUNTA('Импорт посещаемость'!$I$1:$AE$1)-E81-F81))</f>
        <v>0</v>
      </c>
      <c r="H81" s="7">
        <f t="shared" si="1"/>
        <v>23</v>
      </c>
      <c r="I81" s="9">
        <f>IFERROR(H81/COUNTA('Импорт посещаемость'!$I$1:$AE$1),"")</f>
        <v>1</v>
      </c>
      <c r="J81" s="13" t="str">
        <f>IFERROR(__xludf.DUMMYFUNCTION("IF($D81="""","""",SPARKLINE(I81,{""charttype"",""bar"";""max"",1;""color1"",""#FFFFFF""}))"),"")</f>
        <v/>
      </c>
    </row>
    <row r="82" spans="1:10" ht="15.75" customHeight="1">
      <c r="A82" s="2" t="s">
        <v>2773</v>
      </c>
      <c r="B82" s="2" t="s">
        <v>2699</v>
      </c>
      <c r="C82" s="3">
        <v>285</v>
      </c>
      <c r="D82" s="2" t="s">
        <v>158</v>
      </c>
      <c r="E82" s="7">
        <f>IF($D82="","",COUNTIF('Импорт посещаемость'!I79:AE79,"L*"))</f>
        <v>2</v>
      </c>
      <c r="F82" s="7">
        <f>IF($D82="","",COUNTIF('Импорт посещаемость'!I79:AE79,"R*"))</f>
        <v>16</v>
      </c>
      <c r="G82" s="7">
        <f>IF($D82="","",MAX(0,COUNTA('Импорт посещаемость'!$I$1:$AE$1)-E82-F82))</f>
        <v>5</v>
      </c>
      <c r="H82" s="7">
        <f t="shared" si="1"/>
        <v>18</v>
      </c>
      <c r="I82" s="9">
        <f>IFERROR(H82/COUNTA('Импорт посещаемость'!$I$1:$AE$1),"")</f>
        <v>0.78260869565217395</v>
      </c>
      <c r="J82" s="13" t="str">
        <f>IFERROR(__xludf.DUMMYFUNCTION("IF($D82="""","""",SPARKLINE(I82,{""charttype"",""bar"";""max"",1;""color1"",""#FFFFFF""}))"),"")</f>
        <v/>
      </c>
    </row>
    <row r="83" spans="1:10" ht="15.75" customHeight="1">
      <c r="A83" s="2" t="s">
        <v>2774</v>
      </c>
      <c r="B83" s="2" t="s">
        <v>2775</v>
      </c>
      <c r="C83" s="3">
        <v>607</v>
      </c>
      <c r="D83" s="2" t="s">
        <v>789</v>
      </c>
      <c r="E83" s="7">
        <f>IF($D83="","",COUNTIF('Импорт посещаемость'!I80:AE80,"L*"))</f>
        <v>14</v>
      </c>
      <c r="F83" s="7">
        <f>IF($D83="","",COUNTIF('Импорт посещаемость'!I80:AE80,"R*"))</f>
        <v>9</v>
      </c>
      <c r="G83" s="7">
        <f>IF($D83="","",MAX(0,COUNTA('Импорт посещаемость'!$I$1:$AE$1)-E83-F83))</f>
        <v>0</v>
      </c>
      <c r="H83" s="7">
        <f t="shared" si="1"/>
        <v>23</v>
      </c>
      <c r="I83" s="9">
        <f>IFERROR(H83/COUNTA('Импорт посещаемость'!$I$1:$AE$1),"")</f>
        <v>1</v>
      </c>
      <c r="J83" s="13" t="str">
        <f>IFERROR(__xludf.DUMMYFUNCTION("IF($D83="""","""",SPARKLINE(I83,{""charttype"",""bar"";""max"",1;""color1"",""#FFFFFF""}))"),"")</f>
        <v/>
      </c>
    </row>
    <row r="84" spans="1:10" ht="15.75" customHeight="1">
      <c r="A84" s="2" t="s">
        <v>2776</v>
      </c>
      <c r="B84" s="2" t="s">
        <v>2777</v>
      </c>
      <c r="C84" s="3">
        <v>753</v>
      </c>
      <c r="D84" s="2" t="s">
        <v>462</v>
      </c>
      <c r="E84" s="7">
        <f>IF($D84="","",COUNTIF('Импорт посещаемость'!I81:AE81,"L*"))</f>
        <v>11</v>
      </c>
      <c r="F84" s="7">
        <f>IF($D84="","",COUNTIF('Импорт посещаемость'!I81:AE81,"R*"))</f>
        <v>12</v>
      </c>
      <c r="G84" s="7">
        <f>IF($D84="","",MAX(0,COUNTA('Импорт посещаемость'!$I$1:$AE$1)-E84-F84))</f>
        <v>0</v>
      </c>
      <c r="H84" s="7">
        <f t="shared" si="1"/>
        <v>23</v>
      </c>
      <c r="I84" s="9">
        <f>IFERROR(H84/COUNTA('Импорт посещаемость'!$I$1:$AE$1),"")</f>
        <v>1</v>
      </c>
      <c r="J84" s="13" t="str">
        <f>IFERROR(__xludf.DUMMYFUNCTION("IF($D84="""","""",SPARKLINE(I84,{""charttype"",""bar"";""max"",1;""color1"",""#FFFFFF""}))"),"")</f>
        <v/>
      </c>
    </row>
    <row r="85" spans="1:10" ht="15.75" customHeight="1">
      <c r="A85" s="2" t="s">
        <v>2778</v>
      </c>
      <c r="B85" s="2" t="s">
        <v>2779</v>
      </c>
      <c r="C85" s="3">
        <v>668</v>
      </c>
      <c r="D85" s="2" t="s">
        <v>111</v>
      </c>
      <c r="E85" s="7">
        <f>IF($D85="","",COUNTIF('Импорт посещаемость'!I82:AE82,"L*"))</f>
        <v>1</v>
      </c>
      <c r="F85" s="7">
        <f>IF($D85="","",COUNTIF('Импорт посещаемость'!I82:AE82,"R*"))</f>
        <v>21</v>
      </c>
      <c r="G85" s="7">
        <f>IF($D85="","",MAX(0,COUNTA('Импорт посещаемость'!$I$1:$AE$1)-E85-F85))</f>
        <v>1</v>
      </c>
      <c r="H85" s="7">
        <f t="shared" si="1"/>
        <v>22</v>
      </c>
      <c r="I85" s="9">
        <f>IFERROR(H85/COUNTA('Импорт посещаемость'!$I$1:$AE$1),"")</f>
        <v>0.95652173913043503</v>
      </c>
      <c r="J85" s="13" t="str">
        <f>IFERROR(__xludf.DUMMYFUNCTION("IF($D85="""","""",SPARKLINE(I85,{""charttype"",""bar"";""max"",1;""color1"",""#FFFFFF""}))"),"")</f>
        <v/>
      </c>
    </row>
    <row r="86" spans="1:10" ht="15.75" customHeight="1">
      <c r="A86" s="2" t="s">
        <v>2780</v>
      </c>
      <c r="B86" s="2" t="s">
        <v>2781</v>
      </c>
      <c r="C86" s="3">
        <v>775</v>
      </c>
      <c r="D86" s="2" t="s">
        <v>114</v>
      </c>
      <c r="E86" s="7">
        <f>IF($D86="","",COUNTIF('Импорт посещаемость'!I83:AE83,"L*"))</f>
        <v>15</v>
      </c>
      <c r="F86" s="7">
        <f>IF($D86="","",COUNTIF('Импорт посещаемость'!I83:AE83,"R*"))</f>
        <v>8</v>
      </c>
      <c r="G86" s="7">
        <f>IF($D86="","",MAX(0,COUNTA('Импорт посещаемость'!$I$1:$AE$1)-E86-F86))</f>
        <v>0</v>
      </c>
      <c r="H86" s="7">
        <f t="shared" si="1"/>
        <v>23</v>
      </c>
      <c r="I86" s="9">
        <f>IFERROR(H86/COUNTA('Импорт посещаемость'!$I$1:$AE$1),"")</f>
        <v>1</v>
      </c>
      <c r="J86" s="13" t="str">
        <f>IFERROR(__xludf.DUMMYFUNCTION("IF($D86="""","""",SPARKLINE(I86,{""charttype"",""bar"";""max"",1;""color1"",""#FFFFFF""}))"),"")</f>
        <v/>
      </c>
    </row>
    <row r="87" spans="1:10" ht="15.75" customHeight="1">
      <c r="A87" s="2" t="s">
        <v>2782</v>
      </c>
      <c r="B87" s="2" t="s">
        <v>833</v>
      </c>
      <c r="C87" s="3">
        <v>342</v>
      </c>
      <c r="D87" s="2" t="s">
        <v>464</v>
      </c>
      <c r="E87" s="7">
        <f>IF($D87="","",COUNTIF('Импорт посещаемость'!I84:AE84,"L*"))</f>
        <v>11</v>
      </c>
      <c r="F87" s="7">
        <f>IF($D87="","",COUNTIF('Импорт посещаемость'!I84:AE84,"R*"))</f>
        <v>7</v>
      </c>
      <c r="G87" s="7">
        <f>IF($D87="","",MAX(0,COUNTA('Импорт посещаемость'!$I$1:$AE$1)-E87-F87))</f>
        <v>5</v>
      </c>
      <c r="H87" s="7">
        <f t="shared" si="1"/>
        <v>18</v>
      </c>
      <c r="I87" s="9">
        <f>IFERROR(H87/COUNTA('Импорт посещаемость'!$I$1:$AE$1),"")</f>
        <v>0.78260869565217395</v>
      </c>
      <c r="J87" s="13" t="str">
        <f>IFERROR(__xludf.DUMMYFUNCTION("IF($D87="""","""",SPARKLINE(I87,{""charttype"",""bar"";""max"",1;""color1"",""#FFFFFF""}))"),"")</f>
        <v/>
      </c>
    </row>
    <row r="88" spans="1:10" ht="15.75" customHeight="1">
      <c r="A88" s="2" t="s">
        <v>2783</v>
      </c>
      <c r="B88" s="2" t="s">
        <v>2659</v>
      </c>
      <c r="C88" s="3">
        <v>725</v>
      </c>
      <c r="D88" s="2" t="s">
        <v>512</v>
      </c>
      <c r="E88" s="7">
        <f>IF($D88="","",COUNTIF('Импорт посещаемость'!I85:AE85,"L*"))</f>
        <v>8</v>
      </c>
      <c r="F88" s="7">
        <f>IF($D88="","",COUNTIF('Импорт посещаемость'!I85:AE85,"R*"))</f>
        <v>15</v>
      </c>
      <c r="G88" s="7">
        <f>IF($D88="","",MAX(0,COUNTA('Импорт посещаемость'!$I$1:$AE$1)-E88-F88))</f>
        <v>0</v>
      </c>
      <c r="H88" s="7">
        <f t="shared" si="1"/>
        <v>23</v>
      </c>
      <c r="I88" s="9">
        <f>IFERROR(H88/COUNTA('Импорт посещаемость'!$I$1:$AE$1),"")</f>
        <v>1</v>
      </c>
      <c r="J88" s="13" t="str">
        <f>IFERROR(__xludf.DUMMYFUNCTION("IF($D88="""","""",SPARKLINE(I88,{""charttype"",""bar"";""max"",1;""color1"",""#FFFFFF""}))"),"")</f>
        <v/>
      </c>
    </row>
    <row r="89" spans="1:10" ht="15.75" customHeight="1">
      <c r="A89" s="2" t="s">
        <v>2784</v>
      </c>
      <c r="B89" s="2" t="s">
        <v>2701</v>
      </c>
      <c r="C89" s="3">
        <v>700</v>
      </c>
      <c r="D89" s="2" t="s">
        <v>353</v>
      </c>
      <c r="E89" s="7">
        <f>IF($D89="","",COUNTIF('Импорт посещаемость'!I86:AE86,"L*"))</f>
        <v>3</v>
      </c>
      <c r="F89" s="7">
        <f>IF($D89="","",COUNTIF('Импорт посещаемость'!I86:AE86,"R*"))</f>
        <v>20</v>
      </c>
      <c r="G89" s="7">
        <f>IF($D89="","",MAX(0,COUNTA('Импорт посещаемость'!$I$1:$AE$1)-E89-F89))</f>
        <v>0</v>
      </c>
      <c r="H89" s="7">
        <f t="shared" si="1"/>
        <v>23</v>
      </c>
      <c r="I89" s="9">
        <f>IFERROR(H89/COUNTA('Импорт посещаемость'!$I$1:$AE$1),"")</f>
        <v>1</v>
      </c>
      <c r="J89" s="13" t="str">
        <f>IFERROR(__xludf.DUMMYFUNCTION("IF($D89="""","""",SPARKLINE(I89,{""charttype"",""bar"";""max"",1;""color1"",""#FFFFFF""}))"),"")</f>
        <v/>
      </c>
    </row>
    <row r="90" spans="1:10" ht="15.75" customHeight="1">
      <c r="A90" s="2" t="s">
        <v>2785</v>
      </c>
      <c r="B90" s="2" t="s">
        <v>833</v>
      </c>
      <c r="C90" s="3">
        <v>689</v>
      </c>
      <c r="D90" s="2" t="s">
        <v>675</v>
      </c>
      <c r="E90" s="7">
        <f>IF($D90="","",COUNTIF('Импорт посещаемость'!I87:AE87,"L*"))</f>
        <v>3</v>
      </c>
      <c r="F90" s="7">
        <f>IF($D90="","",COUNTIF('Импорт посещаемость'!I87:AE87,"R*"))</f>
        <v>20</v>
      </c>
      <c r="G90" s="7">
        <f>IF($D90="","",MAX(0,COUNTA('Импорт посещаемость'!$I$1:$AE$1)-E90-F90))</f>
        <v>0</v>
      </c>
      <c r="H90" s="7">
        <f t="shared" si="1"/>
        <v>23</v>
      </c>
      <c r="I90" s="9">
        <f>IFERROR(H90/COUNTA('Импорт посещаемость'!$I$1:$AE$1),"")</f>
        <v>1</v>
      </c>
      <c r="J90" s="13" t="str">
        <f>IFERROR(__xludf.DUMMYFUNCTION("IF($D90="""","""",SPARKLINE(I90,{""charttype"",""bar"";""max"",1;""color1"",""#FFFFFF""}))"),"")</f>
        <v/>
      </c>
    </row>
    <row r="91" spans="1:10" ht="15.75" customHeight="1">
      <c r="A91" s="2" t="s">
        <v>2786</v>
      </c>
      <c r="B91" s="2" t="s">
        <v>2787</v>
      </c>
      <c r="C91" s="3">
        <v>690</v>
      </c>
      <c r="D91" s="2" t="s">
        <v>678</v>
      </c>
      <c r="E91" s="7">
        <f>IF($D91="","",COUNTIF('Импорт посещаемость'!I88:AE88,"L*"))</f>
        <v>2</v>
      </c>
      <c r="F91" s="7">
        <f>IF($D91="","",COUNTIF('Импорт посещаемость'!I88:AE88,"R*"))</f>
        <v>19</v>
      </c>
      <c r="G91" s="7">
        <f>IF($D91="","",MAX(0,COUNTA('Импорт посещаемость'!$I$1:$AE$1)-E91-F91))</f>
        <v>2</v>
      </c>
      <c r="H91" s="7">
        <f t="shared" si="1"/>
        <v>21</v>
      </c>
      <c r="I91" s="9">
        <f>IFERROR(H91/COUNTA('Импорт посещаемость'!$I$1:$AE$1),"")</f>
        <v>0.91304347826086996</v>
      </c>
      <c r="J91" s="13" t="str">
        <f>IFERROR(__xludf.DUMMYFUNCTION("IF($D91="""","""",SPARKLINE(I91,{""charttype"",""bar"";""max"",1;""color1"",""#FFFFFF""}))"),"")</f>
        <v/>
      </c>
    </row>
    <row r="92" spans="1:10" ht="15.75" customHeight="1">
      <c r="A92" s="2" t="s">
        <v>2788</v>
      </c>
      <c r="B92" s="2" t="s">
        <v>2659</v>
      </c>
      <c r="C92" s="3">
        <v>735</v>
      </c>
      <c r="D92" s="2" t="s">
        <v>552</v>
      </c>
      <c r="E92" s="7">
        <f>IF($D92="","",COUNTIF('Импорт посещаемость'!I89:AE89,"L*"))</f>
        <v>1</v>
      </c>
      <c r="F92" s="7">
        <f>IF($D92="","",COUNTIF('Импорт посещаемость'!I89:AE89,"R*"))</f>
        <v>20</v>
      </c>
      <c r="G92" s="7">
        <f>IF($D92="","",MAX(0,COUNTA('Импорт посещаемость'!$I$1:$AE$1)-E92-F92))</f>
        <v>2</v>
      </c>
      <c r="H92" s="7">
        <f t="shared" si="1"/>
        <v>21</v>
      </c>
      <c r="I92" s="9">
        <f>IFERROR(H92/COUNTA('Импорт посещаемость'!$I$1:$AE$1),"")</f>
        <v>0.91304347826086996</v>
      </c>
      <c r="J92" s="13" t="str">
        <f>IFERROR(__xludf.DUMMYFUNCTION("IF($D92="""","""",SPARKLINE(I92,{""charttype"",""bar"";""max"",1;""color1"",""#FFFFFF""}))"),"")</f>
        <v/>
      </c>
    </row>
    <row r="93" spans="1:10" ht="15.75" customHeight="1">
      <c r="A93" s="2" t="s">
        <v>2789</v>
      </c>
      <c r="B93" s="2" t="s">
        <v>2790</v>
      </c>
      <c r="C93" s="3">
        <v>730</v>
      </c>
      <c r="D93" s="2" t="s">
        <v>778</v>
      </c>
      <c r="E93" s="7">
        <f>IF($D93="","",COUNTIF('Импорт посещаемость'!I90:AE90,"L*"))</f>
        <v>11</v>
      </c>
      <c r="F93" s="7">
        <f>IF($D93="","",COUNTIF('Импорт посещаемость'!I90:AE90,"R*"))</f>
        <v>8</v>
      </c>
      <c r="G93" s="7">
        <f>IF($D93="","",MAX(0,COUNTA('Импорт посещаемость'!$I$1:$AE$1)-E93-F93))</f>
        <v>4</v>
      </c>
      <c r="H93" s="7">
        <f t="shared" si="1"/>
        <v>19</v>
      </c>
      <c r="I93" s="9">
        <f>IFERROR(H93/COUNTA('Импорт посещаемость'!$I$1:$AE$1),"")</f>
        <v>0.82608695652173902</v>
      </c>
      <c r="J93" s="13" t="str">
        <f>IFERROR(__xludf.DUMMYFUNCTION("IF($D93="""","""",SPARKLINE(I93,{""charttype"",""bar"";""max"",1;""color1"",""#FFFFFF""}))"),"")</f>
        <v/>
      </c>
    </row>
    <row r="94" spans="1:10" ht="15.75" customHeight="1">
      <c r="A94" s="2" t="s">
        <v>2791</v>
      </c>
      <c r="B94" s="2" t="s">
        <v>2792</v>
      </c>
      <c r="C94" s="3">
        <v>330</v>
      </c>
      <c r="D94" s="2" t="s">
        <v>387</v>
      </c>
      <c r="E94" s="7">
        <f>IF($D94="","",COUNTIF('Импорт посещаемость'!I91:AE91,"L*"))</f>
        <v>16</v>
      </c>
      <c r="F94" s="7">
        <f>IF($D94="","",COUNTIF('Импорт посещаемость'!I91:AE91,"R*"))</f>
        <v>7</v>
      </c>
      <c r="G94" s="7">
        <f>IF($D94="","",MAX(0,COUNTA('Импорт посещаемость'!$I$1:$AE$1)-E94-F94))</f>
        <v>0</v>
      </c>
      <c r="H94" s="7">
        <f t="shared" si="1"/>
        <v>23</v>
      </c>
      <c r="I94" s="9">
        <f>IFERROR(H94/COUNTA('Импорт посещаемость'!$I$1:$AE$1),"")</f>
        <v>1</v>
      </c>
      <c r="J94" s="13" t="str">
        <f>IFERROR(__xludf.DUMMYFUNCTION("IF($D94="""","""",SPARKLINE(I94,{""charttype"",""bar"";""max"",1;""color1"",""#FFFFFF""}))"),"")</f>
        <v/>
      </c>
    </row>
    <row r="95" spans="1:10" ht="15.75" customHeight="1">
      <c r="A95" s="2" t="s">
        <v>2793</v>
      </c>
      <c r="B95" s="2" t="s">
        <v>2662</v>
      </c>
      <c r="C95" s="3">
        <v>742</v>
      </c>
      <c r="D95" s="2" t="s">
        <v>67</v>
      </c>
      <c r="E95" s="7">
        <f>IF($D95="","",COUNTIF('Импорт посещаемость'!I92:AE92,"L*"))</f>
        <v>12</v>
      </c>
      <c r="F95" s="7">
        <f>IF($D95="","",COUNTIF('Импорт посещаемость'!I92:AE92,"R*"))</f>
        <v>11</v>
      </c>
      <c r="G95" s="7">
        <f>IF($D95="","",MAX(0,COUNTA('Импорт посещаемость'!$I$1:$AE$1)-E95-F95))</f>
        <v>0</v>
      </c>
      <c r="H95" s="7">
        <f t="shared" si="1"/>
        <v>23</v>
      </c>
      <c r="I95" s="9">
        <f>IFERROR(H95/COUNTA('Импорт посещаемость'!$I$1:$AE$1),"")</f>
        <v>1</v>
      </c>
      <c r="J95" s="13" t="str">
        <f>IFERROR(__xludf.DUMMYFUNCTION("IF($D95="""","""",SPARKLINE(I95,{""charttype"",""bar"";""max"",1;""color1"",""#FFFFFF""}))"),"")</f>
        <v/>
      </c>
    </row>
    <row r="96" spans="1:10" ht="15.75" customHeight="1">
      <c r="A96" s="2" t="s">
        <v>2794</v>
      </c>
      <c r="B96" s="2" t="s">
        <v>2732</v>
      </c>
      <c r="C96" s="3">
        <v>305</v>
      </c>
      <c r="D96" s="2" t="s">
        <v>466</v>
      </c>
      <c r="E96" s="7">
        <f>IF($D96="","",COUNTIF('Импорт посещаемость'!I93:AE93,"L*"))</f>
        <v>17</v>
      </c>
      <c r="F96" s="7">
        <f>IF($D96="","",COUNTIF('Импорт посещаемость'!I93:AE93,"R*"))</f>
        <v>6</v>
      </c>
      <c r="G96" s="7">
        <f>IF($D96="","",MAX(0,COUNTA('Импорт посещаемость'!$I$1:$AE$1)-E96-F96))</f>
        <v>0</v>
      </c>
      <c r="H96" s="7">
        <f t="shared" si="1"/>
        <v>23</v>
      </c>
      <c r="I96" s="9">
        <f>IFERROR(H96/COUNTA('Импорт посещаемость'!$I$1:$AE$1),"")</f>
        <v>1</v>
      </c>
      <c r="J96" s="13" t="str">
        <f>IFERROR(__xludf.DUMMYFUNCTION("IF($D96="""","""",SPARKLINE(I96,{""charttype"",""bar"";""max"",1;""color1"",""#FFFFFF""}))"),"")</f>
        <v/>
      </c>
    </row>
    <row r="97" spans="1:10" ht="15.75" customHeight="1">
      <c r="A97" s="2" t="s">
        <v>2795</v>
      </c>
      <c r="B97" s="2" t="s">
        <v>2796</v>
      </c>
      <c r="C97" s="3">
        <v>778</v>
      </c>
      <c r="D97" s="2" t="s">
        <v>719</v>
      </c>
      <c r="E97" s="7">
        <f>IF($D97="","",COUNTIF('Импорт посещаемость'!I94:AE94,"L*"))</f>
        <v>10</v>
      </c>
      <c r="F97" s="7">
        <f>IF($D97="","",COUNTIF('Импорт посещаемость'!I94:AE94,"R*"))</f>
        <v>9</v>
      </c>
      <c r="G97" s="7">
        <f>IF($D97="","",MAX(0,COUNTA('Импорт посещаемость'!$I$1:$AE$1)-E97-F97))</f>
        <v>4</v>
      </c>
      <c r="H97" s="7">
        <f t="shared" si="1"/>
        <v>19</v>
      </c>
      <c r="I97" s="9">
        <f>IFERROR(H97/COUNTA('Импорт посещаемость'!$I$1:$AE$1),"")</f>
        <v>0.82608695652173902</v>
      </c>
      <c r="J97" s="13" t="str">
        <f>IFERROR(__xludf.DUMMYFUNCTION("IF($D97="""","""",SPARKLINE(I97,{""charttype"",""bar"";""max"",1;""color1"",""#FFFFFF""}))"),"")</f>
        <v/>
      </c>
    </row>
    <row r="98" spans="1:10" ht="15.75" customHeight="1">
      <c r="A98" s="2" t="s">
        <v>2797</v>
      </c>
      <c r="B98" s="2" t="s">
        <v>2798</v>
      </c>
      <c r="C98" s="3">
        <v>792</v>
      </c>
      <c r="D98" s="2" t="s">
        <v>9</v>
      </c>
      <c r="E98" s="7">
        <f>IF($D98="","",COUNTIF('Импорт посещаемость'!I95:AE95,"L*"))</f>
        <v>1</v>
      </c>
      <c r="F98" s="7">
        <f>IF($D98="","",COUNTIF('Импорт посещаемость'!I95:AE95,"R*"))</f>
        <v>17</v>
      </c>
      <c r="G98" s="7">
        <f>IF($D98="","",MAX(0,COUNTA('Импорт посещаемость'!$I$1:$AE$1)-E98-F98))</f>
        <v>5</v>
      </c>
      <c r="H98" s="7">
        <f t="shared" si="1"/>
        <v>18</v>
      </c>
      <c r="I98" s="9">
        <f>IFERROR(H98/COUNTA('Импорт посещаемость'!$I$1:$AE$1),"")</f>
        <v>0.78260869565217395</v>
      </c>
      <c r="J98" s="13" t="str">
        <f>IFERROR(__xludf.DUMMYFUNCTION("IF($D98="""","""",SPARKLINE(I98,{""charttype"",""bar"";""max"",1;""color1"",""#FFFFFF""}))"),"")</f>
        <v/>
      </c>
    </row>
    <row r="99" spans="1:10" ht="15.75" customHeight="1">
      <c r="A99" s="2" t="s">
        <v>2799</v>
      </c>
      <c r="B99" s="2" t="s">
        <v>2746</v>
      </c>
      <c r="C99" s="3">
        <v>366</v>
      </c>
      <c r="D99" s="2" t="s">
        <v>160</v>
      </c>
      <c r="E99" s="7">
        <f>IF($D99="","",COUNTIF('Импорт посещаемость'!I96:AE96,"L*"))</f>
        <v>0</v>
      </c>
      <c r="F99" s="7">
        <f>IF($D99="","",COUNTIF('Импорт посещаемость'!I96:AE96,"R*"))</f>
        <v>23</v>
      </c>
      <c r="G99" s="7">
        <f>IF($D99="","",MAX(0,COUNTA('Импорт посещаемость'!$I$1:$AE$1)-E99-F99))</f>
        <v>0</v>
      </c>
      <c r="H99" s="7">
        <f t="shared" si="1"/>
        <v>23</v>
      </c>
      <c r="I99" s="9">
        <f>IFERROR(H99/COUNTA('Импорт посещаемость'!$I$1:$AE$1),"")</f>
        <v>1</v>
      </c>
      <c r="J99" s="13" t="str">
        <f>IFERROR(__xludf.DUMMYFUNCTION("IF($D99="""","""",SPARKLINE(I99,{""charttype"",""bar"";""max"",1;""color1"",""#FFFFFF""}))"),"")</f>
        <v/>
      </c>
    </row>
    <row r="100" spans="1:10" ht="15.75" customHeight="1">
      <c r="A100" s="2" t="s">
        <v>2800</v>
      </c>
      <c r="B100" s="2" t="s">
        <v>2801</v>
      </c>
      <c r="C100" s="3">
        <v>807</v>
      </c>
      <c r="D100" s="2" t="s">
        <v>299</v>
      </c>
      <c r="E100" s="7">
        <f>IF($D100="","",COUNTIF('Импорт посещаемость'!I97:AE97,"L*"))</f>
        <v>11</v>
      </c>
      <c r="F100" s="7">
        <f>IF($D100="","",COUNTIF('Импорт посещаемость'!I97:AE97,"R*"))</f>
        <v>11</v>
      </c>
      <c r="G100" s="7">
        <f>IF($D100="","",MAX(0,COUNTA('Импорт посещаемость'!$I$1:$AE$1)-E100-F100))</f>
        <v>1</v>
      </c>
      <c r="H100" s="7">
        <f t="shared" si="1"/>
        <v>22</v>
      </c>
      <c r="I100" s="9">
        <f>IFERROR(H100/COUNTA('Импорт посещаемость'!$I$1:$AE$1),"")</f>
        <v>0.95652173913043503</v>
      </c>
      <c r="J100" s="13" t="str">
        <f>IFERROR(__xludf.DUMMYFUNCTION("IF($D100="""","""",SPARKLINE(I100,{""charttype"",""bar"";""max"",1;""color1"",""#FFFFFF""}))"),"")</f>
        <v/>
      </c>
    </row>
    <row r="101" spans="1:10" ht="15.75" customHeight="1">
      <c r="A101" s="2" t="s">
        <v>2802</v>
      </c>
      <c r="B101" s="2" t="s">
        <v>2682</v>
      </c>
      <c r="C101" s="3">
        <v>765</v>
      </c>
      <c r="D101" s="2" t="s">
        <v>117</v>
      </c>
      <c r="E101" s="7">
        <f>IF($D101="","",COUNTIF('Импорт посещаемость'!I98:AE98,"L*"))</f>
        <v>5</v>
      </c>
      <c r="F101" s="7">
        <f>IF($D101="","",COUNTIF('Импорт посещаемость'!I98:AE98,"R*"))</f>
        <v>11</v>
      </c>
      <c r="G101" s="7">
        <f>IF($D101="","",MAX(0,COUNTA('Импорт посещаемость'!$I$1:$AE$1)-E101-F101))</f>
        <v>7</v>
      </c>
      <c r="H101" s="7">
        <f t="shared" si="1"/>
        <v>16</v>
      </c>
      <c r="I101" s="9">
        <f>IFERROR(H101/COUNTA('Импорт посещаемость'!$I$1:$AE$1),"")</f>
        <v>0.69565217391304301</v>
      </c>
      <c r="J101" s="13" t="str">
        <f>IFERROR(__xludf.DUMMYFUNCTION("IF($D101="""","""",SPARKLINE(I101,{""charttype"",""bar"";""max"",1;""color1"",""#FFFFFF""}))"),"")</f>
        <v/>
      </c>
    </row>
    <row r="102" spans="1:10" ht="15.75" customHeight="1">
      <c r="A102" s="2" t="s">
        <v>2803</v>
      </c>
      <c r="B102" s="2" t="s">
        <v>2804</v>
      </c>
      <c r="C102" s="3">
        <v>695</v>
      </c>
      <c r="D102" s="2" t="s">
        <v>250</v>
      </c>
      <c r="E102" s="7">
        <f>IF($D102="","",COUNTIF('Импорт посещаемость'!I99:AE99,"L*"))</f>
        <v>7</v>
      </c>
      <c r="F102" s="7">
        <f>IF($D102="","",COUNTIF('Импорт посещаемость'!I99:AE99,"R*"))</f>
        <v>15</v>
      </c>
      <c r="G102" s="7">
        <f>IF($D102="","",MAX(0,COUNTA('Импорт посещаемость'!$I$1:$AE$1)-E102-F102))</f>
        <v>1</v>
      </c>
      <c r="H102" s="7">
        <f t="shared" si="1"/>
        <v>22</v>
      </c>
      <c r="I102" s="9">
        <f>IFERROR(H102/COUNTA('Импорт посещаемость'!$I$1:$AE$1),"")</f>
        <v>0.95652173913043503</v>
      </c>
      <c r="J102" s="13" t="str">
        <f>IFERROR(__xludf.DUMMYFUNCTION("IF($D102="""","""",SPARKLINE(I102,{""charttype"",""bar"";""max"",1;""color1"",""#FFFFFF""}))"),"")</f>
        <v/>
      </c>
    </row>
    <row r="103" spans="1:10" ht="15.75" customHeight="1">
      <c r="A103" s="2" t="s">
        <v>2805</v>
      </c>
      <c r="B103" s="2" t="s">
        <v>2790</v>
      </c>
      <c r="C103" s="3">
        <v>468</v>
      </c>
      <c r="D103" s="2" t="s">
        <v>515</v>
      </c>
      <c r="E103" s="7">
        <f>IF($D103="","",COUNTIF('Импорт посещаемость'!I100:AE100,"L*"))</f>
        <v>5</v>
      </c>
      <c r="F103" s="7">
        <f>IF($D103="","",COUNTIF('Импорт посещаемость'!I100:AE100,"R*"))</f>
        <v>18</v>
      </c>
      <c r="G103" s="7">
        <f>IF($D103="","",MAX(0,COUNTA('Импорт посещаемость'!$I$1:$AE$1)-E103-F103))</f>
        <v>0</v>
      </c>
      <c r="H103" s="7">
        <f t="shared" si="1"/>
        <v>23</v>
      </c>
      <c r="I103" s="9">
        <f>IFERROR(H103/COUNTA('Импорт посещаемость'!$I$1:$AE$1),"")</f>
        <v>1</v>
      </c>
      <c r="J103" s="13" t="str">
        <f>IFERROR(__xludf.DUMMYFUNCTION("IF($D103="""","""",SPARKLINE(I103,{""charttype"",""bar"";""max"",1;""color1"",""#FFFFFF""}))"),"")</f>
        <v/>
      </c>
    </row>
    <row r="104" spans="1:10" ht="15.75" customHeight="1">
      <c r="A104" s="2" t="s">
        <v>2386</v>
      </c>
      <c r="B104" s="2" t="s">
        <v>851</v>
      </c>
      <c r="C104" s="3">
        <v>789</v>
      </c>
      <c r="D104" s="2" t="s">
        <v>722</v>
      </c>
      <c r="E104" s="7">
        <f>IF($D104="","",COUNTIF('Импорт посещаемость'!I101:AE101,"L*"))</f>
        <v>8</v>
      </c>
      <c r="F104" s="7">
        <f>IF($D104="","",COUNTIF('Импорт посещаемость'!I101:AE101,"R*"))</f>
        <v>15</v>
      </c>
      <c r="G104" s="7">
        <f>IF($D104="","",MAX(0,COUNTA('Импорт посещаемость'!$I$1:$AE$1)-E104-F104))</f>
        <v>0</v>
      </c>
      <c r="H104" s="7">
        <f t="shared" si="1"/>
        <v>23</v>
      </c>
      <c r="I104" s="9">
        <f>IFERROR(H104/COUNTA('Импорт посещаемость'!$I$1:$AE$1),"")</f>
        <v>1</v>
      </c>
      <c r="J104" s="13" t="str">
        <f>IFERROR(__xludf.DUMMYFUNCTION("IF($D104="""","""",SPARKLINE(I104,{""charttype"",""bar"";""max"",1;""color1"",""#FFFFFF""}))"),"")</f>
        <v/>
      </c>
    </row>
    <row r="105" spans="1:10" ht="15.75" customHeight="1">
      <c r="A105" s="2" t="s">
        <v>2386</v>
      </c>
      <c r="B105" s="2" t="s">
        <v>2659</v>
      </c>
      <c r="C105" s="3">
        <v>596</v>
      </c>
      <c r="D105" s="2" t="s">
        <v>355</v>
      </c>
      <c r="E105" s="7">
        <f>IF($D105="","",COUNTIF('Импорт посещаемость'!I102:AE102,"L*"))</f>
        <v>4</v>
      </c>
      <c r="F105" s="7">
        <f>IF($D105="","",COUNTIF('Импорт посещаемость'!I102:AE102,"R*"))</f>
        <v>7</v>
      </c>
      <c r="G105" s="7">
        <f>IF($D105="","",MAX(0,COUNTA('Импорт посещаемость'!$I$1:$AE$1)-E105-F105))</f>
        <v>12</v>
      </c>
      <c r="H105" s="7">
        <f t="shared" si="1"/>
        <v>11</v>
      </c>
      <c r="I105" s="9">
        <f>IFERROR(H105/COUNTA('Импорт посещаемость'!$I$1:$AE$1),"")</f>
        <v>0.47826086956521702</v>
      </c>
      <c r="J105" s="13" t="str">
        <f>IFERROR(__xludf.DUMMYFUNCTION("IF($D105="""","""",SPARKLINE(I105,{""charttype"",""bar"";""max"",1;""color1"",""#FFFFFF""}))"),"")</f>
        <v/>
      </c>
    </row>
    <row r="106" spans="1:10" ht="15.75" customHeight="1">
      <c r="A106" s="2" t="s">
        <v>2806</v>
      </c>
      <c r="B106" s="2" t="s">
        <v>2722</v>
      </c>
      <c r="C106" s="3">
        <v>752</v>
      </c>
      <c r="D106" s="2" t="s">
        <v>12</v>
      </c>
      <c r="E106" s="7">
        <f>IF($D106="","",COUNTIF('Импорт посещаемость'!I102:AE102,"L*"))</f>
        <v>4</v>
      </c>
      <c r="F106" s="7">
        <f>IF($D106="","",COUNTIF('Импорт посещаемость'!I102:AE102,"R*"))</f>
        <v>7</v>
      </c>
      <c r="G106" s="7">
        <f>IF($D106="","",MAX(0,COUNTA('Импорт посещаемость'!$I$1:$AE$1)-E106-F106))</f>
        <v>12</v>
      </c>
      <c r="H106" s="7">
        <f t="shared" si="1"/>
        <v>11</v>
      </c>
      <c r="I106" s="9">
        <f>IFERROR(H106/COUNTA('Импорт посещаемость'!$I$1:$AE$1),"")</f>
        <v>0.47826086956521702</v>
      </c>
      <c r="J106" s="13" t="str">
        <f>IFERROR(__xludf.DUMMYFUNCTION("IF($D106="""","""",SPARKLINE(I106,{""charttype"",""bar"";""max"",1;""color1"",""#FFFFFF""}))"),"")</f>
        <v/>
      </c>
    </row>
    <row r="107" spans="1:10" ht="15.75" customHeight="1">
      <c r="A107" s="2" t="s">
        <v>2807</v>
      </c>
      <c r="B107" s="2" t="s">
        <v>2808</v>
      </c>
      <c r="C107" s="3">
        <v>297</v>
      </c>
      <c r="D107" s="2" t="s">
        <v>517</v>
      </c>
      <c r="E107" s="7">
        <f>IF($D107="","",COUNTIF('Импорт посещаемость'!I103:AE103,"L*"))</f>
        <v>16</v>
      </c>
      <c r="F107" s="7">
        <f>IF($D107="","",COUNTIF('Импорт посещаемость'!I103:AE103,"R*"))</f>
        <v>7</v>
      </c>
      <c r="G107" s="7">
        <f>IF($D107="","",MAX(0,COUNTA('Импорт посещаемость'!$I$1:$AE$1)-E107-F107))</f>
        <v>0</v>
      </c>
      <c r="H107" s="7">
        <f t="shared" si="1"/>
        <v>23</v>
      </c>
      <c r="I107" s="9">
        <f>IFERROR(H107/COUNTA('Импорт посещаемость'!$I$1:$AE$1),"")</f>
        <v>1</v>
      </c>
      <c r="J107" s="13" t="str">
        <f>IFERROR(__xludf.DUMMYFUNCTION("IF($D107="""","""",SPARKLINE(I107,{""charttype"",""bar"";""max"",1;""color1"",""#FFFFFF""}))"),"")</f>
        <v/>
      </c>
    </row>
    <row r="108" spans="1:10" ht="15.75" customHeight="1">
      <c r="A108" s="2" t="s">
        <v>2761</v>
      </c>
      <c r="B108" s="2" t="s">
        <v>2809</v>
      </c>
      <c r="C108" s="3">
        <v>806</v>
      </c>
      <c r="D108" s="2" t="s">
        <v>658</v>
      </c>
      <c r="E108" s="7">
        <f>IF($D108="","",COUNTIF('Импорт посещаемость'!I104:AE104,"L*"))</f>
        <v>0</v>
      </c>
      <c r="F108" s="7">
        <f>IF($D108="","",COUNTIF('Импорт посещаемость'!I104:AE104,"R*"))</f>
        <v>23</v>
      </c>
      <c r="G108" s="7">
        <f>IF($D108="","",MAX(0,COUNTA('Импорт посещаемость'!$I$1:$AE$1)-E108-F108))</f>
        <v>0</v>
      </c>
      <c r="H108" s="7">
        <f t="shared" si="1"/>
        <v>23</v>
      </c>
      <c r="I108" s="9">
        <f>IFERROR(H108/COUNTA('Импорт посещаемость'!$I$1:$AE$1),"")</f>
        <v>1</v>
      </c>
      <c r="J108" s="13" t="str">
        <f>IFERROR(__xludf.DUMMYFUNCTION("IF($D108="""","""",SPARKLINE(I108,{""charttype"",""bar"";""max"",1;""color1"",""#FFFFFF""}))"),"")</f>
        <v/>
      </c>
    </row>
    <row r="109" spans="1:10" ht="15.75" customHeight="1">
      <c r="A109" s="2" t="s">
        <v>2810</v>
      </c>
      <c r="B109" s="2" t="s">
        <v>2770</v>
      </c>
      <c r="C109" s="3">
        <v>627</v>
      </c>
      <c r="D109" s="2" t="s">
        <v>615</v>
      </c>
      <c r="E109" s="7">
        <f>IF($D109="","",COUNTIF('Импорт посещаемость'!I105:AE105,"L*"))</f>
        <v>15</v>
      </c>
      <c r="F109" s="7">
        <f>IF($D109="","",COUNTIF('Импорт посещаемость'!I105:AE105,"R*"))</f>
        <v>8</v>
      </c>
      <c r="G109" s="7">
        <f>IF($D109="","",MAX(0,COUNTA('Импорт посещаемость'!$I$1:$AE$1)-E109-F109))</f>
        <v>0</v>
      </c>
      <c r="H109" s="7">
        <f t="shared" si="1"/>
        <v>23</v>
      </c>
      <c r="I109" s="9">
        <f>IFERROR(H109/COUNTA('Импорт посещаемость'!$I$1:$AE$1),"")</f>
        <v>1</v>
      </c>
      <c r="J109" s="13" t="str">
        <f>IFERROR(__xludf.DUMMYFUNCTION("IF($D109="""","""",SPARKLINE(I109,{""charttype"",""bar"";""max"",1;""color1"",""#FFFFFF""}))"),"")</f>
        <v/>
      </c>
    </row>
    <row r="110" spans="1:10" ht="15.75" customHeight="1">
      <c r="A110" s="2" t="s">
        <v>2810</v>
      </c>
      <c r="B110" s="2" t="s">
        <v>2811</v>
      </c>
      <c r="C110" s="3">
        <v>616</v>
      </c>
      <c r="D110" s="2" t="s">
        <v>618</v>
      </c>
      <c r="E110" s="7">
        <f>IF($D110="","",COUNTIF('Импорт посещаемость'!I106:AE106,"L*"))</f>
        <v>3</v>
      </c>
      <c r="F110" s="7">
        <f>IF($D110="","",COUNTIF('Импорт посещаемость'!I106:AE106,"R*"))</f>
        <v>15</v>
      </c>
      <c r="G110" s="7">
        <f>IF($D110="","",MAX(0,COUNTA('Импорт посещаемость'!$I$1:$AE$1)-E110-F110))</f>
        <v>5</v>
      </c>
      <c r="H110" s="7">
        <f t="shared" si="1"/>
        <v>18</v>
      </c>
      <c r="I110" s="9">
        <f>IFERROR(H110/COUNTA('Импорт посещаемость'!$I$1:$AE$1),"")</f>
        <v>0.78260869565217395</v>
      </c>
      <c r="J110" s="13" t="str">
        <f>IFERROR(__xludf.DUMMYFUNCTION("IF($D110="""","""",SPARKLINE(I110,{""charttype"",""bar"";""max"",1;""color1"",""#FFFFFF""}))"),"")</f>
        <v/>
      </c>
    </row>
    <row r="111" spans="1:10" ht="15.75" customHeight="1">
      <c r="A111" s="2" t="s">
        <v>2812</v>
      </c>
      <c r="B111" s="2" t="s">
        <v>2813</v>
      </c>
      <c r="C111" s="3">
        <v>300</v>
      </c>
      <c r="D111" s="2" t="s">
        <v>389</v>
      </c>
      <c r="E111" s="7">
        <f>IF($D111="","",COUNTIF('Импорт посещаемость'!I107:AE107,"L*"))</f>
        <v>15</v>
      </c>
      <c r="F111" s="7">
        <f>IF($D111="","",COUNTIF('Импорт посещаемость'!I107:AE107,"R*"))</f>
        <v>8</v>
      </c>
      <c r="G111" s="7">
        <f>IF($D111="","",MAX(0,COUNTA('Импорт посещаемость'!$I$1:$AE$1)-E111-F111))</f>
        <v>0</v>
      </c>
      <c r="H111" s="7">
        <f t="shared" si="1"/>
        <v>23</v>
      </c>
      <c r="I111" s="9">
        <f>IFERROR(H111/COUNTA('Импорт посещаемость'!$I$1:$AE$1),"")</f>
        <v>1</v>
      </c>
      <c r="J111" s="13" t="str">
        <f>IFERROR(__xludf.DUMMYFUNCTION("IF($D111="""","""",SPARKLINE(I111,{""charttype"",""bar"";""max"",1;""color1"",""#FFFFFF""}))"),"")</f>
        <v/>
      </c>
    </row>
    <row r="112" spans="1:10" ht="15.75" customHeight="1">
      <c r="A112" s="2" t="s">
        <v>2814</v>
      </c>
      <c r="B112" s="2" t="s">
        <v>2815</v>
      </c>
      <c r="C112" s="3">
        <v>372</v>
      </c>
      <c r="D112" s="2" t="s">
        <v>681</v>
      </c>
      <c r="E112" s="7">
        <f>IF($D112="","",COUNTIF('Импорт посещаемость'!I108:AE108,"L*"))</f>
        <v>10</v>
      </c>
      <c r="F112" s="7">
        <f>IF($D112="","",COUNTIF('Импорт посещаемость'!I108:AE108,"R*"))</f>
        <v>13</v>
      </c>
      <c r="G112" s="7">
        <f>IF($D112="","",MAX(0,COUNTA('Импорт посещаемость'!$I$1:$AE$1)-E112-F112))</f>
        <v>0</v>
      </c>
      <c r="H112" s="7">
        <f t="shared" si="1"/>
        <v>23</v>
      </c>
      <c r="I112" s="9">
        <f>IFERROR(H112/COUNTA('Импорт посещаемость'!$I$1:$AE$1),"")</f>
        <v>1</v>
      </c>
      <c r="J112" s="13" t="str">
        <f>IFERROR(__xludf.DUMMYFUNCTION("IF($D112="""","""",SPARKLINE(I112,{""charttype"",""bar"";""max"",1;""color1"",""#FFFFFF""}))"),"")</f>
        <v/>
      </c>
    </row>
    <row r="113" spans="1:10" ht="15.75" customHeight="1">
      <c r="A113" s="2" t="s">
        <v>2816</v>
      </c>
      <c r="B113" s="2" t="s">
        <v>2678</v>
      </c>
      <c r="C113" s="3">
        <v>654</v>
      </c>
      <c r="D113" s="2" t="s">
        <v>252</v>
      </c>
      <c r="E113" s="7">
        <f>IF($D113="","",COUNTIF('Импорт посещаемость'!I109:AE109,"L*"))</f>
        <v>17</v>
      </c>
      <c r="F113" s="7">
        <f>IF($D113="","",COUNTIF('Импорт посещаемость'!I109:AE109,"R*"))</f>
        <v>4</v>
      </c>
      <c r="G113" s="7">
        <f>IF($D113="","",MAX(0,COUNTA('Импорт посещаемость'!$I$1:$AE$1)-E113-F113))</f>
        <v>2</v>
      </c>
      <c r="H113" s="7">
        <f t="shared" si="1"/>
        <v>21</v>
      </c>
      <c r="I113" s="9">
        <f>IFERROR(H113/COUNTA('Импорт посещаемость'!$I$1:$AE$1),"")</f>
        <v>0.91304347826086996</v>
      </c>
      <c r="J113" s="13" t="str">
        <f>IFERROR(__xludf.DUMMYFUNCTION("IF($D113="""","""",SPARKLINE(I113,{""charttype"",""bar"";""max"",1;""color1"",""#FFFFFF""}))"),"")</f>
        <v/>
      </c>
    </row>
    <row r="114" spans="1:10" ht="15.75" customHeight="1">
      <c r="A114" s="2" t="s">
        <v>2817</v>
      </c>
      <c r="B114" s="2" t="s">
        <v>2693</v>
      </c>
      <c r="C114" s="3">
        <v>268</v>
      </c>
      <c r="D114" s="2" t="s">
        <v>555</v>
      </c>
      <c r="E114" s="7">
        <f>IF($D114="","",COUNTIF('Импорт посещаемость'!I110:AE110,"L*"))</f>
        <v>12</v>
      </c>
      <c r="F114" s="7">
        <f>IF($D114="","",COUNTIF('Импорт посещаемость'!I110:AE110,"R*"))</f>
        <v>0</v>
      </c>
      <c r="G114" s="7">
        <f>IF($D114="","",MAX(0,COUNTA('Импорт посещаемость'!$I$1:$AE$1)-E114-F114))</f>
        <v>11</v>
      </c>
      <c r="H114" s="7">
        <f t="shared" si="1"/>
        <v>12</v>
      </c>
      <c r="I114" s="9">
        <f>IFERROR(H114/COUNTA('Импорт посещаемость'!$I$1:$AE$1),"")</f>
        <v>0.52173913043478304</v>
      </c>
      <c r="J114" s="13" t="str">
        <f>IFERROR(__xludf.DUMMYFUNCTION("IF($D114="""","""",SPARKLINE(I114,{""charttype"",""bar"";""max"",1;""color1"",""#FFFFFF""}))"),"")</f>
        <v/>
      </c>
    </row>
    <row r="115" spans="1:10" ht="15.75" customHeight="1">
      <c r="A115" s="2" t="s">
        <v>2818</v>
      </c>
      <c r="B115" s="2" t="s">
        <v>2659</v>
      </c>
      <c r="C115" s="3">
        <v>645</v>
      </c>
      <c r="D115" s="2" t="s">
        <v>620</v>
      </c>
      <c r="E115" s="7">
        <f>IF($D115="","",COUNTIF('Импорт посещаемость'!I111:AE111,"L*"))</f>
        <v>6</v>
      </c>
      <c r="F115" s="7">
        <f>IF($D115="","",COUNTIF('Импорт посещаемость'!I111:AE111,"R*"))</f>
        <v>17</v>
      </c>
      <c r="G115" s="7">
        <f>IF($D115="","",MAX(0,COUNTA('Импорт посещаемость'!$I$1:$AE$1)-E115-F115))</f>
        <v>0</v>
      </c>
      <c r="H115" s="7">
        <f t="shared" si="1"/>
        <v>23</v>
      </c>
      <c r="I115" s="9">
        <f>IFERROR(H115/COUNTA('Импорт посещаемость'!$I$1:$AE$1),"")</f>
        <v>1</v>
      </c>
      <c r="J115" s="13" t="str">
        <f>IFERROR(__xludf.DUMMYFUNCTION("IF($D115="""","""",SPARKLINE(I115,{""charttype"",""bar"";""max"",1;""color1"",""#FFFFFF""}))"),"")</f>
        <v/>
      </c>
    </row>
    <row r="116" spans="1:10" ht="15.75" customHeight="1">
      <c r="A116" s="2" t="s">
        <v>2819</v>
      </c>
      <c r="B116" s="2" t="s">
        <v>2811</v>
      </c>
      <c r="C116" s="3">
        <v>307</v>
      </c>
      <c r="D116" s="2" t="s">
        <v>357</v>
      </c>
      <c r="E116" s="7">
        <f>IF($D116="","",COUNTIF('Импорт посещаемость'!I112:AE112,"L*"))</f>
        <v>13</v>
      </c>
      <c r="F116" s="7">
        <f>IF($D116="","",COUNTIF('Импорт посещаемость'!I112:AE112,"R*"))</f>
        <v>10</v>
      </c>
      <c r="G116" s="7">
        <f>IF($D116="","",MAX(0,COUNTA('Импорт посещаемость'!$I$1:$AE$1)-E116-F116))</f>
        <v>0</v>
      </c>
      <c r="H116" s="7">
        <f t="shared" si="1"/>
        <v>23</v>
      </c>
      <c r="I116" s="9">
        <f>IFERROR(H116/COUNTA('Импорт посещаемость'!$I$1:$AE$1),"")</f>
        <v>1</v>
      </c>
      <c r="J116" s="13" t="str">
        <f>IFERROR(__xludf.DUMMYFUNCTION("IF($D116="""","""",SPARKLINE(I116,{""charttype"",""bar"";""max"",1;""color1"",""#FFFFFF""}))"),"")</f>
        <v/>
      </c>
    </row>
    <row r="117" spans="1:10" ht="15.75" customHeight="1">
      <c r="A117" s="2" t="s">
        <v>2820</v>
      </c>
      <c r="B117" s="2" t="s">
        <v>2682</v>
      </c>
      <c r="C117" s="3">
        <v>487</v>
      </c>
      <c r="D117" s="2" t="s">
        <v>468</v>
      </c>
      <c r="E117" s="7">
        <f>IF($D117="","",COUNTIF('Импорт посещаемость'!I113:AE113,"L*"))</f>
        <v>15</v>
      </c>
      <c r="F117" s="7">
        <f>IF($D117="","",COUNTIF('Импорт посещаемость'!I113:AE113,"R*"))</f>
        <v>8</v>
      </c>
      <c r="G117" s="7">
        <f>IF($D117="","",MAX(0,COUNTA('Импорт посещаемость'!$I$1:$AE$1)-E117-F117))</f>
        <v>0</v>
      </c>
      <c r="H117" s="7">
        <f t="shared" si="1"/>
        <v>23</v>
      </c>
      <c r="I117" s="9">
        <f>IFERROR(H117/COUNTA('Импорт посещаемость'!$I$1:$AE$1),"")</f>
        <v>1</v>
      </c>
      <c r="J117" s="13" t="str">
        <f>IFERROR(__xludf.DUMMYFUNCTION("IF($D117="""","""",SPARKLINE(I117,{""charttype"",""bar"";""max"",1;""color1"",""#FFFFFF""}))"),"")</f>
        <v/>
      </c>
    </row>
    <row r="118" spans="1:10" ht="15.75" customHeight="1">
      <c r="A118" s="2" t="s">
        <v>2821</v>
      </c>
      <c r="B118" s="2" t="s">
        <v>2822</v>
      </c>
      <c r="C118" s="3">
        <v>666</v>
      </c>
      <c r="D118" s="2" t="s">
        <v>391</v>
      </c>
      <c r="E118" s="7">
        <f>IF($D118="","",COUNTIF('Импорт посещаемость'!I114:AE114,"L*"))</f>
        <v>10</v>
      </c>
      <c r="F118" s="7">
        <f>IF($D118="","",COUNTIF('Импорт посещаемость'!I114:AE114,"R*"))</f>
        <v>13</v>
      </c>
      <c r="G118" s="7">
        <f>IF($D118="","",MAX(0,COUNTA('Импорт посещаемость'!$I$1:$AE$1)-E118-F118))</f>
        <v>0</v>
      </c>
      <c r="H118" s="7">
        <f t="shared" si="1"/>
        <v>23</v>
      </c>
      <c r="I118" s="9">
        <f>IFERROR(H118/COUNTA('Импорт посещаемость'!$I$1:$AE$1),"")</f>
        <v>1</v>
      </c>
      <c r="J118" s="13" t="str">
        <f>IFERROR(__xludf.DUMMYFUNCTION("IF($D118="""","""",SPARKLINE(I118,{""charttype"",""bar"";""max"",1;""color1"",""#FFFFFF""}))"),"")</f>
        <v/>
      </c>
    </row>
    <row r="119" spans="1:10" ht="15.75" customHeight="1">
      <c r="A119" s="2" t="s">
        <v>2823</v>
      </c>
      <c r="B119" s="2" t="s">
        <v>2662</v>
      </c>
      <c r="C119" s="3">
        <v>708</v>
      </c>
      <c r="D119" s="2" t="s">
        <v>470</v>
      </c>
      <c r="E119" s="7">
        <f>IF($D119="","",COUNTIF('Импорт посещаемость'!I115:AE115,"L*"))</f>
        <v>2</v>
      </c>
      <c r="F119" s="7">
        <f>IF($D119="","",COUNTIF('Импорт посещаемость'!I115:AE115,"R*"))</f>
        <v>3</v>
      </c>
      <c r="G119" s="7">
        <f>IF($D119="","",MAX(0,COUNTA('Импорт посещаемость'!$I$1:$AE$1)-E119-F119))</f>
        <v>18</v>
      </c>
      <c r="H119" s="7">
        <f t="shared" si="1"/>
        <v>5</v>
      </c>
      <c r="I119" s="9">
        <f>IFERROR(H119/COUNTA('Импорт посещаемость'!$I$1:$AE$1),"")</f>
        <v>0.217391304347826</v>
      </c>
      <c r="J119" s="13" t="str">
        <f>IFERROR(__xludf.DUMMYFUNCTION("IF($D119="""","""",SPARKLINE(I119,{""charttype"",""bar"";""max"",1;""color1"",""#FFFFFF""}))"),"")</f>
        <v/>
      </c>
    </row>
    <row r="120" spans="1:10" ht="15.75" customHeight="1">
      <c r="A120" s="2" t="s">
        <v>2824</v>
      </c>
      <c r="B120" s="2" t="s">
        <v>2777</v>
      </c>
      <c r="C120" s="3">
        <v>745</v>
      </c>
      <c r="D120" s="2" t="s">
        <v>78</v>
      </c>
      <c r="E120" s="7">
        <f>IF($D120="","",COUNTIF('Импорт посещаемость'!I116:AE116,"L*"))</f>
        <v>16</v>
      </c>
      <c r="F120" s="7">
        <f>IF($D120="","",COUNTIF('Импорт посещаемость'!I116:AE116,"R*"))</f>
        <v>7</v>
      </c>
      <c r="G120" s="7">
        <f>IF($D120="","",MAX(0,COUNTA('Импорт посещаемость'!$I$1:$AE$1)-E120-F120))</f>
        <v>0</v>
      </c>
      <c r="H120" s="7">
        <f t="shared" si="1"/>
        <v>23</v>
      </c>
      <c r="I120" s="9">
        <f>IFERROR(H120/COUNTA('Импорт посещаемость'!$I$1:$AE$1),"")</f>
        <v>1</v>
      </c>
      <c r="J120" s="13" t="str">
        <f>IFERROR(__xludf.DUMMYFUNCTION("IF($D120="""","""",SPARKLINE(I120,{""charttype"",""bar"";""max"",1;""color1"",""#FFFFFF""}))"),"")</f>
        <v/>
      </c>
    </row>
    <row r="121" spans="1:10" ht="15.75" customHeight="1">
      <c r="A121" s="2" t="s">
        <v>2825</v>
      </c>
      <c r="B121" s="2" t="s">
        <v>2710</v>
      </c>
      <c r="C121" s="3">
        <v>605</v>
      </c>
      <c r="D121" s="2" t="s">
        <v>120</v>
      </c>
      <c r="E121" s="7">
        <f>IF($D121="","",COUNTIF('Импорт посещаемость'!I117:AE117,"L*"))</f>
        <v>3</v>
      </c>
      <c r="F121" s="7">
        <f>IF($D121="","",COUNTIF('Импорт посещаемость'!I117:AE117,"R*"))</f>
        <v>17</v>
      </c>
      <c r="G121" s="7">
        <f>IF($D121="","",MAX(0,COUNTA('Импорт посещаемость'!$I$1:$AE$1)-E121-F121))</f>
        <v>3</v>
      </c>
      <c r="H121" s="7">
        <f t="shared" si="1"/>
        <v>20</v>
      </c>
      <c r="I121" s="9">
        <f>IFERROR(H121/COUNTA('Импорт посещаемость'!$I$1:$AE$1),"")</f>
        <v>0.86956521739130399</v>
      </c>
      <c r="J121" s="13" t="str">
        <f>IFERROR(__xludf.DUMMYFUNCTION("IF($D121="""","""",SPARKLINE(I121,{""charttype"",""bar"";""max"",1;""color1"",""#FFFFFF""}))"),"")</f>
        <v/>
      </c>
    </row>
    <row r="122" spans="1:10" ht="15.75" customHeight="1">
      <c r="A122" s="2" t="s">
        <v>2826</v>
      </c>
      <c r="B122" s="2" t="s">
        <v>2777</v>
      </c>
      <c r="C122" s="3">
        <v>768</v>
      </c>
      <c r="D122" s="2" t="s">
        <v>255</v>
      </c>
      <c r="E122" s="7">
        <f>IF($D122="","",COUNTIF('Импорт посещаемость'!I118:AE118,"L*"))</f>
        <v>7</v>
      </c>
      <c r="F122" s="7">
        <f>IF($D122="","",COUNTIF('Импорт посещаемость'!I118:AE118,"R*"))</f>
        <v>16</v>
      </c>
      <c r="G122" s="7">
        <f>IF($D122="","",MAX(0,COUNTA('Импорт посещаемость'!$I$1:$AE$1)-E122-F122))</f>
        <v>0</v>
      </c>
      <c r="H122" s="7">
        <f t="shared" si="1"/>
        <v>23</v>
      </c>
      <c r="I122" s="9">
        <f>IFERROR(H122/COUNTA('Импорт посещаемость'!$I$1:$AE$1),"")</f>
        <v>1</v>
      </c>
      <c r="J122" s="13" t="str">
        <f>IFERROR(__xludf.DUMMYFUNCTION("IF($D122="""","""",SPARKLINE(I122,{""charttype"",""bar"";""max"",1;""color1"",""#FFFFFF""}))"),"")</f>
        <v/>
      </c>
    </row>
    <row r="123" spans="1:10" ht="15.75" customHeight="1">
      <c r="A123" s="2" t="s">
        <v>2827</v>
      </c>
      <c r="B123" s="2" t="s">
        <v>2828</v>
      </c>
      <c r="C123" s="3">
        <v>604</v>
      </c>
      <c r="D123" s="2" t="s">
        <v>212</v>
      </c>
      <c r="E123" s="7">
        <f>IF($D123="","",COUNTIF('Импорт посещаемость'!I119:AE119,"L*"))</f>
        <v>7</v>
      </c>
      <c r="F123" s="7">
        <f>IF($D123="","",COUNTIF('Импорт посещаемость'!I119:AE119,"R*"))</f>
        <v>16</v>
      </c>
      <c r="G123" s="7">
        <f>IF($D123="","",MAX(0,COUNTA('Импорт посещаемость'!$I$1:$AE$1)-E123-F123))</f>
        <v>0</v>
      </c>
      <c r="H123" s="7">
        <f t="shared" si="1"/>
        <v>23</v>
      </c>
      <c r="I123" s="9">
        <f>IFERROR(H123/COUNTA('Импорт посещаемость'!$I$1:$AE$1),"")</f>
        <v>1</v>
      </c>
      <c r="J123" s="13" t="str">
        <f>IFERROR(__xludf.DUMMYFUNCTION("IF($D123="""","""",SPARKLINE(I123,{""charttype"",""bar"";""max"",1;""color1"",""#FFFFFF""}))"),"")</f>
        <v/>
      </c>
    </row>
    <row r="124" spans="1:10" ht="15.75" customHeight="1">
      <c r="A124" s="2" t="s">
        <v>2829</v>
      </c>
      <c r="B124" s="2" t="s">
        <v>2662</v>
      </c>
      <c r="C124" s="3">
        <v>358</v>
      </c>
      <c r="D124" s="2" t="s">
        <v>520</v>
      </c>
      <c r="E124" s="7">
        <f>IF($D124="","",COUNTIF('Импорт посещаемость'!I120:AE120,"L*"))</f>
        <v>0</v>
      </c>
      <c r="F124" s="7">
        <f>IF($D124="","",COUNTIF('Импорт посещаемость'!I120:AE120,"R*"))</f>
        <v>0</v>
      </c>
      <c r="G124" s="7">
        <f>IF($D124="","",MAX(0,COUNTA('Импорт посещаемость'!$I$1:$AE$1)-E124-F124))</f>
        <v>23</v>
      </c>
      <c r="H124" s="7">
        <f t="shared" si="1"/>
        <v>0</v>
      </c>
      <c r="I124" s="9">
        <f>IFERROR(H124/COUNTA('Импорт посещаемость'!$I$1:$AE$1),"")</f>
        <v>0</v>
      </c>
      <c r="J124" s="13" t="str">
        <f>IFERROR(__xludf.DUMMYFUNCTION("IF($D124="""","""",SPARKLINE(I124,{""charttype"",""bar"";""max"",1;""color1"",""#FFFFFF""}))"),"")</f>
        <v/>
      </c>
    </row>
    <row r="125" spans="1:10" ht="15.75" customHeight="1">
      <c r="A125" s="2" t="s">
        <v>2830</v>
      </c>
      <c r="B125" s="2" t="s">
        <v>2682</v>
      </c>
      <c r="C125" s="3">
        <v>726</v>
      </c>
      <c r="D125" s="2" t="s">
        <v>124</v>
      </c>
      <c r="E125" s="7">
        <f>IF($D125="","",COUNTIF('Импорт посещаемость'!I121:AE121,"L*"))</f>
        <v>9</v>
      </c>
      <c r="F125" s="7">
        <f>IF($D125="","",COUNTIF('Импорт посещаемость'!I121:AE121,"R*"))</f>
        <v>0</v>
      </c>
      <c r="G125" s="7">
        <f>IF($D125="","",MAX(0,COUNTA('Импорт посещаемость'!$I$1:$AE$1)-E125-F125))</f>
        <v>14</v>
      </c>
      <c r="H125" s="7">
        <f t="shared" si="1"/>
        <v>9</v>
      </c>
      <c r="I125" s="9">
        <f>IFERROR(H125/COUNTA('Импорт посещаемость'!$I$1:$AE$1),"")</f>
        <v>0.39130434782608697</v>
      </c>
      <c r="J125" s="13" t="str">
        <f>IFERROR(__xludf.DUMMYFUNCTION("IF($D125="""","""",SPARKLINE(I125,{""charttype"",""bar"";""max"",1;""color1"",""#FFFFFF""}))"),"")</f>
        <v/>
      </c>
    </row>
    <row r="126" spans="1:10" ht="15.75" customHeight="1">
      <c r="A126" s="2" t="s">
        <v>2830</v>
      </c>
      <c r="B126" s="2" t="s">
        <v>2657</v>
      </c>
      <c r="C126" s="3">
        <v>329</v>
      </c>
      <c r="D126" s="2" t="s">
        <v>393</v>
      </c>
      <c r="E126" s="7">
        <f>IF($D126="","",COUNTIF('Импорт посещаемость'!I122:AE122,"L*"))</f>
        <v>1</v>
      </c>
      <c r="F126" s="7">
        <f>IF($D126="","",COUNTIF('Импорт посещаемость'!I122:AE122,"R*"))</f>
        <v>22</v>
      </c>
      <c r="G126" s="7">
        <f>IF($D126="","",MAX(0,COUNTA('Импорт посещаемость'!$I$1:$AE$1)-E126-F126))</f>
        <v>0</v>
      </c>
      <c r="H126" s="7">
        <f t="shared" si="1"/>
        <v>23</v>
      </c>
      <c r="I126" s="9">
        <f>IFERROR(H126/COUNTA('Импорт посещаемость'!$I$1:$AE$1),"")</f>
        <v>1</v>
      </c>
      <c r="J126" s="13" t="str">
        <f>IFERROR(__xludf.DUMMYFUNCTION("IF($D126="""","""",SPARKLINE(I126,{""charttype"",""bar"";""max"",1;""color1"",""#FFFFFF""}))"),"")</f>
        <v/>
      </c>
    </row>
    <row r="127" spans="1:10" ht="15.75" customHeight="1">
      <c r="A127" s="2" t="s">
        <v>2831</v>
      </c>
      <c r="B127" s="2" t="s">
        <v>2722</v>
      </c>
      <c r="C127" s="3">
        <v>714</v>
      </c>
      <c r="D127" s="2" t="s">
        <v>557</v>
      </c>
      <c r="E127" s="7">
        <f>IF($D127="","",COUNTIF('Импорт посещаемость'!I123:AE123,"L*"))</f>
        <v>15</v>
      </c>
      <c r="F127" s="7">
        <f>IF($D127="","",COUNTIF('Импорт посещаемость'!I123:AE123,"R*"))</f>
        <v>8</v>
      </c>
      <c r="G127" s="7">
        <f>IF($D127="","",MAX(0,COUNTA('Импорт посещаемость'!$I$1:$AE$1)-E127-F127))</f>
        <v>0</v>
      </c>
      <c r="H127" s="7">
        <f t="shared" si="1"/>
        <v>23</v>
      </c>
      <c r="I127" s="9">
        <f>IFERROR(H127/COUNTA('Импорт посещаемость'!$I$1:$AE$1),"")</f>
        <v>1</v>
      </c>
      <c r="J127" s="13" t="str">
        <f>IFERROR(__xludf.DUMMYFUNCTION("IF($D127="""","""",SPARKLINE(I127,{""charttype"",""bar"";""max"",1;""color1"",""#FFFFFF""}))"),"")</f>
        <v/>
      </c>
    </row>
    <row r="128" spans="1:10" ht="15.75" customHeight="1">
      <c r="A128" s="2" t="s">
        <v>2832</v>
      </c>
      <c r="B128" s="2" t="s">
        <v>2833</v>
      </c>
      <c r="C128" s="3">
        <v>756</v>
      </c>
      <c r="D128" s="2" t="s">
        <v>214</v>
      </c>
      <c r="E128" s="7">
        <f>IF($D128="","",COUNTIF('Импорт посещаемость'!I124:AE124,"L*"))</f>
        <v>0</v>
      </c>
      <c r="F128" s="7">
        <f>IF($D128="","",COUNTIF('Импорт посещаемость'!I124:AE124,"R*"))</f>
        <v>23</v>
      </c>
      <c r="G128" s="7">
        <f>IF($D128="","",MAX(0,COUNTA('Импорт посещаемость'!$I$1:$AE$1)-E128-F128))</f>
        <v>0</v>
      </c>
      <c r="H128" s="7">
        <f t="shared" si="1"/>
        <v>23</v>
      </c>
      <c r="I128" s="9">
        <f>IFERROR(H128/COUNTA('Импорт посещаемость'!$I$1:$AE$1),"")</f>
        <v>1</v>
      </c>
      <c r="J128" s="13" t="str">
        <f>IFERROR(__xludf.DUMMYFUNCTION("IF($D128="""","""",SPARKLINE(I128,{""charttype"",""bar"";""max"",1;""color1"",""#FFFFFF""}))"),"")</f>
        <v/>
      </c>
    </row>
    <row r="129" spans="1:10" ht="15.75" customHeight="1">
      <c r="A129" s="2" t="s">
        <v>2834</v>
      </c>
      <c r="B129" s="2" t="s">
        <v>2682</v>
      </c>
      <c r="C129" s="3">
        <v>369</v>
      </c>
      <c r="D129" s="2" t="s">
        <v>395</v>
      </c>
      <c r="E129" s="7">
        <f>IF($D129="","",COUNTIF('Импорт посещаемость'!I125:AE125,"L*"))</f>
        <v>8</v>
      </c>
      <c r="F129" s="7">
        <f>IF($D129="","",COUNTIF('Импорт посещаемость'!I125:AE125,"R*"))</f>
        <v>15</v>
      </c>
      <c r="G129" s="7">
        <f>IF($D129="","",MAX(0,COUNTA('Импорт посещаемость'!$I$1:$AE$1)-E129-F129))</f>
        <v>0</v>
      </c>
      <c r="H129" s="7">
        <f t="shared" si="1"/>
        <v>23</v>
      </c>
      <c r="I129" s="9">
        <f>IFERROR(H129/COUNTA('Импорт посещаемость'!$I$1:$AE$1),"")</f>
        <v>1</v>
      </c>
      <c r="J129" s="13" t="str">
        <f>IFERROR(__xludf.DUMMYFUNCTION("IF($D129="""","""",SPARKLINE(I129,{""charttype"",""bar"";""max"",1;""color1"",""#FFFFFF""}))"),"")</f>
        <v/>
      </c>
    </row>
    <row r="130" spans="1:10" ht="15.75" customHeight="1">
      <c r="A130" s="2" t="s">
        <v>2835</v>
      </c>
      <c r="B130" s="2" t="s">
        <v>2682</v>
      </c>
      <c r="C130" s="3">
        <v>265</v>
      </c>
      <c r="D130" s="2" t="s">
        <v>622</v>
      </c>
      <c r="E130" s="7">
        <f>IF($D130="","",COUNTIF('Импорт посещаемость'!I126:AE126,"L*"))</f>
        <v>3</v>
      </c>
      <c r="F130" s="7">
        <f>IF($D130="","",COUNTIF('Импорт посещаемость'!I126:AE126,"R*"))</f>
        <v>20</v>
      </c>
      <c r="G130" s="7">
        <f>IF($D130="","",MAX(0,COUNTA('Импорт посещаемость'!$I$1:$AE$1)-E130-F130))</f>
        <v>0</v>
      </c>
      <c r="H130" s="7">
        <f t="shared" ref="H130:H193" si="2">IF($D130="","",E130+F130)</f>
        <v>23</v>
      </c>
      <c r="I130" s="9">
        <f>IFERROR(H130/COUNTA('Импорт посещаемость'!$I$1:$AE$1),"")</f>
        <v>1</v>
      </c>
      <c r="J130" s="13" t="str">
        <f>IFERROR(__xludf.DUMMYFUNCTION("IF($D130="""","""",SPARKLINE(I130,{""charttype"",""bar"";""max"",1;""color1"",""#FFFFFF""}))"),"")</f>
        <v/>
      </c>
    </row>
    <row r="131" spans="1:10" ht="15.75" customHeight="1">
      <c r="A131" s="2" t="s">
        <v>2836</v>
      </c>
      <c r="B131" s="2" t="s">
        <v>2693</v>
      </c>
      <c r="C131" s="3">
        <v>437</v>
      </c>
      <c r="D131" s="2" t="s">
        <v>472</v>
      </c>
      <c r="E131" s="7">
        <f>IF($D131="","",COUNTIF('Импорт посещаемость'!I127:AE127,"L*"))</f>
        <v>2</v>
      </c>
      <c r="F131" s="7">
        <f>IF($D131="","",COUNTIF('Импорт посещаемость'!I127:AE127,"R*"))</f>
        <v>21</v>
      </c>
      <c r="G131" s="7">
        <f>IF($D131="","",MAX(0,COUNTA('Импорт посещаемость'!$I$1:$AE$1)-E131-F131))</f>
        <v>0</v>
      </c>
      <c r="H131" s="7">
        <f t="shared" si="2"/>
        <v>23</v>
      </c>
      <c r="I131" s="9">
        <f>IFERROR(H131/COUNTA('Импорт посещаемость'!$I$1:$AE$1),"")</f>
        <v>1</v>
      </c>
      <c r="J131" s="13" t="str">
        <f>IFERROR(__xludf.DUMMYFUNCTION("IF($D131="""","""",SPARKLINE(I131,{""charttype"",""bar"";""max"",1;""color1"",""#FFFFFF""}))"),"")</f>
        <v/>
      </c>
    </row>
    <row r="132" spans="1:10" ht="15.75" customHeight="1">
      <c r="A132" s="2" t="s">
        <v>2837</v>
      </c>
      <c r="B132" s="2" t="s">
        <v>2695</v>
      </c>
      <c r="C132" s="3">
        <v>467</v>
      </c>
      <c r="D132" s="2" t="s">
        <v>724</v>
      </c>
      <c r="E132" s="7">
        <f>IF($D132="","",COUNTIF('Импорт посещаемость'!I128:AE128,"L*"))</f>
        <v>15</v>
      </c>
      <c r="F132" s="7">
        <f>IF($D132="","",COUNTIF('Импорт посещаемость'!I128:AE128,"R*"))</f>
        <v>5</v>
      </c>
      <c r="G132" s="7">
        <f>IF($D132="","",MAX(0,COUNTA('Импорт посещаемость'!$I$1:$AE$1)-E132-F132))</f>
        <v>3</v>
      </c>
      <c r="H132" s="7">
        <f t="shared" si="2"/>
        <v>20</v>
      </c>
      <c r="I132" s="9">
        <f>IFERROR(H132/COUNTA('Импорт посещаемость'!$I$1:$AE$1),"")</f>
        <v>0.86956521739130399</v>
      </c>
      <c r="J132" s="13" t="str">
        <f>IFERROR(__xludf.DUMMYFUNCTION("IF($D132="""","""",SPARKLINE(I132,{""charttype"",""bar"";""max"",1;""color1"",""#FFFFFF""}))"),"")</f>
        <v/>
      </c>
    </row>
    <row r="133" spans="1:10" ht="15.75" customHeight="1">
      <c r="A133" s="2" t="s">
        <v>2838</v>
      </c>
      <c r="B133" s="2" t="s">
        <v>2695</v>
      </c>
      <c r="C133" s="3">
        <v>332</v>
      </c>
      <c r="D133" s="2" t="s">
        <v>302</v>
      </c>
      <c r="E133" s="7">
        <f>IF($D133="","",COUNTIF('Импорт посещаемость'!I129:AE129,"L*"))</f>
        <v>17</v>
      </c>
      <c r="F133" s="7">
        <f>IF($D133="","",COUNTIF('Импорт посещаемость'!I129:AE129,"R*"))</f>
        <v>6</v>
      </c>
      <c r="G133" s="7">
        <f>IF($D133="","",MAX(0,COUNTA('Импорт посещаемость'!$I$1:$AE$1)-E133-F133))</f>
        <v>0</v>
      </c>
      <c r="H133" s="7">
        <f t="shared" si="2"/>
        <v>23</v>
      </c>
      <c r="I133" s="9">
        <f>IFERROR(H133/COUNTA('Импорт посещаемость'!$I$1:$AE$1),"")</f>
        <v>1</v>
      </c>
      <c r="J133" s="13" t="str">
        <f>IFERROR(__xludf.DUMMYFUNCTION("IF($D133="""","""",SPARKLINE(I133,{""charttype"",""bar"";""max"",1;""color1"",""#FFFFFF""}))"),"")</f>
        <v/>
      </c>
    </row>
    <row r="134" spans="1:10" ht="15.75" customHeight="1">
      <c r="A134" s="2" t="s">
        <v>2839</v>
      </c>
      <c r="B134" s="2" t="s">
        <v>2669</v>
      </c>
      <c r="C134" s="3">
        <v>258</v>
      </c>
      <c r="D134" s="2" t="s">
        <v>624</v>
      </c>
      <c r="E134" s="7">
        <f>IF($D134="","",COUNTIF('Импорт посещаемость'!I130:AE130,"L*"))</f>
        <v>5</v>
      </c>
      <c r="F134" s="7">
        <f>IF($D134="","",COUNTIF('Импорт посещаемость'!I130:AE130,"R*"))</f>
        <v>4</v>
      </c>
      <c r="G134" s="7">
        <f>IF($D134="","",MAX(0,COUNTA('Импорт посещаемость'!$I$1:$AE$1)-E134-F134))</f>
        <v>14</v>
      </c>
      <c r="H134" s="7">
        <f t="shared" si="2"/>
        <v>9</v>
      </c>
      <c r="I134" s="9">
        <f>IFERROR(H134/COUNTA('Импорт посещаемость'!$I$1:$AE$1),"")</f>
        <v>0.39130434782608697</v>
      </c>
      <c r="J134" s="13" t="str">
        <f>IFERROR(__xludf.DUMMYFUNCTION("IF($D134="""","""",SPARKLINE(I134,{""charttype"",""bar"";""max"",1;""color1"",""#FFFFFF""}))"),"")</f>
        <v/>
      </c>
    </row>
    <row r="135" spans="1:10" ht="15.75" customHeight="1">
      <c r="A135" s="2" t="s">
        <v>2840</v>
      </c>
      <c r="B135" s="2" t="s">
        <v>2732</v>
      </c>
      <c r="C135" s="3">
        <v>458</v>
      </c>
      <c r="D135" s="2" t="s">
        <v>474</v>
      </c>
      <c r="E135" s="7">
        <f>IF($D135="","",COUNTIF('Импорт посещаемость'!I131:AE131,"L*"))</f>
        <v>0</v>
      </c>
      <c r="F135" s="7">
        <f>IF($D135="","",COUNTIF('Импорт посещаемость'!I131:AE131,"R*"))</f>
        <v>22</v>
      </c>
      <c r="G135" s="7">
        <f>IF($D135="","",MAX(0,COUNTA('Импорт посещаемость'!$I$1:$AE$1)-E135-F135))</f>
        <v>1</v>
      </c>
      <c r="H135" s="7">
        <f t="shared" si="2"/>
        <v>22</v>
      </c>
      <c r="I135" s="9">
        <f>IFERROR(H135/COUNTA('Импорт посещаемость'!$I$1:$AE$1),"")</f>
        <v>0.95652173913043503</v>
      </c>
      <c r="J135" s="13" t="str">
        <f>IFERROR(__xludf.DUMMYFUNCTION("IF($D135="""","""",SPARKLINE(I135,{""charttype"",""bar"";""max"",1;""color1"",""#FFFFFF""}))"),"")</f>
        <v/>
      </c>
    </row>
    <row r="136" spans="1:10" ht="15.75" customHeight="1">
      <c r="A136" s="2" t="s">
        <v>2841</v>
      </c>
      <c r="B136" s="2" t="s">
        <v>2746</v>
      </c>
      <c r="C136" s="3">
        <v>740</v>
      </c>
      <c r="D136" s="2" t="s">
        <v>684</v>
      </c>
      <c r="E136" s="7">
        <f>IF($D136="","",COUNTIF('Импорт посещаемость'!I132:AE132,"L*"))</f>
        <v>3</v>
      </c>
      <c r="F136" s="7">
        <f>IF($D136="","",COUNTIF('Импорт посещаемость'!I132:AE132,"R*"))</f>
        <v>19</v>
      </c>
      <c r="G136" s="7">
        <f>IF($D136="","",MAX(0,COUNTA('Импорт посещаемость'!$I$1:$AE$1)-E136-F136))</f>
        <v>1</v>
      </c>
      <c r="H136" s="7">
        <f t="shared" si="2"/>
        <v>22</v>
      </c>
      <c r="I136" s="9">
        <f>IFERROR(H136/COUNTA('Импорт посещаемость'!$I$1:$AE$1),"")</f>
        <v>0.95652173913043503</v>
      </c>
      <c r="J136" s="13" t="str">
        <f>IFERROR(__xludf.DUMMYFUNCTION("IF($D136="""","""",SPARKLINE(I136,{""charttype"",""bar"";""max"",1;""color1"",""#FFFFFF""}))"),"")</f>
        <v/>
      </c>
    </row>
    <row r="137" spans="1:10" ht="15.75" customHeight="1">
      <c r="A137" s="2" t="s">
        <v>2842</v>
      </c>
      <c r="B137" s="2" t="s">
        <v>2671</v>
      </c>
      <c r="C137" s="3">
        <v>615</v>
      </c>
      <c r="D137" s="2" t="s">
        <v>793</v>
      </c>
      <c r="E137" s="7">
        <f>IF($D137="","",COUNTIF('Импорт посещаемость'!I133:AE133,"L*"))</f>
        <v>12</v>
      </c>
      <c r="F137" s="7">
        <f>IF($D137="","",COUNTIF('Импорт посещаемость'!I133:AE133,"R*"))</f>
        <v>11</v>
      </c>
      <c r="G137" s="7">
        <f>IF($D137="","",MAX(0,COUNTA('Импорт посещаемость'!$I$1:$AE$1)-E137-F137))</f>
        <v>0</v>
      </c>
      <c r="H137" s="7">
        <f t="shared" si="2"/>
        <v>23</v>
      </c>
      <c r="I137" s="9">
        <f>IFERROR(H137/COUNTA('Импорт посещаемость'!$I$1:$AE$1),"")</f>
        <v>1</v>
      </c>
      <c r="J137" s="13" t="str">
        <f>IFERROR(__xludf.DUMMYFUNCTION("IF($D137="""","""",SPARKLINE(I137,{""charttype"",""bar"";""max"",1;""color1"",""#FFFFFF""}))"),"")</f>
        <v/>
      </c>
    </row>
    <row r="138" spans="1:10" ht="15.75" customHeight="1">
      <c r="A138" s="2" t="s">
        <v>2843</v>
      </c>
      <c r="B138" s="2" t="s">
        <v>2669</v>
      </c>
      <c r="C138" s="3">
        <v>246</v>
      </c>
      <c r="D138" s="2" t="s">
        <v>626</v>
      </c>
      <c r="E138" s="7">
        <f>IF($D138="","",COUNTIF('Импорт посещаемость'!I134:AE134,"L*"))</f>
        <v>6</v>
      </c>
      <c r="F138" s="7">
        <f>IF($D138="","",COUNTIF('Импорт посещаемость'!I134:AE134,"R*"))</f>
        <v>17</v>
      </c>
      <c r="G138" s="7">
        <f>IF($D138="","",MAX(0,COUNTA('Импорт посещаемость'!$I$1:$AE$1)-E138-F138))</f>
        <v>0</v>
      </c>
      <c r="H138" s="7">
        <f t="shared" si="2"/>
        <v>23</v>
      </c>
      <c r="I138" s="9">
        <f>IFERROR(H138/COUNTA('Импорт посещаемость'!$I$1:$AE$1),"")</f>
        <v>1</v>
      </c>
      <c r="J138" s="13" t="str">
        <f>IFERROR(__xludf.DUMMYFUNCTION("IF($D138="""","""",SPARKLINE(I138,{""charttype"",""bar"";""max"",1;""color1"",""#FFFFFF""}))"),"")</f>
        <v/>
      </c>
    </row>
    <row r="139" spans="1:10" ht="15.75" customHeight="1">
      <c r="A139" s="2" t="s">
        <v>2844</v>
      </c>
      <c r="B139" s="2" t="s">
        <v>2680</v>
      </c>
      <c r="C139" s="3">
        <v>339</v>
      </c>
      <c r="D139" s="2" t="s">
        <v>305</v>
      </c>
      <c r="E139" s="7">
        <f>IF($D139="","",COUNTIF('Импорт посещаемость'!I135:AE135,"L*"))</f>
        <v>10</v>
      </c>
      <c r="F139" s="7">
        <f>IF($D139="","",COUNTIF('Импорт посещаемость'!I135:AE135,"R*"))</f>
        <v>0</v>
      </c>
      <c r="G139" s="7">
        <f>IF($D139="","",MAX(0,COUNTA('Импорт посещаемость'!$I$1:$AE$1)-E139-F139))</f>
        <v>13</v>
      </c>
      <c r="H139" s="7">
        <f t="shared" si="2"/>
        <v>10</v>
      </c>
      <c r="I139" s="9">
        <f>IFERROR(H139/COUNTA('Импорт посещаемость'!$I$1:$AE$1),"")</f>
        <v>0.434782608695652</v>
      </c>
      <c r="J139" s="13" t="str">
        <f>IFERROR(__xludf.DUMMYFUNCTION("IF($D139="""","""",SPARKLINE(I139,{""charttype"",""bar"";""max"",1;""color1"",""#FFFFFF""}))"),"")</f>
        <v/>
      </c>
    </row>
    <row r="140" spans="1:10" ht="15.75" customHeight="1">
      <c r="A140" s="2" t="s">
        <v>2845</v>
      </c>
      <c r="B140" s="2" t="s">
        <v>2846</v>
      </c>
      <c r="C140" s="3">
        <v>341</v>
      </c>
      <c r="D140" s="2" t="s">
        <v>476</v>
      </c>
      <c r="E140" s="7">
        <f>IF($D140="","",COUNTIF('Импорт посещаемость'!I136:AE136,"L*"))</f>
        <v>17</v>
      </c>
      <c r="F140" s="7">
        <f>IF($D140="","",COUNTIF('Импорт посещаемость'!I136:AE136,"R*"))</f>
        <v>6</v>
      </c>
      <c r="G140" s="7">
        <f>IF($D140="","",MAX(0,COUNTA('Импорт посещаемость'!$I$1:$AE$1)-E140-F140))</f>
        <v>0</v>
      </c>
      <c r="H140" s="7">
        <f t="shared" si="2"/>
        <v>23</v>
      </c>
      <c r="I140" s="9">
        <f>IFERROR(H140/COUNTA('Импорт посещаемость'!$I$1:$AE$1),"")</f>
        <v>1</v>
      </c>
      <c r="J140" s="13" t="str">
        <f>IFERROR(__xludf.DUMMYFUNCTION("IF($D140="""","""",SPARKLINE(I140,{""charttype"",""bar"";""max"",1;""color1"",""#FFFFFF""}))"),"")</f>
        <v/>
      </c>
    </row>
    <row r="141" spans="1:10" ht="15.75" customHeight="1">
      <c r="A141" s="2" t="s">
        <v>832</v>
      </c>
      <c r="B141" s="2" t="s">
        <v>833</v>
      </c>
      <c r="C141" s="3">
        <v>450</v>
      </c>
      <c r="D141" s="2" t="s">
        <v>431</v>
      </c>
      <c r="E141" s="7">
        <f>IF($D141="","",COUNTIF('Импорт посещаемость'!I137:AE137,"L*"))</f>
        <v>15</v>
      </c>
      <c r="F141" s="7">
        <f>IF($D141="","",COUNTIF('Импорт посещаемость'!I137:AE137,"R*"))</f>
        <v>8</v>
      </c>
      <c r="G141" s="7">
        <f>IF($D141="","",MAX(0,COUNTA('Импорт посещаемость'!$I$1:$AE$1)-E141-F141))</f>
        <v>0</v>
      </c>
      <c r="H141" s="7">
        <f t="shared" si="2"/>
        <v>23</v>
      </c>
      <c r="I141" s="9">
        <f>IFERROR(H141/COUNTA('Импорт посещаемость'!$I$1:$AE$1),"")</f>
        <v>1</v>
      </c>
      <c r="J141" s="13" t="str">
        <f>IFERROR(__xludf.DUMMYFUNCTION("IF($D141="""","""",SPARKLINE(I141,{""charttype"",""bar"";""max"",1;""color1"",""#FFFFFF""}))"),"")</f>
        <v/>
      </c>
    </row>
    <row r="142" spans="1:10" ht="15.75" customHeight="1">
      <c r="A142" s="2" t="s">
        <v>2847</v>
      </c>
      <c r="B142" s="2" t="s">
        <v>2682</v>
      </c>
      <c r="C142" s="3">
        <v>665</v>
      </c>
      <c r="D142" s="2" t="s">
        <v>522</v>
      </c>
      <c r="E142" s="7">
        <f>IF($D142="","",COUNTIF('Импорт посещаемость'!I138:AE138,"L*"))</f>
        <v>6</v>
      </c>
      <c r="F142" s="7">
        <f>IF($D142="","",COUNTIF('Импорт посещаемость'!I138:AE138,"R*"))</f>
        <v>17</v>
      </c>
      <c r="G142" s="7">
        <f>IF($D142="","",MAX(0,COUNTA('Импорт посещаемость'!$I$1:$AE$1)-E142-F142))</f>
        <v>0</v>
      </c>
      <c r="H142" s="7">
        <f t="shared" si="2"/>
        <v>23</v>
      </c>
      <c r="I142" s="9">
        <f>IFERROR(H142/COUNTA('Импорт посещаемость'!$I$1:$AE$1),"")</f>
        <v>1</v>
      </c>
      <c r="J142" s="13" t="str">
        <f>IFERROR(__xludf.DUMMYFUNCTION("IF($D142="""","""",SPARKLINE(I142,{""charttype"",""bar"";""max"",1;""color1"",""#FFFFFF""}))"),"")</f>
        <v/>
      </c>
    </row>
    <row r="143" spans="1:10" ht="15.75" customHeight="1">
      <c r="A143" s="2" t="s">
        <v>2848</v>
      </c>
      <c r="B143" s="2" t="s">
        <v>2732</v>
      </c>
      <c r="C143" s="3">
        <v>693</v>
      </c>
      <c r="D143" s="2" t="s">
        <v>727</v>
      </c>
      <c r="E143" s="7">
        <f>IF($D143="","",COUNTIF('Импорт посещаемость'!I139:AE139,"L*"))</f>
        <v>16</v>
      </c>
      <c r="F143" s="7">
        <f>IF($D143="","",COUNTIF('Импорт посещаемость'!I139:AE139,"R*"))</f>
        <v>7</v>
      </c>
      <c r="G143" s="7">
        <f>IF($D143="","",MAX(0,COUNTA('Импорт посещаемость'!$I$1:$AE$1)-E143-F143))</f>
        <v>0</v>
      </c>
      <c r="H143" s="7">
        <f t="shared" si="2"/>
        <v>23</v>
      </c>
      <c r="I143" s="9">
        <f>IFERROR(H143/COUNTA('Импорт посещаемость'!$I$1:$AE$1),"")</f>
        <v>1</v>
      </c>
      <c r="J143" s="13" t="str">
        <f>IFERROR(__xludf.DUMMYFUNCTION("IF($D143="""","""",SPARKLINE(I143,{""charttype"",""bar"";""max"",1;""color1"",""#FFFFFF""}))"),"")</f>
        <v/>
      </c>
    </row>
    <row r="144" spans="1:10" ht="15.75" customHeight="1">
      <c r="A144" s="2" t="s">
        <v>2849</v>
      </c>
      <c r="B144" s="2" t="s">
        <v>2682</v>
      </c>
      <c r="C144" s="3">
        <v>732</v>
      </c>
      <c r="D144" s="2" t="s">
        <v>593</v>
      </c>
      <c r="E144" s="7">
        <f>IF($D144="","",COUNTIF('Импорт посещаемость'!I140:AE140,"L*"))</f>
        <v>7</v>
      </c>
      <c r="F144" s="7">
        <f>IF($D144="","",COUNTIF('Импорт посещаемость'!I140:AE140,"R*"))</f>
        <v>0</v>
      </c>
      <c r="G144" s="7">
        <f>IF($D144="","",MAX(0,COUNTA('Импорт посещаемость'!$I$1:$AE$1)-E144-F144))</f>
        <v>16</v>
      </c>
      <c r="H144" s="7">
        <f t="shared" si="2"/>
        <v>7</v>
      </c>
      <c r="I144" s="9">
        <f>IFERROR(H144/COUNTA('Импорт посещаемость'!$I$1:$AE$1),"")</f>
        <v>0.30434782608695699</v>
      </c>
      <c r="J144" s="13" t="str">
        <f>IFERROR(__xludf.DUMMYFUNCTION("IF($D144="""","""",SPARKLINE(I144,{""charttype"",""bar"";""max"",1;""color1"",""#FFFFFF""}))"),"")</f>
        <v/>
      </c>
    </row>
    <row r="145" spans="1:10" ht="15.75" customHeight="1">
      <c r="A145" s="2" t="s">
        <v>2850</v>
      </c>
      <c r="B145" s="2" t="s">
        <v>2668</v>
      </c>
      <c r="C145" s="3">
        <v>731</v>
      </c>
      <c r="D145" s="2" t="s">
        <v>595</v>
      </c>
      <c r="E145" s="7">
        <f>IF($D145="","",COUNTIF('Импорт посещаемость'!I141:AE141,"L*"))</f>
        <v>17</v>
      </c>
      <c r="F145" s="7">
        <f>IF($D145="","",COUNTIF('Импорт посещаемость'!I141:AE141,"R*"))</f>
        <v>6</v>
      </c>
      <c r="G145" s="7">
        <f>IF($D145="","",MAX(0,COUNTA('Импорт посещаемость'!$I$1:$AE$1)-E145-F145))</f>
        <v>0</v>
      </c>
      <c r="H145" s="7">
        <f t="shared" si="2"/>
        <v>23</v>
      </c>
      <c r="I145" s="9">
        <f>IFERROR(H145/COUNTA('Импорт посещаемость'!$I$1:$AE$1),"")</f>
        <v>1</v>
      </c>
      <c r="J145" s="13" t="str">
        <f>IFERROR(__xludf.DUMMYFUNCTION("IF($D145="""","""",SPARKLINE(I145,{""charttype"",""bar"";""max"",1;""color1"",""#FFFFFF""}))"),"")</f>
        <v/>
      </c>
    </row>
    <row r="146" spans="1:10" ht="15.75" customHeight="1">
      <c r="A146" s="2" t="s">
        <v>2851</v>
      </c>
      <c r="B146" s="2" t="s">
        <v>2852</v>
      </c>
      <c r="C146" s="3">
        <v>612</v>
      </c>
      <c r="D146" s="2" t="s">
        <v>70</v>
      </c>
      <c r="E146" s="7">
        <f>IF($D146="","",COUNTIF('Импорт посещаемость'!I142:AE142,"L*"))</f>
        <v>5</v>
      </c>
      <c r="F146" s="7">
        <f>IF($D146="","",COUNTIF('Импорт посещаемость'!I142:AE142,"R*"))</f>
        <v>13</v>
      </c>
      <c r="G146" s="7">
        <f>IF($D146="","",MAX(0,COUNTA('Импорт посещаемость'!$I$1:$AE$1)-E146-F146))</f>
        <v>5</v>
      </c>
      <c r="H146" s="7">
        <f t="shared" si="2"/>
        <v>18</v>
      </c>
      <c r="I146" s="9">
        <f>IFERROR(H146/COUNTA('Импорт посещаемость'!$I$1:$AE$1),"")</f>
        <v>0.78260869565217395</v>
      </c>
      <c r="J146" s="13" t="str">
        <f>IFERROR(__xludf.DUMMYFUNCTION("IF($D146="""","""",SPARKLINE(I146,{""charttype"",""bar"";""max"",1;""color1"",""#FFFFFF""}))"),"")</f>
        <v/>
      </c>
    </row>
    <row r="147" spans="1:10" ht="15.75" customHeight="1">
      <c r="A147" s="2" t="s">
        <v>2853</v>
      </c>
      <c r="B147" s="2" t="s">
        <v>833</v>
      </c>
      <c r="C147" s="3">
        <v>710</v>
      </c>
      <c r="D147" s="2" t="s">
        <v>216</v>
      </c>
      <c r="E147" s="7">
        <f>IF($D147="","",COUNTIF('Импорт посещаемость'!I143:AE143,"L*"))</f>
        <v>17</v>
      </c>
      <c r="F147" s="7">
        <f>IF($D147="","",COUNTIF('Импорт посещаемость'!I143:AE143,"R*"))</f>
        <v>6</v>
      </c>
      <c r="G147" s="7">
        <f>IF($D147="","",MAX(0,COUNTA('Импорт посещаемость'!$I$1:$AE$1)-E147-F147))</f>
        <v>0</v>
      </c>
      <c r="H147" s="7">
        <f t="shared" si="2"/>
        <v>23</v>
      </c>
      <c r="I147" s="9">
        <f>IFERROR(H147/COUNTA('Импорт посещаемость'!$I$1:$AE$1),"")</f>
        <v>1</v>
      </c>
      <c r="J147" s="13" t="str">
        <f>IFERROR(__xludf.DUMMYFUNCTION("IF($D147="""","""",SPARKLINE(I147,{""charttype"",""bar"";""max"",1;""color1"",""#FFFFFF""}))"),"")</f>
        <v/>
      </c>
    </row>
    <row r="148" spans="1:10" ht="15.75" customHeight="1">
      <c r="A148" s="2" t="s">
        <v>2854</v>
      </c>
      <c r="B148" s="2" t="s">
        <v>2701</v>
      </c>
      <c r="C148" s="3">
        <v>611</v>
      </c>
      <c r="D148" s="2" t="s">
        <v>163</v>
      </c>
      <c r="E148" s="7">
        <f>IF($D148="","",COUNTIF('Импорт посещаемость'!I144:AE144,"L*"))</f>
        <v>17</v>
      </c>
      <c r="F148" s="7">
        <f>IF($D148="","",COUNTIF('Импорт посещаемость'!I144:AE144,"R*"))</f>
        <v>5</v>
      </c>
      <c r="G148" s="7">
        <f>IF($D148="","",MAX(0,COUNTA('Импорт посещаемость'!$I$1:$AE$1)-E148-F148))</f>
        <v>1</v>
      </c>
      <c r="H148" s="7">
        <f t="shared" si="2"/>
        <v>22</v>
      </c>
      <c r="I148" s="9">
        <f>IFERROR(H148/COUNTA('Импорт посещаемость'!$I$1:$AE$1),"")</f>
        <v>0.95652173913043503</v>
      </c>
      <c r="J148" s="13" t="str">
        <f>IFERROR(__xludf.DUMMYFUNCTION("IF($D148="""","""",SPARKLINE(I148,{""charttype"",""bar"";""max"",1;""color1"",""#FFFFFF""}))"),"")</f>
        <v/>
      </c>
    </row>
    <row r="149" spans="1:10" ht="15.75" customHeight="1">
      <c r="A149" s="2" t="s">
        <v>2855</v>
      </c>
      <c r="B149" s="2" t="s">
        <v>2755</v>
      </c>
      <c r="C149" s="3">
        <v>286</v>
      </c>
      <c r="D149" s="2" t="s">
        <v>560</v>
      </c>
      <c r="E149" s="7">
        <f>IF($D149="","",COUNTIF('Импорт посещаемость'!I145:AE145,"L*"))</f>
        <v>1</v>
      </c>
      <c r="F149" s="7">
        <f>IF($D149="","",COUNTIF('Импорт посещаемость'!I145:AE145,"R*"))</f>
        <v>0</v>
      </c>
      <c r="G149" s="7">
        <f>IF($D149="","",MAX(0,COUNTA('Импорт посещаемость'!$I$1:$AE$1)-E149-F149))</f>
        <v>22</v>
      </c>
      <c r="H149" s="7">
        <f t="shared" si="2"/>
        <v>1</v>
      </c>
      <c r="I149" s="9">
        <f>IFERROR(H149/COUNTA('Импорт посещаемость'!$I$1:$AE$1),"")</f>
        <v>4.3478260869565202E-2</v>
      </c>
      <c r="J149" s="13" t="str">
        <f>IFERROR(__xludf.DUMMYFUNCTION("IF($D149="""","""",SPARKLINE(I149,{""charttype"",""bar"";""max"",1;""color1"",""#FFFFFF""}))"),"")</f>
        <v/>
      </c>
    </row>
    <row r="150" spans="1:10" ht="15.75" customHeight="1">
      <c r="A150" s="2" t="s">
        <v>2856</v>
      </c>
      <c r="B150" s="2" t="s">
        <v>2693</v>
      </c>
      <c r="C150" s="3">
        <v>505</v>
      </c>
      <c r="D150" s="2" t="s">
        <v>14</v>
      </c>
      <c r="E150" s="7">
        <f>IF($D150="","",COUNTIF('Импорт посещаемость'!I146:AE146,"L*"))</f>
        <v>10</v>
      </c>
      <c r="F150" s="7">
        <f>IF($D150="","",COUNTIF('Импорт посещаемость'!I146:AE146,"R*"))</f>
        <v>13</v>
      </c>
      <c r="G150" s="7">
        <f>IF($D150="","",MAX(0,COUNTA('Импорт посещаемость'!$I$1:$AE$1)-E150-F150))</f>
        <v>0</v>
      </c>
      <c r="H150" s="7">
        <f t="shared" si="2"/>
        <v>23</v>
      </c>
      <c r="I150" s="9">
        <f>IFERROR(H150/COUNTA('Импорт посещаемость'!$I$1:$AE$1),"")</f>
        <v>1</v>
      </c>
      <c r="J150" s="13" t="str">
        <f>IFERROR(__xludf.DUMMYFUNCTION("IF($D150="""","""",SPARKLINE(I150,{""charttype"",""bar"";""max"",1;""color1"",""#FFFFFF""}))"),"")</f>
        <v/>
      </c>
    </row>
    <row r="151" spans="1:10" ht="15.75" customHeight="1">
      <c r="A151" s="2" t="s">
        <v>2857</v>
      </c>
      <c r="B151" s="2" t="s">
        <v>2858</v>
      </c>
      <c r="C151" s="3">
        <v>633</v>
      </c>
      <c r="D151" s="2" t="s">
        <v>796</v>
      </c>
      <c r="E151" s="7">
        <f>IF($D151="","",COUNTIF('Импорт посещаемость'!I147:AE147,"L*"))</f>
        <v>14</v>
      </c>
      <c r="F151" s="7">
        <f>IF($D151="","",COUNTIF('Импорт посещаемость'!I147:AE147,"R*"))</f>
        <v>6</v>
      </c>
      <c r="G151" s="7">
        <f>IF($D151="","",MAX(0,COUNTA('Импорт посещаемость'!$I$1:$AE$1)-E151-F151))</f>
        <v>3</v>
      </c>
      <c r="H151" s="7">
        <f t="shared" si="2"/>
        <v>20</v>
      </c>
      <c r="I151" s="9">
        <f>IFERROR(H151/COUNTA('Импорт посещаемость'!$I$1:$AE$1),"")</f>
        <v>0.86956521739130399</v>
      </c>
      <c r="J151" s="13" t="str">
        <f>IFERROR(__xludf.DUMMYFUNCTION("IF($D151="""","""",SPARKLINE(I151,{""charttype"",""bar"";""max"",1;""color1"",""#FFFFFF""}))"),"")</f>
        <v/>
      </c>
    </row>
    <row r="152" spans="1:10" ht="15.75" customHeight="1">
      <c r="A152" s="2" t="s">
        <v>2859</v>
      </c>
      <c r="B152" s="2" t="s">
        <v>2846</v>
      </c>
      <c r="C152" s="3">
        <v>757</v>
      </c>
      <c r="D152" s="2" t="s">
        <v>525</v>
      </c>
      <c r="E152" s="7">
        <f>IF($D152="","",COUNTIF('Импорт посещаемость'!I148:AE148,"L*"))</f>
        <v>0</v>
      </c>
      <c r="F152" s="7">
        <f>IF($D152="","",COUNTIF('Импорт посещаемость'!I148:AE148,"R*"))</f>
        <v>22</v>
      </c>
      <c r="G152" s="7">
        <f>IF($D152="","",MAX(0,COUNTA('Импорт посещаемость'!$I$1:$AE$1)-E152-F152))</f>
        <v>1</v>
      </c>
      <c r="H152" s="7">
        <f t="shared" si="2"/>
        <v>22</v>
      </c>
      <c r="I152" s="9">
        <f>IFERROR(H152/COUNTA('Импорт посещаемость'!$I$1:$AE$1),"")</f>
        <v>0.95652173913043503</v>
      </c>
      <c r="J152" s="13" t="str">
        <f>IFERROR(__xludf.DUMMYFUNCTION("IF($D152="""","""",SPARKLINE(I152,{""charttype"",""bar"";""max"",1;""color1"",""#FFFFFF""}))"),"")</f>
        <v/>
      </c>
    </row>
    <row r="153" spans="1:10" ht="15.75" customHeight="1">
      <c r="A153" s="2" t="s">
        <v>2860</v>
      </c>
      <c r="B153" s="2" t="s">
        <v>2701</v>
      </c>
      <c r="C153" s="3">
        <v>750</v>
      </c>
      <c r="D153" s="2" t="s">
        <v>758</v>
      </c>
      <c r="E153" s="7">
        <f>IF($D153="","",COUNTIF('Импорт посещаемость'!I149:AE149,"L*"))</f>
        <v>0</v>
      </c>
      <c r="F153" s="7">
        <f>IF($D153="","",COUNTIF('Импорт посещаемость'!I149:AE149,"R*"))</f>
        <v>23</v>
      </c>
      <c r="G153" s="7">
        <f>IF($D153="","",MAX(0,COUNTA('Импорт посещаемость'!$I$1:$AE$1)-E153-F153))</f>
        <v>0</v>
      </c>
      <c r="H153" s="7">
        <f t="shared" si="2"/>
        <v>23</v>
      </c>
      <c r="I153" s="9">
        <f>IFERROR(H153/COUNTA('Импорт посещаемость'!$I$1:$AE$1),"")</f>
        <v>1</v>
      </c>
      <c r="J153" s="13" t="str">
        <f>IFERROR(__xludf.DUMMYFUNCTION("IF($D153="""","""",SPARKLINE(I153,{""charttype"",""bar"";""max"",1;""color1"",""#FFFFFF""}))"),"")</f>
        <v/>
      </c>
    </row>
    <row r="154" spans="1:10" ht="15.75" customHeight="1">
      <c r="A154" s="2" t="s">
        <v>2861</v>
      </c>
      <c r="B154" s="2" t="s">
        <v>2682</v>
      </c>
      <c r="C154" s="3">
        <v>636</v>
      </c>
      <c r="D154" s="2" t="s">
        <v>433</v>
      </c>
      <c r="E154" s="7">
        <f>IF($D154="","",COUNTIF('Импорт посещаемость'!I150:AE150,"L*"))</f>
        <v>6</v>
      </c>
      <c r="F154" s="7">
        <f>IF($D154="","",COUNTIF('Импорт посещаемость'!I150:AE150,"R*"))</f>
        <v>17</v>
      </c>
      <c r="G154" s="7">
        <f>IF($D154="","",MAX(0,COUNTA('Импорт посещаемость'!$I$1:$AE$1)-E154-F154))</f>
        <v>0</v>
      </c>
      <c r="H154" s="7">
        <f t="shared" si="2"/>
        <v>23</v>
      </c>
      <c r="I154" s="9">
        <f>IFERROR(H154/COUNTA('Импорт посещаемость'!$I$1:$AE$1),"")</f>
        <v>1</v>
      </c>
      <c r="J154" s="13" t="str">
        <f>IFERROR(__xludf.DUMMYFUNCTION("IF($D154="""","""",SPARKLINE(I154,{""charttype"",""bar"";""max"",1;""color1"",""#FFFFFF""}))"),"")</f>
        <v/>
      </c>
    </row>
    <row r="155" spans="1:10" ht="15.75" customHeight="1">
      <c r="A155" s="2" t="s">
        <v>2862</v>
      </c>
      <c r="B155" s="2" t="s">
        <v>2863</v>
      </c>
      <c r="C155" s="3">
        <v>781</v>
      </c>
      <c r="D155" s="2" t="s">
        <v>258</v>
      </c>
      <c r="E155" s="7">
        <f>IF($D155="","",COUNTIF('Импорт посещаемость'!I151:AE151,"L*"))</f>
        <v>14</v>
      </c>
      <c r="F155" s="7">
        <f>IF($D155="","",COUNTIF('Импорт посещаемость'!I151:AE151,"R*"))</f>
        <v>9</v>
      </c>
      <c r="G155" s="7">
        <f>IF($D155="","",MAX(0,COUNTA('Импорт посещаемость'!$I$1:$AE$1)-E155-F155))</f>
        <v>0</v>
      </c>
      <c r="H155" s="7">
        <f t="shared" si="2"/>
        <v>23</v>
      </c>
      <c r="I155" s="9">
        <f>IFERROR(H155/COUNTA('Импорт посещаемость'!$I$1:$AE$1),"")</f>
        <v>1</v>
      </c>
      <c r="J155" s="13" t="str">
        <f>IFERROR(__xludf.DUMMYFUNCTION("IF($D155="""","""",SPARKLINE(I155,{""charttype"",""bar"";""max"",1;""color1"",""#FFFFFF""}))"),"")</f>
        <v/>
      </c>
    </row>
    <row r="156" spans="1:10" ht="15.75" customHeight="1">
      <c r="A156" s="2" t="s">
        <v>2864</v>
      </c>
      <c r="B156" s="2" t="s">
        <v>2701</v>
      </c>
      <c r="C156" s="3">
        <v>375</v>
      </c>
      <c r="D156" s="2" t="s">
        <v>563</v>
      </c>
      <c r="E156" s="7">
        <f>IF($D156="","",COUNTIF('Импорт посещаемость'!I152:AE152,"L*"))</f>
        <v>4</v>
      </c>
      <c r="F156" s="7">
        <f>IF($D156="","",COUNTIF('Импорт посещаемость'!I152:AE152,"R*"))</f>
        <v>19</v>
      </c>
      <c r="G156" s="7">
        <f>IF($D156="","",MAX(0,COUNTA('Импорт посещаемость'!$I$1:$AE$1)-E156-F156))</f>
        <v>0</v>
      </c>
      <c r="H156" s="7">
        <f t="shared" si="2"/>
        <v>23</v>
      </c>
      <c r="I156" s="9">
        <f>IFERROR(H156/COUNTA('Импорт посещаемость'!$I$1:$AE$1),"")</f>
        <v>1</v>
      </c>
      <c r="J156" s="13" t="str">
        <f>IFERROR(__xludf.DUMMYFUNCTION("IF($D156="""","""",SPARKLINE(I156,{""charttype"",""bar"";""max"",1;""color1"",""#FFFFFF""}))"),"")</f>
        <v/>
      </c>
    </row>
    <row r="157" spans="1:10" ht="15.75" customHeight="1">
      <c r="A157" s="2" t="s">
        <v>2865</v>
      </c>
      <c r="B157" s="2" t="s">
        <v>2662</v>
      </c>
      <c r="C157" s="3">
        <v>622</v>
      </c>
      <c r="D157" s="2" t="s">
        <v>528</v>
      </c>
      <c r="E157" s="7">
        <f>IF($D157="","",COUNTIF('Импорт посещаемость'!I153:AE153,"L*"))</f>
        <v>17</v>
      </c>
      <c r="F157" s="7">
        <f>IF($D157="","",COUNTIF('Импорт посещаемость'!I153:AE153,"R*"))</f>
        <v>6</v>
      </c>
      <c r="G157" s="7">
        <f>IF($D157="","",MAX(0,COUNTA('Импорт посещаемость'!$I$1:$AE$1)-E157-F157))</f>
        <v>0</v>
      </c>
      <c r="H157" s="7">
        <f t="shared" si="2"/>
        <v>23</v>
      </c>
      <c r="I157" s="9">
        <f>IFERROR(H157/COUNTA('Импорт посещаемость'!$I$1:$AE$1),"")</f>
        <v>1</v>
      </c>
      <c r="J157" s="13" t="str">
        <f>IFERROR(__xludf.DUMMYFUNCTION("IF($D157="""","""",SPARKLINE(I157,{""charttype"",""bar"";""max"",1;""color1"",""#FFFFFF""}))"),"")</f>
        <v/>
      </c>
    </row>
    <row r="158" spans="1:10" ht="15.75" customHeight="1">
      <c r="A158" s="2" t="s">
        <v>2866</v>
      </c>
      <c r="B158" s="2" t="s">
        <v>2732</v>
      </c>
      <c r="C158" s="3">
        <v>459</v>
      </c>
      <c r="D158" s="2" t="s">
        <v>397</v>
      </c>
      <c r="E158" s="7">
        <f>IF($D158="","",COUNTIF('Импорт посещаемость'!I154:AE154,"L*"))</f>
        <v>4</v>
      </c>
      <c r="F158" s="7">
        <f>IF($D158="","",COUNTIF('Импорт посещаемость'!I154:AE154,"R*"))</f>
        <v>19</v>
      </c>
      <c r="G158" s="7">
        <f>IF($D158="","",MAX(0,COUNTA('Импорт посещаемость'!$I$1:$AE$1)-E158-F158))</f>
        <v>0</v>
      </c>
      <c r="H158" s="7">
        <f t="shared" si="2"/>
        <v>23</v>
      </c>
      <c r="I158" s="9">
        <f>IFERROR(H158/COUNTA('Импорт посещаемость'!$I$1:$AE$1),"")</f>
        <v>1</v>
      </c>
      <c r="J158" s="13" t="str">
        <f>IFERROR(__xludf.DUMMYFUNCTION("IF($D158="""","""",SPARKLINE(I158,{""charttype"",""bar"";""max"",1;""color1"",""#FFFFFF""}))"),"")</f>
        <v/>
      </c>
    </row>
    <row r="159" spans="1:10" ht="15.75" customHeight="1">
      <c r="A159" s="2" t="s">
        <v>2867</v>
      </c>
      <c r="B159" s="2" t="s">
        <v>2755</v>
      </c>
      <c r="C159" s="3">
        <v>379</v>
      </c>
      <c r="D159" s="2" t="s">
        <v>628</v>
      </c>
      <c r="E159" s="7">
        <f>IF($D159="","",COUNTIF('Импорт посещаемость'!I155:AE155,"L*"))</f>
        <v>0</v>
      </c>
      <c r="F159" s="7">
        <f>IF($D159="","",COUNTIF('Импорт посещаемость'!I155:AE155,"R*"))</f>
        <v>10</v>
      </c>
      <c r="G159" s="7">
        <f>IF($D159="","",MAX(0,COUNTA('Импорт посещаемость'!$I$1:$AE$1)-E159-F159))</f>
        <v>13</v>
      </c>
      <c r="H159" s="7">
        <f t="shared" si="2"/>
        <v>10</v>
      </c>
      <c r="I159" s="9">
        <f>IFERROR(H159/COUNTA('Импорт посещаемость'!$I$1:$AE$1),"")</f>
        <v>0.434782608695652</v>
      </c>
      <c r="J159" s="13" t="str">
        <f>IFERROR(__xludf.DUMMYFUNCTION("IF($D159="""","""",SPARKLINE(I159,{""charttype"",""bar"";""max"",1;""color1"",""#FFFFFF""}))"),"")</f>
        <v/>
      </c>
    </row>
    <row r="160" spans="1:10" ht="15.75" customHeight="1">
      <c r="A160" s="2" t="s">
        <v>2868</v>
      </c>
      <c r="B160" s="2" t="s">
        <v>2695</v>
      </c>
      <c r="C160" s="3">
        <v>624</v>
      </c>
      <c r="D160" s="2" t="s">
        <v>75</v>
      </c>
      <c r="E160" s="7">
        <f>IF($D160="","",COUNTIF('Импорт посещаемость'!I156:AE156,"L*"))</f>
        <v>4</v>
      </c>
      <c r="F160" s="7">
        <f>IF($D160="","",COUNTIF('Импорт посещаемость'!I156:AE156,"R*"))</f>
        <v>19</v>
      </c>
      <c r="G160" s="7">
        <f>IF($D160="","",MAX(0,COUNTA('Импорт посещаемость'!$I$1:$AE$1)-E160-F160))</f>
        <v>0</v>
      </c>
      <c r="H160" s="7">
        <f t="shared" si="2"/>
        <v>23</v>
      </c>
      <c r="I160" s="9">
        <f>IFERROR(H160/COUNTA('Импорт посещаемость'!$I$1:$AE$1),"")</f>
        <v>1</v>
      </c>
      <c r="J160" s="13" t="str">
        <f>IFERROR(__xludf.DUMMYFUNCTION("IF($D160="""","""",SPARKLINE(I160,{""charttype"",""bar"";""max"",1;""color1"",""#FFFFFF""}))"),"")</f>
        <v/>
      </c>
    </row>
    <row r="161" spans="1:10" ht="15.75" customHeight="1">
      <c r="A161" s="2" t="s">
        <v>2869</v>
      </c>
      <c r="B161" s="2" t="s">
        <v>2775</v>
      </c>
      <c r="C161" s="3">
        <v>769</v>
      </c>
      <c r="D161" s="2" t="s">
        <v>478</v>
      </c>
      <c r="E161" s="7">
        <f>IF($D161="","",COUNTIF('Импорт посещаемость'!I157:AE157,"L*"))</f>
        <v>14</v>
      </c>
      <c r="F161" s="7">
        <f>IF($D161="","",COUNTIF('Импорт посещаемость'!I157:AE157,"R*"))</f>
        <v>9</v>
      </c>
      <c r="G161" s="7">
        <f>IF($D161="","",MAX(0,COUNTA('Импорт посещаемость'!$I$1:$AE$1)-E161-F161))</f>
        <v>0</v>
      </c>
      <c r="H161" s="7">
        <f t="shared" si="2"/>
        <v>23</v>
      </c>
      <c r="I161" s="9">
        <f>IFERROR(H161/COUNTA('Импорт посещаемость'!$I$1:$AE$1),"")</f>
        <v>1</v>
      </c>
      <c r="J161" s="13" t="str">
        <f>IFERROR(__xludf.DUMMYFUNCTION("IF($D161="""","""",SPARKLINE(I161,{""charttype"",""bar"";""max"",1;""color1"",""#FFFFFF""}))"),"")</f>
        <v/>
      </c>
    </row>
    <row r="162" spans="1:10" ht="15.75" customHeight="1">
      <c r="A162" s="2" t="s">
        <v>2870</v>
      </c>
      <c r="B162" s="2" t="s">
        <v>2682</v>
      </c>
      <c r="C162" s="3">
        <v>601</v>
      </c>
      <c r="D162" s="2" t="s">
        <v>359</v>
      </c>
      <c r="E162" s="7">
        <f>IF($D162="","",COUNTIF('Импорт посещаемость'!I158:AE158,"L*"))</f>
        <v>16</v>
      </c>
      <c r="F162" s="7">
        <f>IF($D162="","",COUNTIF('Импорт посещаемость'!I158:AE158,"R*"))</f>
        <v>7</v>
      </c>
      <c r="G162" s="7">
        <f>IF($D162="","",MAX(0,COUNTA('Импорт посещаемость'!$I$1:$AE$1)-E162-F162))</f>
        <v>0</v>
      </c>
      <c r="H162" s="7">
        <f t="shared" si="2"/>
        <v>23</v>
      </c>
      <c r="I162" s="9">
        <f>IFERROR(H162/COUNTA('Импорт посещаемость'!$I$1:$AE$1),"")</f>
        <v>1</v>
      </c>
      <c r="J162" s="13" t="str">
        <f>IFERROR(__xludf.DUMMYFUNCTION("IF($D162="""","""",SPARKLINE(I162,{""charttype"",""bar"";""max"",1;""color1"",""#FFFFFF""}))"),"")</f>
        <v/>
      </c>
    </row>
    <row r="163" spans="1:10" ht="15.75" customHeight="1">
      <c r="A163" s="2" t="s">
        <v>2871</v>
      </c>
      <c r="B163" s="2" t="s">
        <v>2682</v>
      </c>
      <c r="C163" s="3">
        <v>712</v>
      </c>
      <c r="D163" s="2" t="s">
        <v>261</v>
      </c>
      <c r="E163" s="7">
        <f>IF($D163="","",COUNTIF('Импорт посещаемость'!I159:AE159,"L*"))</f>
        <v>14</v>
      </c>
      <c r="F163" s="7">
        <f>IF($D163="","",COUNTIF('Импорт посещаемость'!I159:AE159,"R*"))</f>
        <v>9</v>
      </c>
      <c r="G163" s="7">
        <f>IF($D163="","",MAX(0,COUNTA('Импорт посещаемость'!$I$1:$AE$1)-E163-F163))</f>
        <v>0</v>
      </c>
      <c r="H163" s="7">
        <f t="shared" si="2"/>
        <v>23</v>
      </c>
      <c r="I163" s="9">
        <f>IFERROR(H163/COUNTA('Импорт посещаемость'!$I$1:$AE$1),"")</f>
        <v>1</v>
      </c>
      <c r="J163" s="13" t="str">
        <f>IFERROR(__xludf.DUMMYFUNCTION("IF($D163="""","""",SPARKLINE(I163,{""charttype"",""bar"";""max"",1;""color1"",""#FFFFFF""}))"),"")</f>
        <v/>
      </c>
    </row>
    <row r="164" spans="1:10" ht="15.75" customHeight="1">
      <c r="A164" s="2" t="s">
        <v>2872</v>
      </c>
      <c r="B164" s="2" t="s">
        <v>2811</v>
      </c>
      <c r="C164" s="3">
        <v>597</v>
      </c>
      <c r="D164" s="2" t="s">
        <v>362</v>
      </c>
      <c r="E164" s="7">
        <f>IF($D164="","",COUNTIF('Импорт посещаемость'!I160:AE160,"L*"))</f>
        <v>17</v>
      </c>
      <c r="F164" s="7">
        <f>IF($D164="","",COUNTIF('Импорт посещаемость'!I160:AE160,"R*"))</f>
        <v>4</v>
      </c>
      <c r="G164" s="7">
        <f>IF($D164="","",MAX(0,COUNTA('Импорт посещаемость'!$I$1:$AE$1)-E164-F164))</f>
        <v>2</v>
      </c>
      <c r="H164" s="7">
        <f t="shared" si="2"/>
        <v>21</v>
      </c>
      <c r="I164" s="9">
        <f>IFERROR(H164/COUNTA('Импорт посещаемость'!$I$1:$AE$1),"")</f>
        <v>0.91304347826086996</v>
      </c>
      <c r="J164" s="13" t="str">
        <f>IFERROR(__xludf.DUMMYFUNCTION("IF($D164="""","""",SPARKLINE(I164,{""charttype"",""bar"";""max"",1;""color1"",""#FFFFFF""}))"),"")</f>
        <v/>
      </c>
    </row>
    <row r="165" spans="1:10" ht="15.75" customHeight="1">
      <c r="A165" s="2" t="s">
        <v>2873</v>
      </c>
      <c r="B165" s="2" t="s">
        <v>2874</v>
      </c>
      <c r="C165" s="3">
        <v>618</v>
      </c>
      <c r="D165" s="2" t="s">
        <v>686</v>
      </c>
      <c r="E165" s="7">
        <f>IF($D165="","",COUNTIF('Импорт посещаемость'!I161:AE161,"L*"))</f>
        <v>3</v>
      </c>
      <c r="F165" s="7">
        <f>IF($D165="","",COUNTIF('Импорт посещаемость'!I161:AE161,"R*"))</f>
        <v>20</v>
      </c>
      <c r="G165" s="7">
        <f>IF($D165="","",MAX(0,COUNTA('Импорт посещаемость'!$I$1:$AE$1)-E165-F165))</f>
        <v>0</v>
      </c>
      <c r="H165" s="7">
        <f t="shared" si="2"/>
        <v>23</v>
      </c>
      <c r="I165" s="9">
        <f>IFERROR(H165/COUNTA('Импорт посещаемость'!$I$1:$AE$1),"")</f>
        <v>1</v>
      </c>
      <c r="J165" s="13" t="str">
        <f>IFERROR(__xludf.DUMMYFUNCTION("IF($D165="""","""",SPARKLINE(I165,{""charttype"",""bar"";""max"",1;""color1"",""#FFFFFF""}))"),"")</f>
        <v/>
      </c>
    </row>
    <row r="166" spans="1:10" ht="15.75" customHeight="1">
      <c r="A166" s="2" t="s">
        <v>2875</v>
      </c>
      <c r="B166" s="2" t="s">
        <v>2876</v>
      </c>
      <c r="C166" s="3">
        <v>779</v>
      </c>
      <c r="D166" s="2" t="s">
        <v>688</v>
      </c>
      <c r="E166" s="7">
        <f>IF($D166="","",COUNTIF('Импорт посещаемость'!I162:AE162,"L*"))</f>
        <v>0</v>
      </c>
      <c r="F166" s="7">
        <f>IF($D166="","",COUNTIF('Импорт посещаемость'!I162:AE162,"R*"))</f>
        <v>9</v>
      </c>
      <c r="G166" s="7">
        <f>IF($D166="","",MAX(0,COUNTA('Импорт посещаемость'!$I$1:$AE$1)-E166-F166))</f>
        <v>14</v>
      </c>
      <c r="H166" s="7">
        <f t="shared" si="2"/>
        <v>9</v>
      </c>
      <c r="I166" s="9">
        <f>IFERROR(H166/COUNTA('Импорт посещаемость'!$I$1:$AE$1),"")</f>
        <v>0.39130434782608697</v>
      </c>
      <c r="J166" s="13" t="str">
        <f>IFERROR(__xludf.DUMMYFUNCTION("IF($D166="""","""",SPARKLINE(I166,{""charttype"",""bar"";""max"",1;""color1"",""#FFFFFF""}))"),"")</f>
        <v/>
      </c>
    </row>
    <row r="167" spans="1:10" ht="15.75" customHeight="1">
      <c r="A167" s="2" t="s">
        <v>2877</v>
      </c>
      <c r="B167" s="2" t="s">
        <v>2693</v>
      </c>
      <c r="C167" s="3">
        <v>814</v>
      </c>
      <c r="D167" s="2" t="s">
        <v>730</v>
      </c>
      <c r="E167" s="7">
        <f>IF($D167="","",COUNTIF('Импорт посещаемость'!I163:AE163,"L*"))</f>
        <v>8</v>
      </c>
      <c r="F167" s="7">
        <f>IF($D167="","",COUNTIF('Импорт посещаемость'!I163:AE163,"R*"))</f>
        <v>15</v>
      </c>
      <c r="G167" s="7">
        <f>IF($D167="","",MAX(0,COUNTA('Импорт посещаемость'!$I$1:$AE$1)-E167-F167))</f>
        <v>0</v>
      </c>
      <c r="H167" s="7">
        <f t="shared" si="2"/>
        <v>23</v>
      </c>
      <c r="I167" s="9">
        <f>IFERROR(H167/COUNTA('Импорт посещаемость'!$I$1:$AE$1),"")</f>
        <v>1</v>
      </c>
      <c r="J167" s="13" t="str">
        <f>IFERROR(__xludf.DUMMYFUNCTION("IF($D167="""","""",SPARKLINE(I167,{""charttype"",""bar"";""max"",1;""color1"",""#FFFFFF""}))"),"")</f>
        <v/>
      </c>
    </row>
    <row r="168" spans="1:10" ht="15.75" customHeight="1">
      <c r="A168" s="2" t="s">
        <v>2878</v>
      </c>
      <c r="B168" s="2" t="s">
        <v>2701</v>
      </c>
      <c r="C168" s="3">
        <v>705</v>
      </c>
      <c r="D168" s="2" t="s">
        <v>264</v>
      </c>
      <c r="E168" s="7">
        <f>IF($D168="","",COUNTIF('Импорт посещаемость'!I164:AE164,"L*"))</f>
        <v>7</v>
      </c>
      <c r="F168" s="7">
        <f>IF($D168="","",COUNTIF('Импорт посещаемость'!I164:AE164,"R*"))</f>
        <v>16</v>
      </c>
      <c r="G168" s="7">
        <f>IF($D168="","",MAX(0,COUNTA('Импорт посещаемость'!$I$1:$AE$1)-E168-F168))</f>
        <v>0</v>
      </c>
      <c r="H168" s="7">
        <f t="shared" si="2"/>
        <v>23</v>
      </c>
      <c r="I168" s="9">
        <f>IFERROR(H168/COUNTA('Импорт посещаемость'!$I$1:$AE$1),"")</f>
        <v>1</v>
      </c>
      <c r="J168" s="13" t="str">
        <f>IFERROR(__xludf.DUMMYFUNCTION("IF($D168="""","""",SPARKLINE(I168,{""charttype"",""bar"";""max"",1;""color1"",""#FFFFFF""}))"),"")</f>
        <v/>
      </c>
    </row>
    <row r="169" spans="1:10" ht="15.75" customHeight="1">
      <c r="A169" s="2" t="s">
        <v>2879</v>
      </c>
      <c r="B169" s="2" t="s">
        <v>2770</v>
      </c>
      <c r="C169" s="3">
        <v>635</v>
      </c>
      <c r="D169" s="2" t="s">
        <v>364</v>
      </c>
      <c r="E169" s="7">
        <f>IF($D169="","",COUNTIF('Импорт посещаемость'!I165:AE165,"L*"))</f>
        <v>5</v>
      </c>
      <c r="F169" s="7">
        <f>IF($D169="","",COUNTIF('Импорт посещаемость'!I165:AE165,"R*"))</f>
        <v>16</v>
      </c>
      <c r="G169" s="7">
        <f>IF($D169="","",MAX(0,COUNTA('Импорт посещаемость'!$I$1:$AE$1)-E169-F169))</f>
        <v>2</v>
      </c>
      <c r="H169" s="7">
        <f t="shared" si="2"/>
        <v>21</v>
      </c>
      <c r="I169" s="9">
        <f>IFERROR(H169/COUNTA('Импорт посещаемость'!$I$1:$AE$1),"")</f>
        <v>0.91304347826086996</v>
      </c>
      <c r="J169" s="13" t="str">
        <f>IFERROR(__xludf.DUMMYFUNCTION("IF($D169="""","""",SPARKLINE(I169,{""charttype"",""bar"";""max"",1;""color1"",""#FFFFFF""}))"),"")</f>
        <v/>
      </c>
    </row>
    <row r="170" spans="1:10" ht="15.75" customHeight="1">
      <c r="A170" s="2" t="s">
        <v>851</v>
      </c>
      <c r="B170" s="2" t="s">
        <v>2880</v>
      </c>
      <c r="C170" s="3">
        <v>261</v>
      </c>
      <c r="D170" s="2" t="s">
        <v>234</v>
      </c>
      <c r="E170" s="7">
        <f>IF($D170="","",COUNTIF('Импорт посещаемость'!I166:AE166,"L*"))</f>
        <v>0</v>
      </c>
      <c r="F170" s="7">
        <f>IF($D170="","",COUNTIF('Импорт посещаемость'!I166:AE166,"R*"))</f>
        <v>1</v>
      </c>
      <c r="G170" s="7">
        <f>IF($D170="","",MAX(0,COUNTA('Импорт посещаемость'!$I$1:$AE$1)-E170-F170))</f>
        <v>22</v>
      </c>
      <c r="H170" s="7">
        <f t="shared" si="2"/>
        <v>1</v>
      </c>
      <c r="I170" s="9">
        <f>IFERROR(H170/COUNTA('Импорт посещаемость'!$I$1:$AE$1),"")</f>
        <v>4.3478260869565202E-2</v>
      </c>
      <c r="J170" s="13" t="str">
        <f>IFERROR(__xludf.DUMMYFUNCTION("IF($D170="""","""",SPARKLINE(I170,{""charttype"",""bar"";""max"",1;""color1"",""#FFFFFF""}))"),"")</f>
        <v/>
      </c>
    </row>
    <row r="171" spans="1:10" ht="15.75" customHeight="1">
      <c r="A171" s="2" t="s">
        <v>2881</v>
      </c>
      <c r="B171" s="2" t="s">
        <v>2811</v>
      </c>
      <c r="C171" s="3">
        <v>380</v>
      </c>
      <c r="D171" s="2" t="s">
        <v>80</v>
      </c>
      <c r="E171" s="7">
        <f>IF($D171="","",COUNTIF('Импорт посещаемость'!I167:AE167,"L*"))</f>
        <v>10</v>
      </c>
      <c r="F171" s="7">
        <f>IF($D171="","",COUNTIF('Импорт посещаемость'!I167:AE167,"R*"))</f>
        <v>13</v>
      </c>
      <c r="G171" s="7">
        <f>IF($D171="","",MAX(0,COUNTA('Импорт посещаемость'!$I$1:$AE$1)-E171-F171))</f>
        <v>0</v>
      </c>
      <c r="H171" s="7">
        <f t="shared" si="2"/>
        <v>23</v>
      </c>
      <c r="I171" s="9">
        <f>IFERROR(H171/COUNTA('Импорт посещаемость'!$I$1:$AE$1),"")</f>
        <v>1</v>
      </c>
      <c r="J171" s="13" t="str">
        <f>IFERROR(__xludf.DUMMYFUNCTION("IF($D171="""","""",SPARKLINE(I171,{""charttype"",""bar"";""max"",1;""color1"",""#FFFFFF""}))"),"")</f>
        <v/>
      </c>
    </row>
    <row r="172" spans="1:10" ht="15.75" customHeight="1">
      <c r="A172" s="2" t="s">
        <v>2882</v>
      </c>
      <c r="B172" s="2" t="s">
        <v>2804</v>
      </c>
      <c r="C172" s="3">
        <v>614</v>
      </c>
      <c r="D172" s="2" t="s">
        <v>366</v>
      </c>
      <c r="E172" s="7">
        <f>IF($D172="","",COUNTIF('Импорт посещаемость'!I168:AE168,"L*"))</f>
        <v>17</v>
      </c>
      <c r="F172" s="7">
        <f>IF($D172="","",COUNTIF('Импорт посещаемость'!I168:AE168,"R*"))</f>
        <v>6</v>
      </c>
      <c r="G172" s="7">
        <f>IF($D172="","",MAX(0,COUNTA('Импорт посещаемость'!$I$1:$AE$1)-E172-F172))</f>
        <v>0</v>
      </c>
      <c r="H172" s="7">
        <f t="shared" si="2"/>
        <v>23</v>
      </c>
      <c r="I172" s="9">
        <f>IFERROR(H172/COUNTA('Импорт посещаемость'!$I$1:$AE$1),"")</f>
        <v>1</v>
      </c>
      <c r="J172" s="13" t="str">
        <f>IFERROR(__xludf.DUMMYFUNCTION("IF($D172="""","""",SPARKLINE(I172,{""charttype"",""bar"";""max"",1;""color1"",""#FFFFFF""}))"),"")</f>
        <v/>
      </c>
    </row>
    <row r="173" spans="1:10" ht="15.75" customHeight="1">
      <c r="A173" s="2" t="s">
        <v>2883</v>
      </c>
      <c r="B173" s="2" t="s">
        <v>2671</v>
      </c>
      <c r="C173" s="3">
        <v>497</v>
      </c>
      <c r="D173" s="2" t="s">
        <v>218</v>
      </c>
      <c r="E173" s="7">
        <f>IF($D173="","",COUNTIF('Импорт посещаемость'!I169:AE169,"L*"))</f>
        <v>17</v>
      </c>
      <c r="F173" s="7">
        <f>IF($D173="","",COUNTIF('Импорт посещаемость'!I169:AE169,"R*"))</f>
        <v>6</v>
      </c>
      <c r="G173" s="7">
        <f>IF($D173="","",MAX(0,COUNTA('Импорт посещаемость'!$I$1:$AE$1)-E173-F173))</f>
        <v>0</v>
      </c>
      <c r="H173" s="7">
        <f t="shared" si="2"/>
        <v>23</v>
      </c>
      <c r="I173" s="9">
        <f>IFERROR(H173/COUNTA('Импорт посещаемость'!$I$1:$AE$1),"")</f>
        <v>1</v>
      </c>
      <c r="J173" s="13" t="str">
        <f>IFERROR(__xludf.DUMMYFUNCTION("IF($D173="""","""",SPARKLINE(I173,{""charttype"",""bar"";""max"",1;""color1"",""#FFFFFF""}))"),"")</f>
        <v/>
      </c>
    </row>
    <row r="174" spans="1:10" ht="15.75" customHeight="1">
      <c r="A174" s="2" t="s">
        <v>2884</v>
      </c>
      <c r="B174" s="2" t="s">
        <v>2657</v>
      </c>
      <c r="C174" s="3">
        <v>748</v>
      </c>
      <c r="D174" s="2" t="s">
        <v>480</v>
      </c>
      <c r="E174" s="7">
        <f>IF($D174="","",COUNTIF('Импорт посещаемость'!I170:AE170,"L*"))</f>
        <v>5</v>
      </c>
      <c r="F174" s="7">
        <f>IF($D174="","",COUNTIF('Импорт посещаемость'!I170:AE170,"R*"))</f>
        <v>18</v>
      </c>
      <c r="G174" s="7">
        <f>IF($D174="","",MAX(0,COUNTA('Импорт посещаемость'!$I$1:$AE$1)-E174-F174))</f>
        <v>0</v>
      </c>
      <c r="H174" s="7">
        <f t="shared" si="2"/>
        <v>23</v>
      </c>
      <c r="I174" s="9">
        <f>IFERROR(H174/COUNTA('Импорт посещаемость'!$I$1:$AE$1),"")</f>
        <v>1</v>
      </c>
      <c r="J174" s="13" t="str">
        <f>IFERROR(__xludf.DUMMYFUNCTION("IF($D174="""","""",SPARKLINE(I174,{""charttype"",""bar"";""max"",1;""color1"",""#FFFFFF""}))"),"")</f>
        <v/>
      </c>
    </row>
    <row r="175" spans="1:10" ht="15.75" customHeight="1">
      <c r="A175" s="2" t="s">
        <v>2885</v>
      </c>
      <c r="B175" s="2" t="s">
        <v>2755</v>
      </c>
      <c r="C175" s="3">
        <v>367</v>
      </c>
      <c r="D175" s="2" t="s">
        <v>732</v>
      </c>
      <c r="E175" s="7">
        <f>IF($D175="","",COUNTIF('Импорт посещаемость'!I171:AE171,"L*"))</f>
        <v>16</v>
      </c>
      <c r="F175" s="7">
        <f>IF($D175="","",COUNTIF('Импорт посещаемость'!I171:AE171,"R*"))</f>
        <v>7</v>
      </c>
      <c r="G175" s="7">
        <f>IF($D175="","",MAX(0,COUNTA('Импорт посещаемость'!$I$1:$AE$1)-E175-F175))</f>
        <v>0</v>
      </c>
      <c r="H175" s="7">
        <f t="shared" si="2"/>
        <v>23</v>
      </c>
      <c r="I175" s="9">
        <f>IFERROR(H175/COUNTA('Импорт посещаемость'!$I$1:$AE$1),"")</f>
        <v>1</v>
      </c>
      <c r="J175" s="13" t="str">
        <f>IFERROR(__xludf.DUMMYFUNCTION("IF($D175="""","""",SPARKLINE(I175,{""charttype"",""bar"";""max"",1;""color1"",""#FFFFFF""}))"),"")</f>
        <v/>
      </c>
    </row>
    <row r="176" spans="1:10" ht="15.75" customHeight="1">
      <c r="A176" s="2" t="s">
        <v>2886</v>
      </c>
      <c r="B176" s="2" t="s">
        <v>2781</v>
      </c>
      <c r="C176" s="3">
        <v>333</v>
      </c>
      <c r="D176" s="2" t="s">
        <v>165</v>
      </c>
      <c r="E176" s="7">
        <f>IF($D176="","",COUNTIF('Импорт посещаемость'!I172:AE172,"L*"))</f>
        <v>6</v>
      </c>
      <c r="F176" s="7">
        <f>IF($D176="","",COUNTIF('Импорт посещаемость'!I172:AE172,"R*"))</f>
        <v>0</v>
      </c>
      <c r="G176" s="7">
        <f>IF($D176="","",MAX(0,COUNTA('Импорт посещаемость'!$I$1:$AE$1)-E176-F176))</f>
        <v>17</v>
      </c>
      <c r="H176" s="7">
        <f t="shared" si="2"/>
        <v>6</v>
      </c>
      <c r="I176" s="9">
        <f>IFERROR(H176/COUNTA('Импорт посещаемость'!$I$1:$AE$1),"")</f>
        <v>0.26086956521739102</v>
      </c>
      <c r="J176" s="13" t="str">
        <f>IFERROR(__xludf.DUMMYFUNCTION("IF($D176="""","""",SPARKLINE(I176,{""charttype"",""bar"";""max"",1;""color1"",""#FFFFFF""}))"),"")</f>
        <v/>
      </c>
    </row>
    <row r="177" spans="1:10" ht="15.75" customHeight="1">
      <c r="A177" s="2" t="s">
        <v>2887</v>
      </c>
      <c r="B177" s="2" t="s">
        <v>2781</v>
      </c>
      <c r="C177" s="3">
        <v>325</v>
      </c>
      <c r="D177" s="2" t="s">
        <v>630</v>
      </c>
      <c r="E177" s="7">
        <f>IF($D177="","",COUNTIF('Импорт посещаемость'!I173:AE173,"L*"))</f>
        <v>10</v>
      </c>
      <c r="F177" s="7">
        <f>IF($D177="","",COUNTIF('Импорт посещаемость'!I173:AE173,"R*"))</f>
        <v>8</v>
      </c>
      <c r="G177" s="7">
        <f>IF($D177="","",MAX(0,COUNTA('Импорт посещаемость'!$I$1:$AE$1)-E177-F177))</f>
        <v>5</v>
      </c>
      <c r="H177" s="7">
        <f t="shared" si="2"/>
        <v>18</v>
      </c>
      <c r="I177" s="9">
        <f>IFERROR(H177/COUNTA('Импорт посещаемость'!$I$1:$AE$1),"")</f>
        <v>0.78260869565217395</v>
      </c>
      <c r="J177" s="13" t="str">
        <f>IFERROR(__xludf.DUMMYFUNCTION("IF($D177="""","""",SPARKLINE(I177,{""charttype"",""bar"";""max"",1;""color1"",""#FFFFFF""}))"),"")</f>
        <v/>
      </c>
    </row>
    <row r="178" spans="1:10" ht="15.75" customHeight="1">
      <c r="A178" s="2" t="s">
        <v>2888</v>
      </c>
      <c r="B178" s="2" t="s">
        <v>2730</v>
      </c>
      <c r="C178" s="3">
        <v>728</v>
      </c>
      <c r="D178" s="2" t="s">
        <v>435</v>
      </c>
      <c r="E178" s="7">
        <f>IF($D178="","",COUNTIF('Импорт посещаемость'!I174:AE174,"L*"))</f>
        <v>1</v>
      </c>
      <c r="F178" s="7">
        <f>IF($D178="","",COUNTIF('Импорт посещаемость'!I174:AE174,"R*"))</f>
        <v>22</v>
      </c>
      <c r="G178" s="7">
        <f>IF($D178="","",MAX(0,COUNTA('Импорт посещаемость'!$I$1:$AE$1)-E178-F178))</f>
        <v>0</v>
      </c>
      <c r="H178" s="7">
        <f t="shared" si="2"/>
        <v>23</v>
      </c>
      <c r="I178" s="9">
        <f>IFERROR(H178/COUNTA('Импорт посещаемость'!$I$1:$AE$1),"")</f>
        <v>1</v>
      </c>
      <c r="J178" s="13" t="str">
        <f>IFERROR(__xludf.DUMMYFUNCTION("IF($D178="""","""",SPARKLINE(I178,{""charttype"",""bar"";""max"",1;""color1"",""#FFFFFF""}))"),"")</f>
        <v/>
      </c>
    </row>
    <row r="179" spans="1:10" ht="15.75" customHeight="1">
      <c r="A179" s="2" t="s">
        <v>2889</v>
      </c>
      <c r="B179" s="2" t="s">
        <v>2710</v>
      </c>
      <c r="C179" s="3">
        <v>709</v>
      </c>
      <c r="D179" s="2" t="s">
        <v>633</v>
      </c>
      <c r="E179" s="7">
        <f>IF($D179="","",COUNTIF('Импорт посещаемость'!I175:AE175,"L*"))</f>
        <v>12</v>
      </c>
      <c r="F179" s="7">
        <f>IF($D179="","",COUNTIF('Импорт посещаемость'!I175:AE175,"R*"))</f>
        <v>11</v>
      </c>
      <c r="G179" s="7">
        <f>IF($D179="","",MAX(0,COUNTA('Импорт посещаемость'!$I$1:$AE$1)-E179-F179))</f>
        <v>0</v>
      </c>
      <c r="H179" s="7">
        <f t="shared" si="2"/>
        <v>23</v>
      </c>
      <c r="I179" s="9">
        <f>IFERROR(H179/COUNTA('Импорт посещаемость'!$I$1:$AE$1),"")</f>
        <v>1</v>
      </c>
      <c r="J179" s="13" t="str">
        <f>IFERROR(__xludf.DUMMYFUNCTION("IF($D179="""","""",SPARKLINE(I179,{""charttype"",""bar"";""max"",1;""color1"",""#FFFFFF""}))"),"")</f>
        <v/>
      </c>
    </row>
    <row r="180" spans="1:10" ht="15.75" customHeight="1">
      <c r="A180" s="2" t="s">
        <v>2890</v>
      </c>
      <c r="B180" s="2" t="s">
        <v>2682</v>
      </c>
      <c r="C180" s="3">
        <v>266</v>
      </c>
      <c r="D180" s="2" t="s">
        <v>635</v>
      </c>
      <c r="E180" s="7">
        <f>IF($D180="","",COUNTIF('Импорт посещаемость'!I176:AE176,"L*"))</f>
        <v>17</v>
      </c>
      <c r="F180" s="7">
        <f>IF($D180="","",COUNTIF('Импорт посещаемость'!I176:AE176,"R*"))</f>
        <v>6</v>
      </c>
      <c r="G180" s="7">
        <f>IF($D180="","",MAX(0,COUNTA('Импорт посещаемость'!$I$1:$AE$1)-E180-F180))</f>
        <v>0</v>
      </c>
      <c r="H180" s="7">
        <f t="shared" si="2"/>
        <v>23</v>
      </c>
      <c r="I180" s="9">
        <f>IFERROR(H180/COUNTA('Импорт посещаемость'!$I$1:$AE$1),"")</f>
        <v>1</v>
      </c>
      <c r="J180" s="13" t="str">
        <f>IFERROR(__xludf.DUMMYFUNCTION("IF($D180="""","""",SPARKLINE(I180,{""charttype"",""bar"";""max"",1;""color1"",""#FFFFFF""}))"),"")</f>
        <v/>
      </c>
    </row>
    <row r="181" spans="1:10" ht="15.75" customHeight="1">
      <c r="A181" s="2" t="s">
        <v>2891</v>
      </c>
      <c r="B181" s="2" t="s">
        <v>2693</v>
      </c>
      <c r="C181" s="3">
        <v>401</v>
      </c>
      <c r="D181" s="2" t="s">
        <v>690</v>
      </c>
      <c r="E181" s="7">
        <f>IF($D181="","",COUNTIF('Импорт посещаемость'!I177:AE177,"L*"))</f>
        <v>15</v>
      </c>
      <c r="F181" s="7">
        <f>IF($D181="","",COUNTIF('Импорт посещаемость'!I177:AE177,"R*"))</f>
        <v>8</v>
      </c>
      <c r="G181" s="7">
        <f>IF($D181="","",MAX(0,COUNTA('Импорт посещаемость'!$I$1:$AE$1)-E181-F181))</f>
        <v>0</v>
      </c>
      <c r="H181" s="7">
        <f t="shared" si="2"/>
        <v>23</v>
      </c>
      <c r="I181" s="9">
        <f>IFERROR(H181/COUNTA('Импорт посещаемость'!$I$1:$AE$1),"")</f>
        <v>1</v>
      </c>
      <c r="J181" s="13" t="str">
        <f>IFERROR(__xludf.DUMMYFUNCTION("IF($D181="""","""",SPARKLINE(I181,{""charttype"",""bar"";""max"",1;""color1"",""#FFFFFF""}))"),"")</f>
        <v/>
      </c>
    </row>
    <row r="182" spans="1:10" ht="15.75" customHeight="1">
      <c r="A182" s="2" t="s">
        <v>2891</v>
      </c>
      <c r="B182" s="2" t="s">
        <v>2892</v>
      </c>
      <c r="C182" s="3">
        <v>793</v>
      </c>
      <c r="D182" s="2" t="s">
        <v>799</v>
      </c>
      <c r="E182" s="7">
        <f>IF($D182="","",COUNTIF('Импорт посещаемость'!I178:AE178,"L*"))</f>
        <v>16</v>
      </c>
      <c r="F182" s="7">
        <f>IF($D182="","",COUNTIF('Импорт посещаемость'!I178:AE178,"R*"))</f>
        <v>7</v>
      </c>
      <c r="G182" s="7">
        <f>IF($D182="","",MAX(0,COUNTA('Импорт посещаемость'!$I$1:$AE$1)-E182-F182))</f>
        <v>0</v>
      </c>
      <c r="H182" s="7">
        <f t="shared" si="2"/>
        <v>23</v>
      </c>
      <c r="I182" s="9">
        <f>IFERROR(H182/COUNTA('Импорт посещаемость'!$I$1:$AE$1),"")</f>
        <v>1</v>
      </c>
      <c r="J182" s="13" t="str">
        <f>IFERROR(__xludf.DUMMYFUNCTION("IF($D182="""","""",SPARKLINE(I182,{""charttype"",""bar"";""max"",1;""color1"",""#FFFFFF""}))"),"")</f>
        <v/>
      </c>
    </row>
    <row r="183" spans="1:10" ht="15.75" customHeight="1">
      <c r="A183" s="2" t="s">
        <v>2893</v>
      </c>
      <c r="B183" s="2" t="s">
        <v>2894</v>
      </c>
      <c r="C183" s="3">
        <v>478</v>
      </c>
      <c r="D183" s="2" t="s">
        <v>16</v>
      </c>
      <c r="E183" s="7">
        <f>IF($D183="","",COUNTIF('Импорт посещаемость'!I179:AE179,"L*"))</f>
        <v>16</v>
      </c>
      <c r="F183" s="7">
        <f>IF($D183="","",COUNTIF('Импорт посещаемость'!I179:AE179,"R*"))</f>
        <v>7</v>
      </c>
      <c r="G183" s="7">
        <f>IF($D183="","",MAX(0,COUNTA('Импорт посещаемость'!$I$1:$AE$1)-E183-F183))</f>
        <v>0</v>
      </c>
      <c r="H183" s="7">
        <f t="shared" si="2"/>
        <v>23</v>
      </c>
      <c r="I183" s="9">
        <f>IFERROR(H183/COUNTA('Импорт посещаемость'!$I$1:$AE$1),"")</f>
        <v>1</v>
      </c>
      <c r="J183" s="13" t="str">
        <f>IFERROR(__xludf.DUMMYFUNCTION("IF($D183="""","""",SPARKLINE(I183,{""charttype"",""bar"";""max"",1;""color1"",""#FFFFFF""}))"),"")</f>
        <v/>
      </c>
    </row>
    <row r="184" spans="1:10" ht="15.75" customHeight="1">
      <c r="A184" s="2" t="s">
        <v>2895</v>
      </c>
      <c r="B184" s="2" t="s">
        <v>2896</v>
      </c>
      <c r="C184" s="3">
        <v>701</v>
      </c>
      <c r="D184" s="2" t="s">
        <v>802</v>
      </c>
      <c r="E184" s="7">
        <f>IF($D184="","",COUNTIF('Импорт посещаемость'!I180:AE180,"L*"))</f>
        <v>5</v>
      </c>
      <c r="F184" s="7">
        <f>IF($D184="","",COUNTIF('Импорт посещаемость'!I180:AE180,"R*"))</f>
        <v>3</v>
      </c>
      <c r="G184" s="7">
        <f>IF($D184="","",MAX(0,COUNTA('Импорт посещаемость'!$I$1:$AE$1)-E184-F184))</f>
        <v>15</v>
      </c>
      <c r="H184" s="7">
        <f t="shared" si="2"/>
        <v>8</v>
      </c>
      <c r="I184" s="9">
        <f>IFERROR(H184/COUNTA('Импорт посещаемость'!$I$1:$AE$1),"")</f>
        <v>0.34782608695652201</v>
      </c>
      <c r="J184" s="13" t="str">
        <f>IFERROR(__xludf.DUMMYFUNCTION("IF($D184="""","""",SPARKLINE(I184,{""charttype"",""bar"";""max"",1;""color1"",""#FFFFFF""}))"),"")</f>
        <v/>
      </c>
    </row>
    <row r="185" spans="1:10" ht="15.75" customHeight="1">
      <c r="A185" s="2" t="s">
        <v>2897</v>
      </c>
      <c r="B185" s="2" t="s">
        <v>2732</v>
      </c>
      <c r="C185" s="3">
        <v>311</v>
      </c>
      <c r="D185" s="2" t="s">
        <v>168</v>
      </c>
      <c r="E185" s="7">
        <f>IF($D185="","",COUNTIF('Импорт посещаемость'!I181:AE181,"L*"))</f>
        <v>16</v>
      </c>
      <c r="F185" s="7">
        <f>IF($D185="","",COUNTIF('Импорт посещаемость'!I181:AE181,"R*"))</f>
        <v>7</v>
      </c>
      <c r="G185" s="7">
        <f>IF($D185="","",MAX(0,COUNTA('Импорт посещаемость'!$I$1:$AE$1)-E185-F185))</f>
        <v>0</v>
      </c>
      <c r="H185" s="7">
        <f t="shared" si="2"/>
        <v>23</v>
      </c>
      <c r="I185" s="9">
        <f>IFERROR(H185/COUNTA('Импорт посещаемость'!$I$1:$AE$1),"")</f>
        <v>1</v>
      </c>
      <c r="J185" s="13" t="str">
        <f>IFERROR(__xludf.DUMMYFUNCTION("IF($D185="""","""",SPARKLINE(I185,{""charttype"",""bar"";""max"",1;""color1"",""#FFFFFF""}))"),"")</f>
        <v/>
      </c>
    </row>
    <row r="186" spans="1:10" ht="15.75" customHeight="1">
      <c r="A186" s="2" t="s">
        <v>2898</v>
      </c>
      <c r="B186" s="2" t="s">
        <v>2682</v>
      </c>
      <c r="C186" s="3">
        <v>702</v>
      </c>
      <c r="D186" s="2" t="s">
        <v>19</v>
      </c>
      <c r="E186" s="7">
        <f>IF($D186="","",COUNTIF('Импорт посещаемость'!I182:AE182,"L*"))</f>
        <v>4</v>
      </c>
      <c r="F186" s="7">
        <f>IF($D186="","",COUNTIF('Импорт посещаемость'!I182:AE182,"R*"))</f>
        <v>19</v>
      </c>
      <c r="G186" s="7">
        <f>IF($D186="","",MAX(0,COUNTA('Импорт посещаемость'!$I$1:$AE$1)-E186-F186))</f>
        <v>0</v>
      </c>
      <c r="H186" s="7">
        <f t="shared" si="2"/>
        <v>23</v>
      </c>
      <c r="I186" s="9">
        <f>IFERROR(H186/COUNTA('Импорт посещаемость'!$I$1:$AE$1),"")</f>
        <v>1</v>
      </c>
      <c r="J186" s="13" t="str">
        <f>IFERROR(__xludf.DUMMYFUNCTION("IF($D186="""","""",SPARKLINE(I186,{""charttype"",""bar"";""max"",1;""color1"",""#FFFFFF""}))"),"")</f>
        <v/>
      </c>
    </row>
    <row r="187" spans="1:10" ht="15.75" customHeight="1">
      <c r="A187" s="2" t="s">
        <v>2899</v>
      </c>
      <c r="B187" s="2" t="s">
        <v>2900</v>
      </c>
      <c r="C187" s="3">
        <v>664</v>
      </c>
      <c r="D187" s="2" t="s">
        <v>22</v>
      </c>
      <c r="E187" s="7">
        <f>IF($D187="","",COUNTIF('Импорт посещаемость'!I183:AE183,"L*"))</f>
        <v>16</v>
      </c>
      <c r="F187" s="7">
        <f>IF($D187="","",COUNTIF('Импорт посещаемость'!I183:AE183,"R*"))</f>
        <v>6</v>
      </c>
      <c r="G187" s="7">
        <f>IF($D187="","",MAX(0,COUNTA('Импорт посещаемость'!$I$1:$AE$1)-E187-F187))</f>
        <v>1</v>
      </c>
      <c r="H187" s="7">
        <f t="shared" si="2"/>
        <v>22</v>
      </c>
      <c r="I187" s="9">
        <f>IFERROR(H187/COUNTA('Импорт посещаемость'!$I$1:$AE$1),"")</f>
        <v>0.95652173913043503</v>
      </c>
      <c r="J187" s="13" t="str">
        <f>IFERROR(__xludf.DUMMYFUNCTION("IF($D187="""","""",SPARKLINE(I187,{""charttype"",""bar"";""max"",1;""color1"",""#FFFFFF""}))"),"")</f>
        <v/>
      </c>
    </row>
    <row r="188" spans="1:10" ht="15.75" customHeight="1">
      <c r="A188" s="2" t="s">
        <v>2899</v>
      </c>
      <c r="B188" s="2" t="s">
        <v>851</v>
      </c>
      <c r="C188" s="3">
        <v>449</v>
      </c>
      <c r="D188" s="2" t="s">
        <v>24</v>
      </c>
      <c r="E188" s="7">
        <f>IF($D188="","",COUNTIF('Импорт посещаемость'!I184:AE184,"L*"))</f>
        <v>7</v>
      </c>
      <c r="F188" s="7">
        <f>IF($D188="","",COUNTIF('Импорт посещаемость'!I184:AE184,"R*"))</f>
        <v>15</v>
      </c>
      <c r="G188" s="7">
        <f>IF($D188="","",MAX(0,COUNTA('Импорт посещаемость'!$I$1:$AE$1)-E188-F188))</f>
        <v>1</v>
      </c>
      <c r="H188" s="7">
        <f t="shared" si="2"/>
        <v>22</v>
      </c>
      <c r="I188" s="9">
        <f>IFERROR(H188/COUNTA('Импорт посещаемость'!$I$1:$AE$1),"")</f>
        <v>0.95652173913043503</v>
      </c>
      <c r="J188" s="13" t="str">
        <f>IFERROR(__xludf.DUMMYFUNCTION("IF($D188="""","""",SPARKLINE(I188,{""charttype"",""bar"";""max"",1;""color1"",""#FFFFFF""}))"),"")</f>
        <v/>
      </c>
    </row>
    <row r="189" spans="1:10" ht="15.75" customHeight="1">
      <c r="A189" s="2" t="s">
        <v>2901</v>
      </c>
      <c r="B189" s="2" t="s">
        <v>2701</v>
      </c>
      <c r="C189" s="3">
        <v>653</v>
      </c>
      <c r="D189" s="2" t="s">
        <v>597</v>
      </c>
      <c r="E189" s="7">
        <f>IF($D189="","",COUNTIF('Импорт посещаемость'!I185:AE185,"L*"))</f>
        <v>4</v>
      </c>
      <c r="F189" s="7">
        <f>IF($D189="","",COUNTIF('Импорт посещаемость'!I185:AE185,"R*"))</f>
        <v>19</v>
      </c>
      <c r="G189" s="7">
        <f>IF($D189="","",MAX(0,COUNTA('Импорт посещаемость'!$I$1:$AE$1)-E189-F189))</f>
        <v>0</v>
      </c>
      <c r="H189" s="7">
        <f t="shared" si="2"/>
        <v>23</v>
      </c>
      <c r="I189" s="9">
        <f>IFERROR(H189/COUNTA('Импорт посещаемость'!$I$1:$AE$1),"")</f>
        <v>1</v>
      </c>
      <c r="J189" s="13" t="str">
        <f>IFERROR(__xludf.DUMMYFUNCTION("IF($D189="""","""",SPARKLINE(I189,{""charttype"",""bar"";""max"",1;""color1"",""#FFFFFF""}))"),"")</f>
        <v/>
      </c>
    </row>
    <row r="190" spans="1:10" ht="15.75" customHeight="1">
      <c r="A190" s="2" t="s">
        <v>2349</v>
      </c>
      <c r="B190" s="2" t="s">
        <v>2676</v>
      </c>
      <c r="C190" s="3">
        <v>414</v>
      </c>
      <c r="D190" s="2" t="s">
        <v>83</v>
      </c>
      <c r="E190" s="7">
        <f>IF($D190="","",COUNTIF('Импорт посещаемость'!I186:AE186,"L*"))</f>
        <v>5</v>
      </c>
      <c r="F190" s="7">
        <f>IF($D190="","",COUNTIF('Импорт посещаемость'!I186:AE186,"R*"))</f>
        <v>18</v>
      </c>
      <c r="G190" s="7">
        <f>IF($D190="","",MAX(0,COUNTA('Импорт посещаемость'!$I$1:$AE$1)-E190-F190))</f>
        <v>0</v>
      </c>
      <c r="H190" s="7">
        <f t="shared" si="2"/>
        <v>23</v>
      </c>
      <c r="I190" s="9">
        <f>IFERROR(H190/COUNTA('Импорт посещаемость'!$I$1:$AE$1),"")</f>
        <v>1</v>
      </c>
      <c r="J190" s="13" t="str">
        <f>IFERROR(__xludf.DUMMYFUNCTION("IF($D190="""","""",SPARKLINE(I190,{""charttype"",""bar"";""max"",1;""color1"",""#FFFFFF""}))"),"")</f>
        <v/>
      </c>
    </row>
    <row r="191" spans="1:10" ht="15.75" customHeight="1">
      <c r="A191" s="2" t="s">
        <v>2902</v>
      </c>
      <c r="B191" s="2" t="s">
        <v>2732</v>
      </c>
      <c r="C191" s="3">
        <v>634</v>
      </c>
      <c r="D191" s="2" t="s">
        <v>267</v>
      </c>
      <c r="E191" s="7">
        <f>IF($D191="","",COUNTIF('Импорт посещаемость'!I187:AE187,"L*"))</f>
        <v>2</v>
      </c>
      <c r="F191" s="7">
        <f>IF($D191="","",COUNTIF('Импорт посещаемость'!I187:AE187,"R*"))</f>
        <v>19</v>
      </c>
      <c r="G191" s="7">
        <f>IF($D191="","",MAX(0,COUNTA('Импорт посещаемость'!$I$1:$AE$1)-E191-F191))</f>
        <v>2</v>
      </c>
      <c r="H191" s="7">
        <f t="shared" si="2"/>
        <v>21</v>
      </c>
      <c r="I191" s="9">
        <f>IFERROR(H191/COUNTA('Импорт посещаемость'!$I$1:$AE$1),"")</f>
        <v>0.91304347826086996</v>
      </c>
      <c r="J191" s="13" t="str">
        <f>IFERROR(__xludf.DUMMYFUNCTION("IF($D191="""","""",SPARKLINE(I191,{""charttype"",""bar"";""max"",1;""color1"",""#FFFFFF""}))"),"")</f>
        <v/>
      </c>
    </row>
    <row r="192" spans="1:10" ht="15.75" customHeight="1">
      <c r="A192" s="2" t="s">
        <v>2903</v>
      </c>
      <c r="B192" s="2" t="s">
        <v>2813</v>
      </c>
      <c r="C192" s="3">
        <v>304</v>
      </c>
      <c r="D192" s="2" t="s">
        <v>437</v>
      </c>
      <c r="E192" s="7">
        <f>IF($D192="","",COUNTIF('Импорт посещаемость'!I188:AE188,"L*"))</f>
        <v>10</v>
      </c>
      <c r="F192" s="7">
        <f>IF($D192="","",COUNTIF('Импорт посещаемость'!I188:AE188,"R*"))</f>
        <v>13</v>
      </c>
      <c r="G192" s="7">
        <f>IF($D192="","",MAX(0,COUNTA('Импорт посещаемость'!$I$1:$AE$1)-E192-F192))</f>
        <v>0</v>
      </c>
      <c r="H192" s="7">
        <f t="shared" si="2"/>
        <v>23</v>
      </c>
      <c r="I192" s="9">
        <f>IFERROR(H192/COUNTA('Импорт посещаемость'!$I$1:$AE$1),"")</f>
        <v>1</v>
      </c>
      <c r="J192" s="13" t="str">
        <f>IFERROR(__xludf.DUMMYFUNCTION("IF($D192="""","""",SPARKLINE(I192,{""charttype"",""bar"";""max"",1;""color1"",""#FFFFFF""}))"),"")</f>
        <v/>
      </c>
    </row>
    <row r="193" spans="1:10" ht="15.75" customHeight="1">
      <c r="A193" s="2" t="s">
        <v>2904</v>
      </c>
      <c r="B193" s="2" t="s">
        <v>2896</v>
      </c>
      <c r="C193" s="3">
        <v>707</v>
      </c>
      <c r="D193" s="2" t="s">
        <v>368</v>
      </c>
      <c r="E193" s="7">
        <f>IF($D193="","",COUNTIF('Импорт посещаемость'!I189:AE189,"L*"))</f>
        <v>13</v>
      </c>
      <c r="F193" s="7">
        <f>IF($D193="","",COUNTIF('Импорт посещаемость'!I189:AE189,"R*"))</f>
        <v>10</v>
      </c>
      <c r="G193" s="7">
        <f>IF($D193="","",MAX(0,COUNTA('Импорт посещаемость'!$I$1:$AE$1)-E193-F193))</f>
        <v>0</v>
      </c>
      <c r="H193" s="7">
        <f t="shared" si="2"/>
        <v>23</v>
      </c>
      <c r="I193" s="9">
        <f>IFERROR(H193/COUNTA('Импорт посещаемость'!$I$1:$AE$1),"")</f>
        <v>1</v>
      </c>
      <c r="J193" s="13" t="str">
        <f>IFERROR(__xludf.DUMMYFUNCTION("IF($D193="""","""",SPARKLINE(I193,{""charttype"",""bar"";""max"",1;""color1"",""#FFFFFF""}))"),"")</f>
        <v/>
      </c>
    </row>
    <row r="194" spans="1:10" ht="15.75" customHeight="1">
      <c r="A194" s="2" t="s">
        <v>2905</v>
      </c>
      <c r="B194" s="2" t="s">
        <v>2804</v>
      </c>
      <c r="C194" s="3">
        <v>371</v>
      </c>
      <c r="D194" s="2" t="s">
        <v>599</v>
      </c>
      <c r="E194" s="7">
        <f>IF($D194="","",COUNTIF('Импорт посещаемость'!I190:AE190,"L*"))</f>
        <v>5</v>
      </c>
      <c r="F194" s="7">
        <f>IF($D194="","",COUNTIF('Импорт посещаемость'!I190:AE190,"R*"))</f>
        <v>18</v>
      </c>
      <c r="G194" s="7">
        <f>IF($D194="","",MAX(0,COUNTA('Импорт посещаемость'!$I$1:$AE$1)-E194-F194))</f>
        <v>0</v>
      </c>
      <c r="H194" s="7">
        <f t="shared" ref="H194:H257" si="3">IF($D194="","",E194+F194)</f>
        <v>23</v>
      </c>
      <c r="I194" s="9">
        <f>IFERROR(H194/COUNTA('Импорт посещаемость'!$I$1:$AE$1),"")</f>
        <v>1</v>
      </c>
      <c r="J194" s="13" t="str">
        <f>IFERROR(__xludf.DUMMYFUNCTION("IF($D194="""","""",SPARKLINE(I194,{""charttype"",""bar"";""max"",1;""color1"",""#FFFFFF""}))"),"")</f>
        <v/>
      </c>
    </row>
    <row r="195" spans="1:10" ht="15.75" customHeight="1">
      <c r="A195" s="2" t="s">
        <v>2906</v>
      </c>
      <c r="B195" s="2" t="s">
        <v>2682</v>
      </c>
      <c r="C195" s="3">
        <v>361</v>
      </c>
      <c r="D195" s="2" t="s">
        <v>220</v>
      </c>
      <c r="E195" s="7">
        <f>IF($D195="","",COUNTIF('Импорт посещаемость'!I191:AE191,"L*"))</f>
        <v>12</v>
      </c>
      <c r="F195" s="7">
        <f>IF($D195="","",COUNTIF('Импорт посещаемость'!I191:AE191,"R*"))</f>
        <v>11</v>
      </c>
      <c r="G195" s="7">
        <f>IF($D195="","",MAX(0,COUNTA('Импорт посещаемость'!$I$1:$AE$1)-E195-F195))</f>
        <v>0</v>
      </c>
      <c r="H195" s="7">
        <f t="shared" si="3"/>
        <v>23</v>
      </c>
      <c r="I195" s="9">
        <f>IFERROR(H195/COUNTA('Импорт посещаемость'!$I$1:$AE$1),"")</f>
        <v>1</v>
      </c>
      <c r="J195" s="13" t="str">
        <f>IFERROR(__xludf.DUMMYFUNCTION("IF($D195="""","""",SPARKLINE(I195,{""charttype"",""bar"";""max"",1;""color1"",""#FFFFFF""}))"),"")</f>
        <v/>
      </c>
    </row>
    <row r="196" spans="1:10" ht="15.75" customHeight="1">
      <c r="A196" s="2" t="s">
        <v>2907</v>
      </c>
      <c r="B196" s="2" t="s">
        <v>2813</v>
      </c>
      <c r="C196" s="3">
        <v>698</v>
      </c>
      <c r="D196" s="2" t="s">
        <v>439</v>
      </c>
      <c r="E196" s="7">
        <f>IF($D196="","",COUNTIF('Импорт посещаемость'!I192:AE192,"L*"))</f>
        <v>15</v>
      </c>
      <c r="F196" s="7">
        <f>IF($D196="","",COUNTIF('Импорт посещаемость'!I192:AE192,"R*"))</f>
        <v>8</v>
      </c>
      <c r="G196" s="7">
        <f>IF($D196="","",MAX(0,COUNTA('Импорт посещаемость'!$I$1:$AE$1)-E196-F196))</f>
        <v>0</v>
      </c>
      <c r="H196" s="7">
        <f t="shared" si="3"/>
        <v>23</v>
      </c>
      <c r="I196" s="9">
        <f>IFERROR(H196/COUNTA('Импорт посещаемость'!$I$1:$AE$1),"")</f>
        <v>1</v>
      </c>
      <c r="J196" s="13" t="str">
        <f>IFERROR(__xludf.DUMMYFUNCTION("IF($D196="""","""",SPARKLINE(I196,{""charttype"",""bar"";""max"",1;""color1"",""#FFFFFF""}))"),"")</f>
        <v/>
      </c>
    </row>
    <row r="197" spans="1:10" ht="15.75" customHeight="1">
      <c r="A197" s="2" t="s">
        <v>2908</v>
      </c>
      <c r="B197" s="2" t="s">
        <v>2682</v>
      </c>
      <c r="C197" s="3">
        <v>620</v>
      </c>
      <c r="D197" s="2" t="s">
        <v>566</v>
      </c>
      <c r="E197" s="7">
        <f>IF($D197="","",COUNTIF('Импорт посещаемость'!I193:AE193,"L*"))</f>
        <v>3</v>
      </c>
      <c r="F197" s="7">
        <f>IF($D197="","",COUNTIF('Импорт посещаемость'!I193:AE193,"R*"))</f>
        <v>20</v>
      </c>
      <c r="G197" s="7">
        <f>IF($D197="","",MAX(0,COUNTA('Импорт посещаемость'!$I$1:$AE$1)-E197-F197))</f>
        <v>0</v>
      </c>
      <c r="H197" s="7">
        <f t="shared" si="3"/>
        <v>23</v>
      </c>
      <c r="I197" s="9">
        <f>IFERROR(H197/COUNTA('Импорт посещаемость'!$I$1:$AE$1),"")</f>
        <v>1</v>
      </c>
      <c r="J197" s="13" t="str">
        <f>IFERROR(__xludf.DUMMYFUNCTION("IF($D197="""","""",SPARKLINE(I197,{""charttype"",""bar"";""max"",1;""color1"",""#FFFFFF""}))"),"")</f>
        <v/>
      </c>
    </row>
    <row r="198" spans="1:10" ht="15.75" customHeight="1">
      <c r="A198" s="2" t="s">
        <v>2909</v>
      </c>
      <c r="B198" s="2" t="s">
        <v>2833</v>
      </c>
      <c r="C198" s="3">
        <v>479</v>
      </c>
      <c r="D198" s="2" t="s">
        <v>531</v>
      </c>
      <c r="E198" s="7">
        <f>IF($D198="","",COUNTIF('Импорт посещаемость'!I194:AE194,"L*"))</f>
        <v>0</v>
      </c>
      <c r="F198" s="7">
        <f>IF($D198="","",COUNTIF('Импорт посещаемость'!I194:AE194,"R*"))</f>
        <v>23</v>
      </c>
      <c r="G198" s="7">
        <f>IF($D198="","",MAX(0,COUNTA('Импорт посещаемость'!$I$1:$AE$1)-E198-F198))</f>
        <v>0</v>
      </c>
      <c r="H198" s="7">
        <f t="shared" si="3"/>
        <v>23</v>
      </c>
      <c r="I198" s="9">
        <f>IFERROR(H198/COUNTA('Импорт посещаемость'!$I$1:$AE$1),"")</f>
        <v>1</v>
      </c>
      <c r="J198" s="13" t="str">
        <f>IFERROR(__xludf.DUMMYFUNCTION("IF($D198="""","""",SPARKLINE(I198,{""charttype"",""bar"";""max"",1;""color1"",""#FFFFFF""}))"),"")</f>
        <v/>
      </c>
    </row>
    <row r="199" spans="1:10" ht="15.75" customHeight="1">
      <c r="A199" s="2" t="s">
        <v>2775</v>
      </c>
      <c r="B199" s="2" t="s">
        <v>2910</v>
      </c>
      <c r="C199" s="3">
        <v>630</v>
      </c>
      <c r="D199" s="2" t="s">
        <v>278</v>
      </c>
      <c r="E199" s="7">
        <f>IF($D199="","",COUNTIF('Импорт посещаемость'!I195:AE195,"L*"))</f>
        <v>9</v>
      </c>
      <c r="F199" s="7">
        <f>IF($D199="","",COUNTIF('Импорт посещаемость'!I195:AE195,"R*"))</f>
        <v>12</v>
      </c>
      <c r="G199" s="7">
        <f>IF($D199="","",MAX(0,COUNTA('Импорт посещаемость'!$I$1:$AE$1)-E199-F199))</f>
        <v>2</v>
      </c>
      <c r="H199" s="7">
        <f t="shared" si="3"/>
        <v>21</v>
      </c>
      <c r="I199" s="9">
        <f>IFERROR(H199/COUNTA('Импорт посещаемость'!$I$1:$AE$1),"")</f>
        <v>0.91304347826086996</v>
      </c>
      <c r="J199" s="13" t="str">
        <f>IFERROR(__xludf.DUMMYFUNCTION("IF($D199="""","""",SPARKLINE(I199,{""charttype"",""bar"";""max"",1;""color1"",""#FFFFFF""}))"),"")</f>
        <v/>
      </c>
    </row>
    <row r="200" spans="1:10" ht="15.75" customHeight="1">
      <c r="A200" s="2" t="s">
        <v>2911</v>
      </c>
      <c r="B200" s="2" t="s">
        <v>2912</v>
      </c>
      <c r="C200" s="3">
        <v>685</v>
      </c>
      <c r="D200" s="2" t="s">
        <v>601</v>
      </c>
      <c r="E200" s="7">
        <f>IF($D200="","",COUNTIF('Импорт посещаемость'!I196:AE196,"L*"))</f>
        <v>9</v>
      </c>
      <c r="F200" s="7">
        <f>IF($D200="","",COUNTIF('Импорт посещаемость'!I196:AE196,"R*"))</f>
        <v>14</v>
      </c>
      <c r="G200" s="7">
        <f>IF($D200="","",MAX(0,COUNTA('Импорт посещаемость'!$I$1:$AE$1)-E200-F200))</f>
        <v>0</v>
      </c>
      <c r="H200" s="7">
        <f t="shared" si="3"/>
        <v>23</v>
      </c>
      <c r="I200" s="9">
        <f>IFERROR(H200/COUNTA('Импорт посещаемость'!$I$1:$AE$1),"")</f>
        <v>1</v>
      </c>
      <c r="J200" s="13" t="str">
        <f>IFERROR(__xludf.DUMMYFUNCTION("IF($D200="""","""",SPARKLINE(I200,{""charttype"",""bar"";""max"",1;""color1"",""#FFFFFF""}))"),"")</f>
        <v/>
      </c>
    </row>
    <row r="201" spans="1:10" ht="15.75" customHeight="1">
      <c r="A201" s="2" t="s">
        <v>2911</v>
      </c>
      <c r="B201" s="2" t="s">
        <v>2678</v>
      </c>
      <c r="C201" s="3">
        <v>492</v>
      </c>
      <c r="D201" s="2" t="s">
        <v>311</v>
      </c>
      <c r="E201" s="7">
        <f>IF($D201="","",COUNTIF('Импорт посещаемость'!I197:AE197,"L*"))</f>
        <v>2</v>
      </c>
      <c r="F201" s="7">
        <f>IF($D201="","",COUNTIF('Импорт посещаемость'!I197:AE197,"R*"))</f>
        <v>19</v>
      </c>
      <c r="G201" s="7">
        <f>IF($D201="","",MAX(0,COUNTA('Импорт посещаемость'!$I$1:$AE$1)-E201-F201))</f>
        <v>2</v>
      </c>
      <c r="H201" s="7">
        <f t="shared" si="3"/>
        <v>21</v>
      </c>
      <c r="I201" s="9">
        <f>IFERROR(H201/COUNTA('Импорт посещаемость'!$I$1:$AE$1),"")</f>
        <v>0.91304347826086996</v>
      </c>
      <c r="J201" s="13" t="str">
        <f>IFERROR(__xludf.DUMMYFUNCTION("IF($D201="""","""",SPARKLINE(I201,{""charttype"",""bar"";""max"",1;""color1"",""#FFFFFF""}))"),"")</f>
        <v/>
      </c>
    </row>
    <row r="202" spans="1:10" ht="15.75" customHeight="1">
      <c r="A202" s="2" t="s">
        <v>2913</v>
      </c>
      <c r="B202" s="2" t="s">
        <v>2693</v>
      </c>
      <c r="C202" s="3">
        <v>444</v>
      </c>
      <c r="D202" s="2" t="s">
        <v>534</v>
      </c>
      <c r="E202" s="7">
        <f>IF($D202="","",COUNTIF('Импорт посещаемость'!I198:AE198,"L*"))</f>
        <v>8</v>
      </c>
      <c r="F202" s="7">
        <f>IF($D202="","",COUNTIF('Импорт посещаемость'!I198:AE198,"R*"))</f>
        <v>10</v>
      </c>
      <c r="G202" s="7">
        <f>IF($D202="","",MAX(0,COUNTA('Импорт посещаемость'!$I$1:$AE$1)-E202-F202))</f>
        <v>5</v>
      </c>
      <c r="H202" s="7">
        <f t="shared" si="3"/>
        <v>18</v>
      </c>
      <c r="I202" s="9">
        <f>IFERROR(H202/COUNTA('Импорт посещаемость'!$I$1:$AE$1),"")</f>
        <v>0.78260869565217395</v>
      </c>
      <c r="J202" s="13" t="str">
        <f>IFERROR(__xludf.DUMMYFUNCTION("IF($D202="""","""",SPARKLINE(I202,{""charttype"",""bar"";""max"",1;""color1"",""#FFFFFF""}))"),"")</f>
        <v/>
      </c>
    </row>
    <row r="203" spans="1:10" ht="15.75" customHeight="1">
      <c r="A203" s="2" t="s">
        <v>2914</v>
      </c>
      <c r="B203" s="2" t="s">
        <v>2669</v>
      </c>
      <c r="C203" s="3">
        <v>662</v>
      </c>
      <c r="D203" s="2" t="s">
        <v>127</v>
      </c>
      <c r="E203" s="7">
        <f>IF($D203="","",COUNTIF('Импорт посещаемость'!I199:AE199,"L*"))</f>
        <v>16</v>
      </c>
      <c r="F203" s="7">
        <f>IF($D203="","",COUNTIF('Импорт посещаемость'!I199:AE199,"R*"))</f>
        <v>7</v>
      </c>
      <c r="G203" s="7">
        <f>IF($D203="","",MAX(0,COUNTA('Импорт посещаемость'!$I$1:$AE$1)-E203-F203))</f>
        <v>0</v>
      </c>
      <c r="H203" s="7">
        <f t="shared" si="3"/>
        <v>23</v>
      </c>
      <c r="I203" s="9">
        <f>IFERROR(H203/COUNTA('Импорт посещаемость'!$I$1:$AE$1),"")</f>
        <v>1</v>
      </c>
      <c r="J203" s="13" t="str">
        <f>IFERROR(__xludf.DUMMYFUNCTION("IF($D203="""","""",SPARKLINE(I203,{""charttype"",""bar"";""max"",1;""color1"",""#FFFFFF""}))"),"")</f>
        <v/>
      </c>
    </row>
    <row r="204" spans="1:10" ht="15.75" customHeight="1">
      <c r="A204" s="2" t="s">
        <v>2915</v>
      </c>
      <c r="B204" s="2" t="s">
        <v>2710</v>
      </c>
      <c r="C204" s="3">
        <v>697</v>
      </c>
      <c r="D204" s="2" t="s">
        <v>761</v>
      </c>
      <c r="E204" s="7">
        <f>IF($D204="","",COUNTIF('Импорт посещаемость'!I200:AE200,"L*"))</f>
        <v>0</v>
      </c>
      <c r="F204" s="7">
        <f>IF($D204="","",COUNTIF('Импорт посещаемость'!I200:AE200,"R*"))</f>
        <v>23</v>
      </c>
      <c r="G204" s="7">
        <f>IF($D204="","",MAX(0,COUNTA('Импорт посещаемость'!$I$1:$AE$1)-E204-F204))</f>
        <v>0</v>
      </c>
      <c r="H204" s="7">
        <f t="shared" si="3"/>
        <v>23</v>
      </c>
      <c r="I204" s="9">
        <f>IFERROR(H204/COUNTA('Импорт посещаемость'!$I$1:$AE$1),"")</f>
        <v>1</v>
      </c>
      <c r="J204" s="13" t="str">
        <f>IFERROR(__xludf.DUMMYFUNCTION("IF($D204="""","""",SPARKLINE(I204,{""charttype"",""bar"";""max"",1;""color1"",""#FFFFFF""}))"),"")</f>
        <v/>
      </c>
    </row>
    <row r="205" spans="1:10" ht="15.75" customHeight="1">
      <c r="A205" s="2" t="s">
        <v>2916</v>
      </c>
      <c r="B205" s="2" t="s">
        <v>2917</v>
      </c>
      <c r="C205" s="3">
        <v>721</v>
      </c>
      <c r="D205" s="2" t="s">
        <v>692</v>
      </c>
      <c r="E205" s="7">
        <f>IF($D205="","",COUNTIF('Импорт посещаемость'!I201:AE201,"L*"))</f>
        <v>4</v>
      </c>
      <c r="F205" s="7">
        <f>IF($D205="","",COUNTIF('Импорт посещаемость'!I201:AE201,"R*"))</f>
        <v>19</v>
      </c>
      <c r="G205" s="7">
        <f>IF($D205="","",MAX(0,COUNTA('Импорт посещаемость'!$I$1:$AE$1)-E205-F205))</f>
        <v>0</v>
      </c>
      <c r="H205" s="7">
        <f t="shared" si="3"/>
        <v>23</v>
      </c>
      <c r="I205" s="9">
        <f>IFERROR(H205/COUNTA('Импорт посещаемость'!$I$1:$AE$1),"")</f>
        <v>1</v>
      </c>
      <c r="J205" s="13" t="str">
        <f>IFERROR(__xludf.DUMMYFUNCTION("IF($D205="""","""",SPARKLINE(I205,{""charttype"",""bar"";""max"",1;""color1"",""#FFFFFF""}))"),"")</f>
        <v/>
      </c>
    </row>
    <row r="206" spans="1:10" ht="15.75" customHeight="1">
      <c r="A206" s="2" t="s">
        <v>2918</v>
      </c>
      <c r="B206" s="2" t="s">
        <v>2682</v>
      </c>
      <c r="C206" s="3">
        <v>812</v>
      </c>
      <c r="D206" s="2" t="s">
        <v>314</v>
      </c>
      <c r="E206" s="7">
        <f>IF($D206="","",COUNTIF('Импорт посещаемость'!I202:AE202,"L*"))</f>
        <v>7</v>
      </c>
      <c r="F206" s="7">
        <f>IF($D206="","",COUNTIF('Импорт посещаемость'!I202:AE202,"R*"))</f>
        <v>11</v>
      </c>
      <c r="G206" s="7">
        <f>IF($D206="","",MAX(0,COUNTA('Импорт посещаемость'!$I$1:$AE$1)-E206-F206))</f>
        <v>5</v>
      </c>
      <c r="H206" s="7">
        <f t="shared" si="3"/>
        <v>18</v>
      </c>
      <c r="I206" s="9">
        <f>IFERROR(H206/COUNTA('Импорт посещаемость'!$I$1:$AE$1),"")</f>
        <v>0.78260869565217395</v>
      </c>
      <c r="J206" s="13" t="str">
        <f>IFERROR(__xludf.DUMMYFUNCTION("IF($D206="""","""",SPARKLINE(I206,{""charttype"",""bar"";""max"",1;""color1"",""#FFFFFF""}))"),"")</f>
        <v/>
      </c>
    </row>
    <row r="207" spans="1:10" ht="15.75" customHeight="1">
      <c r="A207" s="2" t="s">
        <v>2846</v>
      </c>
      <c r="B207" s="2" t="s">
        <v>2919</v>
      </c>
      <c r="C207" s="3">
        <v>711</v>
      </c>
      <c r="D207" s="2" t="s">
        <v>284</v>
      </c>
      <c r="E207" s="7">
        <f>IF($D207="","",COUNTIF('Импорт посещаемость'!I203:AE203,"L*"))</f>
        <v>8</v>
      </c>
      <c r="F207" s="7">
        <f>IF($D207="","",COUNTIF('Импорт посещаемость'!I203:AE203,"R*"))</f>
        <v>15</v>
      </c>
      <c r="G207" s="7">
        <f>IF($D207="","",MAX(0,COUNTA('Импорт посещаемость'!$I$1:$AE$1)-E207-F207))</f>
        <v>0</v>
      </c>
      <c r="H207" s="7">
        <f t="shared" si="3"/>
        <v>23</v>
      </c>
      <c r="I207" s="9">
        <f>IFERROR(H207/COUNTA('Импорт посещаемость'!$I$1:$AE$1),"")</f>
        <v>1</v>
      </c>
      <c r="J207" s="13" t="str">
        <f>IFERROR(__xludf.DUMMYFUNCTION("IF($D207="""","""",SPARKLINE(I207,{""charttype"",""bar"";""max"",1;""color1"",""#FFFFFF""}))"),"")</f>
        <v/>
      </c>
    </row>
    <row r="208" spans="1:10" ht="15.75" customHeight="1">
      <c r="A208" s="2" t="s">
        <v>2920</v>
      </c>
      <c r="B208" s="2" t="s">
        <v>2726</v>
      </c>
      <c r="C208" s="3">
        <v>477</v>
      </c>
      <c r="D208" s="2" t="s">
        <v>26</v>
      </c>
      <c r="E208" s="7">
        <f>IF($D208="","",COUNTIF('Импорт посещаемость'!I204:AE204,"L*"))</f>
        <v>12</v>
      </c>
      <c r="F208" s="7">
        <f>IF($D208="","",COUNTIF('Импорт посещаемость'!I204:AE204,"R*"))</f>
        <v>0</v>
      </c>
      <c r="G208" s="7">
        <f>IF($D208="","",MAX(0,COUNTA('Импорт посещаемость'!$I$1:$AE$1)-E208-F208))</f>
        <v>11</v>
      </c>
      <c r="H208" s="7">
        <f t="shared" si="3"/>
        <v>12</v>
      </c>
      <c r="I208" s="9">
        <f>IFERROR(H208/COUNTA('Импорт посещаемость'!$I$1:$AE$1),"")</f>
        <v>0.52173913043478304</v>
      </c>
      <c r="J208" s="13" t="str">
        <f>IFERROR(__xludf.DUMMYFUNCTION("IF($D208="""","""",SPARKLINE(I208,{""charttype"",""bar"";""max"",1;""color1"",""#FFFFFF""}))"),"")</f>
        <v/>
      </c>
    </row>
    <row r="209" spans="1:10" ht="15.75" customHeight="1">
      <c r="A209" s="2" t="s">
        <v>2921</v>
      </c>
      <c r="B209" s="2" t="s">
        <v>2775</v>
      </c>
      <c r="C209" s="3">
        <v>631</v>
      </c>
      <c r="D209" s="2" t="s">
        <v>442</v>
      </c>
      <c r="E209" s="7">
        <f>IF($D209="","",COUNTIF('Импорт посещаемость'!I205:AE205,"L*"))</f>
        <v>0</v>
      </c>
      <c r="F209" s="7">
        <f>IF($D209="","",COUNTIF('Импорт посещаемость'!I205:AE205,"R*"))</f>
        <v>15</v>
      </c>
      <c r="G209" s="7">
        <f>IF($D209="","",MAX(0,COUNTA('Импорт посещаемость'!$I$1:$AE$1)-E209-F209))</f>
        <v>8</v>
      </c>
      <c r="H209" s="7">
        <f t="shared" si="3"/>
        <v>15</v>
      </c>
      <c r="I209" s="9">
        <f>IFERROR(H209/COUNTA('Импорт посещаемость'!$I$1:$AE$1),"")</f>
        <v>0.65217391304347805</v>
      </c>
      <c r="J209" s="13" t="str">
        <f>IFERROR(__xludf.DUMMYFUNCTION("IF($D209="""","""",SPARKLINE(I209,{""charttype"",""bar"";""max"",1;""color1"",""#FFFFFF""}))"),"")</f>
        <v/>
      </c>
    </row>
    <row r="210" spans="1:10" ht="15.75" customHeight="1">
      <c r="A210" s="2" t="s">
        <v>2922</v>
      </c>
      <c r="B210" s="2" t="s">
        <v>2761</v>
      </c>
      <c r="C210" s="3">
        <v>617</v>
      </c>
      <c r="D210" s="2" t="s">
        <v>370</v>
      </c>
      <c r="E210" s="7">
        <f>IF($D210="","",COUNTIF('Импорт посещаемость'!I206:AE206,"L*"))</f>
        <v>10</v>
      </c>
      <c r="F210" s="7">
        <f>IF($D210="","",COUNTIF('Импорт посещаемость'!I206:AE206,"R*"))</f>
        <v>13</v>
      </c>
      <c r="G210" s="7">
        <f>IF($D210="","",MAX(0,COUNTA('Импорт посещаемость'!$I$1:$AE$1)-E210-F210))</f>
        <v>0</v>
      </c>
      <c r="H210" s="7">
        <f t="shared" si="3"/>
        <v>23</v>
      </c>
      <c r="I210" s="9">
        <f>IFERROR(H210/COUNTA('Импорт посещаемость'!$I$1:$AE$1),"")</f>
        <v>1</v>
      </c>
      <c r="J210" s="13" t="str">
        <f>IFERROR(__xludf.DUMMYFUNCTION("IF($D210="""","""",SPARKLINE(I210,{""charttype"",""bar"";""max"",1;""color1"",""#FFFFFF""}))"),"")</f>
        <v/>
      </c>
    </row>
    <row r="211" spans="1:10" ht="15.75" customHeight="1">
      <c r="A211" s="2" t="s">
        <v>2923</v>
      </c>
      <c r="B211" s="2" t="s">
        <v>2770</v>
      </c>
      <c r="C211" s="3">
        <v>222</v>
      </c>
      <c r="D211" s="2" t="s">
        <v>372</v>
      </c>
      <c r="E211" s="7">
        <f>IF($D211="","",COUNTIF('Импорт посещаемость'!I207:AE207,"L*"))</f>
        <v>1</v>
      </c>
      <c r="F211" s="7">
        <f>IF($D211="","",COUNTIF('Импорт посещаемость'!I207:AE207,"R*"))</f>
        <v>21</v>
      </c>
      <c r="G211" s="7">
        <f>IF($D211="","",MAX(0,COUNTA('Импорт посещаемость'!$I$1:$AE$1)-E211-F211))</f>
        <v>1</v>
      </c>
      <c r="H211" s="7">
        <f t="shared" si="3"/>
        <v>22</v>
      </c>
      <c r="I211" s="9">
        <f>IFERROR(H211/COUNTA('Импорт посещаемость'!$I$1:$AE$1),"")</f>
        <v>0.95652173913043503</v>
      </c>
      <c r="J211" s="13" t="str">
        <f>IFERROR(__xludf.DUMMYFUNCTION("IF($D211="""","""",SPARKLINE(I211,{""charttype"",""bar"";""max"",1;""color1"",""#FFFFFF""}))"),"")</f>
        <v/>
      </c>
    </row>
    <row r="212" spans="1:10" ht="15.75" customHeight="1">
      <c r="A212" s="2" t="s">
        <v>2924</v>
      </c>
      <c r="B212" s="2" t="s">
        <v>2757</v>
      </c>
      <c r="C212" s="3">
        <v>443</v>
      </c>
      <c r="D212" s="2" t="s">
        <v>482</v>
      </c>
      <c r="E212" s="7">
        <f>IF($D212="","",COUNTIF('Импорт посещаемость'!I208:AE208,"L*"))</f>
        <v>5</v>
      </c>
      <c r="F212" s="7">
        <f>IF($D212="","",COUNTIF('Импорт посещаемость'!I208:AE208,"R*"))</f>
        <v>14</v>
      </c>
      <c r="G212" s="7">
        <f>IF($D212="","",MAX(0,COUNTA('Импорт посещаемость'!$I$1:$AE$1)-E212-F212))</f>
        <v>4</v>
      </c>
      <c r="H212" s="7">
        <f t="shared" si="3"/>
        <v>19</v>
      </c>
      <c r="I212" s="9">
        <f>IFERROR(H212/COUNTA('Импорт посещаемость'!$I$1:$AE$1),"")</f>
        <v>0.82608695652173902</v>
      </c>
      <c r="J212" s="13" t="str">
        <f>IFERROR(__xludf.DUMMYFUNCTION("IF($D212="""","""",SPARKLINE(I212,{""charttype"",""bar"";""max"",1;""color1"",""#FFFFFF""}))"),"")</f>
        <v/>
      </c>
    </row>
    <row r="213" spans="1:10" ht="15.75" customHeight="1">
      <c r="A213" s="2" t="s">
        <v>2925</v>
      </c>
      <c r="B213" s="2" t="s">
        <v>2678</v>
      </c>
      <c r="C213" s="3">
        <v>639</v>
      </c>
      <c r="D213" s="2" t="s">
        <v>273</v>
      </c>
      <c r="E213" s="7">
        <f>IF($D213="","",COUNTIF('Импорт посещаемость'!I209:AE209,"L*"))</f>
        <v>13</v>
      </c>
      <c r="F213" s="7">
        <f>IF($D213="","",COUNTIF('Импорт посещаемость'!I209:AE209,"R*"))</f>
        <v>10</v>
      </c>
      <c r="G213" s="7">
        <f>IF($D213="","",MAX(0,COUNTA('Импорт посещаемость'!$I$1:$AE$1)-E213-F213))</f>
        <v>0</v>
      </c>
      <c r="H213" s="7">
        <f t="shared" si="3"/>
        <v>23</v>
      </c>
      <c r="I213" s="9">
        <f>IFERROR(H213/COUNTA('Импорт посещаемость'!$I$1:$AE$1),"")</f>
        <v>1</v>
      </c>
      <c r="J213" s="13" t="str">
        <f>IFERROR(__xludf.DUMMYFUNCTION("IF($D213="""","""",SPARKLINE(I213,{""charttype"",""bar"";""max"",1;""color1"",""#FFFFFF""}))"),"")</f>
        <v/>
      </c>
    </row>
    <row r="214" spans="1:10" ht="15.75" customHeight="1">
      <c r="A214" s="2" t="s">
        <v>2926</v>
      </c>
      <c r="B214" s="2" t="s">
        <v>2813</v>
      </c>
      <c r="C214" s="3">
        <v>718</v>
      </c>
      <c r="D214" s="2" t="s">
        <v>399</v>
      </c>
      <c r="E214" s="7">
        <f>IF($D214="","",COUNTIF('Импорт посещаемость'!I210:AE210,"L*"))</f>
        <v>16</v>
      </c>
      <c r="F214" s="7">
        <f>IF($D214="","",COUNTIF('Импорт посещаемость'!I210:AE210,"R*"))</f>
        <v>7</v>
      </c>
      <c r="G214" s="7">
        <f>IF($D214="","",MAX(0,COUNTA('Импорт посещаемость'!$I$1:$AE$1)-E214-F214))</f>
        <v>0</v>
      </c>
      <c r="H214" s="7">
        <f t="shared" si="3"/>
        <v>23</v>
      </c>
      <c r="I214" s="9">
        <f>IFERROR(H214/COUNTA('Импорт посещаемость'!$I$1:$AE$1),"")</f>
        <v>1</v>
      </c>
      <c r="J214" s="13" t="str">
        <f>IFERROR(__xludf.DUMMYFUNCTION("IF($D214="""","""",SPARKLINE(I214,{""charttype"",""bar"";""max"",1;""color1"",""#FFFFFF""}))"),"")</f>
        <v/>
      </c>
    </row>
    <row r="215" spans="1:10" ht="15.75" customHeight="1">
      <c r="A215" s="2" t="s">
        <v>2927</v>
      </c>
      <c r="B215" s="2" t="s">
        <v>851</v>
      </c>
      <c r="C215" s="3">
        <v>643</v>
      </c>
      <c r="D215" s="2" t="s">
        <v>638</v>
      </c>
      <c r="E215" s="7">
        <f>IF($D215="","",COUNTIF('Импорт посещаемость'!I211:AE211,"L*"))</f>
        <v>0</v>
      </c>
      <c r="F215" s="7">
        <f>IF($D215="","",COUNTIF('Импорт посещаемость'!I211:AE211,"R*"))</f>
        <v>23</v>
      </c>
      <c r="G215" s="7">
        <f>IF($D215="","",MAX(0,COUNTA('Импорт посещаемость'!$I$1:$AE$1)-E215-F215))</f>
        <v>0</v>
      </c>
      <c r="H215" s="7">
        <f t="shared" si="3"/>
        <v>23</v>
      </c>
      <c r="I215" s="9">
        <f>IFERROR(H215/COUNTA('Импорт посещаемость'!$I$1:$AE$1),"")</f>
        <v>1</v>
      </c>
      <c r="J215" s="13" t="str">
        <f>IFERROR(__xludf.DUMMYFUNCTION("IF($D215="""","""",SPARKLINE(I215,{""charttype"",""bar"";""max"",1;""color1"",""#FFFFFF""}))"),"")</f>
        <v/>
      </c>
    </row>
    <row r="216" spans="1:10" ht="15.75" customHeight="1">
      <c r="A216" s="2" t="s">
        <v>2928</v>
      </c>
      <c r="B216" s="2" t="s">
        <v>2929</v>
      </c>
      <c r="C216" s="3">
        <v>790</v>
      </c>
      <c r="D216" s="2" t="s">
        <v>764</v>
      </c>
      <c r="E216" s="7">
        <f>IF($D216="","",COUNTIF('Импорт посещаемость'!I212:AE212,"L*"))</f>
        <v>11</v>
      </c>
      <c r="F216" s="7">
        <f>IF($D216="","",COUNTIF('Импорт посещаемость'!I212:AE212,"R*"))</f>
        <v>12</v>
      </c>
      <c r="G216" s="7">
        <f>IF($D216="","",MAX(0,COUNTA('Импорт посещаемость'!$I$1:$AE$1)-E216-F216))</f>
        <v>0</v>
      </c>
      <c r="H216" s="7">
        <f t="shared" si="3"/>
        <v>23</v>
      </c>
      <c r="I216" s="9">
        <f>IFERROR(H216/COUNTA('Импорт посещаемость'!$I$1:$AE$1),"")</f>
        <v>1</v>
      </c>
      <c r="J216" s="13" t="str">
        <f>IFERROR(__xludf.DUMMYFUNCTION("IF($D216="""","""",SPARKLINE(I216,{""charttype"",""bar"";""max"",1;""color1"",""#FFFFFF""}))"),"")</f>
        <v/>
      </c>
    </row>
    <row r="217" spans="1:10" ht="15.75" customHeight="1">
      <c r="A217" s="2" t="s">
        <v>2930</v>
      </c>
      <c r="B217" s="2" t="s">
        <v>2931</v>
      </c>
      <c r="C217" s="3">
        <v>244</v>
      </c>
      <c r="D217" s="2" t="s">
        <v>444</v>
      </c>
      <c r="E217" s="7">
        <f>IF($D217="","",COUNTIF('Импорт посещаемость'!I213:AE213,"L*"))</f>
        <v>4</v>
      </c>
      <c r="F217" s="7">
        <f>IF($D217="","",COUNTIF('Импорт посещаемость'!I213:AE213,"R*"))</f>
        <v>19</v>
      </c>
      <c r="G217" s="7">
        <f>IF($D217="","",MAX(0,COUNTA('Импорт посещаемость'!$I$1:$AE$1)-E217-F217))</f>
        <v>0</v>
      </c>
      <c r="H217" s="7">
        <f t="shared" si="3"/>
        <v>23</v>
      </c>
      <c r="I217" s="9">
        <f>IFERROR(H217/COUNTA('Импорт посещаемость'!$I$1:$AE$1),"")</f>
        <v>1</v>
      </c>
      <c r="J217" s="13" t="str">
        <f>IFERROR(__xludf.DUMMYFUNCTION("IF($D217="""","""",SPARKLINE(I217,{""charttype"",""bar"";""max"",1;""color1"",""#FFFFFF""}))"),"")</f>
        <v/>
      </c>
    </row>
    <row r="218" spans="1:10" ht="15.75" customHeight="1">
      <c r="A218" s="2" t="s">
        <v>2932</v>
      </c>
      <c r="B218" s="2" t="s">
        <v>2661</v>
      </c>
      <c r="C218" s="3">
        <v>787</v>
      </c>
      <c r="D218" s="2" t="s">
        <v>28</v>
      </c>
      <c r="E218" s="7">
        <f>IF($D218="","",COUNTIF('Импорт посещаемость'!I214:AE214,"L*"))</f>
        <v>3</v>
      </c>
      <c r="F218" s="7">
        <f>IF($D218="","",COUNTIF('Импорт посещаемость'!I214:AE214,"R*"))</f>
        <v>17</v>
      </c>
      <c r="G218" s="7">
        <f>IF($D218="","",MAX(0,COUNTA('Импорт посещаемость'!$I$1:$AE$1)-E218-F218))</f>
        <v>3</v>
      </c>
      <c r="H218" s="7">
        <f t="shared" si="3"/>
        <v>20</v>
      </c>
      <c r="I218" s="9">
        <f>IFERROR(H218/COUNTA('Импорт посещаемость'!$I$1:$AE$1),"")</f>
        <v>0.86956521739130399</v>
      </c>
      <c r="J218" s="13" t="str">
        <f>IFERROR(__xludf.DUMMYFUNCTION("IF($D218="""","""",SPARKLINE(I218,{""charttype"",""bar"";""max"",1;""color1"",""#FFFFFF""}))"),"")</f>
        <v/>
      </c>
    </row>
    <row r="219" spans="1:10" ht="15.75" customHeight="1">
      <c r="A219" s="2" t="s">
        <v>2933</v>
      </c>
      <c r="B219" s="2" t="s">
        <v>2682</v>
      </c>
      <c r="C219" s="3">
        <v>788</v>
      </c>
      <c r="D219" s="2" t="s">
        <v>401</v>
      </c>
      <c r="E219" s="7">
        <f>IF($D219="","",COUNTIF('Импорт посещаемость'!I215:AE215,"L*"))</f>
        <v>9</v>
      </c>
      <c r="F219" s="7">
        <f>IF($D219="","",COUNTIF('Импорт посещаемость'!I215:AE215,"R*"))</f>
        <v>12</v>
      </c>
      <c r="G219" s="7">
        <f>IF($D219="","",MAX(0,COUNTA('Импорт посещаемость'!$I$1:$AE$1)-E219-F219))</f>
        <v>2</v>
      </c>
      <c r="H219" s="7">
        <f t="shared" si="3"/>
        <v>21</v>
      </c>
      <c r="I219" s="9">
        <f>IFERROR(H219/COUNTA('Импорт посещаемость'!$I$1:$AE$1),"")</f>
        <v>0.91304347826086996</v>
      </c>
      <c r="J219" s="13" t="str">
        <f>IFERROR(__xludf.DUMMYFUNCTION("IF($D219="""","""",SPARKLINE(I219,{""charttype"",""bar"";""max"",1;""color1"",""#FFFFFF""}))"),"")</f>
        <v/>
      </c>
    </row>
    <row r="220" spans="1:10" ht="15.75" customHeight="1">
      <c r="A220" s="2" t="s">
        <v>2934</v>
      </c>
      <c r="B220" s="2" t="s">
        <v>2717</v>
      </c>
      <c r="C220" s="3">
        <v>359</v>
      </c>
      <c r="D220" s="2" t="s">
        <v>403</v>
      </c>
      <c r="E220" s="7">
        <f>IF($D220="","",COUNTIF('Импорт посещаемость'!I216:AE216,"L*"))</f>
        <v>15</v>
      </c>
      <c r="F220" s="7">
        <f>IF($D220="","",COUNTIF('Импорт посещаемость'!I216:AE216,"R*"))</f>
        <v>8</v>
      </c>
      <c r="G220" s="7">
        <f>IF($D220="","",MAX(0,COUNTA('Импорт посещаемость'!$I$1:$AE$1)-E220-F220))</f>
        <v>0</v>
      </c>
      <c r="H220" s="7">
        <f t="shared" si="3"/>
        <v>23</v>
      </c>
      <c r="I220" s="9">
        <f>IFERROR(H220/COUNTA('Импорт посещаемость'!$I$1:$AE$1),"")</f>
        <v>1</v>
      </c>
      <c r="J220" s="13" t="str">
        <f>IFERROR(__xludf.DUMMYFUNCTION("IF($D220="""","""",SPARKLINE(I220,{""charttype"",""bar"";""max"",1;""color1"",""#FFFFFF""}))"),"")</f>
        <v/>
      </c>
    </row>
    <row r="221" spans="1:10" ht="15.75" customHeight="1">
      <c r="A221" s="2" t="s">
        <v>2935</v>
      </c>
      <c r="B221" s="2" t="s">
        <v>2662</v>
      </c>
      <c r="C221" s="3">
        <v>613</v>
      </c>
      <c r="D221" s="2" t="s">
        <v>405</v>
      </c>
      <c r="E221" s="7">
        <f>IF($D221="","",COUNTIF('Импорт посещаемость'!I217:AE217,"L*"))</f>
        <v>2</v>
      </c>
      <c r="F221" s="7">
        <f>IF($D221="","",COUNTIF('Импорт посещаемость'!I217:AE217,"R*"))</f>
        <v>21</v>
      </c>
      <c r="G221" s="7">
        <f>IF($D221="","",MAX(0,COUNTA('Импорт посещаемость'!$I$1:$AE$1)-E221-F221))</f>
        <v>0</v>
      </c>
      <c r="H221" s="7">
        <f t="shared" si="3"/>
        <v>23</v>
      </c>
      <c r="I221" s="9">
        <f>IFERROR(H221/COUNTA('Импорт посещаемость'!$I$1:$AE$1),"")</f>
        <v>1</v>
      </c>
      <c r="J221" s="13" t="str">
        <f>IFERROR(__xludf.DUMMYFUNCTION("IF($D221="""","""",SPARKLINE(I221,{""charttype"",""bar"";""max"",1;""color1"",""#FFFFFF""}))"),"")</f>
        <v/>
      </c>
    </row>
    <row r="222" spans="1:10" ht="15.75" customHeight="1">
      <c r="A222" s="2" t="s">
        <v>2936</v>
      </c>
      <c r="B222" s="2" t="s">
        <v>2662</v>
      </c>
      <c r="C222" s="3">
        <v>647</v>
      </c>
      <c r="D222" s="2" t="s">
        <v>407</v>
      </c>
      <c r="E222" s="7">
        <f>IF($D222="","",COUNTIF('Импорт посещаемость'!I218:AE218,"L*"))</f>
        <v>1</v>
      </c>
      <c r="F222" s="7">
        <f>IF($D222="","",COUNTIF('Импорт посещаемость'!I218:AE218,"R*"))</f>
        <v>7</v>
      </c>
      <c r="G222" s="7">
        <f>IF($D222="","",MAX(0,COUNTA('Импорт посещаемость'!$I$1:$AE$1)-E222-F222))</f>
        <v>15</v>
      </c>
      <c r="H222" s="7">
        <f t="shared" si="3"/>
        <v>8</v>
      </c>
      <c r="I222" s="9">
        <f>IFERROR(H222/COUNTA('Импорт посещаемость'!$I$1:$AE$1),"")</f>
        <v>0.34782608695652201</v>
      </c>
      <c r="J222" s="13" t="str">
        <f>IFERROR(__xludf.DUMMYFUNCTION("IF($D222="""","""",SPARKLINE(I222,{""charttype"",""bar"";""max"",1;""color1"",""#FFFFFF""}))"),"")</f>
        <v/>
      </c>
    </row>
    <row r="223" spans="1:10" ht="15.75" customHeight="1">
      <c r="A223" s="2" t="s">
        <v>2937</v>
      </c>
      <c r="B223" s="2" t="s">
        <v>2781</v>
      </c>
      <c r="C223" s="3">
        <v>741</v>
      </c>
      <c r="D223" s="2" t="s">
        <v>409</v>
      </c>
      <c r="E223" s="7">
        <f>IF($D223="","",COUNTIF('Импорт посещаемость'!I219:AE219,"L*"))</f>
        <v>11</v>
      </c>
      <c r="F223" s="7">
        <f>IF($D223="","",COUNTIF('Импорт посещаемость'!I219:AE219,"R*"))</f>
        <v>12</v>
      </c>
      <c r="G223" s="7">
        <f>IF($D223="","",MAX(0,COUNTA('Импорт посещаемость'!$I$1:$AE$1)-E223-F223))</f>
        <v>0</v>
      </c>
      <c r="H223" s="7">
        <f t="shared" si="3"/>
        <v>23</v>
      </c>
      <c r="I223" s="9">
        <f>IFERROR(H223/COUNTA('Импорт посещаемость'!$I$1:$AE$1),"")</f>
        <v>1</v>
      </c>
      <c r="J223" s="13" t="str">
        <f>IFERROR(__xludf.DUMMYFUNCTION("IF($D223="""","""",SPARKLINE(I223,{""charttype"",""bar"";""max"",1;""color1"",""#FFFFFF""}))"),"")</f>
        <v/>
      </c>
    </row>
    <row r="224" spans="1:10" ht="15.75" customHeight="1">
      <c r="A224" s="2" t="s">
        <v>2938</v>
      </c>
      <c r="B224" s="2" t="s">
        <v>2939</v>
      </c>
      <c r="C224" s="3">
        <v>327</v>
      </c>
      <c r="D224" s="2" t="s">
        <v>30</v>
      </c>
      <c r="E224" s="7">
        <f>IF($D224="","",COUNTIF('Импорт посещаемость'!I220:AE220,"L*"))</f>
        <v>14</v>
      </c>
      <c r="F224" s="7">
        <f>IF($D224="","",COUNTIF('Импорт посещаемость'!I220:AE220,"R*"))</f>
        <v>9</v>
      </c>
      <c r="G224" s="7">
        <f>IF($D224="","",MAX(0,COUNTA('Импорт посещаемость'!$I$1:$AE$1)-E224-F224))</f>
        <v>0</v>
      </c>
      <c r="H224" s="7">
        <f t="shared" si="3"/>
        <v>23</v>
      </c>
      <c r="I224" s="9">
        <f>IFERROR(H224/COUNTA('Импорт посещаемость'!$I$1:$AE$1),"")</f>
        <v>1</v>
      </c>
      <c r="J224" s="13" t="str">
        <f>IFERROR(__xludf.DUMMYFUNCTION("IF($D224="""","""",SPARKLINE(I224,{""charttype"",""bar"";""max"",1;""color1"",""#FFFFFF""}))"),"")</f>
        <v/>
      </c>
    </row>
    <row r="225" spans="1:10" ht="15.75" customHeight="1">
      <c r="A225" s="2" t="s">
        <v>2940</v>
      </c>
      <c r="B225" s="2" t="s">
        <v>2757</v>
      </c>
      <c r="C225" s="3">
        <v>632</v>
      </c>
      <c r="D225" s="2" t="s">
        <v>275</v>
      </c>
      <c r="E225" s="7">
        <f>IF($D225="","",COUNTIF('Импорт посещаемость'!I221:AE221,"L*"))</f>
        <v>15</v>
      </c>
      <c r="F225" s="7">
        <f>IF($D225="","",COUNTIF('Импорт посещаемость'!I221:AE221,"R*"))</f>
        <v>8</v>
      </c>
      <c r="G225" s="7">
        <f>IF($D225="","",MAX(0,COUNTA('Импорт посещаемость'!$I$1:$AE$1)-E225-F225))</f>
        <v>0</v>
      </c>
      <c r="H225" s="7">
        <f t="shared" si="3"/>
        <v>23</v>
      </c>
      <c r="I225" s="9">
        <f>IFERROR(H225/COUNTA('Импорт посещаемость'!$I$1:$AE$1),"")</f>
        <v>1</v>
      </c>
      <c r="J225" s="13" t="str">
        <f>IFERROR(__xludf.DUMMYFUNCTION("IF($D225="""","""",SPARKLINE(I225,{""charttype"",""bar"";""max"",1;""color1"",""#FFFFFF""}))"),"")</f>
        <v/>
      </c>
    </row>
    <row r="226" spans="1:10" ht="15.75" customHeight="1">
      <c r="A226" s="2" t="s">
        <v>2364</v>
      </c>
      <c r="B226" s="2" t="s">
        <v>2708</v>
      </c>
      <c r="C226" s="3">
        <v>279</v>
      </c>
      <c r="D226" s="2" t="s">
        <v>85</v>
      </c>
      <c r="E226" s="7">
        <f>IF($D226="","",COUNTIF('Импорт посещаемость'!I222:AE222,"L*"))</f>
        <v>13</v>
      </c>
      <c r="F226" s="7">
        <f>IF($D226="","",COUNTIF('Импорт посещаемость'!I222:AE222,"R*"))</f>
        <v>10</v>
      </c>
      <c r="G226" s="7">
        <f>IF($D226="","",MAX(0,COUNTA('Импорт посещаемость'!$I$1:$AE$1)-E226-F226))</f>
        <v>0</v>
      </c>
      <c r="H226" s="7">
        <f t="shared" si="3"/>
        <v>23</v>
      </c>
      <c r="I226" s="9">
        <f>IFERROR(H226/COUNTA('Импорт посещаемость'!$I$1:$AE$1),"")</f>
        <v>1</v>
      </c>
      <c r="J226" s="13" t="str">
        <f>IFERROR(__xludf.DUMMYFUNCTION("IF($D226="""","""",SPARKLINE(I226,{""charttype"",""bar"";""max"",1;""color1"",""#FFFFFF""}))"),"")</f>
        <v/>
      </c>
    </row>
    <row r="227" spans="1:10" ht="15.75" customHeight="1">
      <c r="A227" s="2" t="s">
        <v>2941</v>
      </c>
      <c r="B227" s="2" t="s">
        <v>2942</v>
      </c>
      <c r="C227" s="3">
        <v>422</v>
      </c>
      <c r="D227" s="2" t="s">
        <v>32</v>
      </c>
      <c r="E227" s="7">
        <f>IF($D227="","",COUNTIF('Импорт посещаемость'!I223:AE223,"L*"))</f>
        <v>9</v>
      </c>
      <c r="F227" s="7">
        <f>IF($D227="","",COUNTIF('Импорт посещаемость'!I223:AE223,"R*"))</f>
        <v>14</v>
      </c>
      <c r="G227" s="7">
        <f>IF($D227="","",MAX(0,COUNTA('Импорт посещаемость'!$I$1:$AE$1)-E227-F227))</f>
        <v>0</v>
      </c>
      <c r="H227" s="7">
        <f t="shared" si="3"/>
        <v>23</v>
      </c>
      <c r="I227" s="9">
        <f>IFERROR(H227/COUNTA('Импорт посещаемость'!$I$1:$AE$1),"")</f>
        <v>1</v>
      </c>
      <c r="J227" s="13" t="str">
        <f>IFERROR(__xludf.DUMMYFUNCTION("IF($D227="""","""",SPARKLINE(I227,{""charttype"",""bar"";""max"",1;""color1"",""#FFFFFF""}))"),"")</f>
        <v/>
      </c>
    </row>
    <row r="228" spans="1:10" ht="15.75" customHeight="1">
      <c r="A228" s="2" t="s">
        <v>2943</v>
      </c>
      <c r="B228" s="2" t="s">
        <v>2790</v>
      </c>
      <c r="C228" s="3">
        <v>391</v>
      </c>
      <c r="D228" s="2" t="s">
        <v>88</v>
      </c>
      <c r="E228" s="7">
        <f>IF($D228="","",COUNTIF('Импорт посещаемость'!I224:AE224,"L*"))</f>
        <v>12</v>
      </c>
      <c r="F228" s="7">
        <f>IF($D228="","",COUNTIF('Импорт посещаемость'!I224:AE224,"R*"))</f>
        <v>6</v>
      </c>
      <c r="G228" s="7">
        <f>IF($D228="","",MAX(0,COUNTA('Импорт посещаемость'!$I$1:$AE$1)-E228-F228))</f>
        <v>5</v>
      </c>
      <c r="H228" s="7">
        <f t="shared" si="3"/>
        <v>18</v>
      </c>
      <c r="I228" s="9">
        <f>IFERROR(H228/COUNTA('Импорт посещаемость'!$I$1:$AE$1),"")</f>
        <v>0.78260869565217395</v>
      </c>
      <c r="J228" s="13" t="str">
        <f>IFERROR(__xludf.DUMMYFUNCTION("IF($D228="""","""",SPARKLINE(I228,{""charttype"",""bar"";""max"",1;""color1"",""#FFFFFF""}))"),"")</f>
        <v/>
      </c>
    </row>
    <row r="229" spans="1:10" ht="15.75" customHeight="1">
      <c r="A229" s="2" t="s">
        <v>2944</v>
      </c>
      <c r="B229" s="2" t="s">
        <v>2732</v>
      </c>
      <c r="C229" s="3">
        <v>384</v>
      </c>
      <c r="D229" s="2" t="s">
        <v>640</v>
      </c>
      <c r="E229" s="7">
        <f>IF($D229="","",COUNTIF('Импорт посещаемость'!I225:AE225,"L*"))</f>
        <v>13</v>
      </c>
      <c r="F229" s="7">
        <f>IF($D229="","",COUNTIF('Импорт посещаемость'!I225:AE225,"R*"))</f>
        <v>10</v>
      </c>
      <c r="G229" s="7">
        <f>IF($D229="","",MAX(0,COUNTA('Импорт посещаемость'!$I$1:$AE$1)-E229-F229))</f>
        <v>0</v>
      </c>
      <c r="H229" s="7">
        <f t="shared" si="3"/>
        <v>23</v>
      </c>
      <c r="I229" s="9">
        <f>IFERROR(H229/COUNTA('Импорт посещаемость'!$I$1:$AE$1),"")</f>
        <v>1</v>
      </c>
      <c r="J229" s="13" t="str">
        <f>IFERROR(__xludf.DUMMYFUNCTION("IF($D229="""","""",SPARKLINE(I229,{""charttype"",""bar"";""max"",1;""color1"",""#FFFFFF""}))"),"")</f>
        <v/>
      </c>
    </row>
    <row r="230" spans="1:10" ht="15.75" customHeight="1">
      <c r="A230" s="2" t="s">
        <v>2945</v>
      </c>
      <c r="B230" s="2" t="s">
        <v>2662</v>
      </c>
      <c r="C230" s="3">
        <v>696</v>
      </c>
      <c r="D230" s="2" t="s">
        <v>413</v>
      </c>
      <c r="E230" s="7">
        <f>IF($D230="","",COUNTIF('Импорт посещаемость'!I226:AE226,"L*"))</f>
        <v>17</v>
      </c>
      <c r="F230" s="7">
        <f>IF($D230="","",COUNTIF('Импорт посещаемость'!I226:AE226,"R*"))</f>
        <v>6</v>
      </c>
      <c r="G230" s="7">
        <f>IF($D230="","",MAX(0,COUNTA('Импорт посещаемость'!$I$1:$AE$1)-E230-F230))</f>
        <v>0</v>
      </c>
      <c r="H230" s="7">
        <f t="shared" si="3"/>
        <v>23</v>
      </c>
      <c r="I230" s="9">
        <f>IFERROR(H230/COUNTA('Импорт посещаемость'!$I$1:$AE$1),"")</f>
        <v>1</v>
      </c>
      <c r="J230" s="13" t="str">
        <f>IFERROR(__xludf.DUMMYFUNCTION("IF($D230="""","""",SPARKLINE(I230,{""charttype"",""bar"";""max"",1;""color1"",""#FFFFFF""}))"),"")</f>
        <v/>
      </c>
    </row>
    <row r="231" spans="1:10" ht="15.75" customHeight="1">
      <c r="A231" s="2" t="s">
        <v>2946</v>
      </c>
      <c r="B231" s="2" t="s">
        <v>2659</v>
      </c>
      <c r="C231" s="3">
        <v>354</v>
      </c>
      <c r="D231" s="2" t="s">
        <v>804</v>
      </c>
      <c r="E231" s="7">
        <f>IF($D231="","",COUNTIF('Импорт посещаемость'!I227:AE227,"L*"))</f>
        <v>13</v>
      </c>
      <c r="F231" s="7">
        <f>IF($D231="","",COUNTIF('Импорт посещаемость'!I227:AE227,"R*"))</f>
        <v>10</v>
      </c>
      <c r="G231" s="7">
        <f>IF($D231="","",MAX(0,COUNTA('Импорт посещаемость'!$I$1:$AE$1)-E231-F231))</f>
        <v>0</v>
      </c>
      <c r="H231" s="7">
        <f t="shared" si="3"/>
        <v>23</v>
      </c>
      <c r="I231" s="9">
        <f>IFERROR(H231/COUNTA('Импорт посещаемость'!$I$1:$AE$1),"")</f>
        <v>1</v>
      </c>
      <c r="J231" s="13" t="str">
        <f>IFERROR(__xludf.DUMMYFUNCTION("IF($D231="""","""",SPARKLINE(I231,{""charttype"",""bar"";""max"",1;""color1"",""#FFFFFF""}))"),"")</f>
        <v/>
      </c>
    </row>
    <row r="232" spans="1:10" ht="15.75" customHeight="1">
      <c r="A232" s="2" t="s">
        <v>2947</v>
      </c>
      <c r="B232" s="2" t="s">
        <v>2948</v>
      </c>
      <c r="C232" s="3">
        <v>619</v>
      </c>
      <c r="D232" s="2" t="s">
        <v>91</v>
      </c>
      <c r="E232" s="7">
        <f>IF($D232="","",COUNTIF('Импорт посещаемость'!I228:AE228,"L*"))</f>
        <v>14</v>
      </c>
      <c r="F232" s="7">
        <f>IF($D232="","",COUNTIF('Импорт посещаемость'!I228:AE228,"R*"))</f>
        <v>9</v>
      </c>
      <c r="G232" s="7">
        <f>IF($D232="","",MAX(0,COUNTA('Импорт посещаемость'!$I$1:$AE$1)-E232-F232))</f>
        <v>0</v>
      </c>
      <c r="H232" s="7">
        <f t="shared" si="3"/>
        <v>23</v>
      </c>
      <c r="I232" s="9">
        <f>IFERROR(H232/COUNTA('Импорт посещаемость'!$I$1:$AE$1),"")</f>
        <v>1</v>
      </c>
      <c r="J232" s="13" t="str">
        <f>IFERROR(__xludf.DUMMYFUNCTION("IF($D232="""","""",SPARKLINE(I232,{""charttype"",""bar"";""max"",1;""color1"",""#FFFFFF""}))"),"")</f>
        <v/>
      </c>
    </row>
    <row r="233" spans="1:10" ht="15.75" customHeight="1">
      <c r="A233" s="2" t="s">
        <v>2949</v>
      </c>
      <c r="B233" s="2" t="s">
        <v>2929</v>
      </c>
      <c r="C233" s="3">
        <v>688</v>
      </c>
      <c r="D233" s="2" t="s">
        <v>317</v>
      </c>
      <c r="E233" s="7">
        <f>IF($D233="","",COUNTIF('Импорт посещаемость'!I229:AE229,"L*"))</f>
        <v>13</v>
      </c>
      <c r="F233" s="7">
        <f>IF($D233="","",COUNTIF('Импорт посещаемость'!I229:AE229,"R*"))</f>
        <v>10</v>
      </c>
      <c r="G233" s="7">
        <f>IF($D233="","",MAX(0,COUNTA('Импорт посещаемость'!$I$1:$AE$1)-E233-F233))</f>
        <v>0</v>
      </c>
      <c r="H233" s="7">
        <f t="shared" si="3"/>
        <v>23</v>
      </c>
      <c r="I233" s="9">
        <f>IFERROR(H233/COUNTA('Импорт посещаемость'!$I$1:$AE$1),"")</f>
        <v>1</v>
      </c>
      <c r="J233" s="13" t="str">
        <f>IFERROR(__xludf.DUMMYFUNCTION("IF($D233="""","""",SPARKLINE(I233,{""charttype"",""bar"";""max"",1;""color1"",""#FFFFFF""}))"),"")</f>
        <v/>
      </c>
    </row>
    <row r="234" spans="1:10" ht="15.75" customHeight="1">
      <c r="A234" s="2" t="s">
        <v>2950</v>
      </c>
      <c r="B234" s="2" t="s">
        <v>2951</v>
      </c>
      <c r="C234" s="3">
        <v>667</v>
      </c>
      <c r="D234" s="2" t="s">
        <v>484</v>
      </c>
      <c r="E234" s="7">
        <f>IF($D234="","",COUNTIF('Импорт посещаемость'!I230:AE230,"L*"))</f>
        <v>15</v>
      </c>
      <c r="F234" s="7">
        <f>IF($D234="","",COUNTIF('Импорт посещаемость'!I230:AE230,"R*"))</f>
        <v>8</v>
      </c>
      <c r="G234" s="7">
        <f>IF($D234="","",MAX(0,COUNTA('Импорт посещаемость'!$I$1:$AE$1)-E234-F234))</f>
        <v>0</v>
      </c>
      <c r="H234" s="7">
        <f t="shared" si="3"/>
        <v>23</v>
      </c>
      <c r="I234" s="9">
        <f>IFERROR(H234/COUNTA('Импорт посещаемость'!$I$1:$AE$1),"")</f>
        <v>1</v>
      </c>
      <c r="J234" s="13" t="str">
        <f>IFERROR(__xludf.DUMMYFUNCTION("IF($D234="""","""",SPARKLINE(I234,{""charttype"",""bar"";""max"",1;""color1"",""#FFFFFF""}))"),"")</f>
        <v/>
      </c>
    </row>
    <row r="235" spans="1:10" ht="15.75" customHeight="1">
      <c r="A235" s="2" t="s">
        <v>2952</v>
      </c>
      <c r="B235" s="2" t="s">
        <v>2953</v>
      </c>
      <c r="C235" s="3">
        <v>591</v>
      </c>
      <c r="D235" s="2" t="s">
        <v>767</v>
      </c>
      <c r="E235" s="7">
        <f>IF($D235="","",COUNTIF('Импорт посещаемость'!I231:AE231,"L*"))</f>
        <v>7</v>
      </c>
      <c r="F235" s="7">
        <f>IF($D235="","",COUNTIF('Импорт посещаемость'!I231:AE231,"R*"))</f>
        <v>15</v>
      </c>
      <c r="G235" s="7">
        <f>IF($D235="","",MAX(0,COUNTA('Импорт посещаемость'!$I$1:$AE$1)-E235-F235))</f>
        <v>1</v>
      </c>
      <c r="H235" s="7">
        <f t="shared" si="3"/>
        <v>22</v>
      </c>
      <c r="I235" s="9">
        <f>IFERROR(H235/COUNTA('Импорт посещаемость'!$I$1:$AE$1),"")</f>
        <v>0.95652173913043503</v>
      </c>
      <c r="J235" s="13" t="str">
        <f>IFERROR(__xludf.DUMMYFUNCTION("IF($D235="""","""",SPARKLINE(I235,{""charttype"",""bar"";""max"",1;""color1"",""#FFFFFF""}))"),"")</f>
        <v/>
      </c>
    </row>
    <row r="236" spans="1:10" ht="15.75" customHeight="1">
      <c r="A236" s="2" t="s">
        <v>2954</v>
      </c>
      <c r="B236" s="2" t="s">
        <v>2781</v>
      </c>
      <c r="C236" s="3">
        <v>234</v>
      </c>
      <c r="D236" s="2" t="s">
        <v>642</v>
      </c>
      <c r="E236" s="7">
        <f>IF($D236="","",COUNTIF('Импорт посещаемость'!I232:AE232,"L*"))</f>
        <v>10</v>
      </c>
      <c r="F236" s="7">
        <f>IF($D236="","",COUNTIF('Импорт посещаемость'!I232:AE232,"R*"))</f>
        <v>6</v>
      </c>
      <c r="G236" s="7">
        <f>IF($D236="","",MAX(0,COUNTA('Импорт посещаемость'!$I$1:$AE$1)-E236-F236))</f>
        <v>7</v>
      </c>
      <c r="H236" s="7">
        <f t="shared" si="3"/>
        <v>16</v>
      </c>
      <c r="I236" s="9">
        <f>IFERROR(H236/COUNTA('Импорт посещаемость'!$I$1:$AE$1),"")</f>
        <v>0.69565217391304301</v>
      </c>
      <c r="J236" s="13" t="str">
        <f>IFERROR(__xludf.DUMMYFUNCTION("IF($D236="""","""",SPARKLINE(I236,{""charttype"",""bar"";""max"",1;""color1"",""#FFFFFF""}))"),"")</f>
        <v/>
      </c>
    </row>
    <row r="237" spans="1:10" ht="15.75" customHeight="1">
      <c r="A237" s="2" t="s">
        <v>2955</v>
      </c>
      <c r="B237" s="2" t="s">
        <v>2813</v>
      </c>
      <c r="C237" s="3">
        <v>318</v>
      </c>
      <c r="D237" s="2" t="s">
        <v>694</v>
      </c>
      <c r="E237" s="7">
        <f>IF($D237="","",COUNTIF('Импорт посещаемость'!I233:AE233,"L*"))</f>
        <v>16</v>
      </c>
      <c r="F237" s="7">
        <f>IF($D237="","",COUNTIF('Импорт посещаемость'!I233:AE233,"R*"))</f>
        <v>7</v>
      </c>
      <c r="G237" s="7">
        <f>IF($D237="","",MAX(0,COUNTA('Импорт посещаемость'!$I$1:$AE$1)-E237-F237))</f>
        <v>0</v>
      </c>
      <c r="H237" s="7">
        <f t="shared" si="3"/>
        <v>23</v>
      </c>
      <c r="I237" s="9">
        <f>IFERROR(H237/COUNTA('Импорт посещаемость'!$I$1:$AE$1),"")</f>
        <v>1</v>
      </c>
      <c r="J237" s="13" t="str">
        <f>IFERROR(__xludf.DUMMYFUNCTION("IF($D237="""","""",SPARKLINE(I237,{""charttype"",""bar"";""max"",1;""color1"",""#FFFFFF""}))"),"")</f>
        <v/>
      </c>
    </row>
    <row r="238" spans="1:10" ht="15.75" customHeight="1">
      <c r="A238" s="2" t="s">
        <v>2956</v>
      </c>
      <c r="B238" s="2" t="s">
        <v>2746</v>
      </c>
      <c r="C238" s="3">
        <v>482</v>
      </c>
      <c r="D238" s="2" t="s">
        <v>320</v>
      </c>
      <c r="E238" s="7">
        <f>IF($D238="","",COUNTIF('Импорт посещаемость'!I234:AE234,"L*"))</f>
        <v>16</v>
      </c>
      <c r="F238" s="7">
        <f>IF($D238="","",COUNTIF('Импорт посещаемость'!I234:AE234,"R*"))</f>
        <v>7</v>
      </c>
      <c r="G238" s="7">
        <f>IF($D238="","",MAX(0,COUNTA('Импорт посещаемость'!$I$1:$AE$1)-E238-F238))</f>
        <v>0</v>
      </c>
      <c r="H238" s="7">
        <f t="shared" si="3"/>
        <v>23</v>
      </c>
      <c r="I238" s="9">
        <f>IFERROR(H238/COUNTA('Импорт посещаемость'!$I$1:$AE$1),"")</f>
        <v>1</v>
      </c>
      <c r="J238" s="13" t="str">
        <f>IFERROR(__xludf.DUMMYFUNCTION("IF($D238="""","""",SPARKLINE(I238,{""charttype"",""bar"";""max"",1;""color1"",""#FFFFFF""}))"),"")</f>
        <v/>
      </c>
    </row>
    <row r="239" spans="1:10" ht="15.75" customHeight="1">
      <c r="A239" s="2" t="s">
        <v>2957</v>
      </c>
      <c r="B239" s="2" t="s">
        <v>2693</v>
      </c>
      <c r="C239" s="3">
        <v>722</v>
      </c>
      <c r="D239" s="2" t="s">
        <v>130</v>
      </c>
      <c r="E239" s="7" t="e">
        <f>IF($D239="","",COUNTIF(#REF!,"L*"))</f>
        <v>#REF!</v>
      </c>
      <c r="F239" s="7" t="e">
        <f>IF($D239="","",COUNTIF(#REF!,"R*"))</f>
        <v>#REF!</v>
      </c>
      <c r="G239" s="7" t="e">
        <f>IF($D239="","",MAX(0,COUNTA('Импорт посещаемость'!$I$1:$AE$1)-E239-F239))</f>
        <v>#REF!</v>
      </c>
      <c r="H239" s="7" t="e">
        <f t="shared" si="3"/>
        <v>#REF!</v>
      </c>
      <c r="I239" s="9" t="str">
        <f>IFERROR(H239/COUNTA('Импорт посещаемость'!$I$1:$AE$1),"")</f>
        <v/>
      </c>
      <c r="J239" s="13" t="str">
        <f>IFERROR(__xludf.DUMMYFUNCTION("IF($D239="""","""",SPARKLINE(I239,{""charttype"",""bar"";""max"",1;""color1"",""#FFFFFF""}))"),"")</f>
        <v/>
      </c>
    </row>
    <row r="240" spans="1:10" ht="15.75" customHeight="1">
      <c r="A240" s="2" t="s">
        <v>2958</v>
      </c>
      <c r="B240" s="2" t="s">
        <v>2732</v>
      </c>
      <c r="C240" s="3">
        <v>672</v>
      </c>
      <c r="D240" s="2" t="s">
        <v>696</v>
      </c>
      <c r="E240" s="7">
        <f>IF($D240="","",COUNTIF('Импорт посещаемость'!I235:AE235,"L*"))</f>
        <v>15</v>
      </c>
      <c r="F240" s="7">
        <f>IF($D240="","",COUNTIF('Импорт посещаемость'!I235:AE235,"R*"))</f>
        <v>8</v>
      </c>
      <c r="G240" s="7">
        <f>IF($D240="","",MAX(0,COUNTA('Импорт посещаемость'!$I$1:$AE$1)-E240-F240))</f>
        <v>0</v>
      </c>
      <c r="H240" s="7">
        <f t="shared" si="3"/>
        <v>23</v>
      </c>
      <c r="I240" s="9">
        <f>IFERROR(H240/COUNTA('Импорт посещаемость'!$I$1:$AE$1),"")</f>
        <v>1</v>
      </c>
      <c r="J240" s="13" t="str">
        <f>IFERROR(__xludf.DUMMYFUNCTION("IF($D240="""","""",SPARKLINE(I240,{""charttype"",""bar"";""max"",1;""color1"",""#FFFFFF""}))"),"")</f>
        <v/>
      </c>
    </row>
    <row r="241" spans="1:10" ht="15.75" customHeight="1">
      <c r="A241" s="2" t="s">
        <v>2959</v>
      </c>
      <c r="B241" s="2" t="s">
        <v>2960</v>
      </c>
      <c r="C241" s="3">
        <v>651</v>
      </c>
      <c r="D241" s="2" t="s">
        <v>323</v>
      </c>
      <c r="E241" s="7">
        <f>IF($D241="","",COUNTIF('Импорт посещаемость'!I236:AE236,"L*"))</f>
        <v>1</v>
      </c>
      <c r="F241" s="7">
        <f>IF($D241="","",COUNTIF('Импорт посещаемость'!I236:AE236,"R*"))</f>
        <v>22</v>
      </c>
      <c r="G241" s="7">
        <f>IF($D241="","",MAX(0,COUNTA('Импорт посещаемость'!$I$1:$AE$1)-E241-F241))</f>
        <v>0</v>
      </c>
      <c r="H241" s="7">
        <f t="shared" si="3"/>
        <v>23</v>
      </c>
      <c r="I241" s="9">
        <f>IFERROR(H241/COUNTA('Импорт посещаемость'!$I$1:$AE$1),"")</f>
        <v>1</v>
      </c>
      <c r="J241" s="13" t="str">
        <f>IFERROR(__xludf.DUMMYFUNCTION("IF($D241="""","""",SPARKLINE(I241,{""charttype"",""bar"";""max"",1;""color1"",""#FFFFFF""}))"),"")</f>
        <v/>
      </c>
    </row>
    <row r="242" spans="1:10" ht="15.75" customHeight="1">
      <c r="A242" s="2" t="s">
        <v>2961</v>
      </c>
      <c r="B242" s="2" t="s">
        <v>2846</v>
      </c>
      <c r="C242" s="3">
        <v>610</v>
      </c>
      <c r="D242" s="2" t="s">
        <v>698</v>
      </c>
      <c r="E242" s="7" t="e">
        <f>IF($D242="","",COUNTIF(#REF!,"L*"))</f>
        <v>#REF!</v>
      </c>
      <c r="F242" s="7" t="e">
        <f>IF($D242="","",COUNTIF(#REF!,"R*"))</f>
        <v>#REF!</v>
      </c>
      <c r="G242" s="7" t="e">
        <f>IF($D242="","",MAX(0,COUNTA('Импорт посещаемость'!$I$1:$AE$1)-E242-F242))</f>
        <v>#REF!</v>
      </c>
      <c r="H242" s="7" t="e">
        <f t="shared" si="3"/>
        <v>#REF!</v>
      </c>
      <c r="I242" s="9" t="str">
        <f>IFERROR(H242/COUNTA('Импорт посещаемость'!$I$1:$AE$1),"")</f>
        <v/>
      </c>
      <c r="J242" s="13" t="str">
        <f>IFERROR(__xludf.DUMMYFUNCTION("IF($D242="""","""",SPARKLINE(I242,{""charttype"",""bar"";""max"",1;""color1"",""#FFFFFF""}))"),"")</f>
        <v/>
      </c>
    </row>
    <row r="243" spans="1:10" ht="15.75" customHeight="1">
      <c r="A243" s="2" t="s">
        <v>2962</v>
      </c>
      <c r="B243" s="2" t="s">
        <v>2682</v>
      </c>
      <c r="C243" s="3">
        <v>674</v>
      </c>
      <c r="D243" s="2" t="s">
        <v>222</v>
      </c>
      <c r="E243" s="7" t="e">
        <f>IF($D243="","",COUNTIF(#REF!,"L*"))</f>
        <v>#REF!</v>
      </c>
      <c r="F243" s="7" t="e">
        <f>IF($D243="","",COUNTIF(#REF!,"R*"))</f>
        <v>#REF!</v>
      </c>
      <c r="G243" s="7" t="e">
        <f>IF($D243="","",MAX(0,COUNTA('Импорт посещаемость'!$I$1:$AE$1)-E243-F243))</f>
        <v>#REF!</v>
      </c>
      <c r="H243" s="7" t="e">
        <f t="shared" si="3"/>
        <v>#REF!</v>
      </c>
      <c r="I243" s="9" t="str">
        <f>IFERROR(H243/COUNTA('Импорт посещаемость'!$I$1:$AE$1),"")</f>
        <v/>
      </c>
      <c r="J243" s="13" t="str">
        <f>IFERROR(__xludf.DUMMYFUNCTION("IF($D243="""","""",SPARKLINE(I243,{""charttype"",""bar"";""max"",1;""color1"",""#FFFFFF""}))"),"")</f>
        <v/>
      </c>
    </row>
    <row r="244" spans="1:10" ht="15.75" customHeight="1">
      <c r="A244" s="2" t="s">
        <v>2963</v>
      </c>
      <c r="B244" s="2" t="s">
        <v>2781</v>
      </c>
      <c r="C244" s="3">
        <v>755</v>
      </c>
      <c r="D244" s="2" t="s">
        <v>486</v>
      </c>
      <c r="E244" s="7">
        <f>IF($D244="","",COUNTIF('Импорт посещаемость'!I237:AE237,"L*"))</f>
        <v>1</v>
      </c>
      <c r="F244" s="7">
        <f>IF($D244="","",COUNTIF('Импорт посещаемость'!I237:AE237,"R*"))</f>
        <v>2</v>
      </c>
      <c r="G244" s="7">
        <f>IF($D244="","",MAX(0,COUNTA('Импорт посещаемость'!$I$1:$AE$1)-E244-F244))</f>
        <v>20</v>
      </c>
      <c r="H244" s="7">
        <f t="shared" si="3"/>
        <v>3</v>
      </c>
      <c r="I244" s="9">
        <f>IFERROR(H244/COUNTA('Импорт посещаемость'!$I$1:$AE$1),"")</f>
        <v>0.13043478260869601</v>
      </c>
      <c r="J244" s="13" t="str">
        <f>IFERROR(__xludf.DUMMYFUNCTION("IF($D244="""","""",SPARKLINE(I244,{""charttype"",""bar"";""max"",1;""color1"",""#FFFFFF""}))"),"")</f>
        <v/>
      </c>
    </row>
    <row r="245" spans="1:10" ht="15.75" customHeight="1">
      <c r="A245" s="2" t="s">
        <v>2964</v>
      </c>
      <c r="B245" s="2" t="s">
        <v>2761</v>
      </c>
      <c r="C245" s="3">
        <v>644</v>
      </c>
      <c r="D245" s="2" t="s">
        <v>807</v>
      </c>
      <c r="E245" s="7">
        <f>IF($D245="","",COUNTIF('Импорт посещаемость'!I238:AE238,"L*"))</f>
        <v>12</v>
      </c>
      <c r="F245" s="7">
        <f>IF($D245="","",COUNTIF('Импорт посещаемость'!I238:AE238,"R*"))</f>
        <v>3</v>
      </c>
      <c r="G245" s="7">
        <f>IF($D245="","",MAX(0,COUNTA('Импорт посещаемость'!$I$1:$AE$1)-E245-F245))</f>
        <v>8</v>
      </c>
      <c r="H245" s="7">
        <f t="shared" si="3"/>
        <v>15</v>
      </c>
      <c r="I245" s="9">
        <f>IFERROR(H245/COUNTA('Импорт посещаемость'!$I$1:$AE$1),"")</f>
        <v>0.65217391304347805</v>
      </c>
      <c r="J245" s="13" t="str">
        <f>IFERROR(__xludf.DUMMYFUNCTION("IF($D245="""","""",SPARKLINE(I245,{""charttype"",""bar"";""max"",1;""color1"",""#FFFFFF""}))"),"")</f>
        <v/>
      </c>
    </row>
    <row r="246" spans="1:10" ht="15.75" customHeight="1">
      <c r="A246" s="2" t="s">
        <v>2965</v>
      </c>
      <c r="B246" s="2" t="s">
        <v>2662</v>
      </c>
      <c r="C246" s="3">
        <v>600</v>
      </c>
      <c r="D246" s="2" t="s">
        <v>224</v>
      </c>
      <c r="E246" s="7">
        <f>IF($D246="","",COUNTIF('Импорт посещаемость'!I239:AE239,"L*"))</f>
        <v>9</v>
      </c>
      <c r="F246" s="7">
        <f>IF($D246="","",COUNTIF('Импорт посещаемость'!I239:AE239,"R*"))</f>
        <v>4</v>
      </c>
      <c r="G246" s="7">
        <f>IF($D246="","",MAX(0,COUNTA('Импорт посещаемость'!$I$1:$AE$1)-E246-F246))</f>
        <v>10</v>
      </c>
      <c r="H246" s="7">
        <f t="shared" si="3"/>
        <v>13</v>
      </c>
      <c r="I246" s="9">
        <f>IFERROR(H246/COUNTA('Импорт посещаемость'!$I$1:$AE$1),"")</f>
        <v>0.565217391304348</v>
      </c>
      <c r="J246" s="13" t="str">
        <f>IFERROR(__xludf.DUMMYFUNCTION("IF($D246="""","""",SPARKLINE(I246,{""charttype"",""bar"";""max"",1;""color1"",""#FFFFFF""}))"),"")</f>
        <v/>
      </c>
    </row>
    <row r="247" spans="1:10" ht="15.75" customHeight="1">
      <c r="A247" s="2" t="s">
        <v>2966</v>
      </c>
      <c r="B247" s="2" t="s">
        <v>2746</v>
      </c>
      <c r="C247" s="3">
        <v>749</v>
      </c>
      <c r="D247" s="2" t="s">
        <v>94</v>
      </c>
      <c r="E247" s="7">
        <f>IF($D247="","",COUNTIF('Импорт посещаемость'!I240:AE240,"L*"))</f>
        <v>4</v>
      </c>
      <c r="F247" s="7">
        <f>IF($D247="","",COUNTIF('Импорт посещаемость'!I240:AE240,"R*"))</f>
        <v>19</v>
      </c>
      <c r="G247" s="7">
        <f>IF($D247="","",MAX(0,COUNTA('Импорт посещаемость'!$I$1:$AE$1)-E247-F247))</f>
        <v>0</v>
      </c>
      <c r="H247" s="7">
        <f t="shared" si="3"/>
        <v>23</v>
      </c>
      <c r="I247" s="9">
        <f>IFERROR(H247/COUNTA('Импорт посещаемость'!$I$1:$AE$1),"")</f>
        <v>1</v>
      </c>
      <c r="J247" s="13" t="str">
        <f>IFERROR(__xludf.DUMMYFUNCTION("IF($D247="""","""",SPARKLINE(I247,{""charttype"",""bar"";""max"",1;""color1"",""#FFFFFF""}))"),"")</f>
        <v/>
      </c>
    </row>
    <row r="248" spans="1:10" ht="15.75" customHeight="1">
      <c r="A248" s="2" t="s">
        <v>2967</v>
      </c>
      <c r="B248" s="2" t="s">
        <v>2682</v>
      </c>
      <c r="C248" s="3">
        <v>404</v>
      </c>
      <c r="D248" s="2" t="s">
        <v>809</v>
      </c>
      <c r="E248" s="7">
        <f>IF($D248="","",COUNTIF('Импорт посещаемость'!I241:AE241,"L*"))</f>
        <v>16</v>
      </c>
      <c r="F248" s="7">
        <f>IF($D248="","",COUNTIF('Импорт посещаемость'!I241:AE241,"R*"))</f>
        <v>7</v>
      </c>
      <c r="G248" s="7">
        <f>IF($D248="","",MAX(0,COUNTA('Импорт посещаемость'!$I$1:$AE$1)-E248-F248))</f>
        <v>0</v>
      </c>
      <c r="H248" s="7">
        <f t="shared" si="3"/>
        <v>23</v>
      </c>
      <c r="I248" s="9">
        <f>IFERROR(H248/COUNTA('Импорт посещаемость'!$I$1:$AE$1),"")</f>
        <v>1</v>
      </c>
      <c r="J248" s="13" t="str">
        <f>IFERROR(__xludf.DUMMYFUNCTION("IF($D248="""","""",SPARKLINE(I248,{""charttype"",""bar"";""max"",1;""color1"",""#FFFFFF""}))"),"")</f>
        <v/>
      </c>
    </row>
    <row r="249" spans="1:10" ht="15.75" customHeight="1">
      <c r="A249" s="2" t="s">
        <v>2968</v>
      </c>
      <c r="B249" s="2" t="s">
        <v>2969</v>
      </c>
      <c r="C249" s="3">
        <v>706</v>
      </c>
      <c r="D249" s="2" t="s">
        <v>568</v>
      </c>
      <c r="E249" s="7">
        <f>IF($D249="","",COUNTIF('Импорт посещаемость'!I242:AE242,"L*"))</f>
        <v>16</v>
      </c>
      <c r="F249" s="7">
        <f>IF($D249="","",COUNTIF('Импорт посещаемость'!I242:AE242,"R*"))</f>
        <v>7</v>
      </c>
      <c r="G249" s="7">
        <f>IF($D249="","",MAX(0,COUNTA('Импорт посещаемость'!$I$1:$AE$1)-E249-F249))</f>
        <v>0</v>
      </c>
      <c r="H249" s="7">
        <f t="shared" si="3"/>
        <v>23</v>
      </c>
      <c r="I249" s="9">
        <f>IFERROR(H249/COUNTA('Импорт посещаемость'!$I$1:$AE$1),"")</f>
        <v>1</v>
      </c>
      <c r="J249" s="13" t="str">
        <f>IFERROR(__xludf.DUMMYFUNCTION("IF($D249="""","""",SPARKLINE(I249,{""charttype"",""bar"";""max"",1;""color1"",""#FFFFFF""}))"),"")</f>
        <v/>
      </c>
    </row>
    <row r="250" spans="1:10" ht="15.75" customHeight="1">
      <c r="A250" s="2" t="s">
        <v>2970</v>
      </c>
      <c r="B250" s="2" t="s">
        <v>2671</v>
      </c>
      <c r="C250" s="3">
        <v>813</v>
      </c>
      <c r="D250" s="2" t="s">
        <v>38</v>
      </c>
      <c r="E250" s="7">
        <f>IF($D250="","",COUNTIF('Импорт посещаемость'!I243:AE243,"L*"))</f>
        <v>10</v>
      </c>
      <c r="F250" s="7">
        <f>IF($D250="","",COUNTIF('Импорт посещаемость'!I243:AE243,"R*"))</f>
        <v>13</v>
      </c>
      <c r="G250" s="7">
        <f>IF($D250="","",MAX(0,COUNTA('Импорт посещаемость'!$I$1:$AE$1)-E250-F250))</f>
        <v>0</v>
      </c>
      <c r="H250" s="7">
        <f t="shared" si="3"/>
        <v>23</v>
      </c>
      <c r="I250" s="9">
        <f>IFERROR(H250/COUNTA('Импорт посещаемость'!$I$1:$AE$1),"")</f>
        <v>1</v>
      </c>
      <c r="J250" s="13" t="str">
        <f>IFERROR(__xludf.DUMMYFUNCTION("IF($D250="""","""",SPARKLINE(I250,{""charttype"",""bar"";""max"",1;""color1"",""#FFFFFF""}))"),"")</f>
        <v/>
      </c>
    </row>
    <row r="251" spans="1:10" ht="15.75" customHeight="1">
      <c r="A251" s="2" t="s">
        <v>2971</v>
      </c>
      <c r="B251" s="2" t="s">
        <v>2828</v>
      </c>
      <c r="C251" s="3">
        <v>716</v>
      </c>
      <c r="D251" s="2" t="s">
        <v>644</v>
      </c>
      <c r="E251" s="7">
        <f>IF($D251="","",COUNTIF('Импорт посещаемость'!I244:AE244,"L*"))</f>
        <v>17</v>
      </c>
      <c r="F251" s="7">
        <f>IF($D251="","",COUNTIF('Импорт посещаемость'!I244:AE244,"R*"))</f>
        <v>6</v>
      </c>
      <c r="G251" s="7">
        <f>IF($D251="","",MAX(0,COUNTA('Импорт посещаемость'!$I$1:$AE$1)-E251-F251))</f>
        <v>0</v>
      </c>
      <c r="H251" s="7">
        <f t="shared" si="3"/>
        <v>23</v>
      </c>
      <c r="I251" s="9">
        <f>IFERROR(H251/COUNTA('Импорт посещаемость'!$I$1:$AE$1),"")</f>
        <v>1</v>
      </c>
      <c r="J251" s="13" t="str">
        <f>IFERROR(__xludf.DUMMYFUNCTION("IF($D251="""","""",SPARKLINE(I251,{""charttype"",""bar"";""max"",1;""color1"",""#FFFFFF""}))"),"")</f>
        <v/>
      </c>
    </row>
    <row r="252" spans="1:10" ht="15.75" customHeight="1">
      <c r="A252" s="2" t="s">
        <v>2701</v>
      </c>
      <c r="B252" s="2" t="s">
        <v>2972</v>
      </c>
      <c r="C252" s="3">
        <v>676</v>
      </c>
      <c r="D252" s="2" t="s">
        <v>308</v>
      </c>
      <c r="E252" s="7">
        <f>IF($D252="","",COUNTIF('Импорт посещаемость'!I245:AE245,"L*"))</f>
        <v>16</v>
      </c>
      <c r="F252" s="7">
        <f>IF($D252="","",COUNTIF('Импорт посещаемость'!I245:AE245,"R*"))</f>
        <v>6</v>
      </c>
      <c r="G252" s="7">
        <f>IF($D252="","",MAX(0,COUNTA('Импорт посещаемость'!$I$1:$AE$1)-E252-F252))</f>
        <v>1</v>
      </c>
      <c r="H252" s="7">
        <f t="shared" si="3"/>
        <v>22</v>
      </c>
      <c r="I252" s="9">
        <f>IFERROR(H252/COUNTA('Импорт посещаемость'!$I$1:$AE$1),"")</f>
        <v>0.95652173913043503</v>
      </c>
      <c r="J252" s="13" t="str">
        <f>IFERROR(__xludf.DUMMYFUNCTION("IF($D252="""","""",SPARKLINE(I252,{""charttype"",""bar"";""max"",1;""color1"",""#FFFFFF""}))"),"")</f>
        <v/>
      </c>
    </row>
    <row r="253" spans="1:10" ht="15.75" customHeight="1">
      <c r="A253" s="2" t="s">
        <v>2973</v>
      </c>
      <c r="B253" s="2" t="s">
        <v>2974</v>
      </c>
      <c r="C253" s="3">
        <v>744</v>
      </c>
      <c r="D253" s="2" t="s">
        <v>226</v>
      </c>
      <c r="E253" s="7">
        <f>IF($D253="","",COUNTIF('Импорт посещаемость'!I246:AE246,"L*"))</f>
        <v>15</v>
      </c>
      <c r="F253" s="7">
        <f>IF($D253="","",COUNTIF('Импорт посещаемость'!I246:AE246,"R*"))</f>
        <v>0</v>
      </c>
      <c r="G253" s="7">
        <f>IF($D253="","",MAX(0,COUNTA('Импорт посещаемость'!$I$1:$AE$1)-E253-F253))</f>
        <v>8</v>
      </c>
      <c r="H253" s="7">
        <f t="shared" si="3"/>
        <v>15</v>
      </c>
      <c r="I253" s="9">
        <f>IFERROR(H253/COUNTA('Импорт посещаемость'!$I$1:$AE$1),"")</f>
        <v>0.65217391304347805</v>
      </c>
      <c r="J253" s="13" t="str">
        <f>IFERROR(__xludf.DUMMYFUNCTION("IF($D253="""","""",SPARKLINE(I253,{""charttype"",""bar"";""max"",1;""color1"",""#FFFFFF""}))"),"")</f>
        <v/>
      </c>
    </row>
    <row r="254" spans="1:10" ht="15.75" customHeight="1">
      <c r="A254" s="2" t="s">
        <v>2975</v>
      </c>
      <c r="B254" s="2" t="s">
        <v>2668</v>
      </c>
      <c r="C254" s="3">
        <v>592</v>
      </c>
      <c r="D254" s="2" t="s">
        <v>415</v>
      </c>
      <c r="E254" s="7">
        <f>IF($D254="","",COUNTIF('Импорт посещаемость'!I247:AE247,"L*"))</f>
        <v>7</v>
      </c>
      <c r="F254" s="7">
        <f>IF($D254="","",COUNTIF('Импорт посещаемость'!I247:AE247,"R*"))</f>
        <v>16</v>
      </c>
      <c r="G254" s="7">
        <f>IF($D254="","",MAX(0,COUNTA('Импорт посещаемость'!$I$1:$AE$1)-E254-F254))</f>
        <v>0</v>
      </c>
      <c r="H254" s="7">
        <f t="shared" si="3"/>
        <v>23</v>
      </c>
      <c r="I254" s="9">
        <f>IFERROR(H254/COUNTA('Импорт посещаемость'!$I$1:$AE$1),"")</f>
        <v>1</v>
      </c>
      <c r="J254" s="13" t="str">
        <f>IFERROR(__xludf.DUMMYFUNCTION("IF($D254="""","""",SPARKLINE(I254,{""charttype"",""bar"";""max"",1;""color1"",""#FFFFFF""}))"),"")</f>
        <v/>
      </c>
    </row>
    <row r="255" spans="1:10" ht="15.75" customHeight="1">
      <c r="A255" s="2" t="s">
        <v>2976</v>
      </c>
      <c r="B255" s="2" t="s">
        <v>2701</v>
      </c>
      <c r="C255" s="3">
        <v>283</v>
      </c>
      <c r="D255" s="2" t="s">
        <v>40</v>
      </c>
      <c r="E255" s="7">
        <f>IF($D255="","",COUNTIF('Импорт посещаемость'!I248:AE248,"L*"))</f>
        <v>1</v>
      </c>
      <c r="F255" s="7">
        <f>IF($D255="","",COUNTIF('Импорт посещаемость'!I248:AE248,"R*"))</f>
        <v>22</v>
      </c>
      <c r="G255" s="7">
        <f>IF($D255="","",MAX(0,COUNTA('Импорт посещаемость'!$I$1:$AE$1)-E255-F255))</f>
        <v>0</v>
      </c>
      <c r="H255" s="7">
        <f t="shared" si="3"/>
        <v>23</v>
      </c>
      <c r="I255" s="9">
        <f>IFERROR(H255/COUNTA('Импорт посещаемость'!$I$1:$AE$1),"")</f>
        <v>1</v>
      </c>
      <c r="J255" s="13" t="str">
        <f>IFERROR(__xludf.DUMMYFUNCTION("IF($D255="""","""",SPARKLINE(I255,{""charttype"",""bar"";""max"",1;""color1"",""#FFFFFF""}))"),"")</f>
        <v/>
      </c>
    </row>
    <row r="256" spans="1:10" ht="15.75" customHeight="1">
      <c r="A256" s="2" t="s">
        <v>2977</v>
      </c>
      <c r="B256" s="2" t="s">
        <v>2811</v>
      </c>
      <c r="C256" s="3">
        <v>677</v>
      </c>
      <c r="D256" s="2" t="s">
        <v>228</v>
      </c>
      <c r="E256" s="7">
        <f>IF($D256="","",COUNTIF('Импорт посещаемость'!I249:AE249,"L*"))</f>
        <v>0</v>
      </c>
      <c r="F256" s="7">
        <f>IF($D256="","",COUNTIF('Импорт посещаемость'!I249:AE249,"R*"))</f>
        <v>22</v>
      </c>
      <c r="G256" s="7">
        <f>IF($D256="","",MAX(0,COUNTA('Импорт посещаемость'!$I$1:$AE$1)-E256-F256))</f>
        <v>1</v>
      </c>
      <c r="H256" s="7">
        <f t="shared" si="3"/>
        <v>22</v>
      </c>
      <c r="I256" s="9">
        <f>IFERROR(H256/COUNTA('Импорт посещаемость'!$I$1:$AE$1),"")</f>
        <v>0.95652173913043503</v>
      </c>
      <c r="J256" s="13" t="str">
        <f>IFERROR(__xludf.DUMMYFUNCTION("IF($D256="""","""",SPARKLINE(I256,{""charttype"",""bar"";""max"",1;""color1"",""#FFFFFF""}))"),"")</f>
        <v/>
      </c>
    </row>
    <row r="257" spans="1:10" ht="15.75" customHeight="1">
      <c r="A257" s="2" t="s">
        <v>2978</v>
      </c>
      <c r="B257" s="2" t="s">
        <v>2701</v>
      </c>
      <c r="C257" s="3">
        <v>393</v>
      </c>
      <c r="D257" s="2" t="s">
        <v>417</v>
      </c>
      <c r="E257" s="7">
        <f>IF($D257="","",COUNTIF('Импорт посещаемость'!I250:AE250,"L*"))</f>
        <v>5</v>
      </c>
      <c r="F257" s="7">
        <f>IF($D257="","",COUNTIF('Импорт посещаемость'!I250:AE250,"R*"))</f>
        <v>17</v>
      </c>
      <c r="G257" s="7">
        <f>IF($D257="","",MAX(0,COUNTA('Импорт посещаемость'!$I$1:$AE$1)-E257-F257))</f>
        <v>1</v>
      </c>
      <c r="H257" s="7">
        <f t="shared" si="3"/>
        <v>22</v>
      </c>
      <c r="I257" s="9">
        <f>IFERROR(H257/COUNTA('Импорт посещаемость'!$I$1:$AE$1),"")</f>
        <v>0.95652173913043503</v>
      </c>
      <c r="J257" s="13" t="str">
        <f>IFERROR(__xludf.DUMMYFUNCTION("IF($D257="""","""",SPARKLINE(I257,{""charttype"",""bar"";""max"",1;""color1"",""#FFFFFF""}))"),"")</f>
        <v/>
      </c>
    </row>
    <row r="258" spans="1:10" ht="15.75" customHeight="1">
      <c r="A258" s="2" t="s">
        <v>2979</v>
      </c>
      <c r="B258" s="2" t="s">
        <v>2732</v>
      </c>
      <c r="C258" s="3">
        <v>427</v>
      </c>
      <c r="D258" s="2" t="s">
        <v>489</v>
      </c>
      <c r="E258" s="7">
        <f>IF($D258="","",COUNTIF('Импорт посещаемость'!I251:AE251,"L*"))</f>
        <v>8</v>
      </c>
      <c r="F258" s="7">
        <f>IF($D258="","",COUNTIF('Импорт посещаемость'!I251:AE251,"R*"))</f>
        <v>15</v>
      </c>
      <c r="G258" s="7">
        <f>IF($D258="","",MAX(0,COUNTA('Импорт посещаемость'!$I$1:$AE$1)-E258-F258))</f>
        <v>0</v>
      </c>
      <c r="H258" s="7">
        <f t="shared" ref="H258:H321" si="4">IF($D258="","",E258+F258)</f>
        <v>23</v>
      </c>
      <c r="I258" s="9">
        <f>IFERROR(H258/COUNTA('Импорт посещаемость'!$I$1:$AE$1),"")</f>
        <v>1</v>
      </c>
      <c r="J258" s="13" t="str">
        <f>IFERROR(__xludf.DUMMYFUNCTION("IF($D258="""","""",SPARKLINE(I258,{""charttype"",""bar"";""max"",1;""color1"",""#FFFFFF""}))"),"")</f>
        <v/>
      </c>
    </row>
    <row r="259" spans="1:10" ht="15.75" customHeight="1">
      <c r="A259" s="2" t="s">
        <v>2980</v>
      </c>
      <c r="B259" s="2" t="s">
        <v>2811</v>
      </c>
      <c r="C259" s="3">
        <v>763</v>
      </c>
      <c r="D259" s="2" t="s">
        <v>170</v>
      </c>
      <c r="E259" s="7">
        <f>IF($D259="","",COUNTIF('Импорт посещаемость'!I252:AE252,"L*"))</f>
        <v>1</v>
      </c>
      <c r="F259" s="7">
        <f>IF($D259="","",COUNTIF('Импорт посещаемость'!I252:AE252,"R*"))</f>
        <v>18</v>
      </c>
      <c r="G259" s="7">
        <f>IF($D259="","",MAX(0,COUNTA('Импорт посещаемость'!$I$1:$AE$1)-E259-F259))</f>
        <v>4</v>
      </c>
      <c r="H259" s="7">
        <f t="shared" si="4"/>
        <v>19</v>
      </c>
      <c r="I259" s="9">
        <f>IFERROR(H259/COUNTA('Импорт посещаемость'!$I$1:$AE$1),"")</f>
        <v>0.82608695652173902</v>
      </c>
      <c r="J259" s="13" t="str">
        <f>IFERROR(__xludf.DUMMYFUNCTION("IF($D259="""","""",SPARKLINE(I259,{""charttype"",""bar"";""max"",1;""color1"",""#FFFFFF""}))"),"")</f>
        <v/>
      </c>
    </row>
    <row r="260" spans="1:10" ht="15.75" customHeight="1">
      <c r="A260" s="2" t="s">
        <v>2981</v>
      </c>
      <c r="B260" s="2" t="s">
        <v>2732</v>
      </c>
      <c r="C260" s="3">
        <v>682</v>
      </c>
      <c r="D260" s="2" t="s">
        <v>133</v>
      </c>
      <c r="E260" s="7">
        <f>IF($D260="","",COUNTIF('Импорт посещаемость'!I253:AE253,"L*"))</f>
        <v>17</v>
      </c>
      <c r="F260" s="7">
        <f>IF($D260="","",COUNTIF('Импорт посещаемость'!I253:AE253,"R*"))</f>
        <v>6</v>
      </c>
      <c r="G260" s="7">
        <f>IF($D260="","",MAX(0,COUNTA('Импорт посещаемость'!$I$1:$AE$1)-E260-F260))</f>
        <v>0</v>
      </c>
      <c r="H260" s="7">
        <f t="shared" si="4"/>
        <v>23</v>
      </c>
      <c r="I260" s="9">
        <f>IFERROR(H260/COUNTA('Импорт посещаемость'!$I$1:$AE$1),"")</f>
        <v>1</v>
      </c>
      <c r="J260" s="13" t="str">
        <f>IFERROR(__xludf.DUMMYFUNCTION("IF($D260="""","""",SPARKLINE(I260,{""charttype"",""bar"";""max"",1;""color1"",""#FFFFFF""}))"),"")</f>
        <v/>
      </c>
    </row>
    <row r="261" spans="1:10" ht="15.75" customHeight="1">
      <c r="A261" s="2" t="s">
        <v>2982</v>
      </c>
      <c r="B261" s="2" t="s">
        <v>2678</v>
      </c>
      <c r="C261" s="3">
        <v>687</v>
      </c>
      <c r="D261" s="2" t="s">
        <v>173</v>
      </c>
      <c r="E261" s="7">
        <f>IF($D261="","",COUNTIF('Импорт посещаемость'!I254:AE254,"L*"))</f>
        <v>0</v>
      </c>
      <c r="F261" s="7">
        <f>IF($D261="","",COUNTIF('Импорт посещаемость'!I254:AE254,"R*"))</f>
        <v>23</v>
      </c>
      <c r="G261" s="7">
        <f>IF($D261="","",MAX(0,COUNTA('Импорт посещаемость'!$I$1:$AE$1)-E261-F261))</f>
        <v>0</v>
      </c>
      <c r="H261" s="7">
        <f t="shared" si="4"/>
        <v>23</v>
      </c>
      <c r="I261" s="9">
        <f>IFERROR(H261/COUNTA('Импорт посещаемость'!$I$1:$AE$1),"")</f>
        <v>1</v>
      </c>
      <c r="J261" s="13" t="str">
        <f>IFERROR(__xludf.DUMMYFUNCTION("IF($D261="""","""",SPARKLINE(I261,{""charttype"",""bar"";""max"",1;""color1"",""#FFFFFF""}))"),"")</f>
        <v/>
      </c>
    </row>
    <row r="262" spans="1:10" ht="15.75" customHeight="1">
      <c r="A262" s="2" t="s">
        <v>2983</v>
      </c>
      <c r="B262" s="2" t="s">
        <v>2682</v>
      </c>
      <c r="C262" s="3">
        <v>811</v>
      </c>
      <c r="D262" s="2" t="s">
        <v>491</v>
      </c>
      <c r="E262" s="7">
        <f>IF($D262="","",COUNTIF('Импорт посещаемость'!I255:AE255,"L*"))</f>
        <v>11</v>
      </c>
      <c r="F262" s="7">
        <f>IF($D262="","",COUNTIF('Импорт посещаемость'!I255:AE255,"R*"))</f>
        <v>11</v>
      </c>
      <c r="G262" s="7">
        <f>IF($D262="","",MAX(0,COUNTA('Импорт посещаемость'!$I$1:$AE$1)-E262-F262))</f>
        <v>1</v>
      </c>
      <c r="H262" s="7">
        <f t="shared" si="4"/>
        <v>22</v>
      </c>
      <c r="I262" s="9">
        <f>IFERROR(H262/COUNTA('Импорт посещаемость'!$I$1:$AE$1),"")</f>
        <v>0.95652173913043503</v>
      </c>
      <c r="J262" s="13" t="str">
        <f>IFERROR(__xludf.DUMMYFUNCTION("IF($D262="""","""",SPARKLINE(I262,{""charttype"",""bar"";""max"",1;""color1"",""#FFFFFF""}))"),"")</f>
        <v/>
      </c>
    </row>
    <row r="263" spans="1:10" ht="15.75" customHeight="1">
      <c r="A263" s="2" t="s">
        <v>2984</v>
      </c>
      <c r="B263" s="2" t="s">
        <v>2657</v>
      </c>
      <c r="C263" s="3">
        <v>626</v>
      </c>
      <c r="D263" s="2" t="s">
        <v>647</v>
      </c>
      <c r="E263" s="7">
        <f>IF($D263="","",COUNTIF('Импорт посещаемость'!I256:AE256,"L*"))</f>
        <v>1</v>
      </c>
      <c r="F263" s="7">
        <f>IF($D263="","",COUNTIF('Импорт посещаемость'!I256:AE256,"R*"))</f>
        <v>2</v>
      </c>
      <c r="G263" s="7">
        <f>IF($D263="","",MAX(0,COUNTA('Импорт посещаемость'!$I$1:$AE$1)-E263-F263))</f>
        <v>20</v>
      </c>
      <c r="H263" s="7">
        <f t="shared" si="4"/>
        <v>3</v>
      </c>
      <c r="I263" s="9">
        <f>IFERROR(H263/COUNTA('Импорт посещаемость'!$I$1:$AE$1),"")</f>
        <v>0.13043478260869601</v>
      </c>
      <c r="J263" s="13" t="str">
        <f>IFERROR(__xludf.DUMMYFUNCTION("IF($D263="""","""",SPARKLINE(I263,{""charttype"",""bar"";""max"",1;""color1"",""#FFFFFF""}))"),"")</f>
        <v/>
      </c>
    </row>
    <row r="264" spans="1:10" ht="15.75" customHeight="1">
      <c r="A264" s="2" t="s">
        <v>2984</v>
      </c>
      <c r="B264" s="2" t="s">
        <v>2699</v>
      </c>
      <c r="C264" s="3">
        <v>356</v>
      </c>
      <c r="D264" s="2" t="s">
        <v>603</v>
      </c>
      <c r="E264" s="7">
        <f>IF($D264="","",COUNTIF('Импорт посещаемость'!I257:AE257,"L*"))</f>
        <v>16</v>
      </c>
      <c r="F264" s="7">
        <f>IF($D264="","",COUNTIF('Импорт посещаемость'!I257:AE257,"R*"))</f>
        <v>6</v>
      </c>
      <c r="G264" s="7">
        <f>IF($D264="","",MAX(0,COUNTA('Импорт посещаемость'!$I$1:$AE$1)-E264-F264))</f>
        <v>1</v>
      </c>
      <c r="H264" s="7">
        <f t="shared" si="4"/>
        <v>22</v>
      </c>
      <c r="I264" s="9">
        <f>IFERROR(H264/COUNTA('Импорт посещаемость'!$I$1:$AE$1),"")</f>
        <v>0.95652173913043503</v>
      </c>
      <c r="J264" s="13" t="str">
        <f>IFERROR(__xludf.DUMMYFUNCTION("IF($D264="""","""",SPARKLINE(I264,{""charttype"",""bar"";""max"",1;""color1"",""#FFFFFF""}))"),"")</f>
        <v/>
      </c>
    </row>
    <row r="265" spans="1:10" ht="15.75" customHeight="1">
      <c r="A265" s="2" t="s">
        <v>2985</v>
      </c>
      <c r="B265" s="2" t="s">
        <v>2986</v>
      </c>
      <c r="C265" s="3">
        <v>432</v>
      </c>
      <c r="D265" s="2" t="s">
        <v>326</v>
      </c>
      <c r="E265" s="7">
        <f>IF($D265="","",COUNTIF('Импорт посещаемость'!I258:AE258,"L*"))</f>
        <v>17</v>
      </c>
      <c r="F265" s="7">
        <f>IF($D265="","",COUNTIF('Импорт посещаемость'!I258:AE258,"R*"))</f>
        <v>6</v>
      </c>
      <c r="G265" s="7">
        <f>IF($D265="","",MAX(0,COUNTA('Импорт посещаемость'!$I$1:$AE$1)-E265-F265))</f>
        <v>0</v>
      </c>
      <c r="H265" s="7">
        <f t="shared" si="4"/>
        <v>23</v>
      </c>
      <c r="I265" s="9">
        <f>IFERROR(H265/COUNTA('Импорт посещаемость'!$I$1:$AE$1),"")</f>
        <v>1</v>
      </c>
      <c r="J265" s="13" t="str">
        <f>IFERROR(__xludf.DUMMYFUNCTION("IF($D265="""","""",SPARKLINE(I265,{""charttype"",""bar"";""max"",1;""color1"",""#FFFFFF""}))"),"")</f>
        <v/>
      </c>
    </row>
    <row r="266" spans="1:10" ht="15.75" customHeight="1">
      <c r="A266" s="2" t="s">
        <v>2987</v>
      </c>
      <c r="B266" s="2" t="s">
        <v>2671</v>
      </c>
      <c r="C266" s="3">
        <v>773</v>
      </c>
      <c r="D266" s="2" t="s">
        <v>43</v>
      </c>
      <c r="E266" s="7">
        <f>IF($D266="","",COUNTIF('Импорт посещаемость'!I259:AE259,"L*"))</f>
        <v>13</v>
      </c>
      <c r="F266" s="7">
        <f>IF($D266="","",COUNTIF('Импорт посещаемость'!I259:AE259,"R*"))</f>
        <v>6</v>
      </c>
      <c r="G266" s="7">
        <f>IF($D266="","",MAX(0,COUNTA('Импорт посещаемость'!$I$1:$AE$1)-E266-F266))</f>
        <v>4</v>
      </c>
      <c r="H266" s="7">
        <f t="shared" si="4"/>
        <v>19</v>
      </c>
      <c r="I266" s="9">
        <f>IFERROR(H266/COUNTA('Импорт посещаемость'!$I$1:$AE$1),"")</f>
        <v>0.82608695652173902</v>
      </c>
      <c r="J266" s="13" t="str">
        <f>IFERROR(__xludf.DUMMYFUNCTION("IF($D266="""","""",SPARKLINE(I266,{""charttype"",""bar"";""max"",1;""color1"",""#FFFFFF""}))"),"")</f>
        <v/>
      </c>
    </row>
    <row r="267" spans="1:10" ht="15.75" customHeight="1">
      <c r="A267" s="2" t="s">
        <v>2988</v>
      </c>
      <c r="B267" s="2" t="s">
        <v>2726</v>
      </c>
      <c r="C267" s="3">
        <v>699</v>
      </c>
      <c r="D267" s="2" t="s">
        <v>136</v>
      </c>
      <c r="E267" s="7">
        <f>IF($D267="","",COUNTIF('Импорт посещаемость'!I260:AE260,"L*"))</f>
        <v>17</v>
      </c>
      <c r="F267" s="7">
        <f>IF($D267="","",COUNTIF('Импорт посещаемость'!I260:AE260,"R*"))</f>
        <v>6</v>
      </c>
      <c r="G267" s="7">
        <f>IF($D267="","",MAX(0,COUNTA('Импорт посещаемость'!$I$1:$AE$1)-E267-F267))</f>
        <v>0</v>
      </c>
      <c r="H267" s="7">
        <f t="shared" si="4"/>
        <v>23</v>
      </c>
      <c r="I267" s="9">
        <f>IFERROR(H267/COUNTA('Импорт посещаемость'!$I$1:$AE$1),"")</f>
        <v>1</v>
      </c>
      <c r="J267" s="13" t="str">
        <f>IFERROR(__xludf.DUMMYFUNCTION("IF($D267="""","""",SPARKLINE(I267,{""charttype"",""bar"";""max"",1;""color1"",""#FFFFFF""}))"),"")</f>
        <v/>
      </c>
    </row>
    <row r="268" spans="1:10" ht="15.75" customHeight="1">
      <c r="A268" s="2" t="s">
        <v>2989</v>
      </c>
      <c r="B268" s="2" t="s">
        <v>2726</v>
      </c>
      <c r="C268" s="3">
        <v>783</v>
      </c>
      <c r="D268" s="2" t="s">
        <v>329</v>
      </c>
      <c r="E268" s="7">
        <f>IF($D268="","",COUNTIF('Импорт посещаемость'!I261:AE261,"L*"))</f>
        <v>0</v>
      </c>
      <c r="F268" s="7">
        <f>IF($D268="","",COUNTIF('Импорт посещаемость'!I261:AE261,"R*"))</f>
        <v>23</v>
      </c>
      <c r="G268" s="7">
        <f>IF($D268="","",MAX(0,COUNTA('Импорт посещаемость'!$I$1:$AE$1)-E268-F268))</f>
        <v>0</v>
      </c>
      <c r="H268" s="7">
        <f t="shared" si="4"/>
        <v>23</v>
      </c>
      <c r="I268" s="9">
        <f>IFERROR(H268/COUNTA('Импорт посещаемость'!$I$1:$AE$1),"")</f>
        <v>1</v>
      </c>
      <c r="J268" s="13" t="str">
        <f>IFERROR(__xludf.DUMMYFUNCTION("IF($D268="""","""",SPARKLINE(I268,{""charttype"",""bar"";""max"",1;""color1"",""#FFFFFF""}))"),"")</f>
        <v/>
      </c>
    </row>
    <row r="269" spans="1:10" ht="15.75" customHeight="1">
      <c r="A269" s="2" t="s">
        <v>2990</v>
      </c>
      <c r="B269" s="2" t="s">
        <v>2790</v>
      </c>
      <c r="C269" s="3">
        <v>673</v>
      </c>
      <c r="D269" s="2" t="s">
        <v>231</v>
      </c>
      <c r="E269" s="7">
        <f>IF($D269="","",COUNTIF('Импорт посещаемость'!I262:AE262,"L*"))</f>
        <v>16</v>
      </c>
      <c r="F269" s="7">
        <f>IF($D269="","",COUNTIF('Импорт посещаемость'!I262:AE262,"R*"))</f>
        <v>7</v>
      </c>
      <c r="G269" s="7">
        <f>IF($D269="","",MAX(0,COUNTA('Импорт посещаемость'!$I$1:$AE$1)-E269-F269))</f>
        <v>0</v>
      </c>
      <c r="H269" s="7">
        <f t="shared" si="4"/>
        <v>23</v>
      </c>
      <c r="I269" s="9">
        <f>IFERROR(H269/COUNTA('Импорт посещаемость'!$I$1:$AE$1),"")</f>
        <v>1</v>
      </c>
      <c r="J269" s="13" t="str">
        <f>IFERROR(__xludf.DUMMYFUNCTION("IF($D269="""","""",SPARKLINE(I269,{""charttype"",""bar"";""max"",1;""color1"",""#FFFFFF""}))"),"")</f>
        <v/>
      </c>
    </row>
    <row r="270" spans="1:10" ht="15.75" customHeight="1">
      <c r="A270" s="2" t="s">
        <v>2991</v>
      </c>
      <c r="B270" s="2" t="s">
        <v>2992</v>
      </c>
      <c r="C270" s="3">
        <v>734</v>
      </c>
      <c r="D270" s="2" t="s">
        <v>701</v>
      </c>
      <c r="E270" s="7">
        <f>IF($D270="","",COUNTIF('Импорт посещаемость'!I263:AE263,"L*"))</f>
        <v>17</v>
      </c>
      <c r="F270" s="7">
        <f>IF($D270="","",COUNTIF('Импорт посещаемость'!I263:AE263,"R*"))</f>
        <v>0</v>
      </c>
      <c r="G270" s="7">
        <f>IF($D270="","",MAX(0,COUNTA('Импорт посещаемость'!$I$1:$AE$1)-E270-F270))</f>
        <v>6</v>
      </c>
      <c r="H270" s="7">
        <f t="shared" si="4"/>
        <v>17</v>
      </c>
      <c r="I270" s="9">
        <f>IFERROR(H270/COUNTA('Импорт посещаемость'!$I$1:$AE$1),"")</f>
        <v>0.73913043478260898</v>
      </c>
      <c r="J270" s="13" t="str">
        <f>IFERROR(__xludf.DUMMYFUNCTION("IF($D270="""","""",SPARKLINE(I270,{""charttype"",""bar"";""max"",1;""color1"",""#FFFFFF""}))"),"")</f>
        <v/>
      </c>
    </row>
    <row r="271" spans="1:10" ht="15.75" customHeight="1">
      <c r="A271" s="2" t="s">
        <v>2993</v>
      </c>
      <c r="B271" s="2" t="s">
        <v>2994</v>
      </c>
      <c r="C271" s="3">
        <v>650</v>
      </c>
      <c r="D271" s="2" t="s">
        <v>419</v>
      </c>
      <c r="E271" s="7">
        <f>IF($D271="","",COUNTIF('Импорт посещаемость'!I264:AE264,"L*"))</f>
        <v>2</v>
      </c>
      <c r="F271" s="7">
        <f>IF($D271="","",COUNTIF('Импорт посещаемость'!I264:AE264,"R*"))</f>
        <v>19</v>
      </c>
      <c r="G271" s="7">
        <f>IF($D271="","",MAX(0,COUNTA('Импорт посещаемость'!$I$1:$AE$1)-E271-F271))</f>
        <v>2</v>
      </c>
      <c r="H271" s="7">
        <f t="shared" si="4"/>
        <v>21</v>
      </c>
      <c r="I271" s="9">
        <f>IFERROR(H271/COUNTA('Импорт посещаемость'!$I$1:$AE$1),"")</f>
        <v>0.91304347826086996</v>
      </c>
      <c r="J271" s="13" t="str">
        <f>IFERROR(__xludf.DUMMYFUNCTION("IF($D271="""","""",SPARKLINE(I271,{""charttype"",""bar"";""max"",1;""color1"",""#FFFFFF""}))"),"")</f>
        <v/>
      </c>
    </row>
    <row r="272" spans="1:10" ht="15.75" customHeight="1">
      <c r="A272" s="2" t="s">
        <v>2995</v>
      </c>
      <c r="B272" s="2" t="s">
        <v>2996</v>
      </c>
      <c r="C272" s="3">
        <v>780</v>
      </c>
      <c r="D272" s="2" t="s">
        <v>769</v>
      </c>
      <c r="E272" s="7">
        <f>IF($D272="","",COUNTIF('Импорт посещаемость'!I265:AE265,"L*"))</f>
        <v>2</v>
      </c>
      <c r="F272" s="7">
        <f>IF($D272="","",COUNTIF('Импорт посещаемость'!I265:AE265,"R*"))</f>
        <v>20</v>
      </c>
      <c r="G272" s="7">
        <f>IF($D272="","",MAX(0,COUNTA('Импорт посещаемость'!$I$1:$AE$1)-E272-F272))</f>
        <v>1</v>
      </c>
      <c r="H272" s="7">
        <f t="shared" si="4"/>
        <v>22</v>
      </c>
      <c r="I272" s="9">
        <f>IFERROR(H272/COUNTA('Импорт посещаемость'!$I$1:$AE$1),"")</f>
        <v>0.95652173913043503</v>
      </c>
      <c r="J272" s="13" t="str">
        <f>IFERROR(__xludf.DUMMYFUNCTION("IF($D272="""","""",SPARKLINE(I272,{""charttype"",""bar"";""max"",1;""color1"",""#FFFFFF""}))"),"")</f>
        <v/>
      </c>
    </row>
    <row r="273" spans="1:10" ht="15.75" customHeight="1">
      <c r="A273" s="2" t="s">
        <v>2997</v>
      </c>
      <c r="B273" s="2" t="s">
        <v>2693</v>
      </c>
      <c r="C273" s="3">
        <v>362</v>
      </c>
      <c r="D273" s="2" t="s">
        <v>375</v>
      </c>
      <c r="E273" s="7">
        <f>IF($D273="","",COUNTIF('Импорт посещаемость'!I266:AE266,"L*"))</f>
        <v>7</v>
      </c>
      <c r="F273" s="7">
        <f>IF($D273="","",COUNTIF('Импорт посещаемость'!I266:AE266,"R*"))</f>
        <v>13</v>
      </c>
      <c r="G273" s="7">
        <f>IF($D273="","",MAX(0,COUNTA('Импорт посещаемость'!$I$1:$AE$1)-E273-F273))</f>
        <v>3</v>
      </c>
      <c r="H273" s="7">
        <f t="shared" si="4"/>
        <v>20</v>
      </c>
      <c r="I273" s="9">
        <f>IFERROR(H273/COUNTA('Импорт посещаемость'!$I$1:$AE$1),"")</f>
        <v>0.86956521739130399</v>
      </c>
      <c r="J273" s="13" t="str">
        <f>IFERROR(__xludf.DUMMYFUNCTION("IF($D273="""","""",SPARKLINE(I273,{""charttype"",""bar"";""max"",1;""color1"",""#FFFFFF""}))"),"")</f>
        <v/>
      </c>
    </row>
    <row r="274" spans="1:10" ht="15.75" customHeight="1">
      <c r="A274" s="2" t="s">
        <v>2998</v>
      </c>
      <c r="B274" s="2" t="s">
        <v>2999</v>
      </c>
      <c r="C274" s="3">
        <v>598</v>
      </c>
      <c r="D274" s="2" t="s">
        <v>377</v>
      </c>
      <c r="E274" s="7">
        <f>IF($D274="","",COUNTIF('Импорт посещаемость'!I267:AE267,"L*"))</f>
        <v>0</v>
      </c>
      <c r="F274" s="7">
        <f>IF($D274="","",COUNTIF('Импорт посещаемость'!I267:AE267,"R*"))</f>
        <v>23</v>
      </c>
      <c r="G274" s="7">
        <f>IF($D274="","",MAX(0,COUNTA('Импорт посещаемость'!$I$1:$AE$1)-E274-F274))</f>
        <v>0</v>
      </c>
      <c r="H274" s="7">
        <f t="shared" si="4"/>
        <v>23</v>
      </c>
      <c r="I274" s="9">
        <f>IFERROR(H274/COUNTA('Импорт посещаемость'!$I$1:$AE$1),"")</f>
        <v>1</v>
      </c>
      <c r="J274" s="13" t="str">
        <f>IFERROR(__xludf.DUMMYFUNCTION("IF($D274="""","""",SPARKLINE(I274,{""charttype"",""bar"";""max"",1;""color1"",""#FFFFFF""}))"),"")</f>
        <v/>
      </c>
    </row>
    <row r="275" spans="1:10" ht="15.75" customHeight="1">
      <c r="A275" s="2" t="s">
        <v>3000</v>
      </c>
      <c r="B275" s="2" t="s">
        <v>2746</v>
      </c>
      <c r="C275" s="3">
        <v>603</v>
      </c>
      <c r="D275" s="2" t="s">
        <v>379</v>
      </c>
      <c r="E275" s="7">
        <f>IF($D275="","",COUNTIF('Импорт посещаемость'!I268:AE268,"L*"))</f>
        <v>1</v>
      </c>
      <c r="F275" s="7">
        <f>IF($D275="","",COUNTIF('Импорт посещаемость'!I268:AE268,"R*"))</f>
        <v>18</v>
      </c>
      <c r="G275" s="7">
        <f>IF($D275="","",MAX(0,COUNTA('Импорт посещаемость'!$I$1:$AE$1)-E275-F275))</f>
        <v>4</v>
      </c>
      <c r="H275" s="7">
        <f t="shared" si="4"/>
        <v>19</v>
      </c>
      <c r="I275" s="9">
        <f>IFERROR(H275/COUNTA('Импорт посещаемость'!$I$1:$AE$1),"")</f>
        <v>0.82608695652173902</v>
      </c>
      <c r="J275" s="13" t="str">
        <f>IFERROR(__xludf.DUMMYFUNCTION("IF($D275="""","""",SPARKLINE(I275,{""charttype"",""bar"";""max"",1;""color1"",""#FFFFFF""}))"),"")</f>
        <v/>
      </c>
    </row>
    <row r="276" spans="1:10" ht="15.75" customHeight="1">
      <c r="A276" s="2" t="s">
        <v>3001</v>
      </c>
      <c r="B276" s="2" t="s">
        <v>2929</v>
      </c>
      <c r="C276" s="3">
        <v>288</v>
      </c>
      <c r="D276" s="2" t="s">
        <v>493</v>
      </c>
      <c r="E276" s="7">
        <f>IF($D276="","",COUNTIF('Импорт посещаемость'!I269:AE269,"L*"))</f>
        <v>16</v>
      </c>
      <c r="F276" s="7">
        <f>IF($D276="","",COUNTIF('Импорт посещаемость'!I269:AE269,"R*"))</f>
        <v>0</v>
      </c>
      <c r="G276" s="7">
        <f>IF($D276="","",MAX(0,COUNTA('Импорт посещаемость'!$I$1:$AE$1)-E276-F276))</f>
        <v>7</v>
      </c>
      <c r="H276" s="7">
        <f t="shared" si="4"/>
        <v>16</v>
      </c>
      <c r="I276" s="9">
        <f>IFERROR(H276/COUNTA('Импорт посещаемость'!$I$1:$AE$1),"")</f>
        <v>0.69565217391304301</v>
      </c>
      <c r="J276" s="13" t="str">
        <f>IFERROR(__xludf.DUMMYFUNCTION("IF($D276="""","""",SPARKLINE(I276,{""charttype"",""bar"";""max"",1;""color1"",""#FFFFFF""}))"),"")</f>
        <v/>
      </c>
    </row>
    <row r="277" spans="1:10" ht="15.75" customHeight="1">
      <c r="A277" s="2" t="s">
        <v>3002</v>
      </c>
      <c r="B277" s="2" t="s">
        <v>3003</v>
      </c>
      <c r="C277" s="3">
        <v>588</v>
      </c>
      <c r="D277" s="2" t="s">
        <v>96</v>
      </c>
      <c r="E277" s="7">
        <f>IF($D277="","",COUNTIF('Импорт посещаемость'!I270:AE270,"L*"))</f>
        <v>12</v>
      </c>
      <c r="F277" s="7">
        <f>IF($D277="","",COUNTIF('Импорт посещаемость'!I270:AE270,"R*"))</f>
        <v>6</v>
      </c>
      <c r="G277" s="7">
        <f>IF($D277="","",MAX(0,COUNTA('Импорт посещаемость'!$I$1:$AE$1)-E277-F277))</f>
        <v>5</v>
      </c>
      <c r="H277" s="7">
        <f t="shared" si="4"/>
        <v>18</v>
      </c>
      <c r="I277" s="9">
        <f>IFERROR(H277/COUNTA('Импорт посещаемость'!$I$1:$AE$1),"")</f>
        <v>0.78260869565217395</v>
      </c>
      <c r="J277" s="13" t="str">
        <f>IFERROR(__xludf.DUMMYFUNCTION("IF($D277="""","""",SPARKLINE(I277,{""charttype"",""bar"";""max"",1;""color1"",""#FFFFFF""}))"),"")</f>
        <v/>
      </c>
    </row>
    <row r="278" spans="1:10" ht="15.75" customHeight="1">
      <c r="A278" s="2" t="s">
        <v>3004</v>
      </c>
      <c r="B278" s="2" t="s">
        <v>2779</v>
      </c>
      <c r="C278" s="3">
        <v>724</v>
      </c>
      <c r="D278" s="2" t="s">
        <v>537</v>
      </c>
      <c r="E278" s="7">
        <f>IF($D278="","",COUNTIF('Импорт посещаемость'!I271:AE271,"L*"))</f>
        <v>14</v>
      </c>
      <c r="F278" s="7">
        <f>IF($D278="","",COUNTIF('Импорт посещаемость'!I271:AE271,"R*"))</f>
        <v>9</v>
      </c>
      <c r="G278" s="7">
        <f>IF($D278="","",MAX(0,COUNTA('Импорт посещаемость'!$I$1:$AE$1)-E278-F278))</f>
        <v>0</v>
      </c>
      <c r="H278" s="7">
        <f t="shared" si="4"/>
        <v>23</v>
      </c>
      <c r="I278" s="9">
        <f>IFERROR(H278/COUNTA('Импорт посещаемость'!$I$1:$AE$1),"")</f>
        <v>1</v>
      </c>
      <c r="J278" s="13" t="str">
        <f>IFERROR(__xludf.DUMMYFUNCTION("IF($D278="""","""",SPARKLINE(I278,{""charttype"",""bar"";""max"",1;""color1"",""#FFFFFF""}))"),"")</f>
        <v/>
      </c>
    </row>
    <row r="279" spans="1:10" ht="15.75" customHeight="1">
      <c r="A279" s="2" t="s">
        <v>3005</v>
      </c>
      <c r="B279" s="2" t="s">
        <v>2671</v>
      </c>
      <c r="C279" s="3">
        <v>253</v>
      </c>
      <c r="D279" s="2" t="s">
        <v>605</v>
      </c>
      <c r="E279" s="7">
        <f>IF($D279="","",COUNTIF('Импорт посещаемость'!I272:AE272,"L*"))</f>
        <v>13</v>
      </c>
      <c r="F279" s="7">
        <f>IF($D279="","",COUNTIF('Импорт посещаемость'!I272:AE272,"R*"))</f>
        <v>9</v>
      </c>
      <c r="G279" s="7">
        <f>IF($D279="","",MAX(0,COUNTA('Импорт посещаемость'!$I$1:$AE$1)-E279-F279))</f>
        <v>1</v>
      </c>
      <c r="H279" s="7">
        <f t="shared" si="4"/>
        <v>22</v>
      </c>
      <c r="I279" s="9">
        <f>IFERROR(H279/COUNTA('Импорт посещаемость'!$I$1:$AE$1),"")</f>
        <v>0.95652173913043503</v>
      </c>
      <c r="J279" s="13" t="str">
        <f>IFERROR(__xludf.DUMMYFUNCTION("IF($D279="""","""",SPARKLINE(I279,{""charttype"",""bar"";""max"",1;""color1"",""#FFFFFF""}))"),"")</f>
        <v/>
      </c>
    </row>
    <row r="280" spans="1:10" ht="15.75" customHeight="1">
      <c r="A280" s="2" t="s">
        <v>3005</v>
      </c>
      <c r="B280" s="2" t="s">
        <v>2732</v>
      </c>
      <c r="C280" s="3">
        <v>291</v>
      </c>
      <c r="D280" s="2" t="s">
        <v>332</v>
      </c>
      <c r="E280" s="7">
        <f>IF($D280="","",COUNTIF('Импорт посещаемость'!I273:AE273,"L*"))</f>
        <v>14</v>
      </c>
      <c r="F280" s="7">
        <f>IF($D280="","",COUNTIF('Импорт посещаемость'!I273:AE273,"R*"))</f>
        <v>9</v>
      </c>
      <c r="G280" s="7">
        <f>IF($D280="","",MAX(0,COUNTA('Импорт посещаемость'!$I$1:$AE$1)-E280-F280))</f>
        <v>0</v>
      </c>
      <c r="H280" s="7">
        <f t="shared" si="4"/>
        <v>23</v>
      </c>
      <c r="I280" s="9">
        <f>IFERROR(H280/COUNTA('Импорт посещаемость'!$I$1:$AE$1),"")</f>
        <v>1</v>
      </c>
      <c r="J280" s="13" t="str">
        <f>IFERROR(__xludf.DUMMYFUNCTION("IF($D280="""","""",SPARKLINE(I280,{""charttype"",""bar"";""max"",1;""color1"",""#FFFFFF""}))"),"")</f>
        <v/>
      </c>
    </row>
    <row r="281" spans="1:10" ht="15.75" customHeight="1">
      <c r="A281" s="2" t="s">
        <v>2811</v>
      </c>
      <c r="B281" s="2" t="s">
        <v>3006</v>
      </c>
      <c r="C281" s="3">
        <v>679</v>
      </c>
      <c r="D281" s="2" t="s">
        <v>411</v>
      </c>
      <c r="E281" s="7">
        <f>IF($D281="","",COUNTIF('Импорт посещаемость'!I274:AE274,"L*"))</f>
        <v>17</v>
      </c>
      <c r="F281" s="7">
        <f>IF($D281="","",COUNTIF('Импорт посещаемость'!I274:AE274,"R*"))</f>
        <v>4</v>
      </c>
      <c r="G281" s="7">
        <f>IF($D281="","",MAX(0,COUNTA('Импорт посещаемость'!$I$1:$AE$1)-E281-F281))</f>
        <v>2</v>
      </c>
      <c r="H281" s="7">
        <f t="shared" si="4"/>
        <v>21</v>
      </c>
      <c r="I281" s="9">
        <f>IFERROR(H281/COUNTA('Импорт посещаемость'!$I$1:$AE$1),"")</f>
        <v>0.91304347826086996</v>
      </c>
      <c r="J281" s="13" t="str">
        <f>IFERROR(__xludf.DUMMYFUNCTION("IF($D281="""","""",SPARKLINE(I281,{""charttype"",""bar"";""max"",1;""color1"",""#FFFFFF""}))"),"")</f>
        <v/>
      </c>
    </row>
    <row r="282" spans="1:10" ht="15.75" customHeight="1">
      <c r="A282" s="2" t="s">
        <v>2942</v>
      </c>
      <c r="B282" s="2" t="s">
        <v>3007</v>
      </c>
      <c r="C282" s="3">
        <v>395</v>
      </c>
      <c r="D282" s="2" t="s">
        <v>446</v>
      </c>
      <c r="E282" s="7">
        <f>IF($D282="","",COUNTIF('Импорт посещаемость'!I275:AE275,"L*"))</f>
        <v>15</v>
      </c>
      <c r="F282" s="7">
        <f>IF($D282="","",COUNTIF('Импорт посещаемость'!I275:AE275,"R*"))</f>
        <v>8</v>
      </c>
      <c r="G282" s="7">
        <f>IF($D282="","",MAX(0,COUNTA('Импорт посещаемость'!$I$1:$AE$1)-E282-F282))</f>
        <v>0</v>
      </c>
      <c r="H282" s="7">
        <f t="shared" si="4"/>
        <v>23</v>
      </c>
      <c r="I282" s="9">
        <f>IFERROR(H282/COUNTA('Импорт посещаемость'!$I$1:$AE$1),"")</f>
        <v>1</v>
      </c>
      <c r="J282" s="13" t="str">
        <f>IFERROR(__xludf.DUMMYFUNCTION("IF($D282="""","""",SPARKLINE(I282,{""charttype"",""bar"";""max"",1;""color1"",""#FFFFFF""}))"),"")</f>
        <v/>
      </c>
    </row>
    <row r="283" spans="1:10" ht="15.75" customHeight="1">
      <c r="A283" s="2" t="s">
        <v>3008</v>
      </c>
      <c r="B283" s="2" t="s">
        <v>2726</v>
      </c>
      <c r="C283" s="3">
        <v>646</v>
      </c>
      <c r="D283" s="2" t="s">
        <v>570</v>
      </c>
      <c r="E283" s="7">
        <f>IF($D283="","",COUNTIF('Импорт посещаемость'!I276:AE276,"L*"))</f>
        <v>8</v>
      </c>
      <c r="F283" s="7">
        <f>IF($D283="","",COUNTIF('Импорт посещаемость'!I276:AE276,"R*"))</f>
        <v>14</v>
      </c>
      <c r="G283" s="7">
        <f>IF($D283="","",MAX(0,COUNTA('Импорт посещаемость'!$I$1:$AE$1)-E283-F283))</f>
        <v>1</v>
      </c>
      <c r="H283" s="7">
        <f t="shared" si="4"/>
        <v>22</v>
      </c>
      <c r="I283" s="9">
        <f>IFERROR(H283/COUNTA('Импорт посещаемость'!$I$1:$AE$1),"")</f>
        <v>0.95652173913043503</v>
      </c>
      <c r="J283" s="13" t="str">
        <f>IFERROR(__xludf.DUMMYFUNCTION("IF($D283="""","""",SPARKLINE(I283,{""charttype"",""bar"";""max"",1;""color1"",""#FFFFFF""}))"),"")</f>
        <v/>
      </c>
    </row>
    <row r="284" spans="1:10" ht="15.75" customHeight="1">
      <c r="A284" s="2" t="s">
        <v>3009</v>
      </c>
      <c r="B284" s="2" t="s">
        <v>2863</v>
      </c>
      <c r="C284" s="3">
        <v>642</v>
      </c>
      <c r="D284" s="2" t="s">
        <v>572</v>
      </c>
      <c r="E284" s="7">
        <f>IF($D284="","",COUNTIF('Импорт посещаемость'!I277:AE277,"L*"))</f>
        <v>4</v>
      </c>
      <c r="F284" s="7">
        <f>IF($D284="","",COUNTIF('Импорт посещаемость'!I277:AE277,"R*"))</f>
        <v>18</v>
      </c>
      <c r="G284" s="7">
        <f>IF($D284="","",MAX(0,COUNTA('Импорт посещаемость'!$I$1:$AE$1)-E284-F284))</f>
        <v>1</v>
      </c>
      <c r="H284" s="7">
        <f t="shared" si="4"/>
        <v>22</v>
      </c>
      <c r="I284" s="9">
        <f>IFERROR(H284/COUNTA('Импорт посещаемость'!$I$1:$AE$1),"")</f>
        <v>0.95652173913043503</v>
      </c>
      <c r="J284" s="13" t="str">
        <f>IFERROR(__xludf.DUMMYFUNCTION("IF($D284="""","""",SPARKLINE(I284,{""charttype"",""bar"";""max"",1;""color1"",""#FFFFFF""}))"),"")</f>
        <v/>
      </c>
    </row>
    <row r="285" spans="1:10" ht="15.75" customHeight="1">
      <c r="A285" s="2" t="s">
        <v>3010</v>
      </c>
      <c r="B285" s="2" t="s">
        <v>2701</v>
      </c>
      <c r="C285" s="3">
        <v>762</v>
      </c>
      <c r="D285" s="2" t="s">
        <v>448</v>
      </c>
      <c r="E285" s="7">
        <f>IF($D285="","",COUNTIF('Импорт посещаемость'!I278:AE278,"L*"))</f>
        <v>3</v>
      </c>
      <c r="F285" s="7">
        <f>IF($D285="","",COUNTIF('Импорт посещаемость'!I278:AE278,"R*"))</f>
        <v>9</v>
      </c>
      <c r="G285" s="7">
        <f>IF($D285="","",MAX(0,COUNTA('Импорт посещаемость'!$I$1:$AE$1)-E285-F285))</f>
        <v>11</v>
      </c>
      <c r="H285" s="7">
        <f t="shared" si="4"/>
        <v>12</v>
      </c>
      <c r="I285" s="9">
        <f>IFERROR(H285/COUNTA('Импорт посещаемость'!$I$1:$AE$1),"")</f>
        <v>0.52173913043478304</v>
      </c>
      <c r="J285" s="13" t="str">
        <f>IFERROR(__xludf.DUMMYFUNCTION("IF($D285="""","""",SPARKLINE(I285,{""charttype"",""bar"";""max"",1;""color1"",""#FFFFFF""}))"),"")</f>
        <v/>
      </c>
    </row>
    <row r="286" spans="1:10" ht="15.75" customHeight="1">
      <c r="A286" s="2" t="s">
        <v>3011</v>
      </c>
      <c r="B286" s="2" t="s">
        <v>2770</v>
      </c>
      <c r="C286" s="3">
        <v>661</v>
      </c>
      <c r="D286" s="2" t="s">
        <v>236</v>
      </c>
      <c r="E286" s="7">
        <f>IF($D286="","",COUNTIF('Импорт посещаемость'!I279:AE279,"L*"))</f>
        <v>11</v>
      </c>
      <c r="F286" s="7">
        <f>IF($D286="","",COUNTIF('Импорт посещаемость'!I279:AE279,"R*"))</f>
        <v>12</v>
      </c>
      <c r="G286" s="7">
        <f>IF($D286="","",MAX(0,COUNTA('Импорт посещаемость'!$I$1:$AE$1)-E286-F286))</f>
        <v>0</v>
      </c>
      <c r="H286" s="7">
        <f t="shared" si="4"/>
        <v>23</v>
      </c>
      <c r="I286" s="9">
        <f>IFERROR(H286/COUNTA('Импорт посещаемость'!$I$1:$AE$1),"")</f>
        <v>1</v>
      </c>
      <c r="J286" s="13" t="str">
        <f>IFERROR(__xludf.DUMMYFUNCTION("IF($D286="""","""",SPARKLINE(I286,{""charttype"",""bar"";""max"",1;""color1"",""#FFFFFF""}))"),"")</f>
        <v/>
      </c>
    </row>
    <row r="287" spans="1:10" ht="15.75" customHeight="1">
      <c r="A287" s="2" t="s">
        <v>2367</v>
      </c>
      <c r="B287" s="2" t="s">
        <v>2682</v>
      </c>
      <c r="C287" s="3">
        <v>376</v>
      </c>
      <c r="D287" s="2" t="s">
        <v>99</v>
      </c>
      <c r="E287" s="7">
        <f>IF($D287="","",COUNTIF('Импорт посещаемость'!I280:AE280,"L*"))</f>
        <v>17</v>
      </c>
      <c r="F287" s="7">
        <f>IF($D287="","",COUNTIF('Импорт посещаемость'!I280:AE280,"R*"))</f>
        <v>6</v>
      </c>
      <c r="G287" s="7">
        <f>IF($D287="","",MAX(0,COUNTA('Импорт посещаемость'!$I$1:$AE$1)-E287-F287))</f>
        <v>0</v>
      </c>
      <c r="H287" s="7">
        <f t="shared" si="4"/>
        <v>23</v>
      </c>
      <c r="I287" s="9">
        <f>IFERROR(H287/COUNTA('Импорт посещаемость'!$I$1:$AE$1),"")</f>
        <v>1</v>
      </c>
      <c r="J287" s="13" t="str">
        <f>IFERROR(__xludf.DUMMYFUNCTION("IF($D287="""","""",SPARKLINE(I287,{""charttype"",""bar"";""max"",1;""color1"",""#FFFFFF""}))"),"")</f>
        <v/>
      </c>
    </row>
    <row r="288" spans="1:10" ht="15.75" customHeight="1">
      <c r="A288" s="2" t="s">
        <v>3012</v>
      </c>
      <c r="B288" s="2" t="s">
        <v>2682</v>
      </c>
      <c r="C288" s="3">
        <v>595</v>
      </c>
      <c r="D288" s="2" t="s">
        <v>139</v>
      </c>
      <c r="E288" s="7">
        <f>IF($D288="","",COUNTIF('Импорт посещаемость'!I281:AE281,"L*"))</f>
        <v>6</v>
      </c>
      <c r="F288" s="7">
        <f>IF($D288="","",COUNTIF('Импорт посещаемость'!I281:AE281,"R*"))</f>
        <v>17</v>
      </c>
      <c r="G288" s="7">
        <f>IF($D288="","",MAX(0,COUNTA('Импорт посещаемость'!$I$1:$AE$1)-E288-F288))</f>
        <v>0</v>
      </c>
      <c r="H288" s="7">
        <f t="shared" si="4"/>
        <v>23</v>
      </c>
      <c r="I288" s="9">
        <f>IFERROR(H288/COUNTA('Импорт посещаемость'!$I$1:$AE$1),"")</f>
        <v>1</v>
      </c>
      <c r="J288" s="13" t="str">
        <f>IFERROR(__xludf.DUMMYFUNCTION("IF($D288="""","""",SPARKLINE(I288,{""charttype"",""bar"";""max"",1;""color1"",""#FFFFFF""}))"),"")</f>
        <v/>
      </c>
    </row>
    <row r="289" spans="1:10" ht="15.75" customHeight="1">
      <c r="A289" s="2" t="s">
        <v>3013</v>
      </c>
      <c r="B289" s="2" t="s">
        <v>2833</v>
      </c>
      <c r="C289" s="3">
        <v>655</v>
      </c>
      <c r="D289" s="2" t="s">
        <v>649</v>
      </c>
      <c r="E289" s="7">
        <f>IF($D289="","",COUNTIF('Импорт посещаемость'!I282:AE282,"L*"))</f>
        <v>11</v>
      </c>
      <c r="F289" s="7">
        <f>IF($D289="","",COUNTIF('Импорт посещаемость'!I282:AE282,"R*"))</f>
        <v>12</v>
      </c>
      <c r="G289" s="7">
        <f>IF($D289="","",MAX(0,COUNTA('Импорт посещаемость'!$I$1:$AE$1)-E289-F289))</f>
        <v>0</v>
      </c>
      <c r="H289" s="7">
        <f t="shared" si="4"/>
        <v>23</v>
      </c>
      <c r="I289" s="9">
        <f>IFERROR(H289/COUNTA('Импорт посещаемость'!$I$1:$AE$1),"")</f>
        <v>1</v>
      </c>
      <c r="J289" s="13" t="str">
        <f>IFERROR(__xludf.DUMMYFUNCTION("IF($D289="""","""",SPARKLINE(I289,{""charttype"",""bar"";""max"",1;""color1"",""#FFFFFF""}))"),"")</f>
        <v/>
      </c>
    </row>
    <row r="290" spans="1:10" ht="15.75" customHeight="1">
      <c r="A290" s="2" t="s">
        <v>3014</v>
      </c>
      <c r="B290" s="2" t="s">
        <v>2668</v>
      </c>
      <c r="C290" s="3">
        <v>609</v>
      </c>
      <c r="D290" s="2" t="s">
        <v>381</v>
      </c>
      <c r="E290" s="7">
        <f>IF($D290="","",COUNTIF('Импорт посещаемость'!I283:AE283,"L*"))</f>
        <v>11</v>
      </c>
      <c r="F290" s="7">
        <f>IF($D290="","",COUNTIF('Импорт посещаемость'!I283:AE283,"R*"))</f>
        <v>12</v>
      </c>
      <c r="G290" s="7">
        <f>IF($D290="","",MAX(0,COUNTA('Импорт посещаемость'!$I$1:$AE$1)-E290-F290))</f>
        <v>0</v>
      </c>
      <c r="H290" s="7">
        <f t="shared" si="4"/>
        <v>23</v>
      </c>
      <c r="I290" s="9">
        <f>IFERROR(H290/COUNTA('Импорт посещаемость'!$I$1:$AE$1),"")</f>
        <v>1</v>
      </c>
      <c r="J290" s="13" t="str">
        <f>IFERROR(__xludf.DUMMYFUNCTION("IF($D290="""","""",SPARKLINE(I290,{""charttype"",""bar"";""max"",1;""color1"",""#FFFFFF""}))"),"")</f>
        <v/>
      </c>
    </row>
    <row r="291" spans="1:10" ht="15.75" customHeight="1">
      <c r="A291" s="2" t="s">
        <v>3015</v>
      </c>
      <c r="B291" s="2" t="s">
        <v>2761</v>
      </c>
      <c r="C291" s="3">
        <v>628</v>
      </c>
      <c r="D291" s="2" t="s">
        <v>704</v>
      </c>
      <c r="E291" s="7">
        <f>IF($D291="","",COUNTIF('Импорт посещаемость'!I284:AE284,"L*"))</f>
        <v>3</v>
      </c>
      <c r="F291" s="7">
        <f>IF($D291="","",COUNTIF('Импорт посещаемость'!I284:AE284,"R*"))</f>
        <v>20</v>
      </c>
      <c r="G291" s="7">
        <f>IF($D291="","",MAX(0,COUNTA('Импорт посещаемость'!$I$1:$AE$1)-E291-F291))</f>
        <v>0</v>
      </c>
      <c r="H291" s="7">
        <f t="shared" si="4"/>
        <v>23</v>
      </c>
      <c r="I291" s="9">
        <f>IFERROR(H291/COUNTA('Импорт посещаемость'!$I$1:$AE$1),"")</f>
        <v>1</v>
      </c>
      <c r="J291" s="13" t="str">
        <f>IFERROR(__xludf.DUMMYFUNCTION("IF($D291="""","""",SPARKLINE(I291,{""charttype"",""bar"";""max"",1;""color1"",""#FFFFFF""}))"),"")</f>
        <v/>
      </c>
    </row>
    <row r="292" spans="1:10" ht="15.75" customHeight="1">
      <c r="A292" s="2" t="s">
        <v>3016</v>
      </c>
      <c r="B292" s="2" t="s">
        <v>2657</v>
      </c>
      <c r="C292" s="3">
        <v>715</v>
      </c>
      <c r="D292" s="2" t="s">
        <v>574</v>
      </c>
      <c r="E292" s="7">
        <f>IF($D292="","",COUNTIF('Импорт посещаемость'!I285:AE285,"L*"))</f>
        <v>17</v>
      </c>
      <c r="F292" s="7">
        <f>IF($D292="","",COUNTIF('Импорт посещаемость'!I285:AE285,"R*"))</f>
        <v>6</v>
      </c>
      <c r="G292" s="7">
        <f>IF($D292="","",MAX(0,COUNTA('Импорт посещаемость'!$I$1:$AE$1)-E292-F292))</f>
        <v>0</v>
      </c>
      <c r="H292" s="7">
        <f t="shared" si="4"/>
        <v>23</v>
      </c>
      <c r="I292" s="9">
        <f>IFERROR(H292/COUNTA('Импорт посещаемость'!$I$1:$AE$1),"")</f>
        <v>1</v>
      </c>
      <c r="J292" s="13" t="str">
        <f>IFERROR(__xludf.DUMMYFUNCTION("IF($D292="""","""",SPARKLINE(I292,{""charttype"",""bar"";""max"",1;""color1"",""#FFFFFF""}))"),"")</f>
        <v/>
      </c>
    </row>
    <row r="293" spans="1:10" ht="15.75" customHeight="1">
      <c r="A293" s="2" t="s">
        <v>3017</v>
      </c>
      <c r="B293" s="2" t="s">
        <v>2811</v>
      </c>
      <c r="C293" s="3">
        <v>408</v>
      </c>
      <c r="D293" s="2" t="s">
        <v>540</v>
      </c>
      <c r="E293" s="7">
        <f>IF($D293="","",COUNTIF('Импорт посещаемость'!I286:AE286,"L*"))</f>
        <v>16</v>
      </c>
      <c r="F293" s="7">
        <f>IF($D293="","",COUNTIF('Импорт посещаемость'!I286:AE286,"R*"))</f>
        <v>7</v>
      </c>
      <c r="G293" s="7">
        <f>IF($D293="","",MAX(0,COUNTA('Импорт посещаемость'!$I$1:$AE$1)-E293-F293))</f>
        <v>0</v>
      </c>
      <c r="H293" s="7">
        <f t="shared" si="4"/>
        <v>23</v>
      </c>
      <c r="I293" s="9">
        <f>IFERROR(H293/COUNTA('Импорт посещаемость'!$I$1:$AE$1),"")</f>
        <v>1</v>
      </c>
      <c r="J293" s="13" t="str">
        <f>IFERROR(__xludf.DUMMYFUNCTION("IF($D293="""","""",SPARKLINE(I293,{""charttype"",""bar"";""max"",1;""color1"",""#FFFFFF""}))"),"")</f>
        <v/>
      </c>
    </row>
    <row r="294" spans="1:10" ht="15.75" customHeight="1">
      <c r="A294" s="2" t="s">
        <v>3018</v>
      </c>
      <c r="B294" s="2" t="s">
        <v>2770</v>
      </c>
      <c r="C294" s="3">
        <v>658</v>
      </c>
      <c r="D294" s="2" t="s">
        <v>774</v>
      </c>
      <c r="E294" s="7">
        <f>IF($D294="","",COUNTIF('Импорт посещаемость'!I287:AE287,"L*"))</f>
        <v>9</v>
      </c>
      <c r="F294" s="7">
        <f>IF($D294="","",COUNTIF('Импорт посещаемость'!I287:AE287,"R*"))</f>
        <v>11</v>
      </c>
      <c r="G294" s="7">
        <f>IF($D294="","",MAX(0,COUNTA('Импорт посещаемость'!$I$1:$AE$1)-E294-F294))</f>
        <v>3</v>
      </c>
      <c r="H294" s="7">
        <f t="shared" si="4"/>
        <v>20</v>
      </c>
      <c r="I294" s="9">
        <f>IFERROR(H294/COUNTA('Импорт посещаемость'!$I$1:$AE$1),"")</f>
        <v>0.86956521739130399</v>
      </c>
      <c r="J294" s="13" t="str">
        <f>IFERROR(__xludf.DUMMYFUNCTION("IF($D294="""","""",SPARKLINE(I294,{""charttype"",""bar"";""max"",1;""color1"",""#FFFFFF""}))"),"")</f>
        <v/>
      </c>
    </row>
    <row r="295" spans="1:10" ht="15.75" customHeight="1">
      <c r="A295" s="2" t="s">
        <v>3019</v>
      </c>
      <c r="B295" s="2" t="s">
        <v>2746</v>
      </c>
      <c r="C295" s="3">
        <v>623</v>
      </c>
      <c r="D295" s="2" t="s">
        <v>238</v>
      </c>
      <c r="E295" s="7">
        <f>IF($D295="","",COUNTIF('Импорт посещаемость'!I288:AE288,"L*"))</f>
        <v>14</v>
      </c>
      <c r="F295" s="7">
        <f>IF($D295="","",COUNTIF('Импорт посещаемость'!I288:AE288,"R*"))</f>
        <v>9</v>
      </c>
      <c r="G295" s="7">
        <f>IF($D295="","",MAX(0,COUNTA('Импорт посещаемость'!$I$1:$AE$1)-E295-F295))</f>
        <v>0</v>
      </c>
      <c r="H295" s="7">
        <f t="shared" si="4"/>
        <v>23</v>
      </c>
      <c r="I295" s="9">
        <f>IFERROR(H295/COUNTA('Импорт посещаемость'!$I$1:$AE$1),"")</f>
        <v>1</v>
      </c>
      <c r="J295" s="13" t="str">
        <f>IFERROR(__xludf.DUMMYFUNCTION("IF($D295="""","""",SPARKLINE(I295,{""charttype"",""bar"";""max"",1;""color1"",""#FFFFFF""}))"),"")</f>
        <v/>
      </c>
    </row>
    <row r="296" spans="1:10" ht="15.75" customHeight="1">
      <c r="A296" s="2" t="s">
        <v>3020</v>
      </c>
      <c r="B296" s="2" t="s">
        <v>2671</v>
      </c>
      <c r="C296" s="3">
        <v>767</v>
      </c>
      <c r="D296" s="2" t="s">
        <v>734</v>
      </c>
      <c r="E296" s="7">
        <f>IF($D296="","",COUNTIF('Импорт посещаемость'!I289:AE289,"L*"))</f>
        <v>16</v>
      </c>
      <c r="F296" s="7">
        <f>IF($D296="","",COUNTIF('Импорт посещаемость'!I289:AE289,"R*"))</f>
        <v>2</v>
      </c>
      <c r="G296" s="7">
        <f>IF($D296="","",MAX(0,COUNTA('Импорт посещаемость'!$I$1:$AE$1)-E296-F296))</f>
        <v>5</v>
      </c>
      <c r="H296" s="7">
        <f t="shared" si="4"/>
        <v>18</v>
      </c>
      <c r="I296" s="9">
        <f>IFERROR(H296/COUNTA('Импорт посещаемость'!$I$1:$AE$1),"")</f>
        <v>0.78260869565217395</v>
      </c>
      <c r="J296" s="13" t="str">
        <f>IFERROR(__xludf.DUMMYFUNCTION("IF($D296="""","""",SPARKLINE(I296,{""charttype"",""bar"";""max"",1;""color1"",""#FFFFFF""}))"),"")</f>
        <v/>
      </c>
    </row>
    <row r="297" spans="1:10" ht="15.75" customHeight="1">
      <c r="A297" s="2" t="s">
        <v>3021</v>
      </c>
      <c r="B297" s="2" t="s">
        <v>2942</v>
      </c>
      <c r="C297" s="3">
        <v>683</v>
      </c>
      <c r="D297" s="2" t="s">
        <v>736</v>
      </c>
      <c r="E297" s="7">
        <f>IF($D297="","",COUNTIF('Импорт посещаемость'!I290:AE290,"L*"))</f>
        <v>1</v>
      </c>
      <c r="F297" s="7">
        <f>IF($D297="","",COUNTIF('Импорт посещаемость'!I290:AE290,"R*"))</f>
        <v>13</v>
      </c>
      <c r="G297" s="7">
        <f>IF($D297="","",MAX(0,COUNTA('Импорт посещаемость'!$I$1:$AE$1)-E297-F297))</f>
        <v>9</v>
      </c>
      <c r="H297" s="7">
        <f t="shared" si="4"/>
        <v>14</v>
      </c>
      <c r="I297" s="9">
        <f>IFERROR(H297/COUNTA('Импорт посещаемость'!$I$1:$AE$1),"")</f>
        <v>0.60869565217391297</v>
      </c>
      <c r="J297" s="13" t="str">
        <f>IFERROR(__xludf.DUMMYFUNCTION("IF($D297="""","""",SPARKLINE(I297,{""charttype"",""bar"";""max"",1;""color1"",""#FFFFFF""}))"),"")</f>
        <v/>
      </c>
    </row>
    <row r="298" spans="1:10" ht="15.75" customHeight="1">
      <c r="A298" s="2" t="s">
        <v>3022</v>
      </c>
      <c r="B298" s="2" t="s">
        <v>2770</v>
      </c>
      <c r="C298" s="3">
        <v>289</v>
      </c>
      <c r="D298" s="2" t="s">
        <v>651</v>
      </c>
      <c r="E298" s="7">
        <f>IF($D298="","",COUNTIF('Импорт посещаемость'!I291:AE291,"L*"))</f>
        <v>7</v>
      </c>
      <c r="F298" s="7">
        <f>IF($D298="","",COUNTIF('Импорт посещаемость'!I291:AE291,"R*"))</f>
        <v>16</v>
      </c>
      <c r="G298" s="7">
        <f>IF($D298="","",MAX(0,COUNTA('Импорт посещаемость'!$I$1:$AE$1)-E298-F298))</f>
        <v>0</v>
      </c>
      <c r="H298" s="7">
        <f t="shared" si="4"/>
        <v>23</v>
      </c>
      <c r="I298" s="9">
        <f>IFERROR(H298/COUNTA('Импорт посещаемость'!$I$1:$AE$1),"")</f>
        <v>1</v>
      </c>
      <c r="J298" s="13" t="str">
        <f>IFERROR(__xludf.DUMMYFUNCTION("IF($D298="""","""",SPARKLINE(I298,{""charttype"",""bar"";""max"",1;""color1"",""#FFFFFF""}))"),"")</f>
        <v/>
      </c>
    </row>
    <row r="299" spans="1:10" ht="15.75" customHeight="1">
      <c r="A299" s="2" t="s">
        <v>3023</v>
      </c>
      <c r="B299" s="2" t="s">
        <v>3024</v>
      </c>
      <c r="C299" s="3">
        <v>276</v>
      </c>
      <c r="D299" s="2" t="s">
        <v>45</v>
      </c>
      <c r="E299" s="7">
        <f>IF($D299="","",COUNTIF('Импорт посещаемость'!I292:AE292,"L*"))</f>
        <v>12</v>
      </c>
      <c r="F299" s="7">
        <f>IF($D299="","",COUNTIF('Импорт посещаемость'!I292:AE292,"R*"))</f>
        <v>11</v>
      </c>
      <c r="G299" s="7">
        <f>IF($D299="","",MAX(0,COUNTA('Импорт посещаемость'!$I$1:$AE$1)-E299-F299))</f>
        <v>0</v>
      </c>
      <c r="H299" s="7">
        <f t="shared" si="4"/>
        <v>23</v>
      </c>
      <c r="I299" s="9">
        <f>IFERROR(H299/COUNTA('Импорт посещаемость'!$I$1:$AE$1),"")</f>
        <v>1</v>
      </c>
      <c r="J299" s="13" t="str">
        <f>IFERROR(__xludf.DUMMYFUNCTION("IF($D299="""","""",SPARKLINE(I299,{""charttype"",""bar"";""max"",1;""color1"",""#FFFFFF""}))"),"")</f>
        <v/>
      </c>
    </row>
    <row r="300" spans="1:10" ht="15.75" customHeight="1">
      <c r="A300" s="2" t="s">
        <v>3025</v>
      </c>
      <c r="B300" s="2" t="s">
        <v>2657</v>
      </c>
      <c r="C300" s="3">
        <v>340</v>
      </c>
      <c r="D300" s="2" t="s">
        <v>421</v>
      </c>
      <c r="E300" s="7">
        <f>IF($D300="","",COUNTIF('Импорт посещаемость'!I293:AE293,"L*"))</f>
        <v>8</v>
      </c>
      <c r="F300" s="7">
        <f>IF($D300="","",COUNTIF('Импорт посещаемость'!I293:AE293,"R*"))</f>
        <v>14</v>
      </c>
      <c r="G300" s="7">
        <f>IF($D300="","",MAX(0,COUNTA('Импорт посещаемость'!$I$1:$AE$1)-E300-F300))</f>
        <v>1</v>
      </c>
      <c r="H300" s="7">
        <f t="shared" si="4"/>
        <v>22</v>
      </c>
      <c r="I300" s="9">
        <f>IFERROR(H300/COUNTA('Импорт посещаемость'!$I$1:$AE$1),"")</f>
        <v>0.95652173913043503</v>
      </c>
      <c r="J300" s="13" t="str">
        <f>IFERROR(__xludf.DUMMYFUNCTION("IF($D300="""","""",SPARKLINE(I300,{""charttype"",""bar"";""max"",1;""color1"",""#FFFFFF""}))"),"")</f>
        <v/>
      </c>
    </row>
    <row r="301" spans="1:10" ht="15.75" customHeight="1">
      <c r="A301" s="2" t="s">
        <v>3026</v>
      </c>
      <c r="B301" s="2" t="s">
        <v>3027</v>
      </c>
      <c r="C301" s="3">
        <v>746</v>
      </c>
      <c r="D301" s="2" t="s">
        <v>738</v>
      </c>
      <c r="E301" s="7">
        <f>IF($D301="","",COUNTIF('Импорт посещаемость'!I294:AE294,"L*"))</f>
        <v>17</v>
      </c>
      <c r="F301" s="7">
        <f>IF($D301="","",COUNTIF('Импорт посещаемость'!I294:AE294,"R*"))</f>
        <v>6</v>
      </c>
      <c r="G301" s="7">
        <f>IF($D301="","",MAX(0,COUNTA('Импорт посещаемость'!$I$1:$AE$1)-E301-F301))</f>
        <v>0</v>
      </c>
      <c r="H301" s="7">
        <f t="shared" si="4"/>
        <v>23</v>
      </c>
      <c r="I301" s="9">
        <f>IFERROR(H301/COUNTA('Импорт посещаемость'!$I$1:$AE$1),"")</f>
        <v>1</v>
      </c>
      <c r="J301" s="13" t="str">
        <f>IFERROR(__xludf.DUMMYFUNCTION("IF($D301="""","""",SPARKLINE(I301,{""charttype"",""bar"";""max"",1;""color1"",""#FFFFFF""}))"),"")</f>
        <v/>
      </c>
    </row>
    <row r="302" spans="1:10" ht="15.75" customHeight="1">
      <c r="A302" s="2" t="s">
        <v>3028</v>
      </c>
      <c r="B302" s="2" t="s">
        <v>3029</v>
      </c>
      <c r="C302" s="3">
        <v>751</v>
      </c>
      <c r="D302" s="2" t="s">
        <v>740</v>
      </c>
      <c r="E302" s="7">
        <f>IF($D302="","",COUNTIF('Импорт посещаемость'!I295:AE295,"L*"))</f>
        <v>1</v>
      </c>
      <c r="F302" s="7">
        <f>IF($D302="","",COUNTIF('Импорт посещаемость'!I295:AE295,"R*"))</f>
        <v>22</v>
      </c>
      <c r="G302" s="7">
        <f>IF($D302="","",MAX(0,COUNTA('Импорт посещаемость'!$I$1:$AE$1)-E302-F302))</f>
        <v>0</v>
      </c>
      <c r="H302" s="7">
        <f t="shared" si="4"/>
        <v>23</v>
      </c>
      <c r="I302" s="9">
        <f>IFERROR(H302/COUNTA('Импорт посещаемость'!$I$1:$AE$1),"")</f>
        <v>1</v>
      </c>
      <c r="J302" s="13" t="str">
        <f>IFERROR(__xludf.DUMMYFUNCTION("IF($D302="""","""",SPARKLINE(I302,{""charttype"",""bar"";""max"",1;""color1"",""#FFFFFF""}))"),"")</f>
        <v/>
      </c>
    </row>
    <row r="303" spans="1:10" ht="15.75" customHeight="1">
      <c r="A303" s="2" t="s">
        <v>3030</v>
      </c>
      <c r="B303" s="2" t="s">
        <v>2732</v>
      </c>
      <c r="C303" s="3">
        <v>392</v>
      </c>
      <c r="D303" s="2" t="s">
        <v>576</v>
      </c>
      <c r="E303" s="7">
        <f>IF($D303="","",COUNTIF('Импорт посещаемость'!I296:AE296,"L*"))</f>
        <v>3</v>
      </c>
      <c r="F303" s="7">
        <f>IF($D303="","",COUNTIF('Импорт посещаемость'!I296:AE296,"R*"))</f>
        <v>20</v>
      </c>
      <c r="G303" s="7">
        <f>IF($D303="","",MAX(0,COUNTA('Импорт посещаемость'!$I$1:$AE$1)-E303-F303))</f>
        <v>0</v>
      </c>
      <c r="H303" s="7">
        <f t="shared" si="4"/>
        <v>23</v>
      </c>
      <c r="I303" s="9">
        <f>IFERROR(H303/COUNTA('Импорт посещаемость'!$I$1:$AE$1),"")</f>
        <v>1</v>
      </c>
      <c r="J303" s="13" t="str">
        <f>IFERROR(__xludf.DUMMYFUNCTION("IF($D303="""","""",SPARKLINE(I303,{""charttype"",""bar"";""max"",1;""color1"",""#FFFFFF""}))"),"")</f>
        <v/>
      </c>
    </row>
    <row r="304" spans="1:10" ht="15.75" customHeight="1">
      <c r="A304" s="2" t="s">
        <v>3031</v>
      </c>
      <c r="B304" s="2" t="s">
        <v>851</v>
      </c>
      <c r="C304" s="3">
        <v>772</v>
      </c>
      <c r="D304" s="2" t="s">
        <v>451</v>
      </c>
      <c r="E304" s="7">
        <f>IF($D304="","",COUNTIF('Импорт посещаемость'!I297:AE297,"L*"))</f>
        <v>12</v>
      </c>
      <c r="F304" s="7">
        <f>IF($D304="","",COUNTIF('Импорт посещаемость'!I297:AE297,"R*"))</f>
        <v>10</v>
      </c>
      <c r="G304" s="7">
        <f>IF($D304="","",MAX(0,COUNTA('Импорт посещаемость'!$I$1:$AE$1)-E304-F304))</f>
        <v>1</v>
      </c>
      <c r="H304" s="7">
        <f t="shared" si="4"/>
        <v>22</v>
      </c>
      <c r="I304" s="9">
        <f>IFERROR(H304/COUNTA('Импорт посещаемость'!$I$1:$AE$1),"")</f>
        <v>0.95652173913043503</v>
      </c>
      <c r="J304" s="13" t="str">
        <f>IFERROR(__xludf.DUMMYFUNCTION("IF($D304="""","""",SPARKLINE(I304,{""charttype"",""bar"";""max"",1;""color1"",""#FFFFFF""}))"),"")</f>
        <v/>
      </c>
    </row>
    <row r="305" spans="1:10" ht="15.75" customHeight="1">
      <c r="A305" s="2" t="s">
        <v>3032</v>
      </c>
      <c r="B305" s="2" t="s">
        <v>2715</v>
      </c>
      <c r="C305" s="3">
        <v>754</v>
      </c>
      <c r="D305" s="2" t="s">
        <v>176</v>
      </c>
      <c r="E305" s="7">
        <f>IF($D305="","",COUNTIF('Импорт посещаемость'!I298:AE298,"L*"))</f>
        <v>9</v>
      </c>
      <c r="F305" s="7">
        <f>IF($D305="","",COUNTIF('Импорт посещаемость'!I298:AE298,"R*"))</f>
        <v>14</v>
      </c>
      <c r="G305" s="7">
        <f>IF($D305="","",MAX(0,COUNTA('Импорт посещаемость'!$I$1:$AE$1)-E305-F305))</f>
        <v>0</v>
      </c>
      <c r="H305" s="7">
        <f t="shared" si="4"/>
        <v>23</v>
      </c>
      <c r="I305" s="9">
        <f>IFERROR(H305/COUNTA('Импорт посещаемость'!$I$1:$AE$1),"")</f>
        <v>1</v>
      </c>
      <c r="J305" s="13" t="str">
        <f>IFERROR(__xludf.DUMMYFUNCTION("IF($D305="""","""",SPARKLINE(I305,{""charttype"",""bar"";""max"",1;""color1"",""#FFFFFF""}))"),"")</f>
        <v/>
      </c>
    </row>
    <row r="306" spans="1:10" ht="15.75" customHeight="1">
      <c r="A306" s="2" t="s">
        <v>3033</v>
      </c>
      <c r="B306" s="2" t="s">
        <v>2674</v>
      </c>
      <c r="C306" s="3">
        <v>737</v>
      </c>
      <c r="D306" s="2" t="s">
        <v>179</v>
      </c>
      <c r="E306" s="7">
        <f>IF($D306="","",COUNTIF('Импорт посещаемость'!I299:AE299,"L*"))</f>
        <v>5</v>
      </c>
      <c r="F306" s="7">
        <f>IF($D306="","",COUNTIF('Импорт посещаемость'!I299:AE299,"R*"))</f>
        <v>18</v>
      </c>
      <c r="G306" s="7">
        <f>IF($D306="","",MAX(0,COUNTA('Импорт посещаемость'!$I$1:$AE$1)-E306-F306))</f>
        <v>0</v>
      </c>
      <c r="H306" s="7">
        <f t="shared" si="4"/>
        <v>23</v>
      </c>
      <c r="I306" s="9">
        <f>IFERROR(H306/COUNTA('Импорт посещаемость'!$I$1:$AE$1),"")</f>
        <v>1</v>
      </c>
      <c r="J306" s="13" t="str">
        <f>IFERROR(__xludf.DUMMYFUNCTION("IF($D306="""","""",SPARKLINE(I306,{""charttype"",""bar"";""max"",1;""color1"",""#FFFFFF""}))"),"")</f>
        <v/>
      </c>
    </row>
    <row r="307" spans="1:10" ht="15.75" customHeight="1">
      <c r="A307" s="2" t="s">
        <v>3034</v>
      </c>
      <c r="B307" s="2" t="s">
        <v>2775</v>
      </c>
      <c r="C307" s="3">
        <v>589</v>
      </c>
      <c r="D307" s="2" t="s">
        <v>454</v>
      </c>
      <c r="E307" s="7">
        <f>IF($D307="","",COUNTIF('Импорт посещаемость'!I300:AE300,"L*"))</f>
        <v>1</v>
      </c>
      <c r="F307" s="7">
        <f>IF($D307="","",COUNTIF('Импорт посещаемость'!I300:AE300,"R*"))</f>
        <v>22</v>
      </c>
      <c r="G307" s="7">
        <f>IF($D307="","",MAX(0,COUNTA('Импорт посещаемость'!$I$1:$AE$1)-E307-F307))</f>
        <v>0</v>
      </c>
      <c r="H307" s="7">
        <f t="shared" si="4"/>
        <v>23</v>
      </c>
      <c r="I307" s="9">
        <f>IFERROR(H307/COUNTA('Импорт посещаемость'!$I$1:$AE$1),"")</f>
        <v>1</v>
      </c>
      <c r="J307" s="13" t="str">
        <f>IFERROR(__xludf.DUMMYFUNCTION("IF($D307="""","""",SPARKLINE(I307,{""charttype"",""bar"";""max"",1;""color1"",""#FFFFFF""}))"),"")</f>
        <v/>
      </c>
    </row>
    <row r="308" spans="1:10" ht="15.75" customHeight="1">
      <c r="A308" s="2" t="s">
        <v>3035</v>
      </c>
      <c r="B308" s="2" t="s">
        <v>2659</v>
      </c>
      <c r="C308" s="3">
        <v>262</v>
      </c>
      <c r="D308" s="2" t="s">
        <v>181</v>
      </c>
      <c r="E308" s="7">
        <f>IF($D308="","",COUNTIF('Импорт посещаемость'!I301:AE301,"L*"))</f>
        <v>0</v>
      </c>
      <c r="F308" s="7">
        <f>IF($D308="","",COUNTIF('Импорт посещаемость'!I301:AE301,"R*"))</f>
        <v>14</v>
      </c>
      <c r="G308" s="7">
        <f>IF($D308="","",MAX(0,COUNTA('Импорт посещаемость'!$I$1:$AE$1)-E308-F308))</f>
        <v>9</v>
      </c>
      <c r="H308" s="7">
        <f t="shared" si="4"/>
        <v>14</v>
      </c>
      <c r="I308" s="9">
        <f>IFERROR(H308/COUNTA('Импорт посещаемость'!$I$1:$AE$1),"")</f>
        <v>0.60869565217391297</v>
      </c>
      <c r="J308" s="13" t="str">
        <f>IFERROR(__xludf.DUMMYFUNCTION("IF($D308="""","""",SPARKLINE(I308,{""charttype"",""bar"";""max"",1;""color1"",""#FFFFFF""}))"),"")</f>
        <v/>
      </c>
    </row>
    <row r="309" spans="1:10" ht="15.75" customHeight="1">
      <c r="A309" s="2" t="s">
        <v>3036</v>
      </c>
      <c r="B309" s="2" t="s">
        <v>2808</v>
      </c>
      <c r="C309" s="3">
        <v>771</v>
      </c>
      <c r="D309" s="2" t="s">
        <v>338</v>
      </c>
      <c r="E309" s="7">
        <f>IF($D309="","",COUNTIF('Импорт посещаемость'!I302:AE302,"L*"))</f>
        <v>11</v>
      </c>
      <c r="F309" s="7">
        <f>IF($D309="","",COUNTIF('Импорт посещаемость'!I302:AE302,"R*"))</f>
        <v>12</v>
      </c>
      <c r="G309" s="7">
        <f>IF($D309="","",MAX(0,COUNTA('Импорт посещаемость'!$I$1:$AE$1)-E309-F309))</f>
        <v>0</v>
      </c>
      <c r="H309" s="7">
        <f t="shared" si="4"/>
        <v>23</v>
      </c>
      <c r="I309" s="9">
        <f>IFERROR(H309/COUNTA('Импорт посещаемость'!$I$1:$AE$1),"")</f>
        <v>1</v>
      </c>
      <c r="J309" s="13" t="str">
        <f>IFERROR(__xludf.DUMMYFUNCTION("IF($D309="""","""",SPARKLINE(I309,{""charttype"",""bar"";""max"",1;""color1"",""#FFFFFF""}))"),"")</f>
        <v/>
      </c>
    </row>
    <row r="310" spans="1:10" ht="15.75" customHeight="1">
      <c r="A310" s="2" t="s">
        <v>3037</v>
      </c>
      <c r="B310" s="2" t="s">
        <v>2755</v>
      </c>
      <c r="C310" s="3">
        <v>760</v>
      </c>
      <c r="D310" s="2" t="s">
        <v>184</v>
      </c>
      <c r="E310" s="7">
        <f>IF($D310="","",COUNTIF('Импорт посещаемость'!I303:AE303,"L*"))</f>
        <v>13</v>
      </c>
      <c r="F310" s="7">
        <f>IF($D310="","",COUNTIF('Импорт посещаемость'!I303:AE303,"R*"))</f>
        <v>10</v>
      </c>
      <c r="G310" s="7">
        <f>IF($D310="","",MAX(0,COUNTA('Импорт посещаемость'!$I$1:$AE$1)-E310-F310))</f>
        <v>0</v>
      </c>
      <c r="H310" s="7">
        <f t="shared" si="4"/>
        <v>23</v>
      </c>
      <c r="I310" s="9">
        <f>IFERROR(H310/COUNTA('Импорт посещаемость'!$I$1:$AE$1),"")</f>
        <v>1</v>
      </c>
      <c r="J310" s="13" t="str">
        <f>IFERROR(__xludf.DUMMYFUNCTION("IF($D310="""","""",SPARKLINE(I310,{""charttype"",""bar"";""max"",1;""color1"",""#FFFFFF""}))"),"")</f>
        <v/>
      </c>
    </row>
    <row r="311" spans="1:10" ht="15.75" customHeight="1">
      <c r="A311" s="2" t="s">
        <v>3038</v>
      </c>
      <c r="B311" s="2" t="s">
        <v>2833</v>
      </c>
      <c r="C311" s="3">
        <v>221</v>
      </c>
      <c r="D311" s="2" t="s">
        <v>241</v>
      </c>
      <c r="E311" s="7">
        <f>IF($D311="","",COUNTIF('Импорт посещаемость'!I304:AE304,"L*"))</f>
        <v>1</v>
      </c>
      <c r="F311" s="7">
        <f>IF($D311="","",COUNTIF('Импорт посещаемость'!I304:AE304,"R*"))</f>
        <v>22</v>
      </c>
      <c r="G311" s="7">
        <f>IF($D311="","",MAX(0,COUNTA('Импорт посещаемость'!$I$1:$AE$1)-E311-F311))</f>
        <v>0</v>
      </c>
      <c r="H311" s="7">
        <f t="shared" si="4"/>
        <v>23</v>
      </c>
      <c r="I311" s="9">
        <f>IFERROR(H311/COUNTA('Импорт посещаемость'!$I$1:$AE$1),"")</f>
        <v>1</v>
      </c>
      <c r="J311" s="13" t="str">
        <f>IFERROR(__xludf.DUMMYFUNCTION("IF($D311="""","""",SPARKLINE(I311,{""charttype"",""bar"";""max"",1;""color1"",""#FFFFFF""}))"),"")</f>
        <v/>
      </c>
    </row>
    <row r="312" spans="1:10" ht="15.75" customHeight="1">
      <c r="A312" s="2" t="s">
        <v>3039</v>
      </c>
      <c r="B312" s="2" t="s">
        <v>3040</v>
      </c>
      <c r="C312" s="3">
        <v>233</v>
      </c>
      <c r="D312" s="2" t="s">
        <v>653</v>
      </c>
      <c r="E312" s="7">
        <f>IF($D312="","",COUNTIF('Импорт посещаемость'!I305:AE305,"L*"))</f>
        <v>7</v>
      </c>
      <c r="F312" s="7">
        <f>IF($D312="","",COUNTIF('Импорт посещаемость'!I305:AE305,"R*"))</f>
        <v>16</v>
      </c>
      <c r="G312" s="7">
        <f>IF($D312="","",MAX(0,COUNTA('Импорт посещаемость'!$I$1:$AE$1)-E312-F312))</f>
        <v>0</v>
      </c>
      <c r="H312" s="7">
        <f t="shared" si="4"/>
        <v>23</v>
      </c>
      <c r="I312" s="9">
        <f>IFERROR(H312/COUNTA('Импорт посещаемость'!$I$1:$AE$1),"")</f>
        <v>1</v>
      </c>
      <c r="J312" s="13" t="str">
        <f>IFERROR(__xludf.DUMMYFUNCTION("IF($D312="""","""",SPARKLINE(I312,{""charttype"",""bar"";""max"",1;""color1"",""#FFFFFF""}))"),"")</f>
        <v/>
      </c>
    </row>
    <row r="313" spans="1:10" ht="15.75" customHeight="1">
      <c r="A313" s="2" t="s">
        <v>3041</v>
      </c>
      <c r="B313" s="2" t="s">
        <v>2770</v>
      </c>
      <c r="C313" s="3">
        <v>320</v>
      </c>
      <c r="D313" s="2" t="s">
        <v>423</v>
      </c>
      <c r="E313" s="7">
        <f>IF($D313="","",COUNTIF('Импорт посещаемость'!I306:AE306,"L*"))</f>
        <v>0</v>
      </c>
      <c r="F313" s="7">
        <f>IF($D313="","",COUNTIF('Импорт посещаемость'!I306:AE306,"R*"))</f>
        <v>23</v>
      </c>
      <c r="G313" s="7">
        <f>IF($D313="","",MAX(0,COUNTA('Импорт посещаемость'!$I$1:$AE$1)-E313-F313))</f>
        <v>0</v>
      </c>
      <c r="H313" s="7">
        <f t="shared" si="4"/>
        <v>23</v>
      </c>
      <c r="I313" s="9">
        <f>IFERROR(H313/COUNTA('Импорт посещаемость'!$I$1:$AE$1),"")</f>
        <v>1</v>
      </c>
      <c r="J313" s="13" t="str">
        <f>IFERROR(__xludf.DUMMYFUNCTION("IF($D313="""","""",SPARKLINE(I313,{""charttype"",""bar"";""max"",1;""color1"",""#FFFFFF""}))"),"")</f>
        <v/>
      </c>
    </row>
    <row r="314" spans="1:10" ht="15.75" customHeight="1">
      <c r="A314" s="2" t="s">
        <v>3042</v>
      </c>
      <c r="B314" s="2" t="s">
        <v>3043</v>
      </c>
      <c r="C314" s="3">
        <v>669</v>
      </c>
      <c r="D314" s="2" t="s">
        <v>707</v>
      </c>
      <c r="E314" s="7">
        <f>IF($D314="","",COUNTIF('Импорт посещаемость'!I307:AE307,"L*"))</f>
        <v>10</v>
      </c>
      <c r="F314" s="7">
        <f>IF($D314="","",COUNTIF('Импорт посещаемость'!I307:AE307,"R*"))</f>
        <v>13</v>
      </c>
      <c r="G314" s="7">
        <f>IF($D314="","",MAX(0,COUNTA('Импорт посещаемость'!$I$1:$AE$1)-E314-F314))</f>
        <v>0</v>
      </c>
      <c r="H314" s="7">
        <f t="shared" si="4"/>
        <v>23</v>
      </c>
      <c r="I314" s="9">
        <f>IFERROR(H314/COUNTA('Импорт посещаемость'!$I$1:$AE$1),"")</f>
        <v>1</v>
      </c>
      <c r="J314" s="13" t="str">
        <f>IFERROR(__xludf.DUMMYFUNCTION("IF($D314="""","""",SPARKLINE(I314,{""charttype"",""bar"";""max"",1;""color1"",""#FFFFFF""}))"),"")</f>
        <v/>
      </c>
    </row>
    <row r="315" spans="1:10" ht="15.75" customHeight="1">
      <c r="A315" s="2" t="s">
        <v>3044</v>
      </c>
      <c r="B315" s="2" t="s">
        <v>2659</v>
      </c>
      <c r="C315" s="3">
        <v>602</v>
      </c>
      <c r="D315" s="2" t="s">
        <v>497</v>
      </c>
      <c r="E315" s="7">
        <f>IF($D315="","",COUNTIF('Импорт посещаемость'!I308:AE308,"L*"))</f>
        <v>6</v>
      </c>
      <c r="F315" s="7">
        <f>IF($D315="","",COUNTIF('Импорт посещаемость'!I308:AE308,"R*"))</f>
        <v>12</v>
      </c>
      <c r="G315" s="7">
        <f>IF($D315="","",MAX(0,COUNTA('Импорт посещаемость'!$I$1:$AE$1)-E315-F315))</f>
        <v>5</v>
      </c>
      <c r="H315" s="7">
        <f t="shared" si="4"/>
        <v>18</v>
      </c>
      <c r="I315" s="9">
        <f>IFERROR(H315/COUNTA('Импорт посещаемость'!$I$1:$AE$1),"")</f>
        <v>0.78260869565217395</v>
      </c>
      <c r="J315" s="13" t="str">
        <f>IFERROR(__xludf.DUMMYFUNCTION("IF($D315="""","""",SPARKLINE(I315,{""charttype"",""bar"";""max"",1;""color1"",""#FFFFFF""}))"),"")</f>
        <v/>
      </c>
    </row>
    <row r="316" spans="1:10" ht="15.75" customHeight="1">
      <c r="A316" s="2" t="s">
        <v>3045</v>
      </c>
      <c r="B316" s="2" t="s">
        <v>2896</v>
      </c>
      <c r="C316" s="3">
        <v>675</v>
      </c>
      <c r="D316" s="2" t="s">
        <v>656</v>
      </c>
      <c r="E316" s="7">
        <f>IF($D316="","",COUNTIF('Импорт посещаемость'!I309:AE309,"L*"))</f>
        <v>7</v>
      </c>
      <c r="F316" s="7">
        <f>IF($D316="","",COUNTIF('Импорт посещаемость'!I309:AE309,"R*"))</f>
        <v>16</v>
      </c>
      <c r="G316" s="7">
        <f>IF($D316="","",MAX(0,COUNTA('Импорт посещаемость'!$I$1:$AE$1)-E316-F316))</f>
        <v>0</v>
      </c>
      <c r="H316" s="7">
        <f t="shared" si="4"/>
        <v>23</v>
      </c>
      <c r="I316" s="9">
        <f>IFERROR(H316/COUNTA('Импорт посещаемость'!$I$1:$AE$1),"")</f>
        <v>1</v>
      </c>
      <c r="J316" s="13" t="str">
        <f>IFERROR(__xludf.DUMMYFUNCTION("IF($D316="""","""",SPARKLINE(I316,{""charttype"",""bar"";""max"",1;""color1"",""#FFFFFF""}))"),"")</f>
        <v/>
      </c>
    </row>
    <row r="317" spans="1:10" ht="15.75" customHeight="1">
      <c r="A317" s="2" t="s">
        <v>3046</v>
      </c>
      <c r="B317" s="2" t="s">
        <v>2687</v>
      </c>
      <c r="C317" s="3">
        <v>248</v>
      </c>
      <c r="D317" s="2" t="s">
        <v>186</v>
      </c>
      <c r="E317" s="7">
        <f>IF($D317="","",COUNTIF('Импорт посещаемость'!I310:AE310,"L*"))</f>
        <v>1</v>
      </c>
      <c r="F317" s="7">
        <f>IF($D317="","",COUNTIF('Импорт посещаемость'!I310:AE310,"R*"))</f>
        <v>11</v>
      </c>
      <c r="G317" s="7">
        <f>IF($D317="","",MAX(0,COUNTA('Импорт посещаемость'!$I$1:$AE$1)-E317-F317))</f>
        <v>11</v>
      </c>
      <c r="H317" s="7">
        <f t="shared" si="4"/>
        <v>12</v>
      </c>
      <c r="I317" s="9">
        <f>IFERROR(H317/COUNTA('Импорт посещаемость'!$I$1:$AE$1),"")</f>
        <v>0.52173913043478304</v>
      </c>
      <c r="J317" s="13" t="str">
        <f>IFERROR(__xludf.DUMMYFUNCTION("IF($D317="""","""",SPARKLINE(I317,{""charttype"",""bar"";""max"",1;""color1"",""#FFFFFF""}))"),"")</f>
        <v/>
      </c>
    </row>
    <row r="318" spans="1:10" ht="15.75" customHeight="1">
      <c r="A318" s="2" t="s">
        <v>3047</v>
      </c>
      <c r="B318" s="2" t="s">
        <v>2671</v>
      </c>
      <c r="C318" s="3">
        <v>637</v>
      </c>
      <c r="D318" s="2" t="s">
        <v>341</v>
      </c>
      <c r="E318" s="7">
        <f>IF($D318="","",COUNTIF('Импорт посещаемость'!I311:AE311,"L*"))</f>
        <v>7</v>
      </c>
      <c r="F318" s="7">
        <f>IF($D318="","",COUNTIF('Импорт посещаемость'!I311:AE311,"R*"))</f>
        <v>14</v>
      </c>
      <c r="G318" s="7">
        <f>IF($D318="","",MAX(0,COUNTA('Импорт посещаемость'!$I$1:$AE$1)-E318-F318))</f>
        <v>2</v>
      </c>
      <c r="H318" s="7">
        <f t="shared" si="4"/>
        <v>21</v>
      </c>
      <c r="I318" s="9">
        <f>IFERROR(H318/COUNTA('Импорт посещаемость'!$I$1:$AE$1),"")</f>
        <v>0.91304347826086996</v>
      </c>
      <c r="J318" s="13" t="str">
        <f>IFERROR(__xludf.DUMMYFUNCTION("IF($D318="""","""",SPARKLINE(I318,{""charttype"",""bar"";""max"",1;""color1"",""#FFFFFF""}))"),"")</f>
        <v/>
      </c>
    </row>
    <row r="319" spans="1:10" ht="15.75" customHeight="1">
      <c r="A319" s="2" t="s">
        <v>3048</v>
      </c>
      <c r="B319" s="2" t="s">
        <v>2775</v>
      </c>
      <c r="C319" s="3">
        <v>692</v>
      </c>
      <c r="D319" s="2" t="s">
        <v>281</v>
      </c>
      <c r="E319" s="7">
        <f>IF($D319="","",COUNTIF('Импорт посещаемость'!I312:AE312,"L*"))</f>
        <v>7</v>
      </c>
      <c r="F319" s="7">
        <f>IF($D319="","",COUNTIF('Импорт посещаемость'!I312:AE312,"R*"))</f>
        <v>16</v>
      </c>
      <c r="G319" s="7">
        <f>IF($D319="","",MAX(0,COUNTA('Импорт посещаемость'!$I$1:$AE$1)-E319-F319))</f>
        <v>0</v>
      </c>
      <c r="H319" s="7">
        <f t="shared" si="4"/>
        <v>23</v>
      </c>
      <c r="I319" s="9">
        <f>IFERROR(H319/COUNTA('Импорт посещаемость'!$I$1:$AE$1),"")</f>
        <v>1</v>
      </c>
      <c r="J319" s="13" t="str">
        <f>IFERROR(__xludf.DUMMYFUNCTION("IF($D319="""","""",SPARKLINE(I319,{""charttype"",""bar"";""max"",1;""color1"",""#FFFFFF""}))"),"")</f>
        <v/>
      </c>
    </row>
    <row r="320" spans="1:10" ht="15.75" customHeight="1">
      <c r="A320" s="2" t="s">
        <v>3049</v>
      </c>
      <c r="B320" s="2" t="s">
        <v>2682</v>
      </c>
      <c r="C320" s="3">
        <v>281</v>
      </c>
      <c r="D320" s="2" t="s">
        <v>47</v>
      </c>
      <c r="E320" s="7">
        <f>IF($D320="","",COUNTIF('Импорт посещаемость'!I313:AE313,"L*"))</f>
        <v>14</v>
      </c>
      <c r="F320" s="7">
        <f>IF($D320="","",COUNTIF('Импорт посещаемость'!I313:AE313,"R*"))</f>
        <v>9</v>
      </c>
      <c r="G320" s="7">
        <f>IF($D320="","",MAX(0,COUNTA('Импорт посещаемость'!$I$1:$AE$1)-E320-F320))</f>
        <v>0</v>
      </c>
      <c r="H320" s="7">
        <f t="shared" si="4"/>
        <v>23</v>
      </c>
      <c r="I320" s="9">
        <f>IFERROR(H320/COUNTA('Импорт посещаемость'!$I$1:$AE$1),"")</f>
        <v>1</v>
      </c>
      <c r="J320" s="13" t="str">
        <f>IFERROR(__xludf.DUMMYFUNCTION("IF($D320="""","""",SPARKLINE(I320,{""charttype"",""bar"";""max"",1;""color1"",""#FFFFFF""}))"),"")</f>
        <v/>
      </c>
    </row>
    <row r="321" spans="1:10" ht="15.75" customHeight="1">
      <c r="A321" s="2" t="s">
        <v>3050</v>
      </c>
      <c r="B321" s="2" t="s">
        <v>2693</v>
      </c>
      <c r="C321" s="3">
        <v>418</v>
      </c>
      <c r="D321" s="2" t="s">
        <v>607</v>
      </c>
      <c r="E321" s="7">
        <f>IF($D321="","",COUNTIF('Импорт посещаемость'!I314:AE314,"L*"))</f>
        <v>17</v>
      </c>
      <c r="F321" s="7">
        <f>IF($D321="","",COUNTIF('Импорт посещаемость'!I314:AE314,"R*"))</f>
        <v>4</v>
      </c>
      <c r="G321" s="7">
        <f>IF($D321="","",MAX(0,COUNTA('Импорт посещаемость'!$I$1:$AE$1)-E321-F321))</f>
        <v>2</v>
      </c>
      <c r="H321" s="7">
        <f t="shared" si="4"/>
        <v>21</v>
      </c>
      <c r="I321" s="9">
        <f>IFERROR(H321/COUNTA('Импорт посещаемость'!$I$1:$AE$1),"")</f>
        <v>0.91304347826086996</v>
      </c>
      <c r="J321" s="13" t="str">
        <f>IFERROR(__xludf.DUMMYFUNCTION("IF($D321="""","""",SPARKLINE(I321,{""charttype"",""bar"";""max"",1;""color1"",""#FFFFFF""}))"),"")</f>
        <v/>
      </c>
    </row>
    <row r="322" spans="1:10" ht="15.75" customHeight="1">
      <c r="A322" s="2" t="s">
        <v>3051</v>
      </c>
      <c r="B322" s="2" t="s">
        <v>2722</v>
      </c>
      <c r="C322" s="3">
        <v>766</v>
      </c>
      <c r="D322" s="2" t="s">
        <v>142</v>
      </c>
      <c r="E322" s="7">
        <f>IF($D322="","",COUNTIF('Импорт посещаемость'!I315:AE315,"L*"))</f>
        <v>17</v>
      </c>
      <c r="F322" s="7">
        <f>IF($D322="","",COUNTIF('Импорт посещаемость'!I315:AE315,"R*"))</f>
        <v>6</v>
      </c>
      <c r="G322" s="7">
        <f>IF($D322="","",MAX(0,COUNTA('Импорт посещаемость'!$I$1:$AE$1)-E322-F322))</f>
        <v>0</v>
      </c>
      <c r="H322" s="7">
        <f t="shared" ref="H322:H334" si="5">IF($D322="","",E322+F322)</f>
        <v>23</v>
      </c>
      <c r="I322" s="9">
        <f>IFERROR(H322/COUNTA('Импорт посещаемость'!$I$1:$AE$1),"")</f>
        <v>1</v>
      </c>
      <c r="J322" s="13" t="str">
        <f>IFERROR(__xludf.DUMMYFUNCTION("IF($D322="""","""",SPARKLINE(I322,{""charttype"",""bar"";""max"",1;""color1"",""#FFFFFF""}))"),"")</f>
        <v/>
      </c>
    </row>
    <row r="323" spans="1:10" ht="15.75" customHeight="1">
      <c r="A323" s="2" t="s">
        <v>3052</v>
      </c>
      <c r="B323" s="2" t="s">
        <v>3053</v>
      </c>
      <c r="C323" s="3">
        <v>818</v>
      </c>
      <c r="D323" s="2" t="s">
        <v>344</v>
      </c>
      <c r="E323" s="7">
        <f>IF($D323="","",COUNTIF('Импорт посещаемость'!I316:AE316,"L*"))</f>
        <v>12</v>
      </c>
      <c r="F323" s="7">
        <f>IF($D323="","",COUNTIF('Импорт посещаемость'!I316:AE316,"R*"))</f>
        <v>9</v>
      </c>
      <c r="G323" s="7">
        <f>IF($D323="","",MAX(0,COUNTA('Импорт посещаемость'!$I$1:$AE$1)-E323-F323))</f>
        <v>2</v>
      </c>
      <c r="H323" s="7">
        <f t="shared" si="5"/>
        <v>21</v>
      </c>
      <c r="I323" s="9">
        <f>IFERROR(H323/COUNTA('Импорт посещаемость'!$I$1:$AE$1),"")</f>
        <v>0.91304347826086996</v>
      </c>
      <c r="J323" s="13" t="str">
        <f>IFERROR(__xludf.DUMMYFUNCTION("IF($D323="""","""",SPARKLINE(I323,{""charttype"",""bar"";""max"",1;""color1"",""#FFFFFF""}))"),"")</f>
        <v/>
      </c>
    </row>
    <row r="324" spans="1:10" ht="15.75" customHeight="1">
      <c r="A324" s="2" t="s">
        <v>3054</v>
      </c>
      <c r="B324" s="2" t="s">
        <v>2722</v>
      </c>
      <c r="C324" s="3">
        <v>629</v>
      </c>
      <c r="D324" s="2" t="s">
        <v>50</v>
      </c>
      <c r="E324" s="7">
        <f>IF($D324="","",COUNTIF('Импорт посещаемость'!I317:AE317,"L*"))</f>
        <v>2</v>
      </c>
      <c r="F324" s="7">
        <f>IF($D324="","",COUNTIF('Импорт посещаемость'!I317:AE317,"R*"))</f>
        <v>21</v>
      </c>
      <c r="G324" s="7">
        <f>IF($D324="","",MAX(0,COUNTA('Импорт посещаемость'!$I$1:$AE$1)-E324-F324))</f>
        <v>0</v>
      </c>
      <c r="H324" s="7">
        <f t="shared" si="5"/>
        <v>23</v>
      </c>
      <c r="I324" s="9">
        <f>IFERROR(H324/COUNTA('Импорт посещаемость'!$I$1:$AE$1),"")</f>
        <v>1</v>
      </c>
      <c r="J324" s="13" t="str">
        <f>IFERROR(__xludf.DUMMYFUNCTION("IF($D324="""","""",SPARKLINE(I324,{""charttype"",""bar"";""max"",1;""color1"",""#FFFFFF""}))"),"")</f>
        <v/>
      </c>
    </row>
    <row r="325" spans="1:10" ht="15.75" customHeight="1">
      <c r="A325" s="2" t="s">
        <v>3055</v>
      </c>
      <c r="B325" s="2" t="s">
        <v>2682</v>
      </c>
      <c r="C325" s="3">
        <v>739</v>
      </c>
      <c r="D325" s="2" t="s">
        <v>189</v>
      </c>
      <c r="E325" s="7">
        <f>IF($D325="","",COUNTIF('Импорт посещаемость'!I318:AE318,"L*"))</f>
        <v>14</v>
      </c>
      <c r="F325" s="7">
        <f>IF($D325="","",COUNTIF('Импорт посещаемость'!I318:AE318,"R*"))</f>
        <v>9</v>
      </c>
      <c r="G325" s="7">
        <f>IF($D325="","",MAX(0,COUNTA('Импорт посещаемость'!$I$1:$AE$1)-E325-F325))</f>
        <v>0</v>
      </c>
      <c r="H325" s="7">
        <f t="shared" si="5"/>
        <v>23</v>
      </c>
      <c r="I325" s="9">
        <f>IFERROR(H325/COUNTA('Импорт посещаемость'!$I$1:$AE$1),"")</f>
        <v>1</v>
      </c>
      <c r="J325" s="13" t="str">
        <f>IFERROR(__xludf.DUMMYFUNCTION("IF($D325="""","""",SPARKLINE(I325,{""charttype"",""bar"";""max"",1;""color1"",""#FFFFFF""}))"),"")</f>
        <v/>
      </c>
    </row>
    <row r="326" spans="1:10" ht="15.75" customHeight="1">
      <c r="A326" s="2" t="s">
        <v>3056</v>
      </c>
      <c r="B326" s="2" t="s">
        <v>3057</v>
      </c>
      <c r="C326" s="3">
        <v>815</v>
      </c>
      <c r="D326" s="2" t="s">
        <v>812</v>
      </c>
      <c r="E326" s="7">
        <f>IF($D326="","",COUNTIF('Импорт посещаемость'!I319:AE319,"L*"))</f>
        <v>10</v>
      </c>
      <c r="F326" s="7">
        <f>IF($D326="","",COUNTIF('Импорт посещаемость'!I319:AE319,"R*"))</f>
        <v>13</v>
      </c>
      <c r="G326" s="7">
        <f>IF($D326="","",MAX(0,COUNTA('Импорт посещаемость'!$I$1:$AE$1)-E326-F326))</f>
        <v>0</v>
      </c>
      <c r="H326" s="7">
        <f t="shared" si="5"/>
        <v>23</v>
      </c>
      <c r="I326" s="9">
        <f>IFERROR(H326/COUNTA('Импорт посещаемость'!$I$1:$AE$1),"")</f>
        <v>1</v>
      </c>
      <c r="J326" s="13" t="str">
        <f>IFERROR(__xludf.DUMMYFUNCTION("IF($D326="""","""",SPARKLINE(I326,{""charttype"",""bar"";""max"",1;""color1"",""#FFFFFF""}))"),"")</f>
        <v/>
      </c>
    </row>
    <row r="327" spans="1:10" ht="15.75" customHeight="1">
      <c r="A327" s="2" t="s">
        <v>3058</v>
      </c>
      <c r="B327" s="2" t="s">
        <v>2761</v>
      </c>
      <c r="C327" s="3">
        <v>455</v>
      </c>
      <c r="D327" s="2" t="s">
        <v>192</v>
      </c>
      <c r="E327" s="7">
        <f>IF($D327="","",COUNTIF('Импорт посещаемость'!I320:AE320,"L*"))</f>
        <v>17</v>
      </c>
      <c r="F327" s="7">
        <f>IF($D327="","",COUNTIF('Импорт посещаемость'!I320:AE320,"R*"))</f>
        <v>6</v>
      </c>
      <c r="G327" s="7">
        <f>IF($D327="","",MAX(0,COUNTA('Импорт посещаемость'!$I$1:$AE$1)-E327-F327))</f>
        <v>0</v>
      </c>
      <c r="H327" s="7">
        <f t="shared" si="5"/>
        <v>23</v>
      </c>
      <c r="I327" s="9">
        <f>IFERROR(H327/COUNTA('Импорт посещаемость'!$I$1:$AE$1),"")</f>
        <v>1</v>
      </c>
      <c r="J327" s="13" t="str">
        <f>IFERROR(__xludf.DUMMYFUNCTION("IF($D327="""","""",SPARKLINE(I327,{""charttype"",""bar"";""max"",1;""color1"",""#FFFFFF""}))"),"")</f>
        <v/>
      </c>
    </row>
    <row r="328" spans="1:10" ht="15.75" customHeight="1">
      <c r="A328" s="2" t="s">
        <v>3059</v>
      </c>
      <c r="B328" s="2" t="s">
        <v>3060</v>
      </c>
      <c r="C328" s="3">
        <v>660</v>
      </c>
      <c r="D328" s="2" t="s">
        <v>742</v>
      </c>
      <c r="E328" s="7">
        <f>IF($D328="","",COUNTIF('Импорт посещаемость'!I321:AE321,"L*"))</f>
        <v>14</v>
      </c>
      <c r="F328" s="7">
        <f>IF($D328="","",COUNTIF('Импорт посещаемость'!I321:AE321,"R*"))</f>
        <v>1</v>
      </c>
      <c r="G328" s="7">
        <f>IF($D328="","",MAX(0,COUNTA('Импорт посещаемость'!$I$1:$AE$1)-E328-F328))</f>
        <v>8</v>
      </c>
      <c r="H328" s="7">
        <f t="shared" si="5"/>
        <v>15</v>
      </c>
      <c r="I328" s="9">
        <f>IFERROR(H328/COUNTA('Импорт посещаемость'!$I$1:$AE$1),"")</f>
        <v>0.65217391304347805</v>
      </c>
      <c r="J328" s="13" t="str">
        <f>IFERROR(__xludf.DUMMYFUNCTION("IF($D328="""","""",SPARKLINE(I328,{""charttype"",""bar"";""max"",1;""color1"",""#FFFFFF""}))"),"")</f>
        <v/>
      </c>
    </row>
    <row r="329" spans="1:10" ht="15.75" customHeight="1">
      <c r="A329" s="2" t="s">
        <v>3061</v>
      </c>
      <c r="B329" s="2" t="s">
        <v>2770</v>
      </c>
      <c r="C329" s="3">
        <v>608</v>
      </c>
      <c r="D329" s="2" t="s">
        <v>457</v>
      </c>
      <c r="E329" s="7">
        <f>IF($D329="","",COUNTIF('Импорт посещаемость'!I322:AE322,"L*"))</f>
        <v>11</v>
      </c>
      <c r="F329" s="7">
        <f>IF($D329="","",COUNTIF('Импорт посещаемость'!I322:AE322,"R*"))</f>
        <v>12</v>
      </c>
      <c r="G329" s="7">
        <f>IF($D329="","",MAX(0,COUNTA('Импорт посещаемость'!$I$1:$AE$1)-E329-F329))</f>
        <v>0</v>
      </c>
      <c r="H329" s="7">
        <f t="shared" si="5"/>
        <v>23</v>
      </c>
      <c r="I329" s="9">
        <f>IFERROR(H329/COUNTA('Импорт посещаемость'!$I$1:$AE$1),"")</f>
        <v>1</v>
      </c>
      <c r="J329" s="13" t="str">
        <f>IFERROR(__xludf.DUMMYFUNCTION("IF($D329="""","""",SPARKLINE(I329,{""charttype"",""bar"";""max"",1;""color1"",""#FFFFFF""}))"),"")</f>
        <v/>
      </c>
    </row>
    <row r="330" spans="1:10" ht="15.75" customHeight="1">
      <c r="A330" s="2" t="s">
        <v>3062</v>
      </c>
      <c r="B330" s="2" t="s">
        <v>2761</v>
      </c>
      <c r="C330" s="3">
        <v>278</v>
      </c>
      <c r="D330" s="2" t="s">
        <v>347</v>
      </c>
      <c r="E330" s="7">
        <f>IF($D330="","",COUNTIF('Импорт посещаемость'!I323:AE323,"L*"))</f>
        <v>9</v>
      </c>
      <c r="F330" s="7">
        <f>IF($D330="","",COUNTIF('Импорт посещаемость'!I323:AE323,"R*"))</f>
        <v>14</v>
      </c>
      <c r="G330" s="7">
        <f>IF($D330="","",MAX(0,COUNTA('Импорт посещаемость'!$I$1:$AE$1)-E330-F330))</f>
        <v>0</v>
      </c>
      <c r="H330" s="7">
        <f t="shared" si="5"/>
        <v>23</v>
      </c>
      <c r="I330" s="9">
        <f>IFERROR(H330/COUNTA('Импорт посещаемость'!$I$1:$AE$1),"")</f>
        <v>1</v>
      </c>
      <c r="J330" s="13" t="str">
        <f>IFERROR(__xludf.DUMMYFUNCTION("IF($D330="""","""",SPARKLINE(I330,{""charttype"",""bar"";""max"",1;""color1"",""#FFFFFF""}))"),"")</f>
        <v/>
      </c>
    </row>
    <row r="331" spans="1:10" ht="15.75" customHeight="1">
      <c r="A331" s="2" t="s">
        <v>844</v>
      </c>
      <c r="B331" s="2" t="s">
        <v>2804</v>
      </c>
      <c r="C331" s="3">
        <v>729</v>
      </c>
      <c r="D331" s="2" t="s">
        <v>195</v>
      </c>
      <c r="E331" s="7">
        <f>IF($D331="","",COUNTIF('Импорт посещаемость'!I324:AE324,"L*"))</f>
        <v>12</v>
      </c>
      <c r="F331" s="7">
        <f>IF($D331="","",COUNTIF('Импорт посещаемость'!I324:AE324,"R*"))</f>
        <v>11</v>
      </c>
      <c r="G331" s="7">
        <f>IF($D331="","",MAX(0,COUNTA('Импорт посещаемость'!$I$1:$AE$1)-E331-F331))</f>
        <v>0</v>
      </c>
      <c r="H331" s="7">
        <f t="shared" si="5"/>
        <v>23</v>
      </c>
      <c r="I331" s="9">
        <f>IFERROR(H331/COUNTA('Импорт посещаемость'!$I$1:$AE$1),"")</f>
        <v>1</v>
      </c>
      <c r="J331" s="13" t="str">
        <f>IFERROR(__xludf.DUMMYFUNCTION("IF($D331="""","""",SPARKLINE(I331,{""charttype"",""bar"";""max"",1;""color1"",""#FFFFFF""}))"),"")</f>
        <v/>
      </c>
    </row>
    <row r="332" spans="1:10" ht="15.75" customHeight="1">
      <c r="A332" s="7" t="s">
        <v>3063</v>
      </c>
      <c r="B332" s="7" t="s">
        <v>2942</v>
      </c>
      <c r="C332" s="7">
        <v>399</v>
      </c>
      <c r="D332" s="7" t="s">
        <v>499</v>
      </c>
      <c r="E332" s="7">
        <f>IF($D332="","",COUNTIF('Импорт посещаемость'!I325:AE325,"L*"))</f>
        <v>13</v>
      </c>
      <c r="F332" s="7">
        <f>IF($D332="","",COUNTIF('Импорт посещаемость'!I325:AE325,"R*"))</f>
        <v>9</v>
      </c>
      <c r="G332" s="7">
        <f>IF($D332="","",MAX(0,COUNTA('Импорт посещаемость'!$I$1:$AE$1)-E332-F332))</f>
        <v>1</v>
      </c>
      <c r="H332" s="7">
        <f t="shared" si="5"/>
        <v>22</v>
      </c>
      <c r="I332" s="9">
        <f>IFERROR(H332/COUNTA('Импорт посещаемость'!$I$1:$AE$1),"")</f>
        <v>0.95652173913043503</v>
      </c>
      <c r="J332" s="13" t="str">
        <f>IFERROR(__xludf.DUMMYFUNCTION("IF($D332="""","""",SPARKLINE(I332,{""charttype"",""bar"";""max"",1;""color1"",""#FFFFFF""}))"),"")</f>
        <v/>
      </c>
    </row>
    <row r="333" spans="1:10" ht="15.75" customHeight="1">
      <c r="E333" s="7" t="str">
        <f>IF($D333="","",COUNTIF('Импорт посещаемость'!I326:AE326,"L*"))</f>
        <v/>
      </c>
      <c r="F333" s="7" t="str">
        <f>IF($D333="","",COUNTIF('Импорт посещаемость'!I326:AE326,"R*"))</f>
        <v/>
      </c>
      <c r="G333" s="7" t="str">
        <f>IF($D333="","",MAX(0,COUNTA('Импорт посещаемость'!$I$1:$AE$1)-E333-F333))</f>
        <v/>
      </c>
      <c r="H333" s="7" t="str">
        <f t="shared" si="5"/>
        <v/>
      </c>
      <c r="I333" s="9" t="str">
        <f>IFERROR(H333/COUNTA('Импорт посещаемость'!$I$1:$AE$1),"")</f>
        <v/>
      </c>
      <c r="J333" s="13" t="str">
        <f>IFERROR(__xludf.DUMMYFUNCTION("IF($D333="""","""",SPARKLINE(I333,{""charttype"",""bar"";""max"",1;""color1"",""#FFFFFF""}))"),"")</f>
        <v/>
      </c>
    </row>
    <row r="334" spans="1:10" ht="15.75" customHeight="1">
      <c r="E334" s="7" t="str">
        <f>IF($D334="","",COUNTIF('Импорт посещаемость'!I327:AE327,"L*"))</f>
        <v/>
      </c>
      <c r="F334" s="7" t="str">
        <f>IF($D334="","",COUNTIF('Импорт посещаемость'!I327:AE327,"R*"))</f>
        <v/>
      </c>
      <c r="G334" s="7" t="str">
        <f>IF($D334="","",MAX(0,COUNTA('Импорт посещаемость'!$I$1:$AE$1)-E334-F334))</f>
        <v/>
      </c>
      <c r="H334" s="7" t="str">
        <f t="shared" si="5"/>
        <v/>
      </c>
      <c r="I334" s="9" t="str">
        <f>IFERROR(H334/COUNTA('Импорт посещаемость'!$I$1:$AE$1),"")</f>
        <v/>
      </c>
      <c r="J334" s="13" t="str">
        <f>IFERROR(__xludf.DUMMYFUNCTION("IF($D334="""","""",SPARKLINE(I334,{""charttype"",""bar"";""max"",1;""color1"",""#FFFFFF""}))"),"")</f>
        <v/>
      </c>
    </row>
    <row r="335" spans="1:10" ht="15.75" customHeight="1">
      <c r="I335" s="9"/>
    </row>
    <row r="336" spans="1:10" ht="15.75" customHeight="1">
      <c r="I336" s="9"/>
    </row>
    <row r="337" spans="9:9" ht="15.75" customHeight="1">
      <c r="I337" s="9"/>
    </row>
    <row r="338" spans="9:9" ht="15.75" customHeight="1">
      <c r="I338" s="9"/>
    </row>
    <row r="339" spans="9:9" ht="15.75" customHeight="1">
      <c r="I339" s="9"/>
    </row>
    <row r="340" spans="9:9" ht="15.75" customHeight="1">
      <c r="I340" s="9"/>
    </row>
    <row r="341" spans="9:9" ht="15.75" customHeight="1">
      <c r="I341" s="9"/>
    </row>
    <row r="342" spans="9:9" ht="15.75" customHeight="1">
      <c r="I342" s="9"/>
    </row>
    <row r="343" spans="9:9" ht="15.75" customHeight="1">
      <c r="I343" s="9"/>
    </row>
    <row r="344" spans="9:9" ht="15.75" customHeight="1">
      <c r="I344" s="9"/>
    </row>
    <row r="345" spans="9:9" ht="15.75" customHeight="1">
      <c r="I345" s="9"/>
    </row>
    <row r="346" spans="9:9" ht="15.75" customHeight="1">
      <c r="I346" s="9"/>
    </row>
    <row r="347" spans="9:9" ht="15.75" customHeight="1">
      <c r="I347" s="9"/>
    </row>
    <row r="348" spans="9:9" ht="15.75" customHeight="1">
      <c r="I348" s="9"/>
    </row>
    <row r="349" spans="9:9" ht="15.75" customHeight="1">
      <c r="I349" s="9"/>
    </row>
    <row r="350" spans="9:9" ht="15.75" customHeight="1">
      <c r="I350" s="9"/>
    </row>
    <row r="351" spans="9:9" ht="15.75" customHeight="1">
      <c r="I351" s="9"/>
    </row>
    <row r="352" spans="9:9" ht="15.75" customHeight="1">
      <c r="I352" s="9"/>
    </row>
    <row r="353" spans="9:9" ht="15.75" customHeight="1">
      <c r="I353" s="9"/>
    </row>
    <row r="354" spans="9:9" ht="15.75" customHeight="1">
      <c r="I354" s="9"/>
    </row>
    <row r="355" spans="9:9" ht="15.75" customHeight="1">
      <c r="I355" s="9"/>
    </row>
    <row r="356" spans="9:9" ht="15.75" customHeight="1">
      <c r="I356" s="9"/>
    </row>
    <row r="357" spans="9:9" ht="15.75" customHeight="1">
      <c r="I357" s="9"/>
    </row>
    <row r="358" spans="9:9" ht="15.75" customHeight="1">
      <c r="I358" s="9"/>
    </row>
    <row r="359" spans="9:9" ht="15.75" customHeight="1">
      <c r="I359" s="9"/>
    </row>
    <row r="360" spans="9:9" ht="15.75" customHeight="1">
      <c r="I360" s="9"/>
    </row>
    <row r="361" spans="9:9" ht="15.75" customHeight="1">
      <c r="I361" s="9"/>
    </row>
    <row r="362" spans="9:9" ht="15.75" customHeight="1">
      <c r="I362" s="9"/>
    </row>
    <row r="363" spans="9:9" ht="15.75" customHeight="1">
      <c r="I363" s="9"/>
    </row>
    <row r="364" spans="9:9" ht="15.75" customHeight="1">
      <c r="I364" s="9"/>
    </row>
    <row r="365" spans="9:9" ht="15.75" customHeight="1">
      <c r="I365" s="9"/>
    </row>
    <row r="366" spans="9:9" ht="15.75" customHeight="1">
      <c r="I366" s="9"/>
    </row>
    <row r="367" spans="9:9" ht="15.75" customHeight="1">
      <c r="I367" s="9"/>
    </row>
    <row r="368" spans="9:9" ht="15.75" customHeight="1">
      <c r="I368" s="9"/>
    </row>
    <row r="369" spans="9:9" ht="15.75" customHeight="1">
      <c r="I369" s="9"/>
    </row>
    <row r="370" spans="9:9" ht="15.75" customHeight="1">
      <c r="I370" s="9"/>
    </row>
    <row r="371" spans="9:9" ht="15.75" customHeight="1">
      <c r="I371" s="9"/>
    </row>
    <row r="372" spans="9:9" ht="15.75" customHeight="1">
      <c r="I372" s="9"/>
    </row>
    <row r="373" spans="9:9" ht="15.75" customHeight="1">
      <c r="I373" s="9"/>
    </row>
    <row r="374" spans="9:9" ht="15.75" customHeight="1">
      <c r="I374" s="9"/>
    </row>
    <row r="375" spans="9:9" ht="15.75" customHeight="1">
      <c r="I375" s="9"/>
    </row>
    <row r="376" spans="9:9" ht="15.75" customHeight="1">
      <c r="I376" s="9"/>
    </row>
    <row r="377" spans="9:9" ht="15.75" customHeight="1">
      <c r="I377" s="9"/>
    </row>
    <row r="378" spans="9:9" ht="15.75" customHeight="1">
      <c r="I378" s="9"/>
    </row>
    <row r="379" spans="9:9" ht="15.75" customHeight="1">
      <c r="I379" s="9"/>
    </row>
    <row r="380" spans="9:9" ht="15.75" customHeight="1">
      <c r="I380" s="9"/>
    </row>
    <row r="381" spans="9:9" ht="15.75" customHeight="1">
      <c r="I381" s="9"/>
    </row>
    <row r="382" spans="9:9" ht="15.75" customHeight="1">
      <c r="I382" s="9"/>
    </row>
    <row r="383" spans="9:9" ht="15.75" customHeight="1">
      <c r="I383" s="9"/>
    </row>
    <row r="384" spans="9:9" ht="15.75" customHeight="1">
      <c r="I384" s="9"/>
    </row>
    <row r="385" spans="9:9" ht="15.75" customHeight="1">
      <c r="I385" s="9"/>
    </row>
    <row r="386" spans="9:9" ht="15.75" customHeight="1">
      <c r="I386" s="9"/>
    </row>
    <row r="387" spans="9:9" ht="15.75" customHeight="1">
      <c r="I387" s="9"/>
    </row>
    <row r="388" spans="9:9" ht="15.75" customHeight="1">
      <c r="I388" s="9"/>
    </row>
    <row r="389" spans="9:9" ht="15.75" customHeight="1">
      <c r="I389" s="9"/>
    </row>
    <row r="390" spans="9:9" ht="15.75" customHeight="1">
      <c r="I390" s="9"/>
    </row>
    <row r="391" spans="9:9" ht="15.75" customHeight="1">
      <c r="I391" s="9"/>
    </row>
    <row r="392" spans="9:9" ht="15.75" customHeight="1">
      <c r="I392" s="9"/>
    </row>
    <row r="393" spans="9:9" ht="15.75" customHeight="1">
      <c r="I393" s="9"/>
    </row>
    <row r="394" spans="9:9" ht="15.75" customHeight="1">
      <c r="I394" s="9"/>
    </row>
    <row r="395" spans="9:9" ht="15.75" customHeight="1">
      <c r="I395" s="9"/>
    </row>
    <row r="396" spans="9:9" ht="15.75" customHeight="1">
      <c r="I396" s="9"/>
    </row>
    <row r="397" spans="9:9" ht="15.75" customHeight="1">
      <c r="I397" s="9"/>
    </row>
    <row r="398" spans="9:9" ht="15.75" customHeight="1">
      <c r="I398" s="9"/>
    </row>
    <row r="399" spans="9:9" ht="15.75" customHeight="1">
      <c r="I399" s="9"/>
    </row>
    <row r="400" spans="9:9" ht="15.75" customHeight="1">
      <c r="I400" s="9"/>
    </row>
    <row r="401" spans="9:9" ht="15.75" customHeight="1">
      <c r="I401" s="9"/>
    </row>
    <row r="402" spans="9:9" ht="15.75" customHeight="1">
      <c r="I402" s="9"/>
    </row>
    <row r="403" spans="9:9" ht="15.75" customHeight="1">
      <c r="I403" s="9"/>
    </row>
    <row r="404" spans="9:9" ht="15.75" customHeight="1">
      <c r="I404" s="9"/>
    </row>
    <row r="405" spans="9:9" ht="15.75" customHeight="1">
      <c r="I405" s="9"/>
    </row>
    <row r="406" spans="9:9" ht="15.75" customHeight="1">
      <c r="I406" s="9"/>
    </row>
    <row r="407" spans="9:9" ht="15.75" customHeight="1">
      <c r="I407" s="9"/>
    </row>
    <row r="408" spans="9:9" ht="15.75" customHeight="1">
      <c r="I408" s="9"/>
    </row>
    <row r="409" spans="9:9" ht="15.75" customHeight="1">
      <c r="I409" s="9"/>
    </row>
    <row r="410" spans="9:9" ht="15.75" customHeight="1">
      <c r="I410" s="9"/>
    </row>
    <row r="411" spans="9:9" ht="15.75" customHeight="1">
      <c r="I411" s="9"/>
    </row>
    <row r="412" spans="9:9" ht="15.75" customHeight="1">
      <c r="I412" s="9"/>
    </row>
    <row r="413" spans="9:9" ht="15.75" customHeight="1">
      <c r="I413" s="9"/>
    </row>
    <row r="414" spans="9:9" ht="15.75" customHeight="1">
      <c r="I414" s="9"/>
    </row>
    <row r="415" spans="9:9" ht="15.75" customHeight="1">
      <c r="I415" s="9"/>
    </row>
    <row r="416" spans="9:9" ht="15.75" customHeight="1">
      <c r="I416" s="9"/>
    </row>
    <row r="417" spans="9:9" ht="15.75" customHeight="1">
      <c r="I417" s="9"/>
    </row>
    <row r="418" spans="9:9" ht="15.75" customHeight="1">
      <c r="I418" s="9"/>
    </row>
    <row r="419" spans="9:9" ht="15.75" customHeight="1">
      <c r="I419" s="9"/>
    </row>
    <row r="420" spans="9:9" ht="15.75" customHeight="1">
      <c r="I420" s="9"/>
    </row>
    <row r="421" spans="9:9" ht="15.75" customHeight="1">
      <c r="I421" s="9"/>
    </row>
    <row r="422" spans="9:9" ht="15.75" customHeight="1">
      <c r="I422" s="9"/>
    </row>
    <row r="423" spans="9:9" ht="15.75" customHeight="1">
      <c r="I423" s="9"/>
    </row>
    <row r="424" spans="9:9" ht="15.75" customHeight="1">
      <c r="I424" s="9"/>
    </row>
    <row r="425" spans="9:9" ht="15.75" customHeight="1">
      <c r="I425" s="9"/>
    </row>
    <row r="426" spans="9:9" ht="15.75" customHeight="1">
      <c r="I426" s="9"/>
    </row>
    <row r="427" spans="9:9" ht="15.75" customHeight="1">
      <c r="I427" s="9"/>
    </row>
    <row r="428" spans="9:9" ht="15.75" customHeight="1">
      <c r="I428" s="9"/>
    </row>
    <row r="429" spans="9:9" ht="15.75" customHeight="1">
      <c r="I429" s="9"/>
    </row>
    <row r="430" spans="9:9" ht="15.75" customHeight="1">
      <c r="I430" s="9"/>
    </row>
    <row r="431" spans="9:9" ht="15.75" customHeight="1">
      <c r="I431" s="9"/>
    </row>
    <row r="432" spans="9:9" ht="15.75" customHeight="1">
      <c r="I432" s="9"/>
    </row>
    <row r="433" spans="9:9" ht="15.75" customHeight="1">
      <c r="I433" s="9"/>
    </row>
    <row r="434" spans="9:9" ht="15.75" customHeight="1">
      <c r="I434" s="9"/>
    </row>
    <row r="435" spans="9:9" ht="15.75" customHeight="1">
      <c r="I435" s="9"/>
    </row>
    <row r="436" spans="9:9" ht="15.75" customHeight="1">
      <c r="I436" s="9"/>
    </row>
    <row r="437" spans="9:9" ht="15.75" customHeight="1">
      <c r="I437" s="9"/>
    </row>
    <row r="438" spans="9:9" ht="15.75" customHeight="1">
      <c r="I438" s="9"/>
    </row>
    <row r="439" spans="9:9" ht="15.75" customHeight="1">
      <c r="I439" s="9"/>
    </row>
    <row r="440" spans="9:9" ht="15.75" customHeight="1">
      <c r="I440" s="9"/>
    </row>
    <row r="441" spans="9:9" ht="15.75" customHeight="1">
      <c r="I441" s="9"/>
    </row>
    <row r="442" spans="9:9" ht="15.75" customHeight="1">
      <c r="I442" s="9"/>
    </row>
    <row r="443" spans="9:9" ht="15.75" customHeight="1">
      <c r="I443" s="9"/>
    </row>
    <row r="444" spans="9:9" ht="15.75" customHeight="1">
      <c r="I444" s="9"/>
    </row>
    <row r="445" spans="9:9" ht="15.75" customHeight="1">
      <c r="I445" s="9"/>
    </row>
    <row r="446" spans="9:9" ht="15.75" customHeight="1">
      <c r="I446" s="9"/>
    </row>
    <row r="447" spans="9:9" ht="15.75" customHeight="1">
      <c r="I447" s="9"/>
    </row>
    <row r="448" spans="9:9" ht="15.75" customHeight="1">
      <c r="I448" s="9"/>
    </row>
    <row r="449" spans="9:9" ht="15.75" customHeight="1">
      <c r="I449" s="9"/>
    </row>
    <row r="450" spans="9:9" ht="15.75" customHeight="1">
      <c r="I450" s="9"/>
    </row>
    <row r="451" spans="9:9" ht="15.75" customHeight="1">
      <c r="I451" s="9"/>
    </row>
    <row r="452" spans="9:9" ht="15.75" customHeight="1">
      <c r="I452" s="9"/>
    </row>
    <row r="453" spans="9:9" ht="15.75" customHeight="1">
      <c r="I453" s="9"/>
    </row>
    <row r="454" spans="9:9" ht="15.75" customHeight="1">
      <c r="I454" s="9"/>
    </row>
    <row r="455" spans="9:9" ht="15.75" customHeight="1">
      <c r="I455" s="9"/>
    </row>
    <row r="456" spans="9:9" ht="15.75" customHeight="1">
      <c r="I456" s="9"/>
    </row>
    <row r="457" spans="9:9" ht="15.75" customHeight="1">
      <c r="I457" s="9"/>
    </row>
    <row r="458" spans="9:9" ht="15.75" customHeight="1">
      <c r="I458" s="9"/>
    </row>
    <row r="459" spans="9:9" ht="15.75" customHeight="1">
      <c r="I459" s="9"/>
    </row>
    <row r="460" spans="9:9" ht="15.75" customHeight="1">
      <c r="I460" s="9"/>
    </row>
    <row r="461" spans="9:9" ht="15.75" customHeight="1">
      <c r="I461" s="9"/>
    </row>
    <row r="462" spans="9:9" ht="15.75" customHeight="1">
      <c r="I462" s="9"/>
    </row>
    <row r="463" spans="9:9" ht="15.75" customHeight="1">
      <c r="I463" s="9"/>
    </row>
    <row r="464" spans="9:9" ht="15.75" customHeight="1">
      <c r="I464" s="9"/>
    </row>
    <row r="465" spans="9:9" ht="15.75" customHeight="1">
      <c r="I465" s="9"/>
    </row>
    <row r="466" spans="9:9" ht="15.75" customHeight="1">
      <c r="I466" s="9"/>
    </row>
    <row r="467" spans="9:9" ht="15.75" customHeight="1">
      <c r="I467" s="9"/>
    </row>
    <row r="468" spans="9:9" ht="15.75" customHeight="1">
      <c r="I468" s="9"/>
    </row>
    <row r="469" spans="9:9" ht="15.75" customHeight="1">
      <c r="I469" s="9"/>
    </row>
    <row r="470" spans="9:9" ht="15.75" customHeight="1">
      <c r="I470" s="9"/>
    </row>
    <row r="471" spans="9:9" ht="15.75" customHeight="1">
      <c r="I471" s="9"/>
    </row>
    <row r="472" spans="9:9" ht="15.75" customHeight="1">
      <c r="I472" s="9"/>
    </row>
    <row r="473" spans="9:9" ht="15.75" customHeight="1">
      <c r="I473" s="9"/>
    </row>
    <row r="474" spans="9:9" ht="15.75" customHeight="1">
      <c r="I474" s="9"/>
    </row>
    <row r="475" spans="9:9" ht="15.75" customHeight="1">
      <c r="I475" s="9"/>
    </row>
    <row r="476" spans="9:9" ht="15.75" customHeight="1">
      <c r="I476" s="9"/>
    </row>
    <row r="477" spans="9:9" ht="15.75" customHeight="1">
      <c r="I477" s="9"/>
    </row>
    <row r="478" spans="9:9" ht="15.75" customHeight="1">
      <c r="I478" s="9"/>
    </row>
    <row r="479" spans="9:9" ht="15.75" customHeight="1">
      <c r="I479" s="9"/>
    </row>
    <row r="480" spans="9:9" ht="15.75" customHeight="1">
      <c r="I480" s="9"/>
    </row>
    <row r="481" spans="9:9" ht="15.75" customHeight="1">
      <c r="I481" s="9"/>
    </row>
    <row r="482" spans="9:9" ht="15.75" customHeight="1">
      <c r="I482" s="9"/>
    </row>
    <row r="483" spans="9:9" ht="15.75" customHeight="1">
      <c r="I483" s="9"/>
    </row>
    <row r="484" spans="9:9" ht="15.75" customHeight="1">
      <c r="I484" s="9"/>
    </row>
    <row r="485" spans="9:9" ht="15.75" customHeight="1">
      <c r="I485" s="9"/>
    </row>
    <row r="486" spans="9:9" ht="15.75" customHeight="1">
      <c r="I486" s="9"/>
    </row>
    <row r="487" spans="9:9" ht="15.75" customHeight="1">
      <c r="I487" s="9"/>
    </row>
    <row r="488" spans="9:9" ht="15.75" customHeight="1">
      <c r="I488" s="9"/>
    </row>
    <row r="489" spans="9:9" ht="15.75" customHeight="1">
      <c r="I489" s="9"/>
    </row>
    <row r="490" spans="9:9" ht="15.75" customHeight="1">
      <c r="I490" s="9"/>
    </row>
    <row r="491" spans="9:9" ht="15.75" customHeight="1">
      <c r="I491" s="9"/>
    </row>
    <row r="492" spans="9:9" ht="15.75" customHeight="1">
      <c r="I492" s="9"/>
    </row>
    <row r="493" spans="9:9" ht="15.75" customHeight="1">
      <c r="I493" s="9"/>
    </row>
    <row r="494" spans="9:9" ht="15.75" customHeight="1">
      <c r="I494" s="9"/>
    </row>
    <row r="495" spans="9:9" ht="15.75" customHeight="1">
      <c r="I495" s="9"/>
    </row>
    <row r="496" spans="9:9" ht="15.75" customHeight="1">
      <c r="I496" s="9"/>
    </row>
    <row r="497" spans="9:9" ht="15.75" customHeight="1">
      <c r="I497" s="9"/>
    </row>
    <row r="498" spans="9:9" ht="15.75" customHeight="1">
      <c r="I498" s="9"/>
    </row>
    <row r="499" spans="9:9" ht="15.75" customHeight="1">
      <c r="I499" s="9"/>
    </row>
    <row r="500" spans="9:9" ht="15.75" customHeight="1">
      <c r="I500" s="9"/>
    </row>
    <row r="501" spans="9:9" ht="15.75" customHeight="1">
      <c r="I501" s="9"/>
    </row>
    <row r="502" spans="9:9" ht="15.75" customHeight="1">
      <c r="I502" s="9"/>
    </row>
    <row r="503" spans="9:9" ht="15.75" customHeight="1">
      <c r="I503" s="9"/>
    </row>
    <row r="504" spans="9:9" ht="15.75" customHeight="1">
      <c r="I504" s="9"/>
    </row>
    <row r="505" spans="9:9" ht="15.75" customHeight="1">
      <c r="I505" s="9"/>
    </row>
    <row r="506" spans="9:9" ht="15.75" customHeight="1">
      <c r="I506" s="9"/>
    </row>
    <row r="507" spans="9:9" ht="15.75" customHeight="1">
      <c r="I507" s="9"/>
    </row>
    <row r="508" spans="9:9" ht="15.75" customHeight="1">
      <c r="I508" s="9"/>
    </row>
    <row r="509" spans="9:9" ht="15.75" customHeight="1">
      <c r="I509" s="9"/>
    </row>
    <row r="510" spans="9:9" ht="15.75" customHeight="1">
      <c r="I510" s="9"/>
    </row>
    <row r="511" spans="9:9" ht="15.75" customHeight="1">
      <c r="I511" s="9"/>
    </row>
    <row r="512" spans="9:9" ht="15.75" customHeight="1">
      <c r="I512" s="9"/>
    </row>
    <row r="513" spans="9:9" ht="15.75" customHeight="1">
      <c r="I513" s="9"/>
    </row>
    <row r="514" spans="9:9" ht="15.75" customHeight="1">
      <c r="I514" s="9"/>
    </row>
    <row r="515" spans="9:9" ht="15.75" customHeight="1">
      <c r="I515" s="9"/>
    </row>
    <row r="516" spans="9:9" ht="15.75" customHeight="1">
      <c r="I516" s="9"/>
    </row>
    <row r="517" spans="9:9" ht="15.75" customHeight="1">
      <c r="I517" s="9"/>
    </row>
    <row r="518" spans="9:9" ht="15.75" customHeight="1">
      <c r="I518" s="9"/>
    </row>
    <row r="519" spans="9:9" ht="15.75" customHeight="1">
      <c r="I519" s="9"/>
    </row>
    <row r="520" spans="9:9" ht="15.75" customHeight="1">
      <c r="I520" s="9"/>
    </row>
    <row r="521" spans="9:9" ht="15.75" customHeight="1">
      <c r="I521" s="9"/>
    </row>
    <row r="522" spans="9:9" ht="15.75" customHeight="1">
      <c r="I522" s="9"/>
    </row>
    <row r="523" spans="9:9" ht="15.75" customHeight="1">
      <c r="I523" s="9"/>
    </row>
    <row r="524" spans="9:9" ht="15.75" customHeight="1">
      <c r="I524" s="9"/>
    </row>
    <row r="525" spans="9:9" ht="15.75" customHeight="1">
      <c r="I525" s="9"/>
    </row>
    <row r="526" spans="9:9" ht="15.75" customHeight="1">
      <c r="I526" s="9"/>
    </row>
    <row r="527" spans="9:9" ht="15.75" customHeight="1">
      <c r="I527" s="9"/>
    </row>
    <row r="528" spans="9:9" ht="15.75" customHeight="1">
      <c r="I528" s="9"/>
    </row>
    <row r="529" spans="9:9" ht="15.75" customHeight="1">
      <c r="I529" s="9"/>
    </row>
    <row r="530" spans="9:9" ht="15.75" customHeight="1">
      <c r="I530" s="9"/>
    </row>
    <row r="531" spans="9:9" ht="15.75" customHeight="1">
      <c r="I531" s="9"/>
    </row>
    <row r="532" spans="9:9" ht="15.75" customHeight="1">
      <c r="I532" s="9"/>
    </row>
    <row r="533" spans="9:9" ht="15.75" customHeight="1">
      <c r="I533" s="9"/>
    </row>
    <row r="534" spans="9:9" ht="15.75" customHeight="1">
      <c r="I534" s="9"/>
    </row>
    <row r="535" spans="9:9" ht="15.75" customHeight="1">
      <c r="I535" s="9"/>
    </row>
    <row r="536" spans="9:9" ht="15.75" customHeight="1">
      <c r="I536" s="9"/>
    </row>
    <row r="537" spans="9:9" ht="15.75" customHeight="1">
      <c r="I537" s="9"/>
    </row>
    <row r="538" spans="9:9" ht="15.75" customHeight="1">
      <c r="I538" s="9"/>
    </row>
    <row r="539" spans="9:9" ht="15.75" customHeight="1">
      <c r="I539" s="9"/>
    </row>
    <row r="540" spans="9:9" ht="15.75" customHeight="1">
      <c r="I540" s="9"/>
    </row>
    <row r="541" spans="9:9" ht="15.75" customHeight="1">
      <c r="I541" s="9"/>
    </row>
    <row r="542" spans="9:9" ht="15.75" customHeight="1">
      <c r="I542" s="9"/>
    </row>
    <row r="543" spans="9:9" ht="15.75" customHeight="1">
      <c r="I543" s="9"/>
    </row>
    <row r="544" spans="9:9" ht="15.75" customHeight="1">
      <c r="I544" s="9"/>
    </row>
    <row r="545" spans="9:9" ht="15.75" customHeight="1">
      <c r="I545" s="9"/>
    </row>
    <row r="546" spans="9:9" ht="15.75" customHeight="1">
      <c r="I546" s="9"/>
    </row>
    <row r="547" spans="9:9" ht="15.75" customHeight="1">
      <c r="I547" s="9"/>
    </row>
    <row r="548" spans="9:9" ht="15.75" customHeight="1">
      <c r="I548" s="9"/>
    </row>
    <row r="549" spans="9:9" ht="15.75" customHeight="1">
      <c r="I549" s="9"/>
    </row>
    <row r="550" spans="9:9" ht="15.75" customHeight="1">
      <c r="I550" s="9"/>
    </row>
    <row r="551" spans="9:9" ht="15.75" customHeight="1">
      <c r="I551" s="9"/>
    </row>
    <row r="552" spans="9:9" ht="15.75" customHeight="1">
      <c r="I552" s="9"/>
    </row>
    <row r="553" spans="9:9" ht="15.75" customHeight="1">
      <c r="I553" s="9"/>
    </row>
    <row r="554" spans="9:9" ht="15.75" customHeight="1">
      <c r="I554" s="9"/>
    </row>
    <row r="555" spans="9:9" ht="15.75" customHeight="1">
      <c r="I555" s="9"/>
    </row>
    <row r="556" spans="9:9" ht="15.75" customHeight="1">
      <c r="I556" s="9"/>
    </row>
    <row r="557" spans="9:9" ht="15.75" customHeight="1">
      <c r="I557" s="9"/>
    </row>
    <row r="558" spans="9:9" ht="15.75" customHeight="1">
      <c r="I558" s="9"/>
    </row>
    <row r="559" spans="9:9" ht="15.75" customHeight="1">
      <c r="I559" s="9"/>
    </row>
    <row r="560" spans="9:9" ht="15.75" customHeight="1">
      <c r="I560" s="9"/>
    </row>
    <row r="561" spans="9:9" ht="15.75" customHeight="1">
      <c r="I561" s="9"/>
    </row>
    <row r="562" spans="9:9" ht="15.75" customHeight="1">
      <c r="I562" s="9"/>
    </row>
    <row r="563" spans="9:9" ht="15.75" customHeight="1">
      <c r="I563" s="9"/>
    </row>
    <row r="564" spans="9:9" ht="15.75" customHeight="1">
      <c r="I564" s="9"/>
    </row>
    <row r="565" spans="9:9" ht="15.75" customHeight="1">
      <c r="I565" s="9"/>
    </row>
    <row r="566" spans="9:9" ht="15.75" customHeight="1">
      <c r="I566" s="9"/>
    </row>
    <row r="567" spans="9:9" ht="15.75" customHeight="1">
      <c r="I567" s="9"/>
    </row>
    <row r="568" spans="9:9" ht="15.75" customHeight="1">
      <c r="I568" s="9"/>
    </row>
    <row r="569" spans="9:9" ht="15.75" customHeight="1">
      <c r="I569" s="9"/>
    </row>
    <row r="570" spans="9:9" ht="15.75" customHeight="1">
      <c r="I570" s="9"/>
    </row>
    <row r="571" spans="9:9" ht="15.75" customHeight="1">
      <c r="I571" s="9"/>
    </row>
    <row r="572" spans="9:9" ht="15.75" customHeight="1">
      <c r="I572" s="9"/>
    </row>
    <row r="573" spans="9:9" ht="15.75" customHeight="1">
      <c r="I573" s="9"/>
    </row>
    <row r="574" spans="9:9" ht="15.75" customHeight="1">
      <c r="I574" s="9"/>
    </row>
    <row r="575" spans="9:9" ht="15.75" customHeight="1">
      <c r="I575" s="9"/>
    </row>
    <row r="576" spans="9:9" ht="15.75" customHeight="1">
      <c r="I576" s="9"/>
    </row>
    <row r="577" spans="9:9" ht="15.75" customHeight="1">
      <c r="I577" s="9"/>
    </row>
    <row r="578" spans="9:9" ht="15.75" customHeight="1">
      <c r="I578" s="9"/>
    </row>
    <row r="579" spans="9:9" ht="15.75" customHeight="1">
      <c r="I579" s="9"/>
    </row>
    <row r="580" spans="9:9" ht="15.75" customHeight="1">
      <c r="I580" s="9"/>
    </row>
    <row r="581" spans="9:9" ht="15.75" customHeight="1">
      <c r="I581" s="9"/>
    </row>
    <row r="582" spans="9:9" ht="15.75" customHeight="1">
      <c r="I582" s="9"/>
    </row>
    <row r="583" spans="9:9" ht="15.75" customHeight="1">
      <c r="I583" s="9"/>
    </row>
    <row r="584" spans="9:9" ht="15.75" customHeight="1">
      <c r="I584" s="9"/>
    </row>
    <row r="585" spans="9:9" ht="15.75" customHeight="1">
      <c r="I585" s="9"/>
    </row>
    <row r="586" spans="9:9" ht="15.75" customHeight="1">
      <c r="I586" s="9"/>
    </row>
    <row r="587" spans="9:9" ht="15.75" customHeight="1">
      <c r="I587" s="9"/>
    </row>
    <row r="588" spans="9:9" ht="15.75" customHeight="1">
      <c r="I588" s="9"/>
    </row>
    <row r="589" spans="9:9" ht="15.75" customHeight="1">
      <c r="I589" s="9"/>
    </row>
    <row r="590" spans="9:9" ht="15.75" customHeight="1">
      <c r="I590" s="9"/>
    </row>
    <row r="591" spans="9:9" ht="15.75" customHeight="1">
      <c r="I591" s="9"/>
    </row>
    <row r="592" spans="9:9" ht="15.75" customHeight="1">
      <c r="I592" s="9"/>
    </row>
    <row r="593" spans="9:9" ht="15.75" customHeight="1">
      <c r="I593" s="9"/>
    </row>
    <row r="594" spans="9:9" ht="15.75" customHeight="1">
      <c r="I594" s="9"/>
    </row>
    <row r="595" spans="9:9" ht="15.75" customHeight="1">
      <c r="I595" s="9"/>
    </row>
    <row r="596" spans="9:9" ht="15.75" customHeight="1">
      <c r="I596" s="9"/>
    </row>
    <row r="597" spans="9:9" ht="15.75" customHeight="1">
      <c r="I597" s="9"/>
    </row>
    <row r="598" spans="9:9" ht="15.75" customHeight="1">
      <c r="I598" s="9"/>
    </row>
    <row r="599" spans="9:9" ht="15.75" customHeight="1">
      <c r="I599" s="9"/>
    </row>
    <row r="600" spans="9:9" ht="15.75" customHeight="1">
      <c r="I600" s="9"/>
    </row>
    <row r="601" spans="9:9" ht="15.75" customHeight="1">
      <c r="I601" s="9"/>
    </row>
    <row r="602" spans="9:9" ht="15.75" customHeight="1">
      <c r="I602" s="9"/>
    </row>
    <row r="603" spans="9:9" ht="15.75" customHeight="1">
      <c r="I603" s="9"/>
    </row>
    <row r="604" spans="9:9" ht="15.75" customHeight="1">
      <c r="I604" s="9"/>
    </row>
    <row r="605" spans="9:9" ht="15.75" customHeight="1">
      <c r="I605" s="9"/>
    </row>
    <row r="606" spans="9:9" ht="15.75" customHeight="1">
      <c r="I606" s="9"/>
    </row>
    <row r="607" spans="9:9" ht="15.75" customHeight="1">
      <c r="I607" s="9"/>
    </row>
    <row r="608" spans="9:9" ht="15.75" customHeight="1">
      <c r="I608" s="9"/>
    </row>
    <row r="609" spans="9:9" ht="15.75" customHeight="1">
      <c r="I609" s="9"/>
    </row>
    <row r="610" spans="9:9" ht="15.75" customHeight="1">
      <c r="I610" s="9"/>
    </row>
    <row r="611" spans="9:9" ht="15.75" customHeight="1">
      <c r="I611" s="9"/>
    </row>
    <row r="612" spans="9:9" ht="15.75" customHeight="1">
      <c r="I612" s="9"/>
    </row>
    <row r="613" spans="9:9" ht="15.75" customHeight="1">
      <c r="I613" s="9"/>
    </row>
    <row r="614" spans="9:9" ht="15.75" customHeight="1">
      <c r="I614" s="9"/>
    </row>
    <row r="615" spans="9:9" ht="15.75" customHeight="1">
      <c r="I615" s="9"/>
    </row>
    <row r="616" spans="9:9" ht="15.75" customHeight="1">
      <c r="I616" s="9"/>
    </row>
    <row r="617" spans="9:9" ht="15.75" customHeight="1">
      <c r="I617" s="9"/>
    </row>
    <row r="618" spans="9:9" ht="15.75" customHeight="1">
      <c r="I618" s="9"/>
    </row>
    <row r="619" spans="9:9" ht="15.75" customHeight="1">
      <c r="I619" s="9"/>
    </row>
    <row r="620" spans="9:9" ht="15.75" customHeight="1">
      <c r="I620" s="9"/>
    </row>
    <row r="621" spans="9:9" ht="15.75" customHeight="1">
      <c r="I621" s="9"/>
    </row>
    <row r="622" spans="9:9" ht="15.75" customHeight="1">
      <c r="I622" s="9"/>
    </row>
    <row r="623" spans="9:9" ht="15.75" customHeight="1">
      <c r="I623" s="9"/>
    </row>
    <row r="624" spans="9:9" ht="15.75" customHeight="1">
      <c r="I624" s="9"/>
    </row>
    <row r="625" spans="9:9" ht="15.75" customHeight="1">
      <c r="I625" s="9"/>
    </row>
    <row r="626" spans="9:9" ht="15.75" customHeight="1">
      <c r="I626" s="9"/>
    </row>
    <row r="627" spans="9:9" ht="15.75" customHeight="1">
      <c r="I627" s="9"/>
    </row>
    <row r="628" spans="9:9" ht="15.75" customHeight="1">
      <c r="I628" s="9"/>
    </row>
    <row r="629" spans="9:9" ht="15.75" customHeight="1">
      <c r="I629" s="9"/>
    </row>
    <row r="630" spans="9:9" ht="15.75" customHeight="1">
      <c r="I630" s="9"/>
    </row>
    <row r="631" spans="9:9" ht="15.75" customHeight="1">
      <c r="I631" s="9"/>
    </row>
    <row r="632" spans="9:9" ht="15.75" customHeight="1">
      <c r="I632" s="9"/>
    </row>
    <row r="633" spans="9:9" ht="15.75" customHeight="1">
      <c r="I633" s="9"/>
    </row>
    <row r="634" spans="9:9" ht="15.75" customHeight="1">
      <c r="I634" s="9"/>
    </row>
    <row r="635" spans="9:9" ht="15.75" customHeight="1">
      <c r="I635" s="9"/>
    </row>
    <row r="636" spans="9:9" ht="15.75" customHeight="1">
      <c r="I636" s="9"/>
    </row>
    <row r="637" spans="9:9" ht="15.75" customHeight="1">
      <c r="I637" s="9"/>
    </row>
    <row r="638" spans="9:9" ht="15.75" customHeight="1">
      <c r="I638" s="9"/>
    </row>
    <row r="639" spans="9:9" ht="15.75" customHeight="1">
      <c r="I639" s="9"/>
    </row>
    <row r="640" spans="9:9" ht="15.75" customHeight="1">
      <c r="I640" s="9"/>
    </row>
    <row r="641" spans="9:9" ht="15.75" customHeight="1">
      <c r="I641" s="9"/>
    </row>
    <row r="642" spans="9:9" ht="15.75" customHeight="1">
      <c r="I642" s="9"/>
    </row>
    <row r="643" spans="9:9" ht="15.75" customHeight="1">
      <c r="I643" s="9"/>
    </row>
    <row r="644" spans="9:9" ht="15.75" customHeight="1">
      <c r="I644" s="9"/>
    </row>
    <row r="645" spans="9:9" ht="15.75" customHeight="1">
      <c r="I645" s="9"/>
    </row>
    <row r="646" spans="9:9" ht="15.75" customHeight="1">
      <c r="I646" s="9"/>
    </row>
    <row r="647" spans="9:9" ht="15.75" customHeight="1">
      <c r="I647" s="9"/>
    </row>
    <row r="648" spans="9:9" ht="15.75" customHeight="1">
      <c r="I648" s="9"/>
    </row>
    <row r="649" spans="9:9" ht="15.75" customHeight="1">
      <c r="I649" s="9"/>
    </row>
    <row r="650" spans="9:9" ht="15.75" customHeight="1">
      <c r="I650" s="9"/>
    </row>
    <row r="651" spans="9:9" ht="15.75" customHeight="1">
      <c r="I651" s="9"/>
    </row>
    <row r="652" spans="9:9" ht="15.75" customHeight="1">
      <c r="I652" s="9"/>
    </row>
    <row r="653" spans="9:9" ht="15.75" customHeight="1">
      <c r="I653" s="9"/>
    </row>
    <row r="654" spans="9:9" ht="15.75" customHeight="1">
      <c r="I654" s="9"/>
    </row>
    <row r="655" spans="9:9" ht="15.75" customHeight="1">
      <c r="I655" s="9"/>
    </row>
    <row r="656" spans="9:9" ht="15.75" customHeight="1">
      <c r="I656" s="9"/>
    </row>
    <row r="657" spans="9:9" ht="15.75" customHeight="1">
      <c r="I657" s="9"/>
    </row>
    <row r="658" spans="9:9" ht="15.75" customHeight="1">
      <c r="I658" s="9"/>
    </row>
    <row r="659" spans="9:9" ht="15.75" customHeight="1">
      <c r="I659" s="9"/>
    </row>
    <row r="660" spans="9:9" ht="15.75" customHeight="1">
      <c r="I660" s="9"/>
    </row>
    <row r="661" spans="9:9" ht="15.75" customHeight="1">
      <c r="I661" s="9"/>
    </row>
    <row r="662" spans="9:9" ht="15.75" customHeight="1">
      <c r="I662" s="9"/>
    </row>
    <row r="663" spans="9:9" ht="15.75" customHeight="1">
      <c r="I663" s="9"/>
    </row>
    <row r="664" spans="9:9" ht="15.75" customHeight="1">
      <c r="I664" s="9"/>
    </row>
    <row r="665" spans="9:9" ht="15.75" customHeight="1">
      <c r="I665" s="9"/>
    </row>
    <row r="666" spans="9:9" ht="15.75" customHeight="1">
      <c r="I666" s="9"/>
    </row>
    <row r="667" spans="9:9" ht="15.75" customHeight="1">
      <c r="I667" s="9"/>
    </row>
    <row r="668" spans="9:9" ht="15.75" customHeight="1">
      <c r="I668" s="9"/>
    </row>
    <row r="669" spans="9:9" ht="15.75" customHeight="1">
      <c r="I669" s="9"/>
    </row>
    <row r="670" spans="9:9" ht="15.75" customHeight="1">
      <c r="I670" s="9"/>
    </row>
    <row r="671" spans="9:9" ht="15.75" customHeight="1">
      <c r="I671" s="9"/>
    </row>
    <row r="672" spans="9:9" ht="15.75" customHeight="1">
      <c r="I672" s="9"/>
    </row>
    <row r="673" spans="9:9" ht="15.75" customHeight="1">
      <c r="I673" s="9"/>
    </row>
    <row r="674" spans="9:9" ht="15.75" customHeight="1">
      <c r="I674" s="9"/>
    </row>
    <row r="675" spans="9:9" ht="15.75" customHeight="1">
      <c r="I675" s="9"/>
    </row>
    <row r="676" spans="9:9" ht="15.75" customHeight="1">
      <c r="I676" s="9"/>
    </row>
    <row r="677" spans="9:9" ht="15.75" customHeight="1">
      <c r="I677" s="9"/>
    </row>
    <row r="678" spans="9:9" ht="15.75" customHeight="1">
      <c r="I678" s="9"/>
    </row>
    <row r="679" spans="9:9" ht="15.75" customHeight="1">
      <c r="I679" s="9"/>
    </row>
    <row r="680" spans="9:9" ht="15.75" customHeight="1">
      <c r="I680" s="9"/>
    </row>
    <row r="681" spans="9:9" ht="15.75" customHeight="1">
      <c r="I681" s="9"/>
    </row>
    <row r="682" spans="9:9" ht="15.75" customHeight="1">
      <c r="I682" s="9"/>
    </row>
    <row r="683" spans="9:9" ht="15.75" customHeight="1">
      <c r="I683" s="9"/>
    </row>
    <row r="684" spans="9:9" ht="15.75" customHeight="1">
      <c r="I684" s="9"/>
    </row>
    <row r="685" spans="9:9" ht="15.75" customHeight="1">
      <c r="I685" s="9"/>
    </row>
    <row r="686" spans="9:9" ht="15.75" customHeight="1">
      <c r="I686" s="9"/>
    </row>
    <row r="687" spans="9:9" ht="15.75" customHeight="1">
      <c r="I687" s="9"/>
    </row>
    <row r="688" spans="9:9" ht="15.75" customHeight="1">
      <c r="I688" s="9"/>
    </row>
    <row r="689" spans="9:9" ht="15.75" customHeight="1">
      <c r="I689" s="9"/>
    </row>
    <row r="690" spans="9:9" ht="15.75" customHeight="1">
      <c r="I690" s="9"/>
    </row>
    <row r="691" spans="9:9" ht="15.75" customHeight="1">
      <c r="I691" s="9"/>
    </row>
    <row r="692" spans="9:9" ht="15.75" customHeight="1">
      <c r="I692" s="9"/>
    </row>
    <row r="693" spans="9:9" ht="15.75" customHeight="1">
      <c r="I693" s="9"/>
    </row>
    <row r="694" spans="9:9" ht="15.75" customHeight="1">
      <c r="I694" s="9"/>
    </row>
    <row r="695" spans="9:9" ht="15.75" customHeight="1">
      <c r="I695" s="9"/>
    </row>
    <row r="696" spans="9:9" ht="15.75" customHeight="1">
      <c r="I696" s="9"/>
    </row>
    <row r="697" spans="9:9" ht="15.75" customHeight="1">
      <c r="I697" s="9"/>
    </row>
    <row r="698" spans="9:9" ht="15.75" customHeight="1">
      <c r="I698" s="9"/>
    </row>
    <row r="699" spans="9:9" ht="15.75" customHeight="1">
      <c r="I699" s="9"/>
    </row>
    <row r="700" spans="9:9" ht="15.75" customHeight="1">
      <c r="I700" s="9"/>
    </row>
    <row r="701" spans="9:9" ht="15.75" customHeight="1">
      <c r="I701" s="9"/>
    </row>
    <row r="702" spans="9:9" ht="15.75" customHeight="1">
      <c r="I702" s="9"/>
    </row>
    <row r="703" spans="9:9" ht="15.75" customHeight="1">
      <c r="I703" s="9"/>
    </row>
    <row r="704" spans="9:9" ht="15.75" customHeight="1">
      <c r="I704" s="9"/>
    </row>
    <row r="705" spans="9:9" ht="15.75" customHeight="1">
      <c r="I705" s="9"/>
    </row>
    <row r="706" spans="9:9" ht="15.75" customHeight="1">
      <c r="I706" s="9"/>
    </row>
    <row r="707" spans="9:9" ht="15.75" customHeight="1">
      <c r="I707" s="9"/>
    </row>
    <row r="708" spans="9:9" ht="15.75" customHeight="1">
      <c r="I708" s="9"/>
    </row>
    <row r="709" spans="9:9" ht="15.75" customHeight="1">
      <c r="I709" s="9"/>
    </row>
    <row r="710" spans="9:9" ht="15.75" customHeight="1">
      <c r="I710" s="9"/>
    </row>
    <row r="711" spans="9:9" ht="15.75" customHeight="1">
      <c r="I711" s="9"/>
    </row>
    <row r="712" spans="9:9" ht="15.75" customHeight="1">
      <c r="I712" s="9"/>
    </row>
    <row r="713" spans="9:9" ht="15.75" customHeight="1">
      <c r="I713" s="9"/>
    </row>
    <row r="714" spans="9:9" ht="15.75" customHeight="1">
      <c r="I714" s="9"/>
    </row>
    <row r="715" spans="9:9" ht="15.75" customHeight="1">
      <c r="I715" s="9"/>
    </row>
    <row r="716" spans="9:9" ht="15.75" customHeight="1">
      <c r="I716" s="9"/>
    </row>
    <row r="717" spans="9:9" ht="15.75" customHeight="1">
      <c r="I717" s="9"/>
    </row>
    <row r="718" spans="9:9" ht="15.75" customHeight="1">
      <c r="I718" s="9"/>
    </row>
    <row r="719" spans="9:9" ht="15.75" customHeight="1">
      <c r="I719" s="9"/>
    </row>
    <row r="720" spans="9:9" ht="15.75" customHeight="1">
      <c r="I720" s="9"/>
    </row>
    <row r="721" spans="9:9" ht="15.75" customHeight="1">
      <c r="I721" s="9"/>
    </row>
    <row r="722" spans="9:9" ht="15.75" customHeight="1">
      <c r="I722" s="9"/>
    </row>
    <row r="723" spans="9:9" ht="15.75" customHeight="1">
      <c r="I723" s="9"/>
    </row>
    <row r="724" spans="9:9" ht="15.75" customHeight="1">
      <c r="I724" s="9"/>
    </row>
    <row r="725" spans="9:9" ht="15.75" customHeight="1">
      <c r="I725" s="9"/>
    </row>
    <row r="726" spans="9:9" ht="15.75" customHeight="1">
      <c r="I726" s="9"/>
    </row>
    <row r="727" spans="9:9" ht="15.75" customHeight="1">
      <c r="I727" s="9"/>
    </row>
    <row r="728" spans="9:9" ht="15.75" customHeight="1">
      <c r="I728" s="9"/>
    </row>
    <row r="729" spans="9:9" ht="15.75" customHeight="1">
      <c r="I729" s="9"/>
    </row>
    <row r="730" spans="9:9" ht="15.75" customHeight="1">
      <c r="I730" s="9"/>
    </row>
    <row r="731" spans="9:9" ht="15.75" customHeight="1">
      <c r="I731" s="9"/>
    </row>
    <row r="732" spans="9:9" ht="15.75" customHeight="1">
      <c r="I732" s="9"/>
    </row>
    <row r="733" spans="9:9" ht="15.75" customHeight="1">
      <c r="I733" s="9"/>
    </row>
    <row r="734" spans="9:9" ht="15.75" customHeight="1">
      <c r="I734" s="9"/>
    </row>
    <row r="735" spans="9:9" ht="15.75" customHeight="1">
      <c r="I735" s="9"/>
    </row>
    <row r="736" spans="9:9" ht="15.75" customHeight="1">
      <c r="I736" s="9"/>
    </row>
    <row r="737" spans="9:9" ht="15.75" customHeight="1">
      <c r="I737" s="9"/>
    </row>
    <row r="738" spans="9:9" ht="15.75" customHeight="1">
      <c r="I738" s="9"/>
    </row>
    <row r="739" spans="9:9" ht="15.75" customHeight="1">
      <c r="I739" s="9"/>
    </row>
    <row r="740" spans="9:9" ht="15.75" customHeight="1">
      <c r="I740" s="9"/>
    </row>
    <row r="741" spans="9:9" ht="15.75" customHeight="1">
      <c r="I741" s="9"/>
    </row>
    <row r="742" spans="9:9" ht="15.75" customHeight="1">
      <c r="I742" s="9"/>
    </row>
    <row r="743" spans="9:9" ht="15.75" customHeight="1">
      <c r="I743" s="9"/>
    </row>
    <row r="744" spans="9:9" ht="15.75" customHeight="1">
      <c r="I744" s="9"/>
    </row>
    <row r="745" spans="9:9" ht="15.75" customHeight="1">
      <c r="I745" s="9"/>
    </row>
    <row r="746" spans="9:9" ht="15.75" customHeight="1">
      <c r="I746" s="9"/>
    </row>
    <row r="747" spans="9:9" ht="15.75" customHeight="1">
      <c r="I747" s="9"/>
    </row>
    <row r="748" spans="9:9" ht="15.75" customHeight="1">
      <c r="I748" s="9"/>
    </row>
    <row r="749" spans="9:9" ht="15.75" customHeight="1">
      <c r="I749" s="9"/>
    </row>
    <row r="750" spans="9:9" ht="15.75" customHeight="1">
      <c r="I750" s="9"/>
    </row>
    <row r="751" spans="9:9" ht="15.75" customHeight="1">
      <c r="I751" s="9"/>
    </row>
    <row r="752" spans="9:9" ht="15.75" customHeight="1">
      <c r="I752" s="9"/>
    </row>
    <row r="753" spans="9:9" ht="15.75" customHeight="1">
      <c r="I753" s="9"/>
    </row>
    <row r="754" spans="9:9" ht="15.75" customHeight="1">
      <c r="I754" s="9"/>
    </row>
    <row r="755" spans="9:9" ht="15.75" customHeight="1">
      <c r="I755" s="9"/>
    </row>
    <row r="756" spans="9:9" ht="15.75" customHeight="1">
      <c r="I756" s="9"/>
    </row>
    <row r="757" spans="9:9" ht="15.75" customHeight="1">
      <c r="I757" s="9"/>
    </row>
    <row r="758" spans="9:9" ht="15.75" customHeight="1">
      <c r="I758" s="9"/>
    </row>
    <row r="759" spans="9:9" ht="15.75" customHeight="1">
      <c r="I759" s="9"/>
    </row>
    <row r="760" spans="9:9" ht="15.75" customHeight="1">
      <c r="I760" s="9"/>
    </row>
    <row r="761" spans="9:9" ht="15.75" customHeight="1">
      <c r="I761" s="9"/>
    </row>
    <row r="762" spans="9:9" ht="15.75" customHeight="1">
      <c r="I762" s="9"/>
    </row>
    <row r="763" spans="9:9" ht="15.75" customHeight="1">
      <c r="I763" s="9"/>
    </row>
    <row r="764" spans="9:9" ht="15.75" customHeight="1">
      <c r="I764" s="9"/>
    </row>
    <row r="765" spans="9:9" ht="15.75" customHeight="1">
      <c r="I765" s="9"/>
    </row>
    <row r="766" spans="9:9" ht="15.75" customHeight="1">
      <c r="I766" s="9"/>
    </row>
    <row r="767" spans="9:9" ht="15.75" customHeight="1">
      <c r="I767" s="9"/>
    </row>
    <row r="768" spans="9:9" ht="15.75" customHeight="1">
      <c r="I768" s="9"/>
    </row>
    <row r="769" spans="9:9" ht="15.75" customHeight="1">
      <c r="I769" s="9"/>
    </row>
    <row r="770" spans="9:9" ht="15.75" customHeight="1">
      <c r="I770" s="9"/>
    </row>
    <row r="771" spans="9:9" ht="15.75" customHeight="1">
      <c r="I771" s="9"/>
    </row>
    <row r="772" spans="9:9" ht="15.75" customHeight="1">
      <c r="I772" s="9"/>
    </row>
    <row r="773" spans="9:9" ht="15.75" customHeight="1">
      <c r="I773" s="9"/>
    </row>
    <row r="774" spans="9:9" ht="15.75" customHeight="1">
      <c r="I774" s="9"/>
    </row>
    <row r="775" spans="9:9" ht="15.75" customHeight="1">
      <c r="I775" s="9"/>
    </row>
    <row r="776" spans="9:9" ht="15.75" customHeight="1">
      <c r="I776" s="9"/>
    </row>
    <row r="777" spans="9:9" ht="15.75" customHeight="1">
      <c r="I777" s="9"/>
    </row>
    <row r="778" spans="9:9" ht="15.75" customHeight="1">
      <c r="I778" s="9"/>
    </row>
    <row r="779" spans="9:9" ht="15.75" customHeight="1">
      <c r="I779" s="9"/>
    </row>
    <row r="780" spans="9:9" ht="15.75" customHeight="1">
      <c r="I780" s="9"/>
    </row>
    <row r="781" spans="9:9" ht="15.75" customHeight="1">
      <c r="I781" s="9"/>
    </row>
    <row r="782" spans="9:9" ht="15.75" customHeight="1">
      <c r="I782" s="9"/>
    </row>
    <row r="783" spans="9:9" ht="15.75" customHeight="1">
      <c r="I783" s="9"/>
    </row>
    <row r="784" spans="9:9" ht="15.75" customHeight="1">
      <c r="I784" s="9"/>
    </row>
    <row r="785" spans="9:9" ht="15.75" customHeight="1">
      <c r="I785" s="9"/>
    </row>
    <row r="786" spans="9:9" ht="15.75" customHeight="1">
      <c r="I786" s="9"/>
    </row>
    <row r="787" spans="9:9" ht="15.75" customHeight="1">
      <c r="I787" s="9"/>
    </row>
    <row r="788" spans="9:9" ht="15.75" customHeight="1">
      <c r="I788" s="9"/>
    </row>
    <row r="789" spans="9:9" ht="15.75" customHeight="1">
      <c r="I789" s="9"/>
    </row>
    <row r="790" spans="9:9" ht="15.75" customHeight="1">
      <c r="I790" s="9"/>
    </row>
    <row r="791" spans="9:9" ht="15.75" customHeight="1">
      <c r="I791" s="9"/>
    </row>
    <row r="792" spans="9:9" ht="15.75" customHeight="1">
      <c r="I792" s="9"/>
    </row>
    <row r="793" spans="9:9" ht="15.75" customHeight="1">
      <c r="I793" s="9"/>
    </row>
    <row r="794" spans="9:9" ht="15.75" customHeight="1">
      <c r="I794" s="9"/>
    </row>
    <row r="795" spans="9:9" ht="15.75" customHeight="1">
      <c r="I795" s="9"/>
    </row>
    <row r="796" spans="9:9" ht="15.75" customHeight="1">
      <c r="I796" s="9"/>
    </row>
    <row r="797" spans="9:9" ht="15.75" customHeight="1">
      <c r="I797" s="9"/>
    </row>
    <row r="798" spans="9:9" ht="15.75" customHeight="1">
      <c r="I798" s="9"/>
    </row>
    <row r="799" spans="9:9" ht="15.75" customHeight="1">
      <c r="I799" s="9"/>
    </row>
    <row r="800" spans="9:9" ht="15.75" customHeight="1">
      <c r="I800" s="9"/>
    </row>
    <row r="801" spans="9:9" ht="15.75" customHeight="1">
      <c r="I801" s="9"/>
    </row>
    <row r="802" spans="9:9" ht="15.75" customHeight="1">
      <c r="I802" s="9"/>
    </row>
    <row r="803" spans="9:9" ht="15.75" customHeight="1">
      <c r="I803" s="9"/>
    </row>
    <row r="804" spans="9:9" ht="15.75" customHeight="1">
      <c r="I804" s="9"/>
    </row>
    <row r="805" spans="9:9" ht="15.75" customHeight="1">
      <c r="I805" s="9"/>
    </row>
    <row r="806" spans="9:9" ht="15.75" customHeight="1">
      <c r="I806" s="9"/>
    </row>
    <row r="807" spans="9:9" ht="15.75" customHeight="1">
      <c r="I807" s="9"/>
    </row>
    <row r="808" spans="9:9" ht="15.75" customHeight="1">
      <c r="I808" s="9"/>
    </row>
    <row r="809" spans="9:9" ht="15.75" customHeight="1">
      <c r="I809" s="9"/>
    </row>
    <row r="810" spans="9:9" ht="15.75" customHeight="1">
      <c r="I810" s="9"/>
    </row>
    <row r="811" spans="9:9" ht="15.75" customHeight="1">
      <c r="I811" s="9"/>
    </row>
    <row r="812" spans="9:9" ht="15.75" customHeight="1">
      <c r="I812" s="9"/>
    </row>
    <row r="813" spans="9:9" ht="15.75" customHeight="1">
      <c r="I813" s="9"/>
    </row>
    <row r="814" spans="9:9" ht="15.75" customHeight="1">
      <c r="I814" s="9"/>
    </row>
    <row r="815" spans="9:9" ht="15.75" customHeight="1">
      <c r="I815" s="9"/>
    </row>
    <row r="816" spans="9:9" ht="15.75" customHeight="1">
      <c r="I816" s="9"/>
    </row>
    <row r="817" spans="9:9" ht="15.75" customHeight="1">
      <c r="I817" s="9"/>
    </row>
    <row r="818" spans="9:9" ht="15.75" customHeight="1">
      <c r="I818" s="9"/>
    </row>
    <row r="819" spans="9:9" ht="15.75" customHeight="1">
      <c r="I819" s="9"/>
    </row>
    <row r="820" spans="9:9" ht="15.75" customHeight="1">
      <c r="I820" s="9"/>
    </row>
    <row r="821" spans="9:9" ht="15.75" customHeight="1">
      <c r="I821" s="9"/>
    </row>
    <row r="822" spans="9:9" ht="15.75" customHeight="1">
      <c r="I822" s="9"/>
    </row>
    <row r="823" spans="9:9" ht="15.75" customHeight="1">
      <c r="I823" s="9"/>
    </row>
    <row r="824" spans="9:9" ht="15.75" customHeight="1">
      <c r="I824" s="9"/>
    </row>
    <row r="825" spans="9:9" ht="15.75" customHeight="1">
      <c r="I825" s="9"/>
    </row>
    <row r="826" spans="9:9" ht="15.75" customHeight="1">
      <c r="I826" s="9"/>
    </row>
    <row r="827" spans="9:9" ht="15.75" customHeight="1">
      <c r="I827" s="9"/>
    </row>
    <row r="828" spans="9:9" ht="15.75" customHeight="1">
      <c r="I828" s="9"/>
    </row>
    <row r="829" spans="9:9" ht="15.75" customHeight="1">
      <c r="I829" s="9"/>
    </row>
    <row r="830" spans="9:9" ht="15.75" customHeight="1">
      <c r="I830" s="9"/>
    </row>
    <row r="831" spans="9:9" ht="15.75" customHeight="1">
      <c r="I831" s="9"/>
    </row>
    <row r="832" spans="9:9" ht="15.75" customHeight="1">
      <c r="I832" s="9"/>
    </row>
    <row r="833" spans="9:9" ht="15.75" customHeight="1">
      <c r="I833" s="9"/>
    </row>
    <row r="834" spans="9:9" ht="15.75" customHeight="1">
      <c r="I834" s="9"/>
    </row>
    <row r="835" spans="9:9" ht="15.75" customHeight="1">
      <c r="I835" s="9"/>
    </row>
    <row r="836" spans="9:9" ht="15.75" customHeight="1">
      <c r="I836" s="9"/>
    </row>
    <row r="837" spans="9:9" ht="15.75" customHeight="1">
      <c r="I837" s="9"/>
    </row>
    <row r="838" spans="9:9" ht="15.75" customHeight="1">
      <c r="I838" s="9"/>
    </row>
    <row r="839" spans="9:9" ht="15.75" customHeight="1">
      <c r="I839" s="9"/>
    </row>
    <row r="840" spans="9:9" ht="15.75" customHeight="1">
      <c r="I840" s="9"/>
    </row>
    <row r="841" spans="9:9" ht="15.75" customHeight="1">
      <c r="I841" s="9"/>
    </row>
    <row r="842" spans="9:9" ht="15.75" customHeight="1">
      <c r="I842" s="9"/>
    </row>
    <row r="843" spans="9:9" ht="15.75" customHeight="1">
      <c r="I843" s="9"/>
    </row>
    <row r="844" spans="9:9" ht="15.75" customHeight="1">
      <c r="I844" s="9"/>
    </row>
    <row r="845" spans="9:9" ht="15.75" customHeight="1">
      <c r="I845" s="9"/>
    </row>
    <row r="846" spans="9:9" ht="15.75" customHeight="1">
      <c r="I846" s="9"/>
    </row>
    <row r="847" spans="9:9" ht="15.75" customHeight="1">
      <c r="I847" s="9"/>
    </row>
    <row r="848" spans="9:9" ht="15.75" customHeight="1">
      <c r="I848" s="9"/>
    </row>
    <row r="849" spans="9:9" ht="15.75" customHeight="1">
      <c r="I849" s="9"/>
    </row>
    <row r="850" spans="9:9" ht="15.75" customHeight="1">
      <c r="I850" s="9"/>
    </row>
    <row r="851" spans="9:9" ht="15.75" customHeight="1">
      <c r="I851" s="9"/>
    </row>
    <row r="852" spans="9:9" ht="15.75" customHeight="1">
      <c r="I852" s="9"/>
    </row>
    <row r="853" spans="9:9" ht="15.75" customHeight="1">
      <c r="I853" s="9"/>
    </row>
    <row r="854" spans="9:9" ht="15.75" customHeight="1">
      <c r="I854" s="9"/>
    </row>
    <row r="855" spans="9:9" ht="15.75" customHeight="1">
      <c r="I855" s="9"/>
    </row>
    <row r="856" spans="9:9" ht="15.75" customHeight="1">
      <c r="I856" s="9"/>
    </row>
    <row r="857" spans="9:9" ht="15.75" customHeight="1">
      <c r="I857" s="9"/>
    </row>
    <row r="858" spans="9:9" ht="15.75" customHeight="1">
      <c r="I858" s="9"/>
    </row>
    <row r="859" spans="9:9" ht="15.75" customHeight="1">
      <c r="I859" s="9"/>
    </row>
    <row r="860" spans="9:9" ht="15.75" customHeight="1">
      <c r="I860" s="9"/>
    </row>
    <row r="861" spans="9:9" ht="15.75" customHeight="1">
      <c r="I861" s="9"/>
    </row>
    <row r="862" spans="9:9" ht="15.75" customHeight="1">
      <c r="I862" s="9"/>
    </row>
    <row r="863" spans="9:9" ht="15.75" customHeight="1">
      <c r="I863" s="9"/>
    </row>
    <row r="864" spans="9:9" ht="15.75" customHeight="1">
      <c r="I864" s="9"/>
    </row>
    <row r="865" spans="9:9" ht="15.75" customHeight="1">
      <c r="I865" s="9"/>
    </row>
    <row r="866" spans="9:9" ht="15.75" customHeight="1">
      <c r="I866" s="9"/>
    </row>
    <row r="867" spans="9:9" ht="15.75" customHeight="1">
      <c r="I867" s="9"/>
    </row>
    <row r="868" spans="9:9" ht="15.75" customHeight="1">
      <c r="I868" s="9"/>
    </row>
    <row r="869" spans="9:9" ht="15.75" customHeight="1">
      <c r="I869" s="9"/>
    </row>
    <row r="870" spans="9:9" ht="15.75" customHeight="1">
      <c r="I870" s="9"/>
    </row>
    <row r="871" spans="9:9" ht="15.75" customHeight="1">
      <c r="I871" s="9"/>
    </row>
    <row r="872" spans="9:9" ht="15.75" customHeight="1">
      <c r="I872" s="9"/>
    </row>
    <row r="873" spans="9:9" ht="15.75" customHeight="1">
      <c r="I873" s="9"/>
    </row>
    <row r="874" spans="9:9" ht="15.75" customHeight="1">
      <c r="I874" s="9"/>
    </row>
    <row r="875" spans="9:9" ht="15.75" customHeight="1">
      <c r="I875" s="9"/>
    </row>
    <row r="876" spans="9:9" ht="15.75" customHeight="1">
      <c r="I876" s="9"/>
    </row>
    <row r="877" spans="9:9" ht="15.75" customHeight="1">
      <c r="I877" s="9"/>
    </row>
    <row r="878" spans="9:9" ht="15.75" customHeight="1">
      <c r="I878" s="9"/>
    </row>
    <row r="879" spans="9:9" ht="15.75" customHeight="1">
      <c r="I879" s="9"/>
    </row>
    <row r="880" spans="9:9" ht="15.75" customHeight="1">
      <c r="I880" s="9"/>
    </row>
    <row r="881" spans="9:9" ht="15.75" customHeight="1">
      <c r="I881" s="9"/>
    </row>
    <row r="882" spans="9:9" ht="15.75" customHeight="1">
      <c r="I882" s="9"/>
    </row>
    <row r="883" spans="9:9" ht="15.75" customHeight="1">
      <c r="I883" s="9"/>
    </row>
    <row r="884" spans="9:9" ht="15.75" customHeight="1">
      <c r="I884" s="9"/>
    </row>
    <row r="885" spans="9:9" ht="15.75" customHeight="1">
      <c r="I885" s="9"/>
    </row>
    <row r="886" spans="9:9" ht="15.75" customHeight="1">
      <c r="I886" s="9"/>
    </row>
    <row r="887" spans="9:9" ht="15.75" customHeight="1">
      <c r="I887" s="9"/>
    </row>
    <row r="888" spans="9:9" ht="15.75" customHeight="1">
      <c r="I888" s="9"/>
    </row>
    <row r="889" spans="9:9" ht="15.75" customHeight="1">
      <c r="I889" s="9"/>
    </row>
    <row r="890" spans="9:9" ht="15.75" customHeight="1">
      <c r="I890" s="9"/>
    </row>
    <row r="891" spans="9:9" ht="15.75" customHeight="1">
      <c r="I891" s="9"/>
    </row>
    <row r="892" spans="9:9" ht="15.75" customHeight="1">
      <c r="I892" s="9"/>
    </row>
    <row r="893" spans="9:9" ht="15.75" customHeight="1">
      <c r="I893" s="9"/>
    </row>
    <row r="894" spans="9:9" ht="15.75" customHeight="1">
      <c r="I894" s="9"/>
    </row>
    <row r="895" spans="9:9" ht="15.75" customHeight="1">
      <c r="I895" s="9"/>
    </row>
    <row r="896" spans="9:9" ht="15.75" customHeight="1">
      <c r="I896" s="9"/>
    </row>
    <row r="897" spans="9:9" ht="15.75" customHeight="1">
      <c r="I897" s="9"/>
    </row>
    <row r="898" spans="9:9" ht="15.75" customHeight="1">
      <c r="I898" s="9"/>
    </row>
    <row r="899" spans="9:9" ht="15.75" customHeight="1">
      <c r="I899" s="9"/>
    </row>
    <row r="900" spans="9:9" ht="15.75" customHeight="1">
      <c r="I900" s="9"/>
    </row>
    <row r="901" spans="9:9" ht="15.75" customHeight="1">
      <c r="I901" s="9"/>
    </row>
    <row r="902" spans="9:9" ht="15.75" customHeight="1">
      <c r="I902" s="9"/>
    </row>
    <row r="903" spans="9:9" ht="15.75" customHeight="1">
      <c r="I903" s="9"/>
    </row>
    <row r="904" spans="9:9" ht="15.75" customHeight="1">
      <c r="I904" s="9"/>
    </row>
    <row r="905" spans="9:9" ht="15.75" customHeight="1">
      <c r="I905" s="9"/>
    </row>
    <row r="906" spans="9:9" ht="15.75" customHeight="1">
      <c r="I906" s="9"/>
    </row>
    <row r="907" spans="9:9" ht="15.75" customHeight="1">
      <c r="I907" s="9"/>
    </row>
    <row r="908" spans="9:9" ht="15.75" customHeight="1">
      <c r="I908" s="9"/>
    </row>
    <row r="909" spans="9:9" ht="15.75" customHeight="1">
      <c r="I909" s="9"/>
    </row>
    <row r="910" spans="9:9" ht="15.75" customHeight="1">
      <c r="I910" s="9"/>
    </row>
    <row r="911" spans="9:9" ht="15.75" customHeight="1">
      <c r="I911" s="9"/>
    </row>
    <row r="912" spans="9:9" ht="15.75" customHeight="1">
      <c r="I912" s="9"/>
    </row>
    <row r="913" spans="9:9" ht="15.75" customHeight="1">
      <c r="I913" s="9"/>
    </row>
    <row r="914" spans="9:9" ht="15.75" customHeight="1">
      <c r="I914" s="9"/>
    </row>
    <row r="915" spans="9:9" ht="15.75" customHeight="1">
      <c r="I915" s="9"/>
    </row>
    <row r="916" spans="9:9" ht="15.75" customHeight="1">
      <c r="I916" s="9"/>
    </row>
    <row r="917" spans="9:9" ht="15.75" customHeight="1">
      <c r="I917" s="9"/>
    </row>
    <row r="918" spans="9:9" ht="15.75" customHeight="1">
      <c r="I918" s="9"/>
    </row>
    <row r="919" spans="9:9" ht="15.75" customHeight="1">
      <c r="I919" s="9"/>
    </row>
    <row r="920" spans="9:9" ht="15.75" customHeight="1">
      <c r="I920" s="9"/>
    </row>
    <row r="921" spans="9:9" ht="15.75" customHeight="1">
      <c r="I921" s="9"/>
    </row>
    <row r="922" spans="9:9" ht="15.75" customHeight="1">
      <c r="I922" s="9"/>
    </row>
    <row r="923" spans="9:9" ht="15.75" customHeight="1">
      <c r="I923" s="9"/>
    </row>
    <row r="924" spans="9:9" ht="15.75" customHeight="1">
      <c r="I924" s="9"/>
    </row>
    <row r="925" spans="9:9" ht="15.75" customHeight="1">
      <c r="I925" s="9"/>
    </row>
    <row r="926" spans="9:9" ht="15.75" customHeight="1">
      <c r="I926" s="9"/>
    </row>
    <row r="927" spans="9:9" ht="15.75" customHeight="1">
      <c r="I927" s="9"/>
    </row>
    <row r="928" spans="9:9" ht="15.75" customHeight="1">
      <c r="I928" s="9"/>
    </row>
    <row r="929" spans="9:9" ht="15.75" customHeight="1">
      <c r="I929" s="9"/>
    </row>
    <row r="930" spans="9:9" ht="15.75" customHeight="1">
      <c r="I930" s="9"/>
    </row>
    <row r="931" spans="9:9" ht="15.75" customHeight="1">
      <c r="I931" s="9"/>
    </row>
    <row r="932" spans="9:9" ht="15.75" customHeight="1">
      <c r="I932" s="9"/>
    </row>
    <row r="933" spans="9:9" ht="15.75" customHeight="1">
      <c r="I933" s="9"/>
    </row>
    <row r="934" spans="9:9" ht="15.75" customHeight="1">
      <c r="I934" s="9"/>
    </row>
    <row r="935" spans="9:9" ht="15.75" customHeight="1">
      <c r="I935" s="9"/>
    </row>
    <row r="936" spans="9:9" ht="15.75" customHeight="1">
      <c r="I936" s="9"/>
    </row>
    <row r="937" spans="9:9" ht="15.75" customHeight="1">
      <c r="I937" s="9"/>
    </row>
    <row r="938" spans="9:9" ht="15.75" customHeight="1">
      <c r="I938" s="9"/>
    </row>
    <row r="939" spans="9:9" ht="15.75" customHeight="1">
      <c r="I939" s="9"/>
    </row>
    <row r="940" spans="9:9" ht="15.75" customHeight="1">
      <c r="I940" s="9"/>
    </row>
    <row r="941" spans="9:9" ht="15.75" customHeight="1">
      <c r="I941" s="9"/>
    </row>
    <row r="942" spans="9:9" ht="15.75" customHeight="1">
      <c r="I942" s="9"/>
    </row>
    <row r="943" spans="9:9" ht="15.75" customHeight="1">
      <c r="I943" s="9"/>
    </row>
    <row r="944" spans="9:9" ht="15.75" customHeight="1">
      <c r="I944" s="9"/>
    </row>
    <row r="945" spans="9:9" ht="15.75" customHeight="1">
      <c r="I945" s="9"/>
    </row>
    <row r="946" spans="9:9" ht="15.75" customHeight="1">
      <c r="I946" s="9"/>
    </row>
    <row r="947" spans="9:9" ht="15.75" customHeight="1">
      <c r="I947" s="9"/>
    </row>
    <row r="948" spans="9:9" ht="15.75" customHeight="1">
      <c r="I948" s="9"/>
    </row>
    <row r="949" spans="9:9" ht="15.75" customHeight="1">
      <c r="I949" s="9"/>
    </row>
    <row r="950" spans="9:9" ht="15.75" customHeight="1">
      <c r="I950" s="9"/>
    </row>
    <row r="951" spans="9:9" ht="15.75" customHeight="1">
      <c r="I951" s="9"/>
    </row>
    <row r="952" spans="9:9" ht="15.75" customHeight="1">
      <c r="I952" s="9"/>
    </row>
    <row r="953" spans="9:9" ht="15.75" customHeight="1">
      <c r="I953" s="9"/>
    </row>
    <row r="954" spans="9:9" ht="15.75" customHeight="1">
      <c r="I954" s="9"/>
    </row>
    <row r="955" spans="9:9" ht="15.75" customHeight="1">
      <c r="I955" s="9"/>
    </row>
    <row r="956" spans="9:9" ht="15.75" customHeight="1">
      <c r="I956" s="9"/>
    </row>
    <row r="957" spans="9:9" ht="15.75" customHeight="1">
      <c r="I957" s="9"/>
    </row>
    <row r="958" spans="9:9" ht="15.75" customHeight="1">
      <c r="I958" s="9"/>
    </row>
    <row r="959" spans="9:9" ht="15.75" customHeight="1">
      <c r="I959" s="9"/>
    </row>
    <row r="960" spans="9:9" ht="15.75" customHeight="1">
      <c r="I960" s="9"/>
    </row>
    <row r="961" spans="9:9" ht="15.75" customHeight="1">
      <c r="I961" s="9"/>
    </row>
    <row r="962" spans="9:9" ht="15.75" customHeight="1">
      <c r="I962" s="9"/>
    </row>
    <row r="963" spans="9:9" ht="15.75" customHeight="1">
      <c r="I963" s="9"/>
    </row>
    <row r="964" spans="9:9" ht="15.75" customHeight="1">
      <c r="I964" s="9"/>
    </row>
    <row r="965" spans="9:9" ht="15.75" customHeight="1">
      <c r="I965" s="9"/>
    </row>
    <row r="966" spans="9:9" ht="15.75" customHeight="1">
      <c r="I966" s="9"/>
    </row>
    <row r="967" spans="9:9" ht="15.75" customHeight="1">
      <c r="I967" s="9"/>
    </row>
    <row r="968" spans="9:9" ht="15.75" customHeight="1">
      <c r="I968" s="9"/>
    </row>
    <row r="969" spans="9:9" ht="15.75" customHeight="1">
      <c r="I969" s="9"/>
    </row>
    <row r="970" spans="9:9" ht="15.75" customHeight="1">
      <c r="I970" s="9"/>
    </row>
    <row r="971" spans="9:9" ht="15.75" customHeight="1">
      <c r="I971" s="9"/>
    </row>
    <row r="972" spans="9:9" ht="15.75" customHeight="1">
      <c r="I972" s="9"/>
    </row>
    <row r="973" spans="9:9" ht="15.75" customHeight="1">
      <c r="I973" s="9"/>
    </row>
    <row r="974" spans="9:9" ht="15.75" customHeight="1">
      <c r="I974" s="9"/>
    </row>
    <row r="975" spans="9:9" ht="15.75" customHeight="1">
      <c r="I975" s="9"/>
    </row>
    <row r="976" spans="9:9" ht="15.75" customHeight="1">
      <c r="I976" s="9"/>
    </row>
    <row r="977" spans="9:9" ht="15.75" customHeight="1">
      <c r="I977" s="9"/>
    </row>
    <row r="978" spans="9:9" ht="15.75" customHeight="1">
      <c r="I978" s="9"/>
    </row>
    <row r="979" spans="9:9" ht="15.75" customHeight="1">
      <c r="I979" s="9"/>
    </row>
    <row r="980" spans="9:9" ht="15.75" customHeight="1">
      <c r="I980" s="9"/>
    </row>
    <row r="981" spans="9:9" ht="15.75" customHeight="1">
      <c r="I981" s="9"/>
    </row>
    <row r="982" spans="9:9" ht="15.75" customHeight="1">
      <c r="I982" s="9"/>
    </row>
    <row r="983" spans="9:9" ht="15.75" customHeight="1">
      <c r="I983" s="9"/>
    </row>
    <row r="984" spans="9:9" ht="15.75" customHeight="1">
      <c r="I984" s="9"/>
    </row>
    <row r="985" spans="9:9" ht="15.75" customHeight="1">
      <c r="I985" s="9"/>
    </row>
    <row r="986" spans="9:9" ht="15.75" customHeight="1">
      <c r="I986" s="9"/>
    </row>
    <row r="987" spans="9:9" ht="15.75" customHeight="1">
      <c r="I987" s="9"/>
    </row>
    <row r="988" spans="9:9" ht="15.75" customHeight="1">
      <c r="I988" s="9"/>
    </row>
    <row r="989" spans="9:9" ht="15.75" customHeight="1">
      <c r="I989" s="9"/>
    </row>
    <row r="990" spans="9:9" ht="15.75" customHeight="1">
      <c r="I990" s="9"/>
    </row>
    <row r="991" spans="9:9" ht="15.75" customHeight="1">
      <c r="I991" s="9"/>
    </row>
    <row r="992" spans="9:9" ht="15.75" customHeight="1">
      <c r="I992" s="9"/>
    </row>
    <row r="993" spans="9:9" ht="15.75" customHeight="1">
      <c r="I993" s="9"/>
    </row>
    <row r="994" spans="9:9" ht="15.75" customHeight="1">
      <c r="I994" s="9"/>
    </row>
    <row r="995" spans="9:9" ht="15.75" customHeight="1">
      <c r="I995" s="9"/>
    </row>
    <row r="996" spans="9:9" ht="15.75" customHeight="1">
      <c r="I996" s="9"/>
    </row>
    <row r="997" spans="9:9" ht="15.75" customHeight="1">
      <c r="I997" s="9"/>
    </row>
    <row r="998" spans="9:9" ht="15.75" customHeight="1">
      <c r="I998" s="9"/>
    </row>
    <row r="999" spans="9:9" ht="15.75" customHeight="1">
      <c r="I999" s="9"/>
    </row>
  </sheetData>
  <conditionalFormatting sqref="I2:I334">
    <cfRule type="colorScale" priority="1">
      <colorScale>
        <cfvo type="min"/>
        <cfvo type="percent" val="50"/>
        <cfvo type="max"/>
        <color rgb="FFFF0000"/>
        <color rgb="FFFFFF00"/>
        <color rgb="FF00FF00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K992"/>
  <sheetViews>
    <sheetView workbookViewId="0"/>
  </sheetViews>
  <sheetFormatPr baseColWidth="10" defaultColWidth="12.6640625" defaultRowHeight="15.75" customHeight="1"/>
  <cols>
    <col min="4" max="4" width="22" customWidth="1"/>
    <col min="5" max="6" width="2.83203125" customWidth="1"/>
    <col min="7" max="7" width="5.33203125" customWidth="1"/>
    <col min="8" max="8" width="12.5" customWidth="1"/>
  </cols>
  <sheetData>
    <row r="1" spans="1:37" ht="15.75" customHeight="1">
      <c r="A1" s="1" t="s">
        <v>2635</v>
      </c>
      <c r="B1" s="1" t="s">
        <v>2636</v>
      </c>
      <c r="C1" s="1" t="s">
        <v>2637</v>
      </c>
      <c r="D1" s="1" t="s">
        <v>1223</v>
      </c>
      <c r="E1" s="1" t="s">
        <v>3064</v>
      </c>
      <c r="F1" s="1" t="s">
        <v>3065</v>
      </c>
      <c r="G1" s="1" t="s">
        <v>3066</v>
      </c>
      <c r="H1" s="5" t="s">
        <v>3067</v>
      </c>
      <c r="I1" s="1" t="s">
        <v>3068</v>
      </c>
      <c r="J1" s="1" t="s">
        <v>3069</v>
      </c>
      <c r="K1" s="1" t="s">
        <v>3070</v>
      </c>
      <c r="L1" s="1" t="s">
        <v>3071</v>
      </c>
      <c r="M1" s="1" t="s">
        <v>3072</v>
      </c>
      <c r="N1" s="1" t="s">
        <v>3073</v>
      </c>
      <c r="O1" s="1" t="s">
        <v>3074</v>
      </c>
      <c r="P1" s="1" t="s">
        <v>3074</v>
      </c>
      <c r="Q1" s="1" t="s">
        <v>3075</v>
      </c>
      <c r="R1" s="1" t="s">
        <v>3076</v>
      </c>
      <c r="S1" s="1" t="s">
        <v>3077</v>
      </c>
      <c r="T1" s="1" t="s">
        <v>3078</v>
      </c>
      <c r="U1" s="1" t="s">
        <v>3079</v>
      </c>
      <c r="V1" s="1" t="s">
        <v>3080</v>
      </c>
      <c r="W1" s="1" t="s">
        <v>3081</v>
      </c>
      <c r="X1" s="1" t="s">
        <v>3082</v>
      </c>
      <c r="Y1" s="1" t="s">
        <v>3083</v>
      </c>
      <c r="Z1" s="1" t="s">
        <v>3084</v>
      </c>
      <c r="AA1" s="1" t="s">
        <v>3085</v>
      </c>
      <c r="AB1" s="1" t="s">
        <v>3086</v>
      </c>
      <c r="AC1" s="1" t="s">
        <v>3087</v>
      </c>
      <c r="AD1" s="1" t="s">
        <v>3088</v>
      </c>
      <c r="AE1" s="1" t="s">
        <v>3089</v>
      </c>
      <c r="AF1" s="1"/>
      <c r="AG1" s="1"/>
      <c r="AH1" s="1"/>
      <c r="AI1" s="1"/>
      <c r="AJ1" s="1"/>
      <c r="AK1" s="1"/>
    </row>
    <row r="2" spans="1:37" ht="15.75" customHeight="1">
      <c r="A2" s="2" t="s">
        <v>2644</v>
      </c>
      <c r="B2" s="2" t="s">
        <v>2645</v>
      </c>
      <c r="C2" s="3">
        <v>791</v>
      </c>
      <c r="D2" s="2" t="s">
        <v>782</v>
      </c>
      <c r="E2" s="2">
        <f t="shared" ref="E2:E65" si="0">COUNTIF(I2:AK2,"L (1/1)")</f>
        <v>11</v>
      </c>
      <c r="F2" s="2">
        <f t="shared" ref="F2:F65" si="1">COUNTIF(I2:AK2,"R (1/1)")</f>
        <v>12</v>
      </c>
      <c r="G2" s="2">
        <f t="shared" ref="G2:G65" si="2">E2+F2</f>
        <v>23</v>
      </c>
      <c r="H2" s="6">
        <f t="shared" ref="H2:H65" si="3">G2/23</f>
        <v>1</v>
      </c>
      <c r="I2" s="2" t="s">
        <v>3090</v>
      </c>
      <c r="J2" s="2" t="s">
        <v>3090</v>
      </c>
      <c r="K2" s="2" t="s">
        <v>3090</v>
      </c>
      <c r="L2" s="2" t="s">
        <v>3090</v>
      </c>
      <c r="M2" s="2" t="s">
        <v>3090</v>
      </c>
      <c r="N2" s="2" t="s">
        <v>3090</v>
      </c>
      <c r="O2" s="2" t="s">
        <v>3091</v>
      </c>
      <c r="P2" s="2" t="s">
        <v>3091</v>
      </c>
      <c r="Q2" s="2" t="s">
        <v>3091</v>
      </c>
      <c r="R2" s="2" t="s">
        <v>3091</v>
      </c>
      <c r="S2" s="2" t="s">
        <v>3090</v>
      </c>
      <c r="T2" s="2" t="s">
        <v>3091</v>
      </c>
      <c r="U2" s="2" t="s">
        <v>3091</v>
      </c>
      <c r="V2" s="2" t="s">
        <v>3091</v>
      </c>
      <c r="W2" s="2" t="s">
        <v>3091</v>
      </c>
      <c r="X2" s="2" t="s">
        <v>3091</v>
      </c>
      <c r="Y2" s="2" t="s">
        <v>3090</v>
      </c>
      <c r="Z2" s="2" t="s">
        <v>3091</v>
      </c>
      <c r="AA2" s="3" t="s">
        <v>3091</v>
      </c>
      <c r="AB2" s="3" t="s">
        <v>3090</v>
      </c>
      <c r="AC2" s="3" t="s">
        <v>3090</v>
      </c>
      <c r="AD2" s="3" t="s">
        <v>3090</v>
      </c>
      <c r="AE2" s="3" t="s">
        <v>3091</v>
      </c>
      <c r="AF2" s="3"/>
      <c r="AG2" s="3"/>
      <c r="AH2" s="3"/>
      <c r="AI2" s="3"/>
      <c r="AJ2" s="3"/>
      <c r="AK2" s="3"/>
    </row>
    <row r="3" spans="1:37" ht="15.75" customHeight="1">
      <c r="A3" s="2" t="s">
        <v>2649</v>
      </c>
      <c r="B3" s="2" t="s">
        <v>2650</v>
      </c>
      <c r="C3" s="3">
        <v>500</v>
      </c>
      <c r="D3" s="2" t="s">
        <v>714</v>
      </c>
      <c r="E3" s="2">
        <f t="shared" si="0"/>
        <v>0</v>
      </c>
      <c r="F3" s="2">
        <f t="shared" si="1"/>
        <v>1</v>
      </c>
      <c r="G3" s="2">
        <f t="shared" si="2"/>
        <v>1</v>
      </c>
      <c r="H3" s="6">
        <f t="shared" si="3"/>
        <v>4.3478260869565202E-2</v>
      </c>
      <c r="I3" s="2" t="s">
        <v>3091</v>
      </c>
      <c r="J3" s="2" t="s">
        <v>3092</v>
      </c>
      <c r="K3" s="2" t="s">
        <v>3092</v>
      </c>
      <c r="L3" s="2" t="s">
        <v>3092</v>
      </c>
      <c r="M3" s="2" t="s">
        <v>3092</v>
      </c>
      <c r="N3" s="2" t="s">
        <v>3092</v>
      </c>
      <c r="O3" s="2" t="s">
        <v>3092</v>
      </c>
      <c r="P3" s="2" t="s">
        <v>3092</v>
      </c>
      <c r="Q3" s="2" t="s">
        <v>3092</v>
      </c>
      <c r="R3" s="2" t="s">
        <v>3092</v>
      </c>
      <c r="S3" s="2" t="s">
        <v>3092</v>
      </c>
      <c r="T3" s="2" t="s">
        <v>3092</v>
      </c>
      <c r="U3" s="2" t="s">
        <v>3092</v>
      </c>
      <c r="V3" s="2" t="s">
        <v>3092</v>
      </c>
      <c r="W3" s="2" t="s">
        <v>3092</v>
      </c>
      <c r="X3" s="2" t="s">
        <v>3092</v>
      </c>
      <c r="Y3" s="2" t="s">
        <v>3092</v>
      </c>
      <c r="Z3" s="2" t="s">
        <v>3092</v>
      </c>
      <c r="AA3" s="3" t="s">
        <v>3092</v>
      </c>
      <c r="AB3" s="3" t="s">
        <v>3092</v>
      </c>
      <c r="AC3" s="3" t="s">
        <v>3092</v>
      </c>
      <c r="AD3" s="3" t="s">
        <v>3092</v>
      </c>
      <c r="AE3" s="3" t="s">
        <v>3092</v>
      </c>
      <c r="AF3" s="3"/>
      <c r="AG3" s="3"/>
      <c r="AH3" s="3"/>
      <c r="AI3" s="3"/>
      <c r="AJ3" s="3"/>
      <c r="AK3" s="3"/>
    </row>
    <row r="4" spans="1:37" ht="15.75" customHeight="1">
      <c r="A4" s="2" t="s">
        <v>2651</v>
      </c>
      <c r="B4" s="2" t="s">
        <v>2652</v>
      </c>
      <c r="C4" s="3">
        <v>275</v>
      </c>
      <c r="D4" s="2" t="s">
        <v>495</v>
      </c>
      <c r="E4" s="2">
        <f t="shared" si="0"/>
        <v>4</v>
      </c>
      <c r="F4" s="2">
        <f t="shared" si="1"/>
        <v>7</v>
      </c>
      <c r="G4" s="2">
        <f t="shared" si="2"/>
        <v>11</v>
      </c>
      <c r="H4" s="6">
        <f t="shared" si="3"/>
        <v>0.47826086956521702</v>
      </c>
      <c r="I4" s="2" t="s">
        <v>3091</v>
      </c>
      <c r="J4" s="2" t="s">
        <v>3091</v>
      </c>
      <c r="K4" s="2" t="s">
        <v>3090</v>
      </c>
      <c r="L4" s="2" t="s">
        <v>3091</v>
      </c>
      <c r="M4" s="2" t="s">
        <v>3092</v>
      </c>
      <c r="N4" s="2" t="s">
        <v>3091</v>
      </c>
      <c r="O4" s="2" t="s">
        <v>3092</v>
      </c>
      <c r="P4" s="2" t="s">
        <v>3092</v>
      </c>
      <c r="Q4" s="2" t="s">
        <v>3092</v>
      </c>
      <c r="R4" s="2" t="s">
        <v>3092</v>
      </c>
      <c r="S4" s="2" t="s">
        <v>3092</v>
      </c>
      <c r="T4" s="2" t="s">
        <v>3092</v>
      </c>
      <c r="U4" s="2" t="s">
        <v>3092</v>
      </c>
      <c r="V4" s="2" t="s">
        <v>3092</v>
      </c>
      <c r="W4" s="2" t="s">
        <v>3091</v>
      </c>
      <c r="X4" s="2" t="s">
        <v>3091</v>
      </c>
      <c r="Y4" s="2" t="s">
        <v>3090</v>
      </c>
      <c r="Z4" s="2" t="s">
        <v>3090</v>
      </c>
      <c r="AA4" s="3" t="s">
        <v>3091</v>
      </c>
      <c r="AB4" s="3" t="s">
        <v>3092</v>
      </c>
      <c r="AC4" s="3" t="s">
        <v>3092</v>
      </c>
      <c r="AD4" s="3" t="s">
        <v>3090</v>
      </c>
      <c r="AE4" s="3" t="s">
        <v>3092</v>
      </c>
      <c r="AF4" s="3"/>
      <c r="AG4" s="3"/>
      <c r="AH4" s="3"/>
      <c r="AI4" s="3"/>
      <c r="AJ4" s="3"/>
      <c r="AK4" s="3"/>
    </row>
    <row r="5" spans="1:37" ht="15.75" customHeight="1">
      <c r="A5" s="2" t="s">
        <v>2655</v>
      </c>
      <c r="B5" s="2" t="s">
        <v>2656</v>
      </c>
      <c r="C5" s="3">
        <v>743</v>
      </c>
      <c r="D5" s="2" t="s">
        <v>145</v>
      </c>
      <c r="E5" s="2">
        <f t="shared" si="0"/>
        <v>10</v>
      </c>
      <c r="F5" s="2">
        <f t="shared" si="1"/>
        <v>13</v>
      </c>
      <c r="G5" s="2">
        <f t="shared" si="2"/>
        <v>23</v>
      </c>
      <c r="H5" s="6">
        <f t="shared" si="3"/>
        <v>1</v>
      </c>
      <c r="I5" s="2" t="s">
        <v>3090</v>
      </c>
      <c r="J5" s="2" t="s">
        <v>3090</v>
      </c>
      <c r="K5" s="2" t="s">
        <v>3090</v>
      </c>
      <c r="L5" s="2" t="s">
        <v>3090</v>
      </c>
      <c r="M5" s="2" t="s">
        <v>3090</v>
      </c>
      <c r="N5" s="2" t="s">
        <v>3090</v>
      </c>
      <c r="O5" s="2" t="s">
        <v>3091</v>
      </c>
      <c r="P5" s="2" t="s">
        <v>3091</v>
      </c>
      <c r="Q5" s="2" t="s">
        <v>3090</v>
      </c>
      <c r="R5" s="2" t="s">
        <v>3090</v>
      </c>
      <c r="S5" s="2" t="s">
        <v>3090</v>
      </c>
      <c r="T5" s="2" t="s">
        <v>3091</v>
      </c>
      <c r="U5" s="2" t="s">
        <v>3091</v>
      </c>
      <c r="V5" s="2" t="s">
        <v>3091</v>
      </c>
      <c r="W5" s="2" t="s">
        <v>3091</v>
      </c>
      <c r="X5" s="2" t="s">
        <v>3091</v>
      </c>
      <c r="Y5" s="2" t="s">
        <v>3091</v>
      </c>
      <c r="Z5" s="2" t="s">
        <v>3090</v>
      </c>
      <c r="AA5" s="3" t="s">
        <v>3091</v>
      </c>
      <c r="AB5" s="3" t="s">
        <v>3091</v>
      </c>
      <c r="AC5" s="3" t="s">
        <v>3091</v>
      </c>
      <c r="AD5" s="3" t="s">
        <v>3091</v>
      </c>
      <c r="AE5" s="3" t="s">
        <v>3091</v>
      </c>
      <c r="AF5" s="3"/>
      <c r="AG5" s="3"/>
      <c r="AH5" s="3"/>
      <c r="AI5" s="3"/>
      <c r="AJ5" s="3"/>
      <c r="AK5" s="3"/>
    </row>
    <row r="6" spans="1:37" ht="15.75" customHeight="1">
      <c r="A6" s="2" t="s">
        <v>2338</v>
      </c>
      <c r="B6" s="2" t="s">
        <v>2657</v>
      </c>
      <c r="C6" s="3">
        <v>810</v>
      </c>
      <c r="D6" s="2" t="s">
        <v>53</v>
      </c>
      <c r="E6" s="2">
        <f t="shared" si="0"/>
        <v>1</v>
      </c>
      <c r="F6" s="2">
        <f t="shared" si="1"/>
        <v>6</v>
      </c>
      <c r="G6" s="2">
        <f t="shared" si="2"/>
        <v>7</v>
      </c>
      <c r="H6" s="6">
        <f t="shared" si="3"/>
        <v>0.30434782608695699</v>
      </c>
      <c r="I6" s="2" t="s">
        <v>3091</v>
      </c>
      <c r="J6" s="2" t="s">
        <v>3091</v>
      </c>
      <c r="K6" s="2" t="s">
        <v>3091</v>
      </c>
      <c r="L6" s="2" t="s">
        <v>3091</v>
      </c>
      <c r="M6" s="2" t="s">
        <v>3091</v>
      </c>
      <c r="N6" s="2" t="s">
        <v>3092</v>
      </c>
      <c r="O6" s="2" t="s">
        <v>3092</v>
      </c>
      <c r="P6" s="2" t="s">
        <v>3092</v>
      </c>
      <c r="Q6" s="2" t="s">
        <v>3092</v>
      </c>
      <c r="R6" s="2" t="s">
        <v>3092</v>
      </c>
      <c r="S6" s="2" t="s">
        <v>3091</v>
      </c>
      <c r="T6" s="2" t="s">
        <v>3092</v>
      </c>
      <c r="U6" s="2" t="s">
        <v>3092</v>
      </c>
      <c r="V6" s="2" t="s">
        <v>3092</v>
      </c>
      <c r="W6" s="2" t="s">
        <v>3092</v>
      </c>
      <c r="X6" s="2" t="s">
        <v>3092</v>
      </c>
      <c r="Y6" s="2" t="s">
        <v>3090</v>
      </c>
      <c r="Z6" s="2" t="s">
        <v>3092</v>
      </c>
      <c r="AA6" s="3" t="s">
        <v>3092</v>
      </c>
      <c r="AB6" s="3" t="s">
        <v>3092</v>
      </c>
      <c r="AC6" s="3" t="s">
        <v>3092</v>
      </c>
      <c r="AD6" s="3" t="s">
        <v>3092</v>
      </c>
      <c r="AE6" s="3" t="s">
        <v>3092</v>
      </c>
      <c r="AF6" s="3"/>
      <c r="AG6" s="3"/>
      <c r="AH6" s="3"/>
      <c r="AI6" s="3"/>
      <c r="AJ6" s="3"/>
      <c r="AK6" s="3"/>
    </row>
    <row r="7" spans="1:37" ht="15.75" customHeight="1">
      <c r="A7" s="2" t="s">
        <v>2658</v>
      </c>
      <c r="B7" s="2" t="s">
        <v>2659</v>
      </c>
      <c r="C7" s="3">
        <v>680</v>
      </c>
      <c r="D7" s="2" t="s">
        <v>102</v>
      </c>
      <c r="E7" s="2">
        <f t="shared" si="0"/>
        <v>17</v>
      </c>
      <c r="F7" s="2">
        <f t="shared" si="1"/>
        <v>5</v>
      </c>
      <c r="G7" s="2">
        <f t="shared" si="2"/>
        <v>22</v>
      </c>
      <c r="H7" s="6">
        <f t="shared" si="3"/>
        <v>0.95652173913043503</v>
      </c>
      <c r="I7" s="2" t="s">
        <v>3090</v>
      </c>
      <c r="J7" s="2" t="s">
        <v>3090</v>
      </c>
      <c r="K7" s="2" t="s">
        <v>3090</v>
      </c>
      <c r="L7" s="2" t="s">
        <v>3090</v>
      </c>
      <c r="M7" s="2" t="s">
        <v>3090</v>
      </c>
      <c r="N7" s="2" t="s">
        <v>3090</v>
      </c>
      <c r="O7" s="2" t="s">
        <v>3091</v>
      </c>
      <c r="P7" s="2" t="s">
        <v>3091</v>
      </c>
      <c r="Q7" s="2" t="s">
        <v>3090</v>
      </c>
      <c r="R7" s="2" t="s">
        <v>3090</v>
      </c>
      <c r="S7" s="2" t="s">
        <v>3090</v>
      </c>
      <c r="T7" s="2" t="s">
        <v>3091</v>
      </c>
      <c r="U7" s="2" t="s">
        <v>3090</v>
      </c>
      <c r="V7" s="2" t="s">
        <v>3090</v>
      </c>
      <c r="W7" s="2" t="s">
        <v>3092</v>
      </c>
      <c r="X7" s="2" t="s">
        <v>3091</v>
      </c>
      <c r="Y7" s="2" t="s">
        <v>3090</v>
      </c>
      <c r="Z7" s="2" t="s">
        <v>3090</v>
      </c>
      <c r="AA7" s="3" t="s">
        <v>3091</v>
      </c>
      <c r="AB7" s="3" t="s">
        <v>3090</v>
      </c>
      <c r="AC7" s="3" t="s">
        <v>3090</v>
      </c>
      <c r="AD7" s="3" t="s">
        <v>3090</v>
      </c>
      <c r="AE7" s="3" t="s">
        <v>3090</v>
      </c>
      <c r="AF7" s="3"/>
      <c r="AG7" s="3"/>
      <c r="AH7" s="3"/>
      <c r="AI7" s="3"/>
      <c r="AJ7" s="3"/>
      <c r="AK7" s="3"/>
    </row>
    <row r="8" spans="1:37" ht="15.75" customHeight="1">
      <c r="A8" s="2" t="s">
        <v>2660</v>
      </c>
      <c r="B8" s="2" t="s">
        <v>2661</v>
      </c>
      <c r="C8" s="3">
        <v>269</v>
      </c>
      <c r="D8" s="2" t="s">
        <v>383</v>
      </c>
      <c r="E8" s="2">
        <f t="shared" si="0"/>
        <v>16</v>
      </c>
      <c r="F8" s="2">
        <f t="shared" si="1"/>
        <v>7</v>
      </c>
      <c r="G8" s="2">
        <f t="shared" si="2"/>
        <v>23</v>
      </c>
      <c r="H8" s="6">
        <f t="shared" si="3"/>
        <v>1</v>
      </c>
      <c r="I8" s="2" t="s">
        <v>3090</v>
      </c>
      <c r="J8" s="2" t="s">
        <v>3090</v>
      </c>
      <c r="K8" s="2" t="s">
        <v>3090</v>
      </c>
      <c r="L8" s="2" t="s">
        <v>3090</v>
      </c>
      <c r="M8" s="2" t="s">
        <v>3090</v>
      </c>
      <c r="N8" s="2" t="s">
        <v>3090</v>
      </c>
      <c r="O8" s="2" t="s">
        <v>3091</v>
      </c>
      <c r="P8" s="2" t="s">
        <v>3091</v>
      </c>
      <c r="Q8" s="2" t="s">
        <v>3090</v>
      </c>
      <c r="R8" s="2" t="s">
        <v>3090</v>
      </c>
      <c r="S8" s="2" t="s">
        <v>3091</v>
      </c>
      <c r="T8" s="2" t="s">
        <v>3091</v>
      </c>
      <c r="U8" s="2" t="s">
        <v>3090</v>
      </c>
      <c r="V8" s="2" t="s">
        <v>3090</v>
      </c>
      <c r="W8" s="2" t="s">
        <v>3091</v>
      </c>
      <c r="X8" s="2" t="s">
        <v>3091</v>
      </c>
      <c r="Y8" s="2" t="s">
        <v>3090</v>
      </c>
      <c r="Z8" s="2" t="s">
        <v>3090</v>
      </c>
      <c r="AA8" s="3" t="s">
        <v>3091</v>
      </c>
      <c r="AB8" s="3" t="s">
        <v>3090</v>
      </c>
      <c r="AC8" s="3" t="s">
        <v>3090</v>
      </c>
      <c r="AD8" s="3" t="s">
        <v>3090</v>
      </c>
      <c r="AE8" s="3" t="s">
        <v>3090</v>
      </c>
      <c r="AF8" s="3"/>
      <c r="AG8" s="3"/>
      <c r="AH8" s="3"/>
      <c r="AI8" s="3"/>
      <c r="AJ8" s="3"/>
      <c r="AK8" s="3"/>
    </row>
    <row r="9" spans="1:37" ht="15.75" customHeight="1">
      <c r="A9" s="2" t="s">
        <v>2662</v>
      </c>
      <c r="B9" s="2" t="s">
        <v>2663</v>
      </c>
      <c r="C9" s="3">
        <v>440</v>
      </c>
      <c r="D9" s="2" t="s">
        <v>502</v>
      </c>
      <c r="E9" s="2">
        <f t="shared" si="0"/>
        <v>13</v>
      </c>
      <c r="F9" s="2">
        <f t="shared" si="1"/>
        <v>10</v>
      </c>
      <c r="G9" s="2">
        <f t="shared" si="2"/>
        <v>23</v>
      </c>
      <c r="H9" s="6">
        <f t="shared" si="3"/>
        <v>1</v>
      </c>
      <c r="I9" s="2" t="s">
        <v>3091</v>
      </c>
      <c r="J9" s="2" t="s">
        <v>3090</v>
      </c>
      <c r="K9" s="2" t="s">
        <v>3090</v>
      </c>
      <c r="L9" s="2" t="s">
        <v>3090</v>
      </c>
      <c r="M9" s="2" t="s">
        <v>3091</v>
      </c>
      <c r="N9" s="2" t="s">
        <v>3091</v>
      </c>
      <c r="O9" s="2" t="s">
        <v>3091</v>
      </c>
      <c r="P9" s="2" t="s">
        <v>3091</v>
      </c>
      <c r="Q9" s="2" t="s">
        <v>3090</v>
      </c>
      <c r="R9" s="2" t="s">
        <v>3090</v>
      </c>
      <c r="S9" s="2" t="s">
        <v>3090</v>
      </c>
      <c r="T9" s="2" t="s">
        <v>3091</v>
      </c>
      <c r="U9" s="2" t="s">
        <v>3090</v>
      </c>
      <c r="V9" s="2" t="s">
        <v>3090</v>
      </c>
      <c r="W9" s="2" t="s">
        <v>3091</v>
      </c>
      <c r="X9" s="2" t="s">
        <v>3091</v>
      </c>
      <c r="Y9" s="2" t="s">
        <v>3090</v>
      </c>
      <c r="Z9" s="2" t="s">
        <v>3090</v>
      </c>
      <c r="AA9" s="3" t="s">
        <v>3091</v>
      </c>
      <c r="AB9" s="3" t="s">
        <v>3090</v>
      </c>
      <c r="AC9" s="3" t="s">
        <v>3090</v>
      </c>
      <c r="AD9" s="3" t="s">
        <v>3090</v>
      </c>
      <c r="AE9" s="3" t="s">
        <v>3091</v>
      </c>
      <c r="AF9" s="3"/>
      <c r="AG9" s="3"/>
      <c r="AH9" s="3"/>
      <c r="AI9" s="3"/>
      <c r="AJ9" s="3"/>
      <c r="AK9" s="3"/>
    </row>
    <row r="10" spans="1:37" ht="15.75" customHeight="1">
      <c r="A10" s="2" t="s">
        <v>2662</v>
      </c>
      <c r="B10" s="2" t="s">
        <v>2664</v>
      </c>
      <c r="C10" s="3">
        <v>717</v>
      </c>
      <c r="D10" s="2" t="s">
        <v>583</v>
      </c>
      <c r="E10" s="2">
        <f t="shared" si="0"/>
        <v>17</v>
      </c>
      <c r="F10" s="2">
        <f t="shared" si="1"/>
        <v>4</v>
      </c>
      <c r="G10" s="2">
        <f t="shared" si="2"/>
        <v>21</v>
      </c>
      <c r="H10" s="6">
        <f t="shared" si="3"/>
        <v>0.91304347826086996</v>
      </c>
      <c r="I10" s="2" t="s">
        <v>3090</v>
      </c>
      <c r="J10" s="2" t="s">
        <v>3090</v>
      </c>
      <c r="K10" s="2" t="s">
        <v>3090</v>
      </c>
      <c r="L10" s="2" t="s">
        <v>3090</v>
      </c>
      <c r="M10" s="2" t="s">
        <v>3090</v>
      </c>
      <c r="N10" s="2" t="s">
        <v>3090</v>
      </c>
      <c r="O10" s="2" t="s">
        <v>3091</v>
      </c>
      <c r="P10" s="2" t="s">
        <v>3091</v>
      </c>
      <c r="Q10" s="2" t="s">
        <v>3090</v>
      </c>
      <c r="R10" s="2" t="s">
        <v>3090</v>
      </c>
      <c r="S10" s="2" t="s">
        <v>3090</v>
      </c>
      <c r="T10" s="2" t="s">
        <v>3092</v>
      </c>
      <c r="U10" s="2" t="s">
        <v>3090</v>
      </c>
      <c r="V10" s="2" t="s">
        <v>3090</v>
      </c>
      <c r="W10" s="2" t="s">
        <v>3091</v>
      </c>
      <c r="X10" s="2" t="s">
        <v>3091</v>
      </c>
      <c r="Y10" s="2" t="s">
        <v>3090</v>
      </c>
      <c r="Z10" s="2" t="s">
        <v>3090</v>
      </c>
      <c r="AA10" s="3" t="s">
        <v>3092</v>
      </c>
      <c r="AB10" s="3" t="s">
        <v>3090</v>
      </c>
      <c r="AC10" s="3" t="s">
        <v>3090</v>
      </c>
      <c r="AD10" s="3" t="s">
        <v>3090</v>
      </c>
      <c r="AE10" s="3" t="s">
        <v>3090</v>
      </c>
      <c r="AF10" s="3"/>
      <c r="AG10" s="3"/>
      <c r="AH10" s="3"/>
      <c r="AI10" s="3"/>
      <c r="AJ10" s="3"/>
      <c r="AK10" s="3"/>
    </row>
    <row r="11" spans="1:37" ht="15.75" customHeight="1">
      <c r="A11" s="2" t="s">
        <v>2665</v>
      </c>
      <c r="B11" s="2" t="s">
        <v>2666</v>
      </c>
      <c r="C11" s="3">
        <v>686</v>
      </c>
      <c r="D11" s="2" t="s">
        <v>661</v>
      </c>
      <c r="E11" s="2">
        <f t="shared" si="0"/>
        <v>9</v>
      </c>
      <c r="F11" s="2">
        <f t="shared" si="1"/>
        <v>14</v>
      </c>
      <c r="G11" s="2">
        <f t="shared" si="2"/>
        <v>23</v>
      </c>
      <c r="H11" s="6">
        <f t="shared" si="3"/>
        <v>1</v>
      </c>
      <c r="I11" s="2" t="s">
        <v>3090</v>
      </c>
      <c r="J11" s="2" t="s">
        <v>3090</v>
      </c>
      <c r="K11" s="2" t="s">
        <v>3090</v>
      </c>
      <c r="L11" s="2" t="s">
        <v>3090</v>
      </c>
      <c r="M11" s="2" t="s">
        <v>3090</v>
      </c>
      <c r="N11" s="2" t="s">
        <v>3090</v>
      </c>
      <c r="O11" s="2" t="s">
        <v>3091</v>
      </c>
      <c r="P11" s="2" t="s">
        <v>3091</v>
      </c>
      <c r="Q11" s="2" t="s">
        <v>3090</v>
      </c>
      <c r="R11" s="2" t="s">
        <v>3090</v>
      </c>
      <c r="S11" s="2" t="s">
        <v>3091</v>
      </c>
      <c r="T11" s="2" t="s">
        <v>3091</v>
      </c>
      <c r="U11" s="2" t="s">
        <v>3091</v>
      </c>
      <c r="V11" s="2" t="s">
        <v>3091</v>
      </c>
      <c r="W11" s="2" t="s">
        <v>3091</v>
      </c>
      <c r="X11" s="2" t="s">
        <v>3091</v>
      </c>
      <c r="Y11" s="2" t="s">
        <v>3090</v>
      </c>
      <c r="Z11" s="2" t="s">
        <v>3091</v>
      </c>
      <c r="AA11" s="3" t="s">
        <v>3091</v>
      </c>
      <c r="AB11" s="3" t="s">
        <v>3091</v>
      </c>
      <c r="AC11" s="3" t="s">
        <v>3091</v>
      </c>
      <c r="AD11" s="3" t="s">
        <v>3091</v>
      </c>
      <c r="AE11" s="3" t="s">
        <v>3091</v>
      </c>
      <c r="AF11" s="3"/>
      <c r="AG11" s="3"/>
      <c r="AH11" s="3"/>
      <c r="AI11" s="3"/>
      <c r="AJ11" s="3"/>
      <c r="AK11" s="3"/>
    </row>
    <row r="12" spans="1:37" ht="15.75" customHeight="1">
      <c r="A12" s="2" t="s">
        <v>2667</v>
      </c>
      <c r="B12" s="2" t="s">
        <v>2668</v>
      </c>
      <c r="C12" s="3">
        <v>648</v>
      </c>
      <c r="D12" s="2" t="s">
        <v>148</v>
      </c>
      <c r="E12" s="2">
        <f t="shared" si="0"/>
        <v>16</v>
      </c>
      <c r="F12" s="2">
        <f t="shared" si="1"/>
        <v>7</v>
      </c>
      <c r="G12" s="2">
        <f t="shared" si="2"/>
        <v>23</v>
      </c>
      <c r="H12" s="6">
        <f t="shared" si="3"/>
        <v>1</v>
      </c>
      <c r="I12" s="2" t="s">
        <v>3090</v>
      </c>
      <c r="J12" s="2" t="s">
        <v>3091</v>
      </c>
      <c r="K12" s="2" t="s">
        <v>3090</v>
      </c>
      <c r="L12" s="2" t="s">
        <v>3090</v>
      </c>
      <c r="M12" s="2" t="s">
        <v>3090</v>
      </c>
      <c r="N12" s="2" t="s">
        <v>3090</v>
      </c>
      <c r="O12" s="2" t="s">
        <v>3091</v>
      </c>
      <c r="P12" s="2" t="s">
        <v>3091</v>
      </c>
      <c r="Q12" s="2" t="s">
        <v>3090</v>
      </c>
      <c r="R12" s="2" t="s">
        <v>3090</v>
      </c>
      <c r="S12" s="2" t="s">
        <v>3090</v>
      </c>
      <c r="T12" s="2" t="s">
        <v>3091</v>
      </c>
      <c r="U12" s="2" t="s">
        <v>3090</v>
      </c>
      <c r="V12" s="2" t="s">
        <v>3090</v>
      </c>
      <c r="W12" s="2" t="s">
        <v>3091</v>
      </c>
      <c r="X12" s="2" t="s">
        <v>3091</v>
      </c>
      <c r="Y12" s="2" t="s">
        <v>3090</v>
      </c>
      <c r="Z12" s="2" t="s">
        <v>3090</v>
      </c>
      <c r="AA12" s="3" t="s">
        <v>3091</v>
      </c>
      <c r="AB12" s="3" t="s">
        <v>3090</v>
      </c>
      <c r="AC12" s="3" t="s">
        <v>3090</v>
      </c>
      <c r="AD12" s="3" t="s">
        <v>3090</v>
      </c>
      <c r="AE12" s="3" t="s">
        <v>3090</v>
      </c>
      <c r="AF12" s="3"/>
      <c r="AG12" s="3"/>
      <c r="AH12" s="3"/>
      <c r="AI12" s="3"/>
      <c r="AJ12" s="3"/>
      <c r="AK12" s="3"/>
    </row>
    <row r="13" spans="1:37" ht="15.75" customHeight="1">
      <c r="A13" s="2" t="s">
        <v>2669</v>
      </c>
      <c r="B13" s="2" t="s">
        <v>2670</v>
      </c>
      <c r="C13" s="3">
        <v>782</v>
      </c>
      <c r="D13" s="2" t="s">
        <v>776</v>
      </c>
      <c r="E13" s="2">
        <f t="shared" si="0"/>
        <v>4</v>
      </c>
      <c r="F13" s="2">
        <f t="shared" si="1"/>
        <v>1</v>
      </c>
      <c r="G13" s="2">
        <f t="shared" si="2"/>
        <v>5</v>
      </c>
      <c r="H13" s="6">
        <f t="shared" si="3"/>
        <v>0.217391304347826</v>
      </c>
      <c r="I13" s="2" t="s">
        <v>3090</v>
      </c>
      <c r="J13" s="2" t="s">
        <v>3091</v>
      </c>
      <c r="K13" s="2" t="s">
        <v>3092</v>
      </c>
      <c r="L13" s="2" t="s">
        <v>3090</v>
      </c>
      <c r="M13" s="2" t="s">
        <v>3090</v>
      </c>
      <c r="N13" s="2" t="s">
        <v>3090</v>
      </c>
      <c r="O13" s="2" t="s">
        <v>3092</v>
      </c>
      <c r="P13" s="2" t="s">
        <v>3092</v>
      </c>
      <c r="Q13" s="2" t="s">
        <v>3092</v>
      </c>
      <c r="R13" s="2" t="s">
        <v>3092</v>
      </c>
      <c r="S13" s="2" t="s">
        <v>3092</v>
      </c>
      <c r="T13" s="2" t="s">
        <v>3092</v>
      </c>
      <c r="U13" s="2" t="s">
        <v>3092</v>
      </c>
      <c r="V13" s="2" t="s">
        <v>3092</v>
      </c>
      <c r="W13" s="2" t="s">
        <v>3092</v>
      </c>
      <c r="X13" s="2" t="s">
        <v>3092</v>
      </c>
      <c r="Y13" s="2" t="s">
        <v>3092</v>
      </c>
      <c r="Z13" s="2" t="s">
        <v>3092</v>
      </c>
      <c r="AA13" s="3" t="s">
        <v>3092</v>
      </c>
      <c r="AB13" s="3" t="s">
        <v>3092</v>
      </c>
      <c r="AC13" s="3" t="s">
        <v>3092</v>
      </c>
      <c r="AD13" s="3" t="s">
        <v>3092</v>
      </c>
      <c r="AE13" s="3" t="s">
        <v>3092</v>
      </c>
      <c r="AF13" s="3"/>
      <c r="AG13" s="3"/>
      <c r="AH13" s="3"/>
      <c r="AI13" s="3"/>
      <c r="AJ13" s="3"/>
      <c r="AK13" s="3"/>
    </row>
    <row r="14" spans="1:37" ht="15.75" customHeight="1">
      <c r="A14" s="2" t="s">
        <v>2671</v>
      </c>
      <c r="B14" s="2" t="s">
        <v>2672</v>
      </c>
      <c r="C14" s="3">
        <v>462</v>
      </c>
      <c r="D14" s="2" t="s">
        <v>335</v>
      </c>
      <c r="E14" s="2">
        <f t="shared" si="0"/>
        <v>5</v>
      </c>
      <c r="F14" s="2">
        <f t="shared" si="1"/>
        <v>17</v>
      </c>
      <c r="G14" s="2">
        <f t="shared" si="2"/>
        <v>22</v>
      </c>
      <c r="H14" s="6">
        <f t="shared" si="3"/>
        <v>0.95652173913043503</v>
      </c>
      <c r="I14" s="2" t="s">
        <v>3090</v>
      </c>
      <c r="J14" s="2" t="s">
        <v>3091</v>
      </c>
      <c r="K14" s="2" t="s">
        <v>3091</v>
      </c>
      <c r="L14" s="2" t="s">
        <v>3091</v>
      </c>
      <c r="M14" s="2" t="s">
        <v>3091</v>
      </c>
      <c r="N14" s="2" t="s">
        <v>3091</v>
      </c>
      <c r="O14" s="2" t="s">
        <v>3091</v>
      </c>
      <c r="P14" s="2" t="s">
        <v>3091</v>
      </c>
      <c r="Q14" s="2" t="s">
        <v>3091</v>
      </c>
      <c r="R14" s="2" t="s">
        <v>3090</v>
      </c>
      <c r="S14" s="2" t="s">
        <v>3091</v>
      </c>
      <c r="T14" s="2" t="s">
        <v>3091</v>
      </c>
      <c r="U14" s="2" t="s">
        <v>3092</v>
      </c>
      <c r="V14" s="2" t="s">
        <v>3090</v>
      </c>
      <c r="W14" s="2" t="s">
        <v>3091</v>
      </c>
      <c r="X14" s="2" t="s">
        <v>3091</v>
      </c>
      <c r="Y14" s="2" t="s">
        <v>3090</v>
      </c>
      <c r="Z14" s="2" t="s">
        <v>3091</v>
      </c>
      <c r="AA14" s="3" t="s">
        <v>3091</v>
      </c>
      <c r="AB14" s="3" t="s">
        <v>3091</v>
      </c>
      <c r="AC14" s="3" t="s">
        <v>3091</v>
      </c>
      <c r="AD14" s="3" t="s">
        <v>3090</v>
      </c>
      <c r="AE14" s="3" t="s">
        <v>3091</v>
      </c>
      <c r="AF14" s="3"/>
      <c r="AG14" s="3"/>
      <c r="AH14" s="3"/>
      <c r="AI14" s="3"/>
      <c r="AJ14" s="3"/>
      <c r="AK14" s="3"/>
    </row>
    <row r="15" spans="1:37" ht="15.75" customHeight="1">
      <c r="A15" s="2" t="s">
        <v>2673</v>
      </c>
      <c r="B15" s="2" t="s">
        <v>2674</v>
      </c>
      <c r="C15" s="3">
        <v>681</v>
      </c>
      <c r="D15" s="2" t="s">
        <v>663</v>
      </c>
      <c r="E15" s="2">
        <f t="shared" si="0"/>
        <v>1</v>
      </c>
      <c r="F15" s="2">
        <f t="shared" si="1"/>
        <v>22</v>
      </c>
      <c r="G15" s="2">
        <f t="shared" si="2"/>
        <v>23</v>
      </c>
      <c r="H15" s="6">
        <f t="shared" si="3"/>
        <v>1</v>
      </c>
      <c r="I15" s="2" t="s">
        <v>3091</v>
      </c>
      <c r="J15" s="2" t="s">
        <v>3091</v>
      </c>
      <c r="K15" s="2" t="s">
        <v>3091</v>
      </c>
      <c r="L15" s="2" t="s">
        <v>3091</v>
      </c>
      <c r="M15" s="2" t="s">
        <v>3091</v>
      </c>
      <c r="N15" s="2" t="s">
        <v>3091</v>
      </c>
      <c r="O15" s="2" t="s">
        <v>3091</v>
      </c>
      <c r="P15" s="2" t="s">
        <v>3091</v>
      </c>
      <c r="Q15" s="2" t="s">
        <v>3091</v>
      </c>
      <c r="R15" s="2" t="s">
        <v>3091</v>
      </c>
      <c r="S15" s="2" t="s">
        <v>3091</v>
      </c>
      <c r="T15" s="2" t="s">
        <v>3091</v>
      </c>
      <c r="U15" s="2" t="s">
        <v>3091</v>
      </c>
      <c r="V15" s="2" t="s">
        <v>3091</v>
      </c>
      <c r="W15" s="2" t="s">
        <v>3091</v>
      </c>
      <c r="X15" s="2" t="s">
        <v>3091</v>
      </c>
      <c r="Y15" s="2" t="s">
        <v>3091</v>
      </c>
      <c r="Z15" s="2" t="s">
        <v>3091</v>
      </c>
      <c r="AA15" s="3" t="s">
        <v>3091</v>
      </c>
      <c r="AB15" s="3" t="s">
        <v>3091</v>
      </c>
      <c r="AC15" s="3" t="s">
        <v>3091</v>
      </c>
      <c r="AD15" s="3" t="s">
        <v>3090</v>
      </c>
      <c r="AE15" s="3" t="s">
        <v>3091</v>
      </c>
      <c r="AF15" s="3"/>
      <c r="AG15" s="3"/>
      <c r="AH15" s="3"/>
      <c r="AI15" s="3"/>
      <c r="AJ15" s="3"/>
      <c r="AK15" s="3"/>
    </row>
    <row r="16" spans="1:37" ht="15.75" customHeight="1">
      <c r="A16" s="2" t="s">
        <v>2675</v>
      </c>
      <c r="B16" s="2" t="s">
        <v>2676</v>
      </c>
      <c r="C16" s="3">
        <v>785</v>
      </c>
      <c r="D16" s="2" t="s">
        <v>197</v>
      </c>
      <c r="E16" s="2">
        <f t="shared" si="0"/>
        <v>15</v>
      </c>
      <c r="F16" s="2">
        <f t="shared" si="1"/>
        <v>6</v>
      </c>
      <c r="G16" s="2">
        <f t="shared" si="2"/>
        <v>21</v>
      </c>
      <c r="H16" s="6">
        <f t="shared" si="3"/>
        <v>0.91304347826086996</v>
      </c>
      <c r="I16" s="2" t="s">
        <v>3090</v>
      </c>
      <c r="J16" s="2" t="s">
        <v>3090</v>
      </c>
      <c r="K16" s="2" t="s">
        <v>3090</v>
      </c>
      <c r="L16" s="2" t="s">
        <v>3090</v>
      </c>
      <c r="M16" s="2" t="s">
        <v>3090</v>
      </c>
      <c r="N16" s="2" t="s">
        <v>3090</v>
      </c>
      <c r="O16" s="2" t="s">
        <v>3091</v>
      </c>
      <c r="P16" s="2" t="s">
        <v>3091</v>
      </c>
      <c r="Q16" s="2" t="s">
        <v>3090</v>
      </c>
      <c r="R16" s="2" t="s">
        <v>3090</v>
      </c>
      <c r="S16" s="2" t="s">
        <v>3090</v>
      </c>
      <c r="T16" s="2" t="s">
        <v>3091</v>
      </c>
      <c r="U16" s="2" t="s">
        <v>3090</v>
      </c>
      <c r="V16" s="2" t="s">
        <v>3090</v>
      </c>
      <c r="W16" s="2" t="s">
        <v>3091</v>
      </c>
      <c r="X16" s="2" t="s">
        <v>3091</v>
      </c>
      <c r="Y16" s="2" t="s">
        <v>3090</v>
      </c>
      <c r="Z16" s="2" t="s">
        <v>3090</v>
      </c>
      <c r="AA16" s="3" t="s">
        <v>3091</v>
      </c>
      <c r="AB16" s="3" t="s">
        <v>3090</v>
      </c>
      <c r="AC16" s="3" t="s">
        <v>3090</v>
      </c>
      <c r="AD16" s="3" t="s">
        <v>3092</v>
      </c>
      <c r="AE16" s="3" t="s">
        <v>3092</v>
      </c>
      <c r="AF16" s="3"/>
      <c r="AG16" s="3"/>
      <c r="AH16" s="3"/>
      <c r="AI16" s="3"/>
      <c r="AJ16" s="3"/>
      <c r="AK16" s="3"/>
    </row>
    <row r="17" spans="1:37" ht="15.75" customHeight="1">
      <c r="A17" s="2" t="s">
        <v>2677</v>
      </c>
      <c r="B17" s="2" t="s">
        <v>2668</v>
      </c>
      <c r="C17" s="3">
        <v>621</v>
      </c>
      <c r="D17" s="2" t="s">
        <v>665</v>
      </c>
      <c r="E17" s="2">
        <f t="shared" si="0"/>
        <v>14</v>
      </c>
      <c r="F17" s="2">
        <f t="shared" si="1"/>
        <v>9</v>
      </c>
      <c r="G17" s="2">
        <f t="shared" si="2"/>
        <v>23</v>
      </c>
      <c r="H17" s="6">
        <f t="shared" si="3"/>
        <v>1</v>
      </c>
      <c r="I17" s="2" t="s">
        <v>3090</v>
      </c>
      <c r="J17" s="2" t="s">
        <v>3090</v>
      </c>
      <c r="K17" s="2" t="s">
        <v>3090</v>
      </c>
      <c r="L17" s="2" t="s">
        <v>3090</v>
      </c>
      <c r="M17" s="2" t="s">
        <v>3090</v>
      </c>
      <c r="N17" s="2" t="s">
        <v>3090</v>
      </c>
      <c r="O17" s="2" t="s">
        <v>3091</v>
      </c>
      <c r="P17" s="2" t="s">
        <v>3091</v>
      </c>
      <c r="Q17" s="2" t="s">
        <v>3090</v>
      </c>
      <c r="R17" s="2" t="s">
        <v>3090</v>
      </c>
      <c r="S17" s="2" t="s">
        <v>3090</v>
      </c>
      <c r="T17" s="2" t="s">
        <v>3091</v>
      </c>
      <c r="U17" s="2" t="s">
        <v>3090</v>
      </c>
      <c r="V17" s="2" t="s">
        <v>3091</v>
      </c>
      <c r="W17" s="2" t="s">
        <v>3091</v>
      </c>
      <c r="X17" s="2" t="s">
        <v>3091</v>
      </c>
      <c r="Y17" s="2" t="s">
        <v>3090</v>
      </c>
      <c r="Z17" s="2" t="s">
        <v>3090</v>
      </c>
      <c r="AA17" s="3" t="s">
        <v>3091</v>
      </c>
      <c r="AB17" s="3" t="s">
        <v>3090</v>
      </c>
      <c r="AC17" s="3" t="s">
        <v>3090</v>
      </c>
      <c r="AD17" s="3" t="s">
        <v>3091</v>
      </c>
      <c r="AE17" s="3" t="s">
        <v>3091</v>
      </c>
      <c r="AF17" s="3"/>
      <c r="AG17" s="3"/>
      <c r="AH17" s="3"/>
      <c r="AI17" s="3"/>
      <c r="AJ17" s="3"/>
      <c r="AK17" s="3"/>
    </row>
    <row r="18" spans="1:37" ht="15.75" customHeight="1">
      <c r="A18" s="2" t="s">
        <v>2370</v>
      </c>
      <c r="B18" s="2" t="s">
        <v>2678</v>
      </c>
      <c r="C18" s="3">
        <v>280</v>
      </c>
      <c r="D18" s="2" t="s">
        <v>56</v>
      </c>
      <c r="E18" s="2">
        <f t="shared" si="0"/>
        <v>2</v>
      </c>
      <c r="F18" s="2">
        <f t="shared" si="1"/>
        <v>20</v>
      </c>
      <c r="G18" s="2">
        <f t="shared" si="2"/>
        <v>22</v>
      </c>
      <c r="H18" s="6">
        <f t="shared" si="3"/>
        <v>0.95652173913043503</v>
      </c>
      <c r="I18" s="2" t="s">
        <v>3090</v>
      </c>
      <c r="J18" s="2" t="s">
        <v>3091</v>
      </c>
      <c r="K18" s="2" t="s">
        <v>3091</v>
      </c>
      <c r="L18" s="2" t="s">
        <v>3091</v>
      </c>
      <c r="M18" s="2" t="s">
        <v>3091</v>
      </c>
      <c r="N18" s="2" t="s">
        <v>3091</v>
      </c>
      <c r="O18" s="2" t="s">
        <v>3091</v>
      </c>
      <c r="P18" s="2" t="s">
        <v>3091</v>
      </c>
      <c r="Q18" s="2" t="s">
        <v>3091</v>
      </c>
      <c r="R18" s="2" t="s">
        <v>3091</v>
      </c>
      <c r="S18" s="2" t="s">
        <v>3091</v>
      </c>
      <c r="T18" s="2" t="s">
        <v>3091</v>
      </c>
      <c r="U18" s="2" t="s">
        <v>3091</v>
      </c>
      <c r="V18" s="2" t="s">
        <v>3091</v>
      </c>
      <c r="W18" s="2" t="s">
        <v>3091</v>
      </c>
      <c r="X18" s="2" t="s">
        <v>3091</v>
      </c>
      <c r="Y18" s="2" t="s">
        <v>3091</v>
      </c>
      <c r="Z18" s="2" t="s">
        <v>3091</v>
      </c>
      <c r="AA18" s="3" t="s">
        <v>3091</v>
      </c>
      <c r="AB18" s="3" t="s">
        <v>3091</v>
      </c>
      <c r="AC18" s="3" t="s">
        <v>3091</v>
      </c>
      <c r="AD18" s="3" t="s">
        <v>3090</v>
      </c>
      <c r="AE18" s="3" t="s">
        <v>3092</v>
      </c>
      <c r="AF18" s="3"/>
      <c r="AG18" s="3"/>
      <c r="AH18" s="3"/>
      <c r="AI18" s="3"/>
      <c r="AJ18" s="3"/>
      <c r="AK18" s="3"/>
    </row>
    <row r="19" spans="1:37" ht="15.75" customHeight="1">
      <c r="A19" s="2" t="s">
        <v>2679</v>
      </c>
      <c r="B19" s="2" t="s">
        <v>2680</v>
      </c>
      <c r="C19" s="3">
        <v>796</v>
      </c>
      <c r="D19" s="2" t="s">
        <v>780</v>
      </c>
      <c r="E19" s="2">
        <f t="shared" si="0"/>
        <v>15</v>
      </c>
      <c r="F19" s="2">
        <f t="shared" si="1"/>
        <v>8</v>
      </c>
      <c r="G19" s="2">
        <f t="shared" si="2"/>
        <v>23</v>
      </c>
      <c r="H19" s="6">
        <f t="shared" si="3"/>
        <v>1</v>
      </c>
      <c r="I19" s="2" t="s">
        <v>3090</v>
      </c>
      <c r="J19" s="2" t="s">
        <v>3090</v>
      </c>
      <c r="K19" s="2" t="s">
        <v>3090</v>
      </c>
      <c r="L19" s="2" t="s">
        <v>3090</v>
      </c>
      <c r="M19" s="2" t="s">
        <v>3090</v>
      </c>
      <c r="N19" s="2" t="s">
        <v>3090</v>
      </c>
      <c r="O19" s="2" t="s">
        <v>3091</v>
      </c>
      <c r="P19" s="2" t="s">
        <v>3091</v>
      </c>
      <c r="Q19" s="2" t="s">
        <v>3090</v>
      </c>
      <c r="R19" s="2" t="s">
        <v>3090</v>
      </c>
      <c r="S19" s="2" t="s">
        <v>3090</v>
      </c>
      <c r="T19" s="2" t="s">
        <v>3091</v>
      </c>
      <c r="U19" s="2" t="s">
        <v>3090</v>
      </c>
      <c r="V19" s="2" t="s">
        <v>3090</v>
      </c>
      <c r="W19" s="2" t="s">
        <v>3091</v>
      </c>
      <c r="X19" s="2" t="s">
        <v>3091</v>
      </c>
      <c r="Y19" s="2" t="s">
        <v>3090</v>
      </c>
      <c r="Z19" s="2" t="s">
        <v>3091</v>
      </c>
      <c r="AA19" s="3" t="s">
        <v>3091</v>
      </c>
      <c r="AB19" s="3" t="s">
        <v>3091</v>
      </c>
      <c r="AC19" s="3" t="s">
        <v>3090</v>
      </c>
      <c r="AD19" s="3" t="s">
        <v>3090</v>
      </c>
      <c r="AE19" s="3" t="s">
        <v>3090</v>
      </c>
      <c r="AF19" s="3"/>
      <c r="AG19" s="3"/>
      <c r="AH19" s="3"/>
      <c r="AI19" s="3"/>
      <c r="AJ19" s="3"/>
      <c r="AK19" s="3"/>
    </row>
    <row r="20" spans="1:37" ht="15.75" customHeight="1">
      <c r="A20" s="2" t="s">
        <v>2681</v>
      </c>
      <c r="B20" s="2" t="s">
        <v>2682</v>
      </c>
      <c r="C20" s="3">
        <v>747</v>
      </c>
      <c r="D20" s="2" t="s">
        <v>59</v>
      </c>
      <c r="E20" s="2">
        <f t="shared" si="0"/>
        <v>7</v>
      </c>
      <c r="F20" s="2">
        <f t="shared" si="1"/>
        <v>2</v>
      </c>
      <c r="G20" s="2">
        <f t="shared" si="2"/>
        <v>9</v>
      </c>
      <c r="H20" s="6">
        <f t="shared" si="3"/>
        <v>0.39130434782608697</v>
      </c>
      <c r="I20" s="2" t="s">
        <v>3090</v>
      </c>
      <c r="J20" s="2" t="s">
        <v>3091</v>
      </c>
      <c r="K20" s="2" t="s">
        <v>3091</v>
      </c>
      <c r="L20" s="2" t="s">
        <v>3090</v>
      </c>
      <c r="M20" s="2" t="s">
        <v>3090</v>
      </c>
      <c r="N20" s="2" t="s">
        <v>3090</v>
      </c>
      <c r="O20" s="2" t="s">
        <v>3092</v>
      </c>
      <c r="P20" s="2" t="s">
        <v>3092</v>
      </c>
      <c r="Q20" s="2" t="s">
        <v>3090</v>
      </c>
      <c r="R20" s="2" t="s">
        <v>3090</v>
      </c>
      <c r="S20" s="2" t="s">
        <v>3090</v>
      </c>
      <c r="T20" s="2" t="s">
        <v>3092</v>
      </c>
      <c r="U20" s="2" t="s">
        <v>3092</v>
      </c>
      <c r="V20" s="2" t="s">
        <v>3092</v>
      </c>
      <c r="W20" s="2" t="s">
        <v>3092</v>
      </c>
      <c r="X20" s="2" t="s">
        <v>3092</v>
      </c>
      <c r="Y20" s="2" t="s">
        <v>3092</v>
      </c>
      <c r="Z20" s="2" t="s">
        <v>3092</v>
      </c>
      <c r="AA20" s="3" t="s">
        <v>3092</v>
      </c>
      <c r="AB20" s="3" t="s">
        <v>3092</v>
      </c>
      <c r="AC20" s="3" t="s">
        <v>3092</v>
      </c>
      <c r="AD20" s="3" t="s">
        <v>3092</v>
      </c>
      <c r="AE20" s="3" t="s">
        <v>3092</v>
      </c>
      <c r="AF20" s="3"/>
      <c r="AG20" s="3"/>
      <c r="AH20" s="3"/>
      <c r="AI20" s="3"/>
      <c r="AJ20" s="3"/>
      <c r="AK20" s="3"/>
    </row>
    <row r="21" spans="1:37" ht="15.75" customHeight="1">
      <c r="A21" s="2" t="s">
        <v>2683</v>
      </c>
      <c r="B21" s="2" t="s">
        <v>2678</v>
      </c>
      <c r="C21" s="3">
        <v>678</v>
      </c>
      <c r="D21" s="2" t="s">
        <v>542</v>
      </c>
      <c r="E21" s="2">
        <f t="shared" si="0"/>
        <v>16</v>
      </c>
      <c r="F21" s="2">
        <f t="shared" si="1"/>
        <v>7</v>
      </c>
      <c r="G21" s="2">
        <f t="shared" si="2"/>
        <v>23</v>
      </c>
      <c r="H21" s="6">
        <f t="shared" si="3"/>
        <v>1</v>
      </c>
      <c r="I21" s="2" t="s">
        <v>3090</v>
      </c>
      <c r="J21" s="2" t="s">
        <v>3090</v>
      </c>
      <c r="K21" s="2" t="s">
        <v>3090</v>
      </c>
      <c r="L21" s="2" t="s">
        <v>3090</v>
      </c>
      <c r="M21" s="2" t="s">
        <v>3090</v>
      </c>
      <c r="N21" s="2" t="s">
        <v>3090</v>
      </c>
      <c r="O21" s="2" t="s">
        <v>3091</v>
      </c>
      <c r="P21" s="2" t="s">
        <v>3091</v>
      </c>
      <c r="Q21" s="2" t="s">
        <v>3090</v>
      </c>
      <c r="R21" s="2" t="s">
        <v>3090</v>
      </c>
      <c r="S21" s="2" t="s">
        <v>3090</v>
      </c>
      <c r="T21" s="2" t="s">
        <v>3091</v>
      </c>
      <c r="U21" s="2" t="s">
        <v>3090</v>
      </c>
      <c r="V21" s="2" t="s">
        <v>3090</v>
      </c>
      <c r="W21" s="2" t="s">
        <v>3091</v>
      </c>
      <c r="X21" s="2" t="s">
        <v>3091</v>
      </c>
      <c r="Y21" s="2" t="s">
        <v>3090</v>
      </c>
      <c r="Z21" s="2" t="s">
        <v>3090</v>
      </c>
      <c r="AA21" s="3" t="s">
        <v>3091</v>
      </c>
      <c r="AB21" s="3" t="s">
        <v>3090</v>
      </c>
      <c r="AC21" s="3" t="s">
        <v>3090</v>
      </c>
      <c r="AD21" s="3" t="s">
        <v>3090</v>
      </c>
      <c r="AE21" s="3" t="s">
        <v>3091</v>
      </c>
      <c r="AF21" s="3"/>
      <c r="AG21" s="3"/>
      <c r="AH21" s="3"/>
      <c r="AI21" s="3"/>
      <c r="AJ21" s="3"/>
      <c r="AK21" s="3"/>
    </row>
    <row r="22" spans="1:37" ht="15.75" customHeight="1">
      <c r="A22" s="2" t="s">
        <v>2684</v>
      </c>
      <c r="B22" s="2" t="s">
        <v>2682</v>
      </c>
      <c r="C22" s="3">
        <v>758</v>
      </c>
      <c r="D22" s="2" t="s">
        <v>579</v>
      </c>
      <c r="E22" s="2">
        <f t="shared" si="0"/>
        <v>12</v>
      </c>
      <c r="F22" s="2">
        <f t="shared" si="1"/>
        <v>10</v>
      </c>
      <c r="G22" s="2">
        <f t="shared" si="2"/>
        <v>22</v>
      </c>
      <c r="H22" s="6">
        <f t="shared" si="3"/>
        <v>0.95652173913043503</v>
      </c>
      <c r="I22" s="2" t="s">
        <v>3090</v>
      </c>
      <c r="J22" s="2" t="s">
        <v>3090</v>
      </c>
      <c r="K22" s="2" t="s">
        <v>3091</v>
      </c>
      <c r="L22" s="2" t="s">
        <v>3090</v>
      </c>
      <c r="M22" s="2" t="s">
        <v>3090</v>
      </c>
      <c r="N22" s="2" t="s">
        <v>3090</v>
      </c>
      <c r="O22" s="2" t="s">
        <v>3091</v>
      </c>
      <c r="P22" s="2" t="s">
        <v>3091</v>
      </c>
      <c r="Q22" s="2" t="s">
        <v>3090</v>
      </c>
      <c r="R22" s="2" t="s">
        <v>3090</v>
      </c>
      <c r="S22" s="2" t="s">
        <v>3090</v>
      </c>
      <c r="T22" s="2" t="s">
        <v>3091</v>
      </c>
      <c r="U22" s="2" t="s">
        <v>3091</v>
      </c>
      <c r="V22" s="2" t="s">
        <v>3091</v>
      </c>
      <c r="W22" s="2" t="s">
        <v>3091</v>
      </c>
      <c r="X22" s="2" t="s">
        <v>3091</v>
      </c>
      <c r="Y22" s="2" t="s">
        <v>3091</v>
      </c>
      <c r="Z22" s="2" t="s">
        <v>3090</v>
      </c>
      <c r="AA22" s="3" t="s">
        <v>3092</v>
      </c>
      <c r="AB22" s="3" t="s">
        <v>3090</v>
      </c>
      <c r="AC22" s="3" t="s">
        <v>3090</v>
      </c>
      <c r="AD22" s="3" t="s">
        <v>3091</v>
      </c>
      <c r="AE22" s="3" t="s">
        <v>3090</v>
      </c>
      <c r="AF22" s="3"/>
      <c r="AG22" s="3"/>
      <c r="AH22" s="3"/>
      <c r="AI22" s="3"/>
      <c r="AJ22" s="3"/>
      <c r="AK22" s="3"/>
    </row>
    <row r="23" spans="1:37" ht="15.75" customHeight="1">
      <c r="A23" s="2" t="s">
        <v>2685</v>
      </c>
      <c r="B23" s="2" t="s">
        <v>851</v>
      </c>
      <c r="C23" s="3">
        <v>406</v>
      </c>
      <c r="D23" s="2" t="s">
        <v>581</v>
      </c>
      <c r="E23" s="2">
        <f t="shared" si="0"/>
        <v>10</v>
      </c>
      <c r="F23" s="2">
        <f t="shared" si="1"/>
        <v>4</v>
      </c>
      <c r="G23" s="2">
        <f t="shared" si="2"/>
        <v>14</v>
      </c>
      <c r="H23" s="6">
        <f t="shared" si="3"/>
        <v>0.60869565217391297</v>
      </c>
      <c r="I23" s="2" t="s">
        <v>3092</v>
      </c>
      <c r="J23" s="2" t="s">
        <v>3092</v>
      </c>
      <c r="K23" s="2" t="s">
        <v>3091</v>
      </c>
      <c r="L23" s="2" t="s">
        <v>3090</v>
      </c>
      <c r="M23" s="2" t="s">
        <v>3090</v>
      </c>
      <c r="N23" s="2" t="s">
        <v>3090</v>
      </c>
      <c r="O23" s="2" t="s">
        <v>3091</v>
      </c>
      <c r="P23" s="2" t="s">
        <v>3092</v>
      </c>
      <c r="Q23" s="2" t="s">
        <v>3090</v>
      </c>
      <c r="R23" s="2" t="s">
        <v>3090</v>
      </c>
      <c r="S23" s="2" t="s">
        <v>3090</v>
      </c>
      <c r="T23" s="2" t="s">
        <v>3091</v>
      </c>
      <c r="U23" s="2" t="s">
        <v>3092</v>
      </c>
      <c r="V23" s="2" t="s">
        <v>3091</v>
      </c>
      <c r="W23" s="2" t="s">
        <v>3092</v>
      </c>
      <c r="X23" s="2" t="s">
        <v>3092</v>
      </c>
      <c r="Y23" s="2" t="s">
        <v>3090</v>
      </c>
      <c r="Z23" s="2" t="s">
        <v>3090</v>
      </c>
      <c r="AA23" s="3" t="s">
        <v>3092</v>
      </c>
      <c r="AB23" s="3" t="s">
        <v>3092</v>
      </c>
      <c r="AC23" s="3" t="s">
        <v>3092</v>
      </c>
      <c r="AD23" s="3" t="s">
        <v>3090</v>
      </c>
      <c r="AE23" s="3" t="s">
        <v>3090</v>
      </c>
      <c r="AF23" s="3"/>
      <c r="AG23" s="3"/>
      <c r="AH23" s="3"/>
      <c r="AI23" s="3"/>
      <c r="AJ23" s="3"/>
      <c r="AK23" s="3"/>
    </row>
    <row r="24" spans="1:37" ht="15.75" customHeight="1">
      <c r="A24" s="2" t="s">
        <v>2686</v>
      </c>
      <c r="B24" s="2" t="s">
        <v>2687</v>
      </c>
      <c r="C24" s="3">
        <v>720</v>
      </c>
      <c r="D24" s="2" t="s">
        <v>668</v>
      </c>
      <c r="E24" s="2">
        <f t="shared" si="0"/>
        <v>10</v>
      </c>
      <c r="F24" s="2">
        <f t="shared" si="1"/>
        <v>13</v>
      </c>
      <c r="G24" s="2">
        <f t="shared" si="2"/>
        <v>23</v>
      </c>
      <c r="H24" s="6">
        <f t="shared" si="3"/>
        <v>1</v>
      </c>
      <c r="I24" s="2" t="s">
        <v>3090</v>
      </c>
      <c r="J24" s="2" t="s">
        <v>3090</v>
      </c>
      <c r="K24" s="2" t="s">
        <v>3090</v>
      </c>
      <c r="L24" s="2" t="s">
        <v>3091</v>
      </c>
      <c r="M24" s="2" t="s">
        <v>3091</v>
      </c>
      <c r="N24" s="2" t="s">
        <v>3090</v>
      </c>
      <c r="O24" s="2" t="s">
        <v>3091</v>
      </c>
      <c r="P24" s="2" t="s">
        <v>3091</v>
      </c>
      <c r="Q24" s="2" t="s">
        <v>3090</v>
      </c>
      <c r="R24" s="2" t="s">
        <v>3090</v>
      </c>
      <c r="S24" s="2" t="s">
        <v>3090</v>
      </c>
      <c r="T24" s="2" t="s">
        <v>3091</v>
      </c>
      <c r="U24" s="2" t="s">
        <v>3090</v>
      </c>
      <c r="V24" s="2" t="s">
        <v>3091</v>
      </c>
      <c r="W24" s="2" t="s">
        <v>3091</v>
      </c>
      <c r="X24" s="2" t="s">
        <v>3091</v>
      </c>
      <c r="Y24" s="2" t="s">
        <v>3091</v>
      </c>
      <c r="Z24" s="2" t="s">
        <v>3091</v>
      </c>
      <c r="AA24" s="3" t="s">
        <v>3091</v>
      </c>
      <c r="AB24" s="3" t="s">
        <v>3091</v>
      </c>
      <c r="AC24" s="3" t="s">
        <v>3091</v>
      </c>
      <c r="AD24" s="3" t="s">
        <v>3090</v>
      </c>
      <c r="AE24" s="3" t="s">
        <v>3090</v>
      </c>
      <c r="AF24" s="3"/>
      <c r="AG24" s="3"/>
      <c r="AH24" s="3"/>
      <c r="AI24" s="3"/>
      <c r="AJ24" s="3"/>
      <c r="AK24" s="3"/>
    </row>
    <row r="25" spans="1:37" ht="15.75" customHeight="1">
      <c r="A25" s="2" t="s">
        <v>2688</v>
      </c>
      <c r="B25" s="2" t="s">
        <v>2682</v>
      </c>
      <c r="C25" s="3">
        <v>671</v>
      </c>
      <c r="D25" s="2" t="s">
        <v>585</v>
      </c>
      <c r="E25" s="2">
        <f t="shared" si="0"/>
        <v>0</v>
      </c>
      <c r="F25" s="2">
        <f t="shared" si="1"/>
        <v>7</v>
      </c>
      <c r="G25" s="2">
        <f t="shared" si="2"/>
        <v>7</v>
      </c>
      <c r="H25" s="6">
        <f t="shared" si="3"/>
        <v>0.30434782608695699</v>
      </c>
      <c r="I25" s="2" t="s">
        <v>3091</v>
      </c>
      <c r="J25" s="2" t="s">
        <v>3091</v>
      </c>
      <c r="K25" s="2" t="s">
        <v>3091</v>
      </c>
      <c r="L25" s="2" t="s">
        <v>3091</v>
      </c>
      <c r="M25" s="2" t="s">
        <v>3091</v>
      </c>
      <c r="N25" s="2" t="s">
        <v>3091</v>
      </c>
      <c r="O25" s="2" t="s">
        <v>3092</v>
      </c>
      <c r="P25" s="2" t="s">
        <v>3092</v>
      </c>
      <c r="Q25" s="2" t="s">
        <v>3091</v>
      </c>
      <c r="R25" s="2" t="s">
        <v>3092</v>
      </c>
      <c r="S25" s="2" t="s">
        <v>3092</v>
      </c>
      <c r="T25" s="2" t="s">
        <v>3092</v>
      </c>
      <c r="U25" s="2" t="s">
        <v>3092</v>
      </c>
      <c r="V25" s="2" t="s">
        <v>3092</v>
      </c>
      <c r="W25" s="2" t="s">
        <v>3092</v>
      </c>
      <c r="X25" s="2" t="s">
        <v>3092</v>
      </c>
      <c r="Y25" s="2" t="s">
        <v>3092</v>
      </c>
      <c r="Z25" s="2" t="s">
        <v>3092</v>
      </c>
      <c r="AA25" s="3" t="s">
        <v>3092</v>
      </c>
      <c r="AB25" s="3" t="s">
        <v>3092</v>
      </c>
      <c r="AC25" s="3" t="s">
        <v>3092</v>
      </c>
      <c r="AD25" s="3" t="s">
        <v>3092</v>
      </c>
      <c r="AE25" s="3" t="s">
        <v>3092</v>
      </c>
      <c r="AF25" s="3"/>
      <c r="AG25" s="3"/>
      <c r="AH25" s="3"/>
      <c r="AI25" s="3"/>
      <c r="AJ25" s="3"/>
      <c r="AK25" s="3"/>
    </row>
    <row r="26" spans="1:37" ht="15.75" customHeight="1">
      <c r="A26" s="2" t="s">
        <v>2689</v>
      </c>
      <c r="B26" s="2" t="s">
        <v>2690</v>
      </c>
      <c r="C26" s="3">
        <v>776</v>
      </c>
      <c r="D26" s="2" t="s">
        <v>287</v>
      </c>
      <c r="E26" s="2">
        <f t="shared" si="0"/>
        <v>4</v>
      </c>
      <c r="F26" s="2">
        <f t="shared" si="1"/>
        <v>19</v>
      </c>
      <c r="G26" s="2">
        <f t="shared" si="2"/>
        <v>23</v>
      </c>
      <c r="H26" s="6">
        <f t="shared" si="3"/>
        <v>1</v>
      </c>
      <c r="I26" s="2" t="s">
        <v>3090</v>
      </c>
      <c r="J26" s="2" t="s">
        <v>3090</v>
      </c>
      <c r="K26" s="2" t="s">
        <v>3090</v>
      </c>
      <c r="L26" s="2" t="s">
        <v>3091</v>
      </c>
      <c r="M26" s="2" t="s">
        <v>3091</v>
      </c>
      <c r="N26" s="2" t="s">
        <v>3090</v>
      </c>
      <c r="O26" s="2" t="s">
        <v>3091</v>
      </c>
      <c r="P26" s="2" t="s">
        <v>3091</v>
      </c>
      <c r="Q26" s="2" t="s">
        <v>3091</v>
      </c>
      <c r="R26" s="2" t="s">
        <v>3091</v>
      </c>
      <c r="S26" s="2" t="s">
        <v>3091</v>
      </c>
      <c r="T26" s="2" t="s">
        <v>3091</v>
      </c>
      <c r="U26" s="2" t="s">
        <v>3091</v>
      </c>
      <c r="V26" s="2" t="s">
        <v>3091</v>
      </c>
      <c r="W26" s="2" t="s">
        <v>3091</v>
      </c>
      <c r="X26" s="2" t="s">
        <v>3091</v>
      </c>
      <c r="Y26" s="2" t="s">
        <v>3091</v>
      </c>
      <c r="Z26" s="2" t="s">
        <v>3091</v>
      </c>
      <c r="AA26" s="3" t="s">
        <v>3091</v>
      </c>
      <c r="AB26" s="3" t="s">
        <v>3091</v>
      </c>
      <c r="AC26" s="3" t="s">
        <v>3091</v>
      </c>
      <c r="AD26" s="3" t="s">
        <v>3091</v>
      </c>
      <c r="AE26" s="3" t="s">
        <v>3091</v>
      </c>
      <c r="AF26" s="3"/>
      <c r="AG26" s="3"/>
      <c r="AH26" s="3"/>
      <c r="AI26" s="3"/>
      <c r="AJ26" s="3"/>
      <c r="AK26" s="3"/>
    </row>
    <row r="27" spans="1:37" ht="15.75" customHeight="1">
      <c r="A27" s="2" t="s">
        <v>2691</v>
      </c>
      <c r="B27" s="2" t="s">
        <v>2657</v>
      </c>
      <c r="C27" s="3">
        <v>301</v>
      </c>
      <c r="D27" s="2" t="s">
        <v>150</v>
      </c>
      <c r="E27" s="2">
        <f t="shared" si="0"/>
        <v>12</v>
      </c>
      <c r="F27" s="2">
        <f t="shared" si="1"/>
        <v>5</v>
      </c>
      <c r="G27" s="2">
        <f t="shared" si="2"/>
        <v>17</v>
      </c>
      <c r="H27" s="6">
        <f t="shared" si="3"/>
        <v>0.73913043478260898</v>
      </c>
      <c r="I27" s="2" t="s">
        <v>3090</v>
      </c>
      <c r="J27" s="2" t="s">
        <v>3090</v>
      </c>
      <c r="K27" s="2" t="s">
        <v>3091</v>
      </c>
      <c r="L27" s="2" t="s">
        <v>3090</v>
      </c>
      <c r="M27" s="2" t="s">
        <v>3090</v>
      </c>
      <c r="N27" s="2" t="s">
        <v>3090</v>
      </c>
      <c r="O27" s="2" t="s">
        <v>3091</v>
      </c>
      <c r="P27" s="2" t="s">
        <v>3091</v>
      </c>
      <c r="Q27" s="2" t="s">
        <v>3090</v>
      </c>
      <c r="R27" s="2" t="s">
        <v>3090</v>
      </c>
      <c r="S27" s="2" t="s">
        <v>3090</v>
      </c>
      <c r="T27" s="2" t="s">
        <v>3091</v>
      </c>
      <c r="U27" s="2" t="s">
        <v>3090</v>
      </c>
      <c r="V27" s="2" t="s">
        <v>3090</v>
      </c>
      <c r="W27" s="2" t="s">
        <v>3092</v>
      </c>
      <c r="X27" s="2" t="s">
        <v>3091</v>
      </c>
      <c r="Y27" s="2" t="s">
        <v>3092</v>
      </c>
      <c r="Z27" s="2" t="s">
        <v>3090</v>
      </c>
      <c r="AA27" s="3" t="s">
        <v>3092</v>
      </c>
      <c r="AB27" s="3" t="s">
        <v>3092</v>
      </c>
      <c r="AC27" s="3" t="s">
        <v>3092</v>
      </c>
      <c r="AD27" s="3" t="s">
        <v>3090</v>
      </c>
      <c r="AE27" s="3" t="s">
        <v>3092</v>
      </c>
      <c r="AF27" s="3"/>
      <c r="AG27" s="3"/>
      <c r="AH27" s="3"/>
      <c r="AI27" s="3"/>
      <c r="AJ27" s="3"/>
      <c r="AK27" s="3"/>
    </row>
    <row r="28" spans="1:37" ht="15.75" customHeight="1">
      <c r="A28" s="2" t="s">
        <v>2692</v>
      </c>
      <c r="B28" s="2" t="s">
        <v>2693</v>
      </c>
      <c r="C28" s="3">
        <v>691</v>
      </c>
      <c r="D28" s="2" t="s">
        <v>587</v>
      </c>
      <c r="E28" s="2">
        <f t="shared" si="0"/>
        <v>17</v>
      </c>
      <c r="F28" s="2">
        <f t="shared" si="1"/>
        <v>2</v>
      </c>
      <c r="G28" s="2">
        <f t="shared" si="2"/>
        <v>19</v>
      </c>
      <c r="H28" s="6">
        <f t="shared" si="3"/>
        <v>0.82608695652173902</v>
      </c>
      <c r="I28" s="2" t="s">
        <v>3090</v>
      </c>
      <c r="J28" s="2" t="s">
        <v>3090</v>
      </c>
      <c r="K28" s="2" t="s">
        <v>3090</v>
      </c>
      <c r="L28" s="2" t="s">
        <v>3090</v>
      </c>
      <c r="M28" s="2" t="s">
        <v>3090</v>
      </c>
      <c r="N28" s="2" t="s">
        <v>3090</v>
      </c>
      <c r="O28" s="2" t="s">
        <v>3091</v>
      </c>
      <c r="P28" s="2" t="s">
        <v>3092</v>
      </c>
      <c r="Q28" s="2" t="s">
        <v>3090</v>
      </c>
      <c r="R28" s="2" t="s">
        <v>3090</v>
      </c>
      <c r="S28" s="2" t="s">
        <v>3090</v>
      </c>
      <c r="T28" s="2" t="s">
        <v>3092</v>
      </c>
      <c r="U28" s="2" t="s">
        <v>3090</v>
      </c>
      <c r="V28" s="2" t="s">
        <v>3090</v>
      </c>
      <c r="W28" s="2" t="s">
        <v>3092</v>
      </c>
      <c r="X28" s="2" t="s">
        <v>3091</v>
      </c>
      <c r="Y28" s="2" t="s">
        <v>3090</v>
      </c>
      <c r="Z28" s="2" t="s">
        <v>3090</v>
      </c>
      <c r="AA28" s="3" t="s">
        <v>3092</v>
      </c>
      <c r="AB28" s="3" t="s">
        <v>3090</v>
      </c>
      <c r="AC28" s="3" t="s">
        <v>3090</v>
      </c>
      <c r="AD28" s="3" t="s">
        <v>3090</v>
      </c>
      <c r="AE28" s="3" t="s">
        <v>3090</v>
      </c>
      <c r="AF28" s="3"/>
      <c r="AG28" s="3"/>
      <c r="AH28" s="3"/>
      <c r="AI28" s="3"/>
      <c r="AJ28" s="3"/>
      <c r="AK28" s="3"/>
    </row>
    <row r="29" spans="1:37" ht="15.75" customHeight="1">
      <c r="A29" s="2" t="s">
        <v>2694</v>
      </c>
      <c r="B29" s="2" t="s">
        <v>2695</v>
      </c>
      <c r="C29" s="3">
        <v>599</v>
      </c>
      <c r="D29" s="2" t="s">
        <v>290</v>
      </c>
      <c r="E29" s="2">
        <f t="shared" si="0"/>
        <v>10</v>
      </c>
      <c r="F29" s="2">
        <f t="shared" si="1"/>
        <v>13</v>
      </c>
      <c r="G29" s="2">
        <f t="shared" si="2"/>
        <v>23</v>
      </c>
      <c r="H29" s="6">
        <f t="shared" si="3"/>
        <v>1</v>
      </c>
      <c r="I29" s="2" t="s">
        <v>3090</v>
      </c>
      <c r="J29" s="2" t="s">
        <v>3091</v>
      </c>
      <c r="K29" s="2" t="s">
        <v>3091</v>
      </c>
      <c r="L29" s="2" t="s">
        <v>3091</v>
      </c>
      <c r="M29" s="2" t="s">
        <v>3091</v>
      </c>
      <c r="N29" s="2" t="s">
        <v>3091</v>
      </c>
      <c r="O29" s="2" t="s">
        <v>3091</v>
      </c>
      <c r="P29" s="2" t="s">
        <v>3091</v>
      </c>
      <c r="Q29" s="2" t="s">
        <v>3091</v>
      </c>
      <c r="R29" s="2" t="s">
        <v>3090</v>
      </c>
      <c r="S29" s="2" t="s">
        <v>3090</v>
      </c>
      <c r="T29" s="2" t="s">
        <v>3091</v>
      </c>
      <c r="U29" s="2" t="s">
        <v>3090</v>
      </c>
      <c r="V29" s="2" t="s">
        <v>3090</v>
      </c>
      <c r="W29" s="2" t="s">
        <v>3091</v>
      </c>
      <c r="X29" s="2" t="s">
        <v>3091</v>
      </c>
      <c r="Y29" s="2" t="s">
        <v>3090</v>
      </c>
      <c r="Z29" s="2" t="s">
        <v>3090</v>
      </c>
      <c r="AA29" s="3" t="s">
        <v>3091</v>
      </c>
      <c r="AB29" s="3" t="s">
        <v>3090</v>
      </c>
      <c r="AC29" s="3" t="s">
        <v>3091</v>
      </c>
      <c r="AD29" s="3" t="s">
        <v>3090</v>
      </c>
      <c r="AE29" s="3" t="s">
        <v>3090</v>
      </c>
      <c r="AF29" s="3"/>
      <c r="AG29" s="3"/>
      <c r="AH29" s="3"/>
      <c r="AI29" s="3"/>
      <c r="AJ29" s="3"/>
      <c r="AK29" s="3"/>
    </row>
    <row r="30" spans="1:37" ht="15.75" customHeight="1">
      <c r="A30" s="2" t="s">
        <v>2696</v>
      </c>
      <c r="B30" s="2" t="s">
        <v>2697</v>
      </c>
      <c r="C30" s="3">
        <v>625</v>
      </c>
      <c r="D30" s="2" t="s">
        <v>199</v>
      </c>
      <c r="E30" s="2">
        <f t="shared" si="0"/>
        <v>0</v>
      </c>
      <c r="F30" s="2">
        <f t="shared" si="1"/>
        <v>13</v>
      </c>
      <c r="G30" s="2">
        <f t="shared" si="2"/>
        <v>13</v>
      </c>
      <c r="H30" s="6">
        <f t="shared" si="3"/>
        <v>0.565217391304348</v>
      </c>
      <c r="I30" s="2" t="s">
        <v>3091</v>
      </c>
      <c r="J30" s="2" t="s">
        <v>3091</v>
      </c>
      <c r="K30" s="2" t="s">
        <v>3091</v>
      </c>
      <c r="L30" s="2" t="s">
        <v>3091</v>
      </c>
      <c r="M30" s="2" t="s">
        <v>3091</v>
      </c>
      <c r="N30" s="2" t="s">
        <v>3091</v>
      </c>
      <c r="O30" s="2" t="s">
        <v>3091</v>
      </c>
      <c r="P30" s="2" t="s">
        <v>3091</v>
      </c>
      <c r="Q30" s="2" t="s">
        <v>3091</v>
      </c>
      <c r="R30" s="2" t="s">
        <v>3091</v>
      </c>
      <c r="S30" s="2" t="s">
        <v>3091</v>
      </c>
      <c r="T30" s="2" t="s">
        <v>3092</v>
      </c>
      <c r="U30" s="2" t="s">
        <v>3091</v>
      </c>
      <c r="V30" s="2" t="s">
        <v>3091</v>
      </c>
      <c r="W30" s="2" t="s">
        <v>3092</v>
      </c>
      <c r="X30" s="2" t="s">
        <v>3092</v>
      </c>
      <c r="Y30" s="2" t="s">
        <v>3092</v>
      </c>
      <c r="Z30" s="2" t="s">
        <v>3092</v>
      </c>
      <c r="AA30" s="3" t="s">
        <v>3092</v>
      </c>
      <c r="AB30" s="3" t="s">
        <v>3092</v>
      </c>
      <c r="AC30" s="3" t="s">
        <v>3092</v>
      </c>
      <c r="AD30" s="3" t="s">
        <v>3092</v>
      </c>
      <c r="AE30" s="3" t="s">
        <v>3092</v>
      </c>
      <c r="AF30" s="3"/>
      <c r="AG30" s="3"/>
      <c r="AH30" s="3"/>
      <c r="AI30" s="3"/>
      <c r="AJ30" s="3"/>
      <c r="AK30" s="3"/>
    </row>
    <row r="31" spans="1:37" ht="15.75" customHeight="1">
      <c r="A31" s="2" t="s">
        <v>2698</v>
      </c>
      <c r="B31" s="2" t="s">
        <v>2699</v>
      </c>
      <c r="C31" s="3">
        <v>590</v>
      </c>
      <c r="D31" s="2" t="s">
        <v>745</v>
      </c>
      <c r="E31" s="2">
        <f t="shared" si="0"/>
        <v>2</v>
      </c>
      <c r="F31" s="2">
        <f t="shared" si="1"/>
        <v>12</v>
      </c>
      <c r="G31" s="2">
        <f t="shared" si="2"/>
        <v>14</v>
      </c>
      <c r="H31" s="6">
        <f t="shared" si="3"/>
        <v>0.60869565217391297</v>
      </c>
      <c r="I31" s="2" t="s">
        <v>3090</v>
      </c>
      <c r="J31" s="2" t="s">
        <v>3090</v>
      </c>
      <c r="K31" s="2" t="s">
        <v>3091</v>
      </c>
      <c r="L31" s="2" t="s">
        <v>3091</v>
      </c>
      <c r="M31" s="2" t="s">
        <v>3091</v>
      </c>
      <c r="N31" s="2" t="s">
        <v>3091</v>
      </c>
      <c r="O31" s="2" t="s">
        <v>3091</v>
      </c>
      <c r="P31" s="2" t="s">
        <v>3091</v>
      </c>
      <c r="Q31" s="2" t="s">
        <v>3091</v>
      </c>
      <c r="R31" s="2" t="s">
        <v>3091</v>
      </c>
      <c r="S31" s="2" t="s">
        <v>3091</v>
      </c>
      <c r="T31" s="2" t="s">
        <v>3092</v>
      </c>
      <c r="U31" s="2" t="s">
        <v>3092</v>
      </c>
      <c r="V31" s="2" t="s">
        <v>3092</v>
      </c>
      <c r="W31" s="2" t="s">
        <v>3092</v>
      </c>
      <c r="X31" s="2" t="s">
        <v>3091</v>
      </c>
      <c r="Y31" s="2" t="s">
        <v>3091</v>
      </c>
      <c r="Z31" s="2" t="s">
        <v>3091</v>
      </c>
      <c r="AA31" s="3" t="s">
        <v>3092</v>
      </c>
      <c r="AB31" s="3" t="s">
        <v>3092</v>
      </c>
      <c r="AC31" s="3" t="s">
        <v>3092</v>
      </c>
      <c r="AD31" s="3" t="s">
        <v>3092</v>
      </c>
      <c r="AE31" s="3" t="s">
        <v>3092</v>
      </c>
      <c r="AF31" s="3"/>
      <c r="AG31" s="3"/>
      <c r="AH31" s="3"/>
      <c r="AI31" s="3"/>
      <c r="AJ31" s="3"/>
      <c r="AK31" s="3"/>
    </row>
    <row r="32" spans="1:37" ht="15.75" customHeight="1">
      <c r="A32" s="2" t="s">
        <v>2700</v>
      </c>
      <c r="B32" s="2" t="s">
        <v>2701</v>
      </c>
      <c r="C32" s="3">
        <v>770</v>
      </c>
      <c r="D32" s="2" t="s">
        <v>202</v>
      </c>
      <c r="E32" s="2">
        <f t="shared" si="0"/>
        <v>0</v>
      </c>
      <c r="F32" s="2">
        <f t="shared" si="1"/>
        <v>22</v>
      </c>
      <c r="G32" s="2">
        <f t="shared" si="2"/>
        <v>22</v>
      </c>
      <c r="H32" s="6">
        <f t="shared" si="3"/>
        <v>0.95652173913043503</v>
      </c>
      <c r="I32" s="2" t="s">
        <v>3091</v>
      </c>
      <c r="J32" s="2" t="s">
        <v>3091</v>
      </c>
      <c r="K32" s="2" t="s">
        <v>3091</v>
      </c>
      <c r="L32" s="2" t="s">
        <v>3091</v>
      </c>
      <c r="M32" s="2" t="s">
        <v>3091</v>
      </c>
      <c r="N32" s="2" t="s">
        <v>3091</v>
      </c>
      <c r="O32" s="2" t="s">
        <v>3091</v>
      </c>
      <c r="P32" s="2" t="s">
        <v>3091</v>
      </c>
      <c r="Q32" s="2" t="s">
        <v>3091</v>
      </c>
      <c r="R32" s="2" t="s">
        <v>3091</v>
      </c>
      <c r="S32" s="2" t="s">
        <v>3091</v>
      </c>
      <c r="T32" s="2" t="s">
        <v>3091</v>
      </c>
      <c r="U32" s="2" t="s">
        <v>3091</v>
      </c>
      <c r="V32" s="2" t="s">
        <v>3091</v>
      </c>
      <c r="W32" s="2" t="s">
        <v>3091</v>
      </c>
      <c r="X32" s="2" t="s">
        <v>3091</v>
      </c>
      <c r="Y32" s="2" t="s">
        <v>3091</v>
      </c>
      <c r="Z32" s="2" t="s">
        <v>3091</v>
      </c>
      <c r="AA32" s="3" t="s">
        <v>3091</v>
      </c>
      <c r="AB32" s="3" t="s">
        <v>3091</v>
      </c>
      <c r="AC32" s="3" t="s">
        <v>3091</v>
      </c>
      <c r="AD32" s="3" t="s">
        <v>3091</v>
      </c>
      <c r="AE32" s="3" t="s">
        <v>3092</v>
      </c>
      <c r="AF32" s="3"/>
      <c r="AG32" s="3"/>
      <c r="AH32" s="3"/>
      <c r="AI32" s="3"/>
      <c r="AJ32" s="3"/>
      <c r="AK32" s="3"/>
    </row>
    <row r="33" spans="1:37" ht="15.75" customHeight="1">
      <c r="A33" s="2" t="s">
        <v>2702</v>
      </c>
      <c r="B33" s="2" t="s">
        <v>2703</v>
      </c>
      <c r="C33" s="3">
        <v>638</v>
      </c>
      <c r="D33" s="2" t="s">
        <v>544</v>
      </c>
      <c r="E33" s="2">
        <f t="shared" si="0"/>
        <v>8</v>
      </c>
      <c r="F33" s="2">
        <f t="shared" si="1"/>
        <v>15</v>
      </c>
      <c r="G33" s="2">
        <f t="shared" si="2"/>
        <v>23</v>
      </c>
      <c r="H33" s="6">
        <f t="shared" si="3"/>
        <v>1</v>
      </c>
      <c r="I33" s="2" t="s">
        <v>3090</v>
      </c>
      <c r="J33" s="2" t="s">
        <v>3090</v>
      </c>
      <c r="K33" s="2" t="s">
        <v>3090</v>
      </c>
      <c r="L33" s="2" t="s">
        <v>3090</v>
      </c>
      <c r="M33" s="2" t="s">
        <v>3090</v>
      </c>
      <c r="N33" s="2" t="s">
        <v>3090</v>
      </c>
      <c r="O33" s="2" t="s">
        <v>3091</v>
      </c>
      <c r="P33" s="2" t="s">
        <v>3091</v>
      </c>
      <c r="Q33" s="2" t="s">
        <v>3091</v>
      </c>
      <c r="R33" s="2" t="s">
        <v>3091</v>
      </c>
      <c r="S33" s="2" t="s">
        <v>3090</v>
      </c>
      <c r="T33" s="2" t="s">
        <v>3091</v>
      </c>
      <c r="U33" s="2" t="s">
        <v>3091</v>
      </c>
      <c r="V33" s="2" t="s">
        <v>3091</v>
      </c>
      <c r="W33" s="2" t="s">
        <v>3091</v>
      </c>
      <c r="X33" s="2" t="s">
        <v>3091</v>
      </c>
      <c r="Y33" s="2" t="s">
        <v>3091</v>
      </c>
      <c r="Z33" s="2" t="s">
        <v>3090</v>
      </c>
      <c r="AA33" s="3" t="s">
        <v>3091</v>
      </c>
      <c r="AB33" s="3" t="s">
        <v>3091</v>
      </c>
      <c r="AC33" s="3" t="s">
        <v>3091</v>
      </c>
      <c r="AD33" s="3" t="s">
        <v>3091</v>
      </c>
      <c r="AE33" s="3" t="s">
        <v>3091</v>
      </c>
      <c r="AF33" s="3"/>
      <c r="AG33" s="3"/>
      <c r="AH33" s="3"/>
      <c r="AI33" s="3"/>
      <c r="AJ33" s="3"/>
      <c r="AK33" s="3"/>
    </row>
    <row r="34" spans="1:37" ht="15.75" customHeight="1">
      <c r="A34" s="2" t="s">
        <v>2704</v>
      </c>
      <c r="B34" s="2" t="s">
        <v>2693</v>
      </c>
      <c r="C34" s="3">
        <v>322</v>
      </c>
      <c r="D34" s="2" t="s">
        <v>152</v>
      </c>
      <c r="E34" s="2">
        <f t="shared" si="0"/>
        <v>17</v>
      </c>
      <c r="F34" s="2">
        <f t="shared" si="1"/>
        <v>6</v>
      </c>
      <c r="G34" s="2">
        <f t="shared" si="2"/>
        <v>23</v>
      </c>
      <c r="H34" s="6">
        <f t="shared" si="3"/>
        <v>1</v>
      </c>
      <c r="I34" s="2" t="s">
        <v>3090</v>
      </c>
      <c r="J34" s="2" t="s">
        <v>3090</v>
      </c>
      <c r="K34" s="2" t="s">
        <v>3090</v>
      </c>
      <c r="L34" s="2" t="s">
        <v>3090</v>
      </c>
      <c r="M34" s="2" t="s">
        <v>3090</v>
      </c>
      <c r="N34" s="2" t="s">
        <v>3090</v>
      </c>
      <c r="O34" s="2" t="s">
        <v>3091</v>
      </c>
      <c r="P34" s="2" t="s">
        <v>3091</v>
      </c>
      <c r="Q34" s="2" t="s">
        <v>3090</v>
      </c>
      <c r="R34" s="2" t="s">
        <v>3090</v>
      </c>
      <c r="S34" s="2" t="s">
        <v>3090</v>
      </c>
      <c r="T34" s="2" t="s">
        <v>3091</v>
      </c>
      <c r="U34" s="2" t="s">
        <v>3090</v>
      </c>
      <c r="V34" s="2" t="s">
        <v>3090</v>
      </c>
      <c r="W34" s="2" t="s">
        <v>3091</v>
      </c>
      <c r="X34" s="2" t="s">
        <v>3091</v>
      </c>
      <c r="Y34" s="2" t="s">
        <v>3090</v>
      </c>
      <c r="Z34" s="2" t="s">
        <v>3090</v>
      </c>
      <c r="AA34" s="3" t="s">
        <v>3091</v>
      </c>
      <c r="AB34" s="3" t="s">
        <v>3090</v>
      </c>
      <c r="AC34" s="3" t="s">
        <v>3090</v>
      </c>
      <c r="AD34" s="3" t="s">
        <v>3090</v>
      </c>
      <c r="AE34" s="3" t="s">
        <v>3090</v>
      </c>
      <c r="AF34" s="3"/>
      <c r="AG34" s="3"/>
      <c r="AH34" s="3"/>
      <c r="AI34" s="3"/>
      <c r="AJ34" s="3"/>
      <c r="AK34" s="3"/>
    </row>
    <row r="35" spans="1:37" ht="15.75" customHeight="1">
      <c r="A35" s="2" t="s">
        <v>2705</v>
      </c>
      <c r="B35" s="2" t="s">
        <v>2706</v>
      </c>
      <c r="C35" s="3">
        <v>303</v>
      </c>
      <c r="D35" s="2" t="s">
        <v>62</v>
      </c>
      <c r="E35" s="2">
        <f t="shared" si="0"/>
        <v>2</v>
      </c>
      <c r="F35" s="2">
        <f t="shared" si="1"/>
        <v>21</v>
      </c>
      <c r="G35" s="2">
        <f t="shared" si="2"/>
        <v>23</v>
      </c>
      <c r="H35" s="6">
        <f t="shared" si="3"/>
        <v>1</v>
      </c>
      <c r="I35" s="2" t="s">
        <v>3090</v>
      </c>
      <c r="J35" s="2" t="s">
        <v>3091</v>
      </c>
      <c r="K35" s="2" t="s">
        <v>3091</v>
      </c>
      <c r="L35" s="2" t="s">
        <v>3091</v>
      </c>
      <c r="M35" s="2" t="s">
        <v>3091</v>
      </c>
      <c r="N35" s="2" t="s">
        <v>3091</v>
      </c>
      <c r="O35" s="2" t="s">
        <v>3091</v>
      </c>
      <c r="P35" s="2" t="s">
        <v>3091</v>
      </c>
      <c r="Q35" s="2" t="s">
        <v>3091</v>
      </c>
      <c r="R35" s="2" t="s">
        <v>3091</v>
      </c>
      <c r="S35" s="2" t="s">
        <v>3091</v>
      </c>
      <c r="T35" s="2" t="s">
        <v>3091</v>
      </c>
      <c r="U35" s="2" t="s">
        <v>3091</v>
      </c>
      <c r="V35" s="2" t="s">
        <v>3091</v>
      </c>
      <c r="W35" s="2" t="s">
        <v>3091</v>
      </c>
      <c r="X35" s="2" t="s">
        <v>3091</v>
      </c>
      <c r="Y35" s="2" t="s">
        <v>3091</v>
      </c>
      <c r="Z35" s="2" t="s">
        <v>3091</v>
      </c>
      <c r="AA35" s="3" t="s">
        <v>3091</v>
      </c>
      <c r="AB35" s="3" t="s">
        <v>3091</v>
      </c>
      <c r="AC35" s="3" t="s">
        <v>3091</v>
      </c>
      <c r="AD35" s="3" t="s">
        <v>3090</v>
      </c>
      <c r="AE35" s="3" t="s">
        <v>3091</v>
      </c>
      <c r="AF35" s="3"/>
      <c r="AG35" s="3"/>
      <c r="AH35" s="3"/>
      <c r="AI35" s="3"/>
      <c r="AJ35" s="3"/>
      <c r="AK35" s="3"/>
    </row>
    <row r="36" spans="1:37" ht="15.75" customHeight="1">
      <c r="A36" s="2" t="s">
        <v>2707</v>
      </c>
      <c r="B36" s="2" t="s">
        <v>2708</v>
      </c>
      <c r="C36" s="3">
        <v>719</v>
      </c>
      <c r="D36" s="2" t="s">
        <v>459</v>
      </c>
      <c r="E36" s="2">
        <f t="shared" si="0"/>
        <v>3</v>
      </c>
      <c r="F36" s="2">
        <f t="shared" si="1"/>
        <v>20</v>
      </c>
      <c r="G36" s="2">
        <f t="shared" si="2"/>
        <v>23</v>
      </c>
      <c r="H36" s="6">
        <f t="shared" si="3"/>
        <v>1</v>
      </c>
      <c r="I36" s="2" t="s">
        <v>3090</v>
      </c>
      <c r="J36" s="2" t="s">
        <v>3090</v>
      </c>
      <c r="K36" s="2" t="s">
        <v>3090</v>
      </c>
      <c r="L36" s="2" t="s">
        <v>3091</v>
      </c>
      <c r="M36" s="2" t="s">
        <v>3091</v>
      </c>
      <c r="N36" s="2" t="s">
        <v>3091</v>
      </c>
      <c r="O36" s="2" t="s">
        <v>3091</v>
      </c>
      <c r="P36" s="2" t="s">
        <v>3091</v>
      </c>
      <c r="Q36" s="2" t="s">
        <v>3091</v>
      </c>
      <c r="R36" s="2" t="s">
        <v>3091</v>
      </c>
      <c r="S36" s="2" t="s">
        <v>3091</v>
      </c>
      <c r="T36" s="2" t="s">
        <v>3091</v>
      </c>
      <c r="U36" s="2" t="s">
        <v>3091</v>
      </c>
      <c r="V36" s="2" t="s">
        <v>3091</v>
      </c>
      <c r="W36" s="2" t="s">
        <v>3091</v>
      </c>
      <c r="X36" s="2" t="s">
        <v>3091</v>
      </c>
      <c r="Y36" s="2" t="s">
        <v>3091</v>
      </c>
      <c r="Z36" s="2" t="s">
        <v>3091</v>
      </c>
      <c r="AA36" s="3" t="s">
        <v>3091</v>
      </c>
      <c r="AB36" s="3" t="s">
        <v>3091</v>
      </c>
      <c r="AC36" s="3" t="s">
        <v>3091</v>
      </c>
      <c r="AD36" s="3" t="s">
        <v>3091</v>
      </c>
      <c r="AE36" s="3" t="s">
        <v>3091</v>
      </c>
      <c r="AF36" s="3"/>
      <c r="AG36" s="3"/>
      <c r="AH36" s="3"/>
      <c r="AI36" s="3"/>
      <c r="AJ36" s="3"/>
      <c r="AK36" s="3"/>
    </row>
    <row r="37" spans="1:37" ht="15.75" customHeight="1">
      <c r="A37" s="2" t="s">
        <v>2709</v>
      </c>
      <c r="B37" s="2" t="s">
        <v>2710</v>
      </c>
      <c r="C37" s="3">
        <v>457</v>
      </c>
      <c r="D37" s="2" t="s">
        <v>293</v>
      </c>
      <c r="E37" s="2">
        <f t="shared" si="0"/>
        <v>9</v>
      </c>
      <c r="F37" s="2">
        <f t="shared" si="1"/>
        <v>14</v>
      </c>
      <c r="G37" s="2">
        <f t="shared" si="2"/>
        <v>23</v>
      </c>
      <c r="H37" s="6">
        <f t="shared" si="3"/>
        <v>1</v>
      </c>
      <c r="I37" s="2" t="s">
        <v>3090</v>
      </c>
      <c r="J37" s="2" t="s">
        <v>3091</v>
      </c>
      <c r="K37" s="2" t="s">
        <v>3091</v>
      </c>
      <c r="L37" s="2" t="s">
        <v>3091</v>
      </c>
      <c r="M37" s="2" t="s">
        <v>3091</v>
      </c>
      <c r="N37" s="2" t="s">
        <v>3091</v>
      </c>
      <c r="O37" s="2" t="s">
        <v>3091</v>
      </c>
      <c r="P37" s="2" t="s">
        <v>3091</v>
      </c>
      <c r="Q37" s="2" t="s">
        <v>3090</v>
      </c>
      <c r="R37" s="2" t="s">
        <v>3090</v>
      </c>
      <c r="S37" s="2" t="s">
        <v>3090</v>
      </c>
      <c r="T37" s="2" t="s">
        <v>3091</v>
      </c>
      <c r="U37" s="2" t="s">
        <v>3090</v>
      </c>
      <c r="V37" s="2" t="s">
        <v>3090</v>
      </c>
      <c r="W37" s="2" t="s">
        <v>3091</v>
      </c>
      <c r="X37" s="2" t="s">
        <v>3091</v>
      </c>
      <c r="Y37" s="2" t="s">
        <v>3091</v>
      </c>
      <c r="Z37" s="2" t="s">
        <v>3090</v>
      </c>
      <c r="AA37" s="3" t="s">
        <v>3091</v>
      </c>
      <c r="AB37" s="3" t="s">
        <v>3091</v>
      </c>
      <c r="AC37" s="3" t="s">
        <v>3091</v>
      </c>
      <c r="AD37" s="3" t="s">
        <v>3090</v>
      </c>
      <c r="AE37" s="3" t="s">
        <v>3090</v>
      </c>
      <c r="AF37" s="3"/>
      <c r="AG37" s="3"/>
      <c r="AH37" s="3"/>
      <c r="AI37" s="3"/>
      <c r="AJ37" s="3"/>
      <c r="AK37" s="3"/>
    </row>
    <row r="38" spans="1:37" ht="15.75" customHeight="1">
      <c r="A38" s="2" t="s">
        <v>2711</v>
      </c>
      <c r="B38" s="2" t="s">
        <v>2671</v>
      </c>
      <c r="C38" s="3">
        <v>416</v>
      </c>
      <c r="D38" s="2" t="s">
        <v>505</v>
      </c>
      <c r="E38" s="2">
        <f t="shared" si="0"/>
        <v>11</v>
      </c>
      <c r="F38" s="2">
        <f t="shared" si="1"/>
        <v>12</v>
      </c>
      <c r="G38" s="2">
        <f t="shared" si="2"/>
        <v>23</v>
      </c>
      <c r="H38" s="6">
        <f t="shared" si="3"/>
        <v>1</v>
      </c>
      <c r="I38" s="2" t="s">
        <v>3091</v>
      </c>
      <c r="J38" s="2" t="s">
        <v>3091</v>
      </c>
      <c r="K38" s="2" t="s">
        <v>3091</v>
      </c>
      <c r="L38" s="2" t="s">
        <v>3091</v>
      </c>
      <c r="M38" s="2" t="s">
        <v>3091</v>
      </c>
      <c r="N38" s="2" t="s">
        <v>3090</v>
      </c>
      <c r="O38" s="2" t="s">
        <v>3091</v>
      </c>
      <c r="P38" s="2" t="s">
        <v>3091</v>
      </c>
      <c r="Q38" s="2" t="s">
        <v>3090</v>
      </c>
      <c r="R38" s="2" t="s">
        <v>3090</v>
      </c>
      <c r="S38" s="2" t="s">
        <v>3090</v>
      </c>
      <c r="T38" s="2" t="s">
        <v>3091</v>
      </c>
      <c r="U38" s="2" t="s">
        <v>3090</v>
      </c>
      <c r="V38" s="2" t="s">
        <v>3090</v>
      </c>
      <c r="W38" s="2" t="s">
        <v>3091</v>
      </c>
      <c r="X38" s="2" t="s">
        <v>3091</v>
      </c>
      <c r="Y38" s="2" t="s">
        <v>3090</v>
      </c>
      <c r="Z38" s="2" t="s">
        <v>3090</v>
      </c>
      <c r="AA38" s="3" t="s">
        <v>3091</v>
      </c>
      <c r="AB38" s="3" t="s">
        <v>3090</v>
      </c>
      <c r="AC38" s="3" t="s">
        <v>3090</v>
      </c>
      <c r="AD38" s="3" t="s">
        <v>3090</v>
      </c>
      <c r="AE38" s="3" t="s">
        <v>3091</v>
      </c>
      <c r="AF38" s="3"/>
      <c r="AG38" s="3"/>
      <c r="AH38" s="3"/>
      <c r="AI38" s="3"/>
      <c r="AJ38" s="3"/>
      <c r="AK38" s="3"/>
    </row>
    <row r="39" spans="1:37" ht="15.75" customHeight="1">
      <c r="A39" s="2" t="s">
        <v>2712</v>
      </c>
      <c r="B39" s="2" t="s">
        <v>2662</v>
      </c>
      <c r="C39" s="3">
        <v>346</v>
      </c>
      <c r="D39" s="2" t="s">
        <v>155</v>
      </c>
      <c r="E39" s="2">
        <f t="shared" si="0"/>
        <v>17</v>
      </c>
      <c r="F39" s="2">
        <f t="shared" si="1"/>
        <v>6</v>
      </c>
      <c r="G39" s="2">
        <f t="shared" si="2"/>
        <v>23</v>
      </c>
      <c r="H39" s="6">
        <f t="shared" si="3"/>
        <v>1</v>
      </c>
      <c r="I39" s="2" t="s">
        <v>3090</v>
      </c>
      <c r="J39" s="2" t="s">
        <v>3090</v>
      </c>
      <c r="K39" s="2" t="s">
        <v>3090</v>
      </c>
      <c r="L39" s="2" t="s">
        <v>3090</v>
      </c>
      <c r="M39" s="2" t="s">
        <v>3090</v>
      </c>
      <c r="N39" s="2" t="s">
        <v>3090</v>
      </c>
      <c r="O39" s="2" t="s">
        <v>3091</v>
      </c>
      <c r="P39" s="2" t="s">
        <v>3091</v>
      </c>
      <c r="Q39" s="2" t="s">
        <v>3090</v>
      </c>
      <c r="R39" s="2" t="s">
        <v>3090</v>
      </c>
      <c r="S39" s="2" t="s">
        <v>3090</v>
      </c>
      <c r="T39" s="2" t="s">
        <v>3091</v>
      </c>
      <c r="U39" s="2" t="s">
        <v>3090</v>
      </c>
      <c r="V39" s="2" t="s">
        <v>3090</v>
      </c>
      <c r="W39" s="2" t="s">
        <v>3091</v>
      </c>
      <c r="X39" s="2" t="s">
        <v>3091</v>
      </c>
      <c r="Y39" s="2" t="s">
        <v>3090</v>
      </c>
      <c r="Z39" s="2" t="s">
        <v>3090</v>
      </c>
      <c r="AA39" s="3" t="s">
        <v>3091</v>
      </c>
      <c r="AB39" s="3" t="s">
        <v>3090</v>
      </c>
      <c r="AC39" s="3" t="s">
        <v>3090</v>
      </c>
      <c r="AD39" s="3" t="s">
        <v>3090</v>
      </c>
      <c r="AE39" s="3" t="s">
        <v>3090</v>
      </c>
      <c r="AF39" s="3"/>
      <c r="AG39" s="3"/>
      <c r="AH39" s="3"/>
      <c r="AI39" s="3"/>
      <c r="AJ39" s="3"/>
      <c r="AK39" s="3"/>
    </row>
    <row r="40" spans="1:37" ht="15.75" customHeight="1">
      <c r="A40" s="2" t="s">
        <v>2713</v>
      </c>
      <c r="B40" s="2" t="s">
        <v>2682</v>
      </c>
      <c r="C40" s="3">
        <v>777</v>
      </c>
      <c r="D40" s="2" t="s">
        <v>747</v>
      </c>
      <c r="E40" s="2">
        <f t="shared" si="0"/>
        <v>17</v>
      </c>
      <c r="F40" s="2">
        <f t="shared" si="1"/>
        <v>4</v>
      </c>
      <c r="G40" s="2">
        <f t="shared" si="2"/>
        <v>21</v>
      </c>
      <c r="H40" s="6">
        <f t="shared" si="3"/>
        <v>0.91304347826086996</v>
      </c>
      <c r="I40" s="2" t="s">
        <v>3090</v>
      </c>
      <c r="J40" s="2" t="s">
        <v>3090</v>
      </c>
      <c r="K40" s="2" t="s">
        <v>3090</v>
      </c>
      <c r="L40" s="2" t="s">
        <v>3090</v>
      </c>
      <c r="M40" s="2" t="s">
        <v>3090</v>
      </c>
      <c r="N40" s="2" t="s">
        <v>3090</v>
      </c>
      <c r="O40" s="2" t="s">
        <v>3091</v>
      </c>
      <c r="P40" s="2" t="s">
        <v>3091</v>
      </c>
      <c r="Q40" s="2" t="s">
        <v>3090</v>
      </c>
      <c r="R40" s="2" t="s">
        <v>3090</v>
      </c>
      <c r="S40" s="2" t="s">
        <v>3090</v>
      </c>
      <c r="T40" s="2" t="s">
        <v>3091</v>
      </c>
      <c r="U40" s="2" t="s">
        <v>3090</v>
      </c>
      <c r="V40" s="2" t="s">
        <v>3090</v>
      </c>
      <c r="W40" s="2" t="s">
        <v>3091</v>
      </c>
      <c r="X40" s="2" t="s">
        <v>3092</v>
      </c>
      <c r="Y40" s="2" t="s">
        <v>3090</v>
      </c>
      <c r="Z40" s="2" t="s">
        <v>3090</v>
      </c>
      <c r="AA40" s="3" t="s">
        <v>3092</v>
      </c>
      <c r="AB40" s="3" t="s">
        <v>3090</v>
      </c>
      <c r="AC40" s="3" t="s">
        <v>3090</v>
      </c>
      <c r="AD40" s="3" t="s">
        <v>3090</v>
      </c>
      <c r="AE40" s="3" t="s">
        <v>3090</v>
      </c>
      <c r="AF40" s="3"/>
      <c r="AG40" s="3"/>
      <c r="AH40" s="3"/>
      <c r="AI40" s="3"/>
      <c r="AJ40" s="3"/>
      <c r="AK40" s="3"/>
    </row>
    <row r="41" spans="1:37" ht="15.75" customHeight="1">
      <c r="A41" s="2" t="s">
        <v>2714</v>
      </c>
      <c r="B41" s="2" t="s">
        <v>2715</v>
      </c>
      <c r="C41" s="3">
        <v>368</v>
      </c>
      <c r="D41" s="2" t="s">
        <v>546</v>
      </c>
      <c r="E41" s="2">
        <f t="shared" si="0"/>
        <v>13</v>
      </c>
      <c r="F41" s="2">
        <f t="shared" si="1"/>
        <v>10</v>
      </c>
      <c r="G41" s="2">
        <f t="shared" si="2"/>
        <v>23</v>
      </c>
      <c r="H41" s="6">
        <f t="shared" si="3"/>
        <v>1</v>
      </c>
      <c r="I41" s="2" t="s">
        <v>3090</v>
      </c>
      <c r="J41" s="2" t="s">
        <v>3090</v>
      </c>
      <c r="K41" s="2" t="s">
        <v>3090</v>
      </c>
      <c r="L41" s="2" t="s">
        <v>3090</v>
      </c>
      <c r="M41" s="2" t="s">
        <v>3090</v>
      </c>
      <c r="N41" s="2" t="s">
        <v>3090</v>
      </c>
      <c r="O41" s="2" t="s">
        <v>3091</v>
      </c>
      <c r="P41" s="2" t="s">
        <v>3091</v>
      </c>
      <c r="Q41" s="2" t="s">
        <v>3091</v>
      </c>
      <c r="R41" s="2" t="s">
        <v>3090</v>
      </c>
      <c r="S41" s="2" t="s">
        <v>3090</v>
      </c>
      <c r="T41" s="2" t="s">
        <v>3091</v>
      </c>
      <c r="U41" s="2" t="s">
        <v>3090</v>
      </c>
      <c r="V41" s="2" t="s">
        <v>3090</v>
      </c>
      <c r="W41" s="2" t="s">
        <v>3091</v>
      </c>
      <c r="X41" s="2" t="s">
        <v>3091</v>
      </c>
      <c r="Y41" s="2" t="s">
        <v>3091</v>
      </c>
      <c r="Z41" s="2" t="s">
        <v>3090</v>
      </c>
      <c r="AA41" s="3" t="s">
        <v>3091</v>
      </c>
      <c r="AB41" s="3" t="s">
        <v>3091</v>
      </c>
      <c r="AC41" s="3" t="s">
        <v>3091</v>
      </c>
      <c r="AD41" s="3" t="s">
        <v>3090</v>
      </c>
      <c r="AE41" s="3" t="s">
        <v>3090</v>
      </c>
      <c r="AF41" s="3"/>
      <c r="AG41" s="3"/>
      <c r="AH41" s="3"/>
      <c r="AI41" s="3"/>
      <c r="AJ41" s="3"/>
      <c r="AK41" s="3"/>
    </row>
    <row r="42" spans="1:37" ht="15.75" customHeight="1">
      <c r="A42" s="2" t="s">
        <v>2716</v>
      </c>
      <c r="B42" s="2" t="s">
        <v>2717</v>
      </c>
      <c r="C42" s="3">
        <v>738</v>
      </c>
      <c r="D42" s="2" t="s">
        <v>204</v>
      </c>
      <c r="E42" s="2">
        <f t="shared" si="0"/>
        <v>0</v>
      </c>
      <c r="F42" s="2">
        <f t="shared" si="1"/>
        <v>23</v>
      </c>
      <c r="G42" s="2">
        <f t="shared" si="2"/>
        <v>23</v>
      </c>
      <c r="H42" s="6">
        <f t="shared" si="3"/>
        <v>1</v>
      </c>
      <c r="I42" s="2" t="s">
        <v>3091</v>
      </c>
      <c r="J42" s="2" t="s">
        <v>3091</v>
      </c>
      <c r="K42" s="2" t="s">
        <v>3091</v>
      </c>
      <c r="L42" s="2" t="s">
        <v>3091</v>
      </c>
      <c r="M42" s="2" t="s">
        <v>3091</v>
      </c>
      <c r="N42" s="2" t="s">
        <v>3091</v>
      </c>
      <c r="O42" s="2" t="s">
        <v>3091</v>
      </c>
      <c r="P42" s="2" t="s">
        <v>3091</v>
      </c>
      <c r="Q42" s="2" t="s">
        <v>3091</v>
      </c>
      <c r="R42" s="2" t="s">
        <v>3091</v>
      </c>
      <c r="S42" s="2" t="s">
        <v>3091</v>
      </c>
      <c r="T42" s="2" t="s">
        <v>3091</v>
      </c>
      <c r="U42" s="2" t="s">
        <v>3091</v>
      </c>
      <c r="V42" s="2" t="s">
        <v>3091</v>
      </c>
      <c r="W42" s="2" t="s">
        <v>3091</v>
      </c>
      <c r="X42" s="2" t="s">
        <v>3091</v>
      </c>
      <c r="Y42" s="2" t="s">
        <v>3091</v>
      </c>
      <c r="Z42" s="2" t="s">
        <v>3091</v>
      </c>
      <c r="AA42" s="3" t="s">
        <v>3091</v>
      </c>
      <c r="AB42" s="3" t="s">
        <v>3091</v>
      </c>
      <c r="AC42" s="3" t="s">
        <v>3091</v>
      </c>
      <c r="AD42" s="3" t="s">
        <v>3091</v>
      </c>
      <c r="AE42" s="3" t="s">
        <v>3091</v>
      </c>
      <c r="AF42" s="3"/>
      <c r="AG42" s="3"/>
      <c r="AH42" s="3"/>
      <c r="AI42" s="3"/>
      <c r="AJ42" s="3"/>
      <c r="AK42" s="3"/>
    </row>
    <row r="43" spans="1:37" ht="15.75" customHeight="1">
      <c r="A43" s="2" t="s">
        <v>2717</v>
      </c>
      <c r="B43" s="2" t="s">
        <v>2718</v>
      </c>
      <c r="C43" s="3">
        <v>786</v>
      </c>
      <c r="D43" s="2" t="s">
        <v>270</v>
      </c>
      <c r="E43" s="2">
        <f t="shared" si="0"/>
        <v>1</v>
      </c>
      <c r="F43" s="2">
        <f t="shared" si="1"/>
        <v>22</v>
      </c>
      <c r="G43" s="2">
        <f t="shared" si="2"/>
        <v>23</v>
      </c>
      <c r="H43" s="6">
        <f t="shared" si="3"/>
        <v>1</v>
      </c>
      <c r="I43" s="2" t="s">
        <v>3091</v>
      </c>
      <c r="J43" s="2" t="s">
        <v>3091</v>
      </c>
      <c r="K43" s="2" t="s">
        <v>3091</v>
      </c>
      <c r="L43" s="2" t="s">
        <v>3091</v>
      </c>
      <c r="M43" s="2" t="s">
        <v>3091</v>
      </c>
      <c r="N43" s="2" t="s">
        <v>3091</v>
      </c>
      <c r="O43" s="2" t="s">
        <v>3091</v>
      </c>
      <c r="P43" s="2" t="s">
        <v>3091</v>
      </c>
      <c r="Q43" s="2" t="s">
        <v>3091</v>
      </c>
      <c r="R43" s="2" t="s">
        <v>3091</v>
      </c>
      <c r="S43" s="2" t="s">
        <v>3091</v>
      </c>
      <c r="T43" s="2" t="s">
        <v>3091</v>
      </c>
      <c r="U43" s="2" t="s">
        <v>3091</v>
      </c>
      <c r="V43" s="2" t="s">
        <v>3090</v>
      </c>
      <c r="W43" s="2" t="s">
        <v>3091</v>
      </c>
      <c r="X43" s="2" t="s">
        <v>3091</v>
      </c>
      <c r="Y43" s="2" t="s">
        <v>3091</v>
      </c>
      <c r="Z43" s="2" t="s">
        <v>3091</v>
      </c>
      <c r="AA43" s="3" t="s">
        <v>3091</v>
      </c>
      <c r="AB43" s="3" t="s">
        <v>3091</v>
      </c>
      <c r="AC43" s="3" t="s">
        <v>3091</v>
      </c>
      <c r="AD43" s="3" t="s">
        <v>3091</v>
      </c>
      <c r="AE43" s="3" t="s">
        <v>3091</v>
      </c>
      <c r="AF43" s="3"/>
      <c r="AG43" s="3"/>
      <c r="AH43" s="3"/>
      <c r="AI43" s="3"/>
      <c r="AJ43" s="3"/>
      <c r="AK43" s="3"/>
    </row>
    <row r="44" spans="1:37" ht="15.75" customHeight="1">
      <c r="A44" s="2" t="s">
        <v>2719</v>
      </c>
      <c r="B44" s="2" t="s">
        <v>2720</v>
      </c>
      <c r="C44" s="3">
        <v>764</v>
      </c>
      <c r="D44" s="2" t="s">
        <v>426</v>
      </c>
      <c r="E44" s="2">
        <f t="shared" si="0"/>
        <v>9</v>
      </c>
      <c r="F44" s="2">
        <f t="shared" si="1"/>
        <v>14</v>
      </c>
      <c r="G44" s="2">
        <f t="shared" si="2"/>
        <v>23</v>
      </c>
      <c r="H44" s="6">
        <f t="shared" si="3"/>
        <v>1</v>
      </c>
      <c r="I44" s="2" t="s">
        <v>3090</v>
      </c>
      <c r="J44" s="2" t="s">
        <v>3090</v>
      </c>
      <c r="K44" s="2" t="s">
        <v>3090</v>
      </c>
      <c r="L44" s="2" t="s">
        <v>3090</v>
      </c>
      <c r="M44" s="2" t="s">
        <v>3090</v>
      </c>
      <c r="N44" s="2" t="s">
        <v>3090</v>
      </c>
      <c r="O44" s="2" t="s">
        <v>3091</v>
      </c>
      <c r="P44" s="2" t="s">
        <v>3091</v>
      </c>
      <c r="Q44" s="2" t="s">
        <v>3090</v>
      </c>
      <c r="R44" s="2" t="s">
        <v>3090</v>
      </c>
      <c r="S44" s="2" t="s">
        <v>3090</v>
      </c>
      <c r="T44" s="2" t="s">
        <v>3091</v>
      </c>
      <c r="U44" s="2" t="s">
        <v>3091</v>
      </c>
      <c r="V44" s="2" t="s">
        <v>3091</v>
      </c>
      <c r="W44" s="2" t="s">
        <v>3091</v>
      </c>
      <c r="X44" s="2" t="s">
        <v>3091</v>
      </c>
      <c r="Y44" s="2" t="s">
        <v>3091</v>
      </c>
      <c r="Z44" s="2" t="s">
        <v>3091</v>
      </c>
      <c r="AA44" s="3" t="s">
        <v>3091</v>
      </c>
      <c r="AB44" s="3" t="s">
        <v>3091</v>
      </c>
      <c r="AC44" s="3" t="s">
        <v>3091</v>
      </c>
      <c r="AD44" s="3" t="s">
        <v>3091</v>
      </c>
      <c r="AE44" s="3" t="s">
        <v>3091</v>
      </c>
      <c r="AF44" s="3"/>
      <c r="AG44" s="3"/>
      <c r="AH44" s="3"/>
      <c r="AI44" s="3"/>
      <c r="AJ44" s="3"/>
      <c r="AK44" s="3"/>
    </row>
    <row r="45" spans="1:37" ht="15.75" customHeight="1">
      <c r="A45" s="2" t="s">
        <v>2721</v>
      </c>
      <c r="B45" s="2" t="s">
        <v>2722</v>
      </c>
      <c r="C45" s="3">
        <v>694</v>
      </c>
      <c r="D45" s="2" t="s">
        <v>785</v>
      </c>
      <c r="E45" s="2">
        <f t="shared" si="0"/>
        <v>4</v>
      </c>
      <c r="F45" s="2">
        <f t="shared" si="1"/>
        <v>0</v>
      </c>
      <c r="G45" s="2">
        <f t="shared" si="2"/>
        <v>4</v>
      </c>
      <c r="H45" s="6">
        <f t="shared" si="3"/>
        <v>0.173913043478261</v>
      </c>
      <c r="I45" s="2" t="s">
        <v>3092</v>
      </c>
      <c r="J45" s="2" t="s">
        <v>3090</v>
      </c>
      <c r="K45" s="2" t="s">
        <v>3090</v>
      </c>
      <c r="L45" s="2" t="s">
        <v>3092</v>
      </c>
      <c r="M45" s="2" t="s">
        <v>3090</v>
      </c>
      <c r="N45" s="2" t="s">
        <v>3090</v>
      </c>
      <c r="O45" s="2" t="s">
        <v>3092</v>
      </c>
      <c r="P45" s="2" t="s">
        <v>3092</v>
      </c>
      <c r="Q45" s="2" t="s">
        <v>3092</v>
      </c>
      <c r="R45" s="2" t="s">
        <v>3092</v>
      </c>
      <c r="S45" s="2" t="s">
        <v>3092</v>
      </c>
      <c r="T45" s="2" t="s">
        <v>3092</v>
      </c>
      <c r="U45" s="2" t="s">
        <v>3092</v>
      </c>
      <c r="V45" s="2" t="s">
        <v>3092</v>
      </c>
      <c r="W45" s="2" t="s">
        <v>3092</v>
      </c>
      <c r="X45" s="2" t="s">
        <v>3092</v>
      </c>
      <c r="Y45" s="2" t="s">
        <v>3092</v>
      </c>
      <c r="Z45" s="2" t="s">
        <v>3092</v>
      </c>
      <c r="AA45" s="3" t="s">
        <v>3092</v>
      </c>
      <c r="AB45" s="3" t="s">
        <v>3092</v>
      </c>
      <c r="AC45" s="3" t="s">
        <v>3092</v>
      </c>
      <c r="AD45" s="3" t="s">
        <v>3092</v>
      </c>
      <c r="AE45" s="3" t="s">
        <v>3092</v>
      </c>
      <c r="AF45" s="3"/>
      <c r="AG45" s="3"/>
      <c r="AH45" s="3"/>
      <c r="AI45" s="3"/>
      <c r="AJ45" s="3"/>
      <c r="AK45" s="3"/>
    </row>
    <row r="46" spans="1:37" ht="15.75" customHeight="1">
      <c r="A46" s="2" t="s">
        <v>2723</v>
      </c>
      <c r="B46" s="2" t="s">
        <v>2724</v>
      </c>
      <c r="C46" s="3">
        <v>663</v>
      </c>
      <c r="D46" s="2" t="s">
        <v>244</v>
      </c>
      <c r="E46" s="2">
        <f t="shared" si="0"/>
        <v>17</v>
      </c>
      <c r="F46" s="2">
        <f t="shared" si="1"/>
        <v>6</v>
      </c>
      <c r="G46" s="2">
        <f t="shared" si="2"/>
        <v>23</v>
      </c>
      <c r="H46" s="6">
        <f t="shared" si="3"/>
        <v>1</v>
      </c>
      <c r="I46" s="2" t="s">
        <v>3090</v>
      </c>
      <c r="J46" s="2" t="s">
        <v>3090</v>
      </c>
      <c r="K46" s="2" t="s">
        <v>3090</v>
      </c>
      <c r="L46" s="2" t="s">
        <v>3090</v>
      </c>
      <c r="M46" s="2" t="s">
        <v>3090</v>
      </c>
      <c r="N46" s="2" t="s">
        <v>3090</v>
      </c>
      <c r="O46" s="2" t="s">
        <v>3091</v>
      </c>
      <c r="P46" s="2" t="s">
        <v>3091</v>
      </c>
      <c r="Q46" s="2" t="s">
        <v>3090</v>
      </c>
      <c r="R46" s="2" t="s">
        <v>3090</v>
      </c>
      <c r="S46" s="2" t="s">
        <v>3090</v>
      </c>
      <c r="T46" s="2" t="s">
        <v>3091</v>
      </c>
      <c r="U46" s="2" t="s">
        <v>3090</v>
      </c>
      <c r="V46" s="2" t="s">
        <v>3090</v>
      </c>
      <c r="W46" s="2" t="s">
        <v>3091</v>
      </c>
      <c r="X46" s="2" t="s">
        <v>3091</v>
      </c>
      <c r="Y46" s="2" t="s">
        <v>3090</v>
      </c>
      <c r="Z46" s="2" t="s">
        <v>3090</v>
      </c>
      <c r="AA46" s="3" t="s">
        <v>3091</v>
      </c>
      <c r="AB46" s="3" t="s">
        <v>3090</v>
      </c>
      <c r="AC46" s="3" t="s">
        <v>3090</v>
      </c>
      <c r="AD46" s="3" t="s">
        <v>3090</v>
      </c>
      <c r="AE46" s="3" t="s">
        <v>3090</v>
      </c>
      <c r="AF46" s="3"/>
      <c r="AG46" s="3"/>
      <c r="AH46" s="3"/>
      <c r="AI46" s="3"/>
      <c r="AJ46" s="3"/>
      <c r="AK46" s="3"/>
    </row>
    <row r="47" spans="1:37" ht="15.75" customHeight="1">
      <c r="A47" s="2" t="s">
        <v>2725</v>
      </c>
      <c r="B47" s="2" t="s">
        <v>2726</v>
      </c>
      <c r="C47" s="3">
        <v>704</v>
      </c>
      <c r="D47" s="2" t="s">
        <v>548</v>
      </c>
      <c r="E47" s="2">
        <f t="shared" si="0"/>
        <v>1</v>
      </c>
      <c r="F47" s="2">
        <f t="shared" si="1"/>
        <v>22</v>
      </c>
      <c r="G47" s="2">
        <f t="shared" si="2"/>
        <v>23</v>
      </c>
      <c r="H47" s="6">
        <f t="shared" si="3"/>
        <v>1</v>
      </c>
      <c r="I47" s="2" t="s">
        <v>3090</v>
      </c>
      <c r="J47" s="2" t="s">
        <v>3091</v>
      </c>
      <c r="K47" s="2" t="s">
        <v>3091</v>
      </c>
      <c r="L47" s="2" t="s">
        <v>3091</v>
      </c>
      <c r="M47" s="2" t="s">
        <v>3091</v>
      </c>
      <c r="N47" s="2" t="s">
        <v>3091</v>
      </c>
      <c r="O47" s="2" t="s">
        <v>3091</v>
      </c>
      <c r="P47" s="2" t="s">
        <v>3091</v>
      </c>
      <c r="Q47" s="2" t="s">
        <v>3091</v>
      </c>
      <c r="R47" s="2" t="s">
        <v>3091</v>
      </c>
      <c r="S47" s="2" t="s">
        <v>3091</v>
      </c>
      <c r="T47" s="2" t="s">
        <v>3091</v>
      </c>
      <c r="U47" s="2" t="s">
        <v>3091</v>
      </c>
      <c r="V47" s="2" t="s">
        <v>3091</v>
      </c>
      <c r="W47" s="2" t="s">
        <v>3091</v>
      </c>
      <c r="X47" s="2" t="s">
        <v>3091</v>
      </c>
      <c r="Y47" s="2" t="s">
        <v>3091</v>
      </c>
      <c r="Z47" s="2" t="s">
        <v>3091</v>
      </c>
      <c r="AA47" s="3" t="s">
        <v>3091</v>
      </c>
      <c r="AB47" s="3" t="s">
        <v>3091</v>
      </c>
      <c r="AC47" s="3" t="s">
        <v>3091</v>
      </c>
      <c r="AD47" s="3" t="s">
        <v>3091</v>
      </c>
      <c r="AE47" s="3" t="s">
        <v>3091</v>
      </c>
      <c r="AF47" s="3"/>
      <c r="AG47" s="3"/>
      <c r="AH47" s="3"/>
      <c r="AI47" s="3"/>
      <c r="AJ47" s="3"/>
      <c r="AK47" s="3"/>
    </row>
    <row r="48" spans="1:37" ht="15.75" customHeight="1">
      <c r="A48" s="2" t="s">
        <v>833</v>
      </c>
      <c r="B48" s="2" t="s">
        <v>2727</v>
      </c>
      <c r="C48" s="3">
        <v>733</v>
      </c>
      <c r="D48" s="2" t="s">
        <v>791</v>
      </c>
      <c r="E48" s="2">
        <f t="shared" si="0"/>
        <v>15</v>
      </c>
      <c r="F48" s="2">
        <f t="shared" si="1"/>
        <v>8</v>
      </c>
      <c r="G48" s="2">
        <f t="shared" si="2"/>
        <v>23</v>
      </c>
      <c r="H48" s="6">
        <f t="shared" si="3"/>
        <v>1</v>
      </c>
      <c r="I48" s="2" t="s">
        <v>3090</v>
      </c>
      <c r="J48" s="2" t="s">
        <v>3090</v>
      </c>
      <c r="K48" s="2" t="s">
        <v>3090</v>
      </c>
      <c r="L48" s="2" t="s">
        <v>3090</v>
      </c>
      <c r="M48" s="2" t="s">
        <v>3090</v>
      </c>
      <c r="N48" s="2" t="s">
        <v>3090</v>
      </c>
      <c r="O48" s="2" t="s">
        <v>3091</v>
      </c>
      <c r="P48" s="2" t="s">
        <v>3091</v>
      </c>
      <c r="Q48" s="2" t="s">
        <v>3090</v>
      </c>
      <c r="R48" s="2" t="s">
        <v>3090</v>
      </c>
      <c r="S48" s="2" t="s">
        <v>3090</v>
      </c>
      <c r="T48" s="2" t="s">
        <v>3091</v>
      </c>
      <c r="U48" s="2" t="s">
        <v>3090</v>
      </c>
      <c r="V48" s="2" t="s">
        <v>3090</v>
      </c>
      <c r="W48" s="2" t="s">
        <v>3091</v>
      </c>
      <c r="X48" s="2" t="s">
        <v>3091</v>
      </c>
      <c r="Y48" s="2" t="s">
        <v>3090</v>
      </c>
      <c r="Z48" s="2" t="s">
        <v>3090</v>
      </c>
      <c r="AA48" s="3" t="s">
        <v>3091</v>
      </c>
      <c r="AB48" s="3" t="s">
        <v>3090</v>
      </c>
      <c r="AC48" s="3" t="s">
        <v>3091</v>
      </c>
      <c r="AD48" s="3" t="s">
        <v>3090</v>
      </c>
      <c r="AE48" s="3" t="s">
        <v>3091</v>
      </c>
      <c r="AF48" s="3"/>
      <c r="AG48" s="3"/>
      <c r="AH48" s="3"/>
      <c r="AI48" s="3"/>
      <c r="AJ48" s="3"/>
      <c r="AK48" s="3"/>
    </row>
    <row r="49" spans="1:37" ht="15.75" customHeight="1">
      <c r="A49" s="2" t="s">
        <v>2728</v>
      </c>
      <c r="B49" s="2" t="s">
        <v>2682</v>
      </c>
      <c r="C49" s="3">
        <v>656</v>
      </c>
      <c r="D49" s="2" t="s">
        <v>771</v>
      </c>
      <c r="E49" s="2">
        <f t="shared" si="0"/>
        <v>15</v>
      </c>
      <c r="F49" s="2">
        <f t="shared" si="1"/>
        <v>8</v>
      </c>
      <c r="G49" s="2">
        <f t="shared" si="2"/>
        <v>23</v>
      </c>
      <c r="H49" s="6">
        <f t="shared" si="3"/>
        <v>1</v>
      </c>
      <c r="I49" s="2" t="s">
        <v>3090</v>
      </c>
      <c r="J49" s="2" t="s">
        <v>3090</v>
      </c>
      <c r="K49" s="2" t="s">
        <v>3090</v>
      </c>
      <c r="L49" s="2" t="s">
        <v>3090</v>
      </c>
      <c r="M49" s="2" t="s">
        <v>3090</v>
      </c>
      <c r="N49" s="2" t="s">
        <v>3090</v>
      </c>
      <c r="O49" s="2" t="s">
        <v>3091</v>
      </c>
      <c r="P49" s="2" t="s">
        <v>3091</v>
      </c>
      <c r="Q49" s="2" t="s">
        <v>3090</v>
      </c>
      <c r="R49" s="2" t="s">
        <v>3090</v>
      </c>
      <c r="S49" s="2" t="s">
        <v>3090</v>
      </c>
      <c r="T49" s="2" t="s">
        <v>3091</v>
      </c>
      <c r="U49" s="2" t="s">
        <v>3090</v>
      </c>
      <c r="V49" s="2" t="s">
        <v>3090</v>
      </c>
      <c r="W49" s="2" t="s">
        <v>3091</v>
      </c>
      <c r="X49" s="2" t="s">
        <v>3091</v>
      </c>
      <c r="Y49" s="2" t="s">
        <v>3090</v>
      </c>
      <c r="Z49" s="2" t="s">
        <v>3090</v>
      </c>
      <c r="AA49" s="3" t="s">
        <v>3091</v>
      </c>
      <c r="AB49" s="3" t="s">
        <v>3090</v>
      </c>
      <c r="AC49" s="3" t="s">
        <v>3091</v>
      </c>
      <c r="AD49" s="3" t="s">
        <v>3091</v>
      </c>
      <c r="AE49" s="3" t="s">
        <v>3090</v>
      </c>
      <c r="AF49" s="3"/>
      <c r="AG49" s="3"/>
      <c r="AH49" s="3"/>
      <c r="AI49" s="3"/>
      <c r="AJ49" s="3"/>
      <c r="AK49" s="3"/>
    </row>
    <row r="50" spans="1:37" ht="15.75" customHeight="1">
      <c r="A50" s="2" t="s">
        <v>2729</v>
      </c>
      <c r="B50" s="2" t="s">
        <v>2730</v>
      </c>
      <c r="C50" s="3">
        <v>649</v>
      </c>
      <c r="D50" s="2" t="s">
        <v>670</v>
      </c>
      <c r="E50" s="2">
        <f t="shared" si="0"/>
        <v>17</v>
      </c>
      <c r="F50" s="2">
        <f t="shared" si="1"/>
        <v>0</v>
      </c>
      <c r="G50" s="2">
        <f t="shared" si="2"/>
        <v>17</v>
      </c>
      <c r="H50" s="6">
        <f t="shared" si="3"/>
        <v>0.73913043478260898</v>
      </c>
      <c r="I50" s="2" t="s">
        <v>3090</v>
      </c>
      <c r="J50" s="2" t="s">
        <v>3090</v>
      </c>
      <c r="K50" s="2" t="s">
        <v>3090</v>
      </c>
      <c r="L50" s="2" t="s">
        <v>3090</v>
      </c>
      <c r="M50" s="2" t="s">
        <v>3090</v>
      </c>
      <c r="N50" s="2" t="s">
        <v>3090</v>
      </c>
      <c r="O50" s="2" t="s">
        <v>3092</v>
      </c>
      <c r="P50" s="2" t="s">
        <v>3092</v>
      </c>
      <c r="Q50" s="2" t="s">
        <v>3090</v>
      </c>
      <c r="R50" s="2" t="s">
        <v>3090</v>
      </c>
      <c r="S50" s="2" t="s">
        <v>3090</v>
      </c>
      <c r="T50" s="2" t="s">
        <v>3092</v>
      </c>
      <c r="U50" s="2" t="s">
        <v>3090</v>
      </c>
      <c r="V50" s="2" t="s">
        <v>3090</v>
      </c>
      <c r="W50" s="2" t="s">
        <v>3092</v>
      </c>
      <c r="X50" s="2" t="s">
        <v>3092</v>
      </c>
      <c r="Y50" s="2" t="s">
        <v>3090</v>
      </c>
      <c r="Z50" s="2" t="s">
        <v>3090</v>
      </c>
      <c r="AA50" s="3" t="s">
        <v>3092</v>
      </c>
      <c r="AB50" s="3" t="s">
        <v>3090</v>
      </c>
      <c r="AC50" s="3" t="s">
        <v>3090</v>
      </c>
      <c r="AD50" s="3" t="s">
        <v>3090</v>
      </c>
      <c r="AE50" s="3" t="s">
        <v>3090</v>
      </c>
      <c r="AF50" s="3"/>
      <c r="AG50" s="3"/>
      <c r="AH50" s="3"/>
      <c r="AI50" s="3"/>
      <c r="AJ50" s="3"/>
      <c r="AK50" s="3"/>
    </row>
    <row r="51" spans="1:37" ht="15.75" customHeight="1">
      <c r="A51" s="2" t="s">
        <v>2731</v>
      </c>
      <c r="B51" s="2" t="s">
        <v>2732</v>
      </c>
      <c r="C51" s="3">
        <v>761</v>
      </c>
      <c r="D51" s="2" t="s">
        <v>508</v>
      </c>
      <c r="E51" s="2">
        <f t="shared" si="0"/>
        <v>14</v>
      </c>
      <c r="F51" s="2">
        <f t="shared" si="1"/>
        <v>9</v>
      </c>
      <c r="G51" s="2">
        <f t="shared" si="2"/>
        <v>23</v>
      </c>
      <c r="H51" s="6">
        <f t="shared" si="3"/>
        <v>1</v>
      </c>
      <c r="I51" s="2" t="s">
        <v>3091</v>
      </c>
      <c r="J51" s="2" t="s">
        <v>3090</v>
      </c>
      <c r="K51" s="2" t="s">
        <v>3090</v>
      </c>
      <c r="L51" s="2" t="s">
        <v>3090</v>
      </c>
      <c r="M51" s="2" t="s">
        <v>3090</v>
      </c>
      <c r="N51" s="2" t="s">
        <v>3090</v>
      </c>
      <c r="O51" s="2" t="s">
        <v>3091</v>
      </c>
      <c r="P51" s="2" t="s">
        <v>3091</v>
      </c>
      <c r="Q51" s="2" t="s">
        <v>3090</v>
      </c>
      <c r="R51" s="2" t="s">
        <v>3090</v>
      </c>
      <c r="S51" s="2" t="s">
        <v>3090</v>
      </c>
      <c r="T51" s="2" t="s">
        <v>3091</v>
      </c>
      <c r="U51" s="2" t="s">
        <v>3090</v>
      </c>
      <c r="V51" s="2" t="s">
        <v>3091</v>
      </c>
      <c r="W51" s="2" t="s">
        <v>3091</v>
      </c>
      <c r="X51" s="2" t="s">
        <v>3091</v>
      </c>
      <c r="Y51" s="2" t="s">
        <v>3090</v>
      </c>
      <c r="Z51" s="2" t="s">
        <v>3091</v>
      </c>
      <c r="AA51" s="3" t="s">
        <v>3091</v>
      </c>
      <c r="AB51" s="3" t="s">
        <v>3090</v>
      </c>
      <c r="AC51" s="3" t="s">
        <v>3090</v>
      </c>
      <c r="AD51" s="3" t="s">
        <v>3090</v>
      </c>
      <c r="AE51" s="3" t="s">
        <v>3090</v>
      </c>
      <c r="AF51" s="3"/>
      <c r="AG51" s="3"/>
      <c r="AH51" s="3"/>
      <c r="AI51" s="3"/>
      <c r="AJ51" s="3"/>
      <c r="AK51" s="3"/>
    </row>
    <row r="52" spans="1:37" ht="15.75" customHeight="1">
      <c r="A52" s="2" t="s">
        <v>2733</v>
      </c>
      <c r="B52" s="2" t="s">
        <v>2734</v>
      </c>
      <c r="C52" s="3">
        <v>774</v>
      </c>
      <c r="D52" s="2" t="s">
        <v>749</v>
      </c>
      <c r="E52" s="2">
        <f t="shared" si="0"/>
        <v>15</v>
      </c>
      <c r="F52" s="2">
        <f t="shared" si="1"/>
        <v>8</v>
      </c>
      <c r="G52" s="2">
        <f t="shared" si="2"/>
        <v>23</v>
      </c>
      <c r="H52" s="6">
        <f t="shared" si="3"/>
        <v>1</v>
      </c>
      <c r="I52" s="2" t="s">
        <v>3090</v>
      </c>
      <c r="J52" s="2" t="s">
        <v>3090</v>
      </c>
      <c r="K52" s="2" t="s">
        <v>3090</v>
      </c>
      <c r="L52" s="2" t="s">
        <v>3090</v>
      </c>
      <c r="M52" s="2" t="s">
        <v>3090</v>
      </c>
      <c r="N52" s="2" t="s">
        <v>3090</v>
      </c>
      <c r="O52" s="2" t="s">
        <v>3091</v>
      </c>
      <c r="P52" s="2" t="s">
        <v>3091</v>
      </c>
      <c r="Q52" s="2" t="s">
        <v>3090</v>
      </c>
      <c r="R52" s="2" t="s">
        <v>3090</v>
      </c>
      <c r="S52" s="2" t="s">
        <v>3090</v>
      </c>
      <c r="T52" s="2" t="s">
        <v>3091</v>
      </c>
      <c r="U52" s="2" t="s">
        <v>3090</v>
      </c>
      <c r="V52" s="2" t="s">
        <v>3090</v>
      </c>
      <c r="W52" s="2" t="s">
        <v>3091</v>
      </c>
      <c r="X52" s="2" t="s">
        <v>3091</v>
      </c>
      <c r="Y52" s="2" t="s">
        <v>3090</v>
      </c>
      <c r="Z52" s="2" t="s">
        <v>3091</v>
      </c>
      <c r="AA52" s="3" t="s">
        <v>3091</v>
      </c>
      <c r="AB52" s="3" t="s">
        <v>3090</v>
      </c>
      <c r="AC52" s="3" t="s">
        <v>3090</v>
      </c>
      <c r="AD52" s="3" t="s">
        <v>3091</v>
      </c>
      <c r="AE52" s="3" t="s">
        <v>3090</v>
      </c>
      <c r="AF52" s="3"/>
      <c r="AG52" s="3"/>
      <c r="AH52" s="3"/>
      <c r="AI52" s="3"/>
      <c r="AJ52" s="3"/>
      <c r="AK52" s="3"/>
    </row>
    <row r="53" spans="1:37" ht="15.75" customHeight="1">
      <c r="A53" s="2" t="s">
        <v>2735</v>
      </c>
      <c r="B53" s="2" t="s">
        <v>2701</v>
      </c>
      <c r="C53" s="3">
        <v>784</v>
      </c>
      <c r="D53" s="2" t="s">
        <v>6</v>
      </c>
      <c r="E53" s="2">
        <f t="shared" si="0"/>
        <v>7</v>
      </c>
      <c r="F53" s="2">
        <f t="shared" si="1"/>
        <v>11</v>
      </c>
      <c r="G53" s="2">
        <f t="shared" si="2"/>
        <v>18</v>
      </c>
      <c r="H53" s="6">
        <f t="shared" si="3"/>
        <v>0.78260869565217395</v>
      </c>
      <c r="I53" s="2" t="s">
        <v>3091</v>
      </c>
      <c r="J53" s="2" t="s">
        <v>3090</v>
      </c>
      <c r="K53" s="2" t="s">
        <v>3090</v>
      </c>
      <c r="L53" s="2" t="s">
        <v>3090</v>
      </c>
      <c r="M53" s="2" t="s">
        <v>3090</v>
      </c>
      <c r="N53" s="2" t="s">
        <v>3090</v>
      </c>
      <c r="O53" s="2" t="s">
        <v>3091</v>
      </c>
      <c r="P53" s="2" t="s">
        <v>3091</v>
      </c>
      <c r="Q53" s="2" t="s">
        <v>3090</v>
      </c>
      <c r="R53" s="2" t="s">
        <v>3090</v>
      </c>
      <c r="S53" s="2" t="s">
        <v>3091</v>
      </c>
      <c r="T53" s="2" t="s">
        <v>3091</v>
      </c>
      <c r="U53" s="2" t="s">
        <v>3091</v>
      </c>
      <c r="V53" s="2" t="s">
        <v>3091</v>
      </c>
      <c r="W53" s="2" t="s">
        <v>3091</v>
      </c>
      <c r="X53" s="2" t="s">
        <v>3091</v>
      </c>
      <c r="Y53" s="2" t="s">
        <v>3091</v>
      </c>
      <c r="Z53" s="2" t="s">
        <v>3091</v>
      </c>
      <c r="AA53" s="3" t="s">
        <v>3092</v>
      </c>
      <c r="AB53" s="3" t="s">
        <v>3092</v>
      </c>
      <c r="AC53" s="3" t="s">
        <v>3092</v>
      </c>
      <c r="AD53" s="3" t="s">
        <v>3092</v>
      </c>
      <c r="AE53" s="3" t="s">
        <v>3092</v>
      </c>
      <c r="AF53" s="3"/>
      <c r="AG53" s="3"/>
      <c r="AH53" s="3"/>
      <c r="AI53" s="3"/>
      <c r="AJ53" s="3"/>
      <c r="AK53" s="3"/>
    </row>
    <row r="54" spans="1:37" ht="15.75" customHeight="1">
      <c r="A54" s="2" t="s">
        <v>2736</v>
      </c>
      <c r="B54" s="2" t="s">
        <v>2708</v>
      </c>
      <c r="C54" s="3">
        <v>684</v>
      </c>
      <c r="D54" s="2" t="s">
        <v>710</v>
      </c>
      <c r="E54" s="2">
        <f t="shared" si="0"/>
        <v>3</v>
      </c>
      <c r="F54" s="2">
        <f t="shared" si="1"/>
        <v>5</v>
      </c>
      <c r="G54" s="2">
        <f t="shared" si="2"/>
        <v>8</v>
      </c>
      <c r="H54" s="6">
        <f t="shared" si="3"/>
        <v>0.34782608695652201</v>
      </c>
      <c r="I54" s="2" t="s">
        <v>3090</v>
      </c>
      <c r="J54" s="2" t="s">
        <v>3090</v>
      </c>
      <c r="K54" s="2" t="s">
        <v>3091</v>
      </c>
      <c r="L54" s="2" t="s">
        <v>3090</v>
      </c>
      <c r="M54" s="2" t="s">
        <v>3091</v>
      </c>
      <c r="N54" s="2" t="s">
        <v>3091</v>
      </c>
      <c r="O54" s="2" t="s">
        <v>3091</v>
      </c>
      <c r="P54" s="2" t="s">
        <v>3091</v>
      </c>
      <c r="Q54" s="2" t="s">
        <v>3092</v>
      </c>
      <c r="R54" s="2" t="s">
        <v>3092</v>
      </c>
      <c r="S54" s="2" t="s">
        <v>3092</v>
      </c>
      <c r="T54" s="2" t="s">
        <v>3092</v>
      </c>
      <c r="U54" s="2" t="s">
        <v>3092</v>
      </c>
      <c r="V54" s="2" t="s">
        <v>3092</v>
      </c>
      <c r="W54" s="2" t="s">
        <v>3092</v>
      </c>
      <c r="X54" s="2" t="s">
        <v>3092</v>
      </c>
      <c r="Y54" s="2" t="s">
        <v>3092</v>
      </c>
      <c r="Z54" s="2" t="s">
        <v>3092</v>
      </c>
      <c r="AA54" s="3" t="s">
        <v>3092</v>
      </c>
      <c r="AB54" s="3" t="s">
        <v>3092</v>
      </c>
      <c r="AC54" s="3" t="s">
        <v>3092</v>
      </c>
      <c r="AD54" s="3" t="s">
        <v>3092</v>
      </c>
      <c r="AE54" s="3" t="s">
        <v>3092</v>
      </c>
      <c r="AF54" s="3"/>
      <c r="AG54" s="3"/>
      <c r="AH54" s="3"/>
      <c r="AI54" s="3"/>
      <c r="AJ54" s="3"/>
      <c r="AK54" s="3"/>
    </row>
    <row r="55" spans="1:37" ht="15.75" customHeight="1">
      <c r="A55" s="2" t="s">
        <v>2737</v>
      </c>
      <c r="B55" s="2" t="s">
        <v>2674</v>
      </c>
      <c r="C55" s="3">
        <v>640</v>
      </c>
      <c r="D55" s="2" t="s">
        <v>246</v>
      </c>
      <c r="E55" s="2">
        <f t="shared" si="0"/>
        <v>3</v>
      </c>
      <c r="F55" s="2">
        <f t="shared" si="1"/>
        <v>15</v>
      </c>
      <c r="G55" s="2">
        <f t="shared" si="2"/>
        <v>18</v>
      </c>
      <c r="H55" s="6">
        <f t="shared" si="3"/>
        <v>0.78260869565217395</v>
      </c>
      <c r="I55" s="2" t="s">
        <v>3090</v>
      </c>
      <c r="J55" s="2" t="s">
        <v>3091</v>
      </c>
      <c r="K55" s="2" t="s">
        <v>3091</v>
      </c>
      <c r="L55" s="2" t="s">
        <v>3090</v>
      </c>
      <c r="M55" s="2" t="s">
        <v>3090</v>
      </c>
      <c r="N55" s="2" t="s">
        <v>3091</v>
      </c>
      <c r="O55" s="2" t="s">
        <v>3091</v>
      </c>
      <c r="P55" s="2" t="s">
        <v>3091</v>
      </c>
      <c r="Q55" s="2" t="s">
        <v>3091</v>
      </c>
      <c r="R55" s="2" t="s">
        <v>3091</v>
      </c>
      <c r="S55" s="2" t="s">
        <v>3091</v>
      </c>
      <c r="T55" s="2" t="s">
        <v>3091</v>
      </c>
      <c r="U55" s="2" t="s">
        <v>3091</v>
      </c>
      <c r="V55" s="2" t="s">
        <v>3091</v>
      </c>
      <c r="W55" s="2" t="s">
        <v>3091</v>
      </c>
      <c r="X55" s="2" t="s">
        <v>3091</v>
      </c>
      <c r="Y55" s="2" t="s">
        <v>3091</v>
      </c>
      <c r="Z55" s="2" t="s">
        <v>3091</v>
      </c>
      <c r="AA55" s="3" t="s">
        <v>3092</v>
      </c>
      <c r="AB55" s="3" t="s">
        <v>3092</v>
      </c>
      <c r="AC55" s="3" t="s">
        <v>3092</v>
      </c>
      <c r="AD55" s="3" t="s">
        <v>3092</v>
      </c>
      <c r="AE55" s="3" t="s">
        <v>3092</v>
      </c>
      <c r="AF55" s="3"/>
      <c r="AG55" s="3"/>
      <c r="AH55" s="3"/>
      <c r="AI55" s="3"/>
      <c r="AJ55" s="3"/>
      <c r="AK55" s="3"/>
    </row>
    <row r="56" spans="1:37" ht="15.75" customHeight="1">
      <c r="A56" s="2" t="s">
        <v>2738</v>
      </c>
      <c r="B56" s="2" t="s">
        <v>2687</v>
      </c>
      <c r="C56" s="3">
        <v>606</v>
      </c>
      <c r="D56" s="2" t="s">
        <v>609</v>
      </c>
      <c r="E56" s="2">
        <f t="shared" si="0"/>
        <v>10</v>
      </c>
      <c r="F56" s="2">
        <f t="shared" si="1"/>
        <v>12</v>
      </c>
      <c r="G56" s="2">
        <f t="shared" si="2"/>
        <v>22</v>
      </c>
      <c r="H56" s="6">
        <f t="shared" si="3"/>
        <v>0.95652173913043503</v>
      </c>
      <c r="I56" s="2" t="s">
        <v>3090</v>
      </c>
      <c r="J56" s="2" t="s">
        <v>3090</v>
      </c>
      <c r="K56" s="2" t="s">
        <v>3090</v>
      </c>
      <c r="L56" s="2" t="s">
        <v>3090</v>
      </c>
      <c r="M56" s="2" t="s">
        <v>3090</v>
      </c>
      <c r="N56" s="2" t="s">
        <v>3090</v>
      </c>
      <c r="O56" s="2" t="s">
        <v>3091</v>
      </c>
      <c r="P56" s="2" t="s">
        <v>3091</v>
      </c>
      <c r="Q56" s="2" t="s">
        <v>3090</v>
      </c>
      <c r="R56" s="2" t="s">
        <v>3090</v>
      </c>
      <c r="S56" s="2" t="s">
        <v>3091</v>
      </c>
      <c r="T56" s="2" t="s">
        <v>3091</v>
      </c>
      <c r="U56" s="2" t="s">
        <v>3090</v>
      </c>
      <c r="V56" s="2" t="s">
        <v>3090</v>
      </c>
      <c r="W56" s="2" t="s">
        <v>3091</v>
      </c>
      <c r="X56" s="2" t="s">
        <v>3091</v>
      </c>
      <c r="Y56" s="2" t="s">
        <v>3091</v>
      </c>
      <c r="Z56" s="2" t="s">
        <v>3091</v>
      </c>
      <c r="AA56" s="3" t="s">
        <v>3091</v>
      </c>
      <c r="AB56" s="3" t="s">
        <v>3091</v>
      </c>
      <c r="AC56" s="3" t="s">
        <v>3091</v>
      </c>
      <c r="AD56" s="3" t="s">
        <v>3091</v>
      </c>
      <c r="AE56" s="3" t="s">
        <v>3092</v>
      </c>
      <c r="AF56" s="3"/>
      <c r="AG56" s="3"/>
      <c r="AH56" s="3"/>
      <c r="AI56" s="3"/>
      <c r="AJ56" s="3"/>
      <c r="AK56" s="3"/>
    </row>
    <row r="57" spans="1:37" ht="15.75" customHeight="1">
      <c r="A57" s="2" t="s">
        <v>2739</v>
      </c>
      <c r="B57" s="2" t="s">
        <v>2740</v>
      </c>
      <c r="C57" s="3">
        <v>713</v>
      </c>
      <c r="D57" s="2" t="s">
        <v>752</v>
      </c>
      <c r="E57" s="2">
        <f t="shared" si="0"/>
        <v>5</v>
      </c>
      <c r="F57" s="2">
        <f t="shared" si="1"/>
        <v>3</v>
      </c>
      <c r="G57" s="2">
        <f t="shared" si="2"/>
        <v>8</v>
      </c>
      <c r="H57" s="6">
        <f t="shared" si="3"/>
        <v>0.34782608695652201</v>
      </c>
      <c r="I57" s="2" t="s">
        <v>3090</v>
      </c>
      <c r="J57" s="2" t="s">
        <v>3092</v>
      </c>
      <c r="K57" s="2" t="s">
        <v>3092</v>
      </c>
      <c r="L57" s="2" t="s">
        <v>3092</v>
      </c>
      <c r="M57" s="2" t="s">
        <v>3092</v>
      </c>
      <c r="N57" s="2" t="s">
        <v>3090</v>
      </c>
      <c r="O57" s="2" t="s">
        <v>3092</v>
      </c>
      <c r="P57" s="2" t="s">
        <v>3092</v>
      </c>
      <c r="Q57" s="2" t="s">
        <v>3090</v>
      </c>
      <c r="R57" s="2" t="s">
        <v>3090</v>
      </c>
      <c r="S57" s="2" t="s">
        <v>3090</v>
      </c>
      <c r="T57" s="2" t="s">
        <v>3092</v>
      </c>
      <c r="U57" s="2" t="s">
        <v>3091</v>
      </c>
      <c r="V57" s="2" t="s">
        <v>3091</v>
      </c>
      <c r="W57" s="2" t="s">
        <v>3092</v>
      </c>
      <c r="X57" s="2" t="s">
        <v>3092</v>
      </c>
      <c r="Y57" s="2" t="s">
        <v>3091</v>
      </c>
      <c r="Z57" s="2" t="s">
        <v>3092</v>
      </c>
      <c r="AA57" s="3" t="s">
        <v>3092</v>
      </c>
      <c r="AB57" s="3" t="s">
        <v>3092</v>
      </c>
      <c r="AC57" s="3" t="s">
        <v>3092</v>
      </c>
      <c r="AD57" s="3" t="s">
        <v>3092</v>
      </c>
      <c r="AE57" s="3" t="s">
        <v>3092</v>
      </c>
      <c r="AF57" s="3"/>
      <c r="AG57" s="3"/>
      <c r="AH57" s="3"/>
      <c r="AI57" s="3"/>
      <c r="AJ57" s="3"/>
      <c r="AK57" s="3"/>
    </row>
    <row r="58" spans="1:37" ht="15.75" customHeight="1">
      <c r="A58" s="2" t="s">
        <v>2741</v>
      </c>
      <c r="B58" s="2" t="s">
        <v>2674</v>
      </c>
      <c r="C58" s="3">
        <v>641</v>
      </c>
      <c r="D58" s="2" t="s">
        <v>350</v>
      </c>
      <c r="E58" s="2">
        <f t="shared" si="0"/>
        <v>5</v>
      </c>
      <c r="F58" s="2">
        <f t="shared" si="1"/>
        <v>11</v>
      </c>
      <c r="G58" s="2">
        <f t="shared" si="2"/>
        <v>16</v>
      </c>
      <c r="H58" s="6">
        <f t="shared" si="3"/>
        <v>0.69565217391304301</v>
      </c>
      <c r="I58" s="2" t="s">
        <v>3090</v>
      </c>
      <c r="J58" s="2" t="s">
        <v>3091</v>
      </c>
      <c r="K58" s="2" t="s">
        <v>3091</v>
      </c>
      <c r="L58" s="2" t="s">
        <v>3090</v>
      </c>
      <c r="M58" s="2" t="s">
        <v>3090</v>
      </c>
      <c r="N58" s="2" t="s">
        <v>3090</v>
      </c>
      <c r="O58" s="2" t="s">
        <v>3091</v>
      </c>
      <c r="P58" s="2" t="s">
        <v>3092</v>
      </c>
      <c r="Q58" s="2" t="s">
        <v>3091</v>
      </c>
      <c r="R58" s="2" t="s">
        <v>3091</v>
      </c>
      <c r="S58" s="2" t="s">
        <v>3090</v>
      </c>
      <c r="T58" s="2" t="s">
        <v>3092</v>
      </c>
      <c r="U58" s="2" t="s">
        <v>3091</v>
      </c>
      <c r="V58" s="2" t="s">
        <v>3091</v>
      </c>
      <c r="W58" s="2" t="s">
        <v>3092</v>
      </c>
      <c r="X58" s="2" t="s">
        <v>3092</v>
      </c>
      <c r="Y58" s="2" t="s">
        <v>3091</v>
      </c>
      <c r="Z58" s="2" t="s">
        <v>3091</v>
      </c>
      <c r="AA58" s="3" t="s">
        <v>3092</v>
      </c>
      <c r="AB58" s="3" t="s">
        <v>3091</v>
      </c>
      <c r="AC58" s="3" t="s">
        <v>3091</v>
      </c>
      <c r="AD58" s="3" t="s">
        <v>3092</v>
      </c>
      <c r="AE58" s="3" t="s">
        <v>3092</v>
      </c>
      <c r="AF58" s="3"/>
      <c r="AG58" s="3"/>
      <c r="AH58" s="3"/>
      <c r="AI58" s="3"/>
      <c r="AJ58" s="3"/>
      <c r="AK58" s="3"/>
    </row>
    <row r="59" spans="1:37" ht="15.75" customHeight="1">
      <c r="A59" s="2" t="s">
        <v>2742</v>
      </c>
      <c r="B59" s="2" t="s">
        <v>2669</v>
      </c>
      <c r="C59" s="3">
        <v>652</v>
      </c>
      <c r="D59" s="2" t="s">
        <v>754</v>
      </c>
      <c r="E59" s="2">
        <f t="shared" si="0"/>
        <v>16</v>
      </c>
      <c r="F59" s="2">
        <f t="shared" si="1"/>
        <v>7</v>
      </c>
      <c r="G59" s="2">
        <f t="shared" si="2"/>
        <v>23</v>
      </c>
      <c r="H59" s="6">
        <f t="shared" si="3"/>
        <v>1</v>
      </c>
      <c r="I59" s="2" t="s">
        <v>3090</v>
      </c>
      <c r="J59" s="2" t="s">
        <v>3090</v>
      </c>
      <c r="K59" s="2" t="s">
        <v>3091</v>
      </c>
      <c r="L59" s="2" t="s">
        <v>3090</v>
      </c>
      <c r="M59" s="2" t="s">
        <v>3090</v>
      </c>
      <c r="N59" s="2" t="s">
        <v>3090</v>
      </c>
      <c r="O59" s="2" t="s">
        <v>3091</v>
      </c>
      <c r="P59" s="2" t="s">
        <v>3091</v>
      </c>
      <c r="Q59" s="2" t="s">
        <v>3090</v>
      </c>
      <c r="R59" s="2" t="s">
        <v>3090</v>
      </c>
      <c r="S59" s="2" t="s">
        <v>3090</v>
      </c>
      <c r="T59" s="2" t="s">
        <v>3091</v>
      </c>
      <c r="U59" s="2" t="s">
        <v>3090</v>
      </c>
      <c r="V59" s="2" t="s">
        <v>3090</v>
      </c>
      <c r="W59" s="2" t="s">
        <v>3091</v>
      </c>
      <c r="X59" s="2" t="s">
        <v>3091</v>
      </c>
      <c r="Y59" s="2" t="s">
        <v>3090</v>
      </c>
      <c r="Z59" s="2" t="s">
        <v>3090</v>
      </c>
      <c r="AA59" s="3" t="s">
        <v>3091</v>
      </c>
      <c r="AB59" s="3" t="s">
        <v>3090</v>
      </c>
      <c r="AC59" s="3" t="s">
        <v>3090</v>
      </c>
      <c r="AD59" s="3" t="s">
        <v>3090</v>
      </c>
      <c r="AE59" s="3" t="s">
        <v>3090</v>
      </c>
      <c r="AF59" s="3"/>
      <c r="AG59" s="3"/>
      <c r="AH59" s="3"/>
      <c r="AI59" s="3"/>
      <c r="AJ59" s="3"/>
      <c r="AK59" s="3"/>
    </row>
    <row r="60" spans="1:37" ht="15.75" customHeight="1">
      <c r="A60" s="2" t="s">
        <v>2743</v>
      </c>
      <c r="B60" s="2" t="s">
        <v>2744</v>
      </c>
      <c r="C60" s="3">
        <v>264</v>
      </c>
      <c r="D60" s="2" t="s">
        <v>428</v>
      </c>
      <c r="E60" s="2">
        <f t="shared" si="0"/>
        <v>6</v>
      </c>
      <c r="F60" s="2">
        <f t="shared" si="1"/>
        <v>17</v>
      </c>
      <c r="G60" s="2">
        <f t="shared" si="2"/>
        <v>23</v>
      </c>
      <c r="H60" s="6">
        <f t="shared" si="3"/>
        <v>1</v>
      </c>
      <c r="I60" s="2" t="s">
        <v>3090</v>
      </c>
      <c r="J60" s="2" t="s">
        <v>3091</v>
      </c>
      <c r="K60" s="2" t="s">
        <v>3091</v>
      </c>
      <c r="L60" s="2" t="s">
        <v>3091</v>
      </c>
      <c r="M60" s="2" t="s">
        <v>3090</v>
      </c>
      <c r="N60" s="2" t="s">
        <v>3090</v>
      </c>
      <c r="O60" s="2" t="s">
        <v>3091</v>
      </c>
      <c r="P60" s="2" t="s">
        <v>3091</v>
      </c>
      <c r="Q60" s="2" t="s">
        <v>3091</v>
      </c>
      <c r="R60" s="2" t="s">
        <v>3091</v>
      </c>
      <c r="S60" s="2" t="s">
        <v>3091</v>
      </c>
      <c r="T60" s="2" t="s">
        <v>3091</v>
      </c>
      <c r="U60" s="2" t="s">
        <v>3090</v>
      </c>
      <c r="V60" s="2" t="s">
        <v>3090</v>
      </c>
      <c r="W60" s="2" t="s">
        <v>3091</v>
      </c>
      <c r="X60" s="2" t="s">
        <v>3091</v>
      </c>
      <c r="Y60" s="2" t="s">
        <v>3091</v>
      </c>
      <c r="Z60" s="2" t="s">
        <v>3091</v>
      </c>
      <c r="AA60" s="3" t="s">
        <v>3091</v>
      </c>
      <c r="AB60" s="3" t="s">
        <v>3091</v>
      </c>
      <c r="AC60" s="3" t="s">
        <v>3091</v>
      </c>
      <c r="AD60" s="3" t="s">
        <v>3091</v>
      </c>
      <c r="AE60" s="3" t="s">
        <v>3090</v>
      </c>
      <c r="AF60" s="3"/>
      <c r="AG60" s="3"/>
      <c r="AH60" s="3"/>
      <c r="AI60" s="3"/>
      <c r="AJ60" s="3"/>
      <c r="AK60" s="3"/>
    </row>
    <row r="61" spans="1:37" ht="15.75" customHeight="1">
      <c r="A61" s="2" t="s">
        <v>2745</v>
      </c>
      <c r="B61" s="2" t="s">
        <v>2746</v>
      </c>
      <c r="C61" s="3">
        <v>232</v>
      </c>
      <c r="D61" s="2" t="s">
        <v>35</v>
      </c>
      <c r="E61" s="2">
        <f t="shared" si="0"/>
        <v>0</v>
      </c>
      <c r="F61" s="2">
        <f t="shared" si="1"/>
        <v>12</v>
      </c>
      <c r="G61" s="2">
        <f t="shared" si="2"/>
        <v>12</v>
      </c>
      <c r="H61" s="6">
        <f t="shared" si="3"/>
        <v>0.52173913043478304</v>
      </c>
      <c r="I61" s="2" t="s">
        <v>3091</v>
      </c>
      <c r="J61" s="2" t="s">
        <v>3091</v>
      </c>
      <c r="K61" s="2" t="s">
        <v>3091</v>
      </c>
      <c r="L61" s="2" t="s">
        <v>3091</v>
      </c>
      <c r="M61" s="2" t="s">
        <v>3091</v>
      </c>
      <c r="N61" s="2" t="s">
        <v>3091</v>
      </c>
      <c r="O61" s="2" t="s">
        <v>3092</v>
      </c>
      <c r="P61" s="2" t="s">
        <v>3092</v>
      </c>
      <c r="Q61" s="2" t="s">
        <v>3091</v>
      </c>
      <c r="R61" s="2" t="s">
        <v>3091</v>
      </c>
      <c r="S61" s="2" t="s">
        <v>3091</v>
      </c>
      <c r="T61" s="2" t="s">
        <v>3091</v>
      </c>
      <c r="U61" s="2" t="s">
        <v>3091</v>
      </c>
      <c r="V61" s="2" t="s">
        <v>3091</v>
      </c>
      <c r="W61" s="2" t="s">
        <v>3092</v>
      </c>
      <c r="X61" s="2" t="s">
        <v>3092</v>
      </c>
      <c r="Y61" s="2" t="s">
        <v>3092</v>
      </c>
      <c r="Z61" s="2" t="s">
        <v>3092</v>
      </c>
      <c r="AA61" s="3" t="s">
        <v>3092</v>
      </c>
      <c r="AB61" s="3" t="s">
        <v>3092</v>
      </c>
      <c r="AC61" s="3" t="s">
        <v>3092</v>
      </c>
      <c r="AD61" s="3" t="s">
        <v>3092</v>
      </c>
      <c r="AE61" s="3" t="s">
        <v>3092</v>
      </c>
      <c r="AF61" s="3"/>
      <c r="AG61" s="3"/>
      <c r="AH61" s="3"/>
      <c r="AI61" s="3"/>
      <c r="AJ61" s="3"/>
      <c r="AK61" s="3"/>
    </row>
    <row r="62" spans="1:37" ht="15.75" customHeight="1">
      <c r="A62" s="2" t="s">
        <v>2747</v>
      </c>
      <c r="B62" s="2" t="s">
        <v>2748</v>
      </c>
      <c r="C62" s="3">
        <v>389</v>
      </c>
      <c r="D62" s="2" t="s">
        <v>672</v>
      </c>
      <c r="E62" s="2">
        <f t="shared" si="0"/>
        <v>12</v>
      </c>
      <c r="F62" s="2">
        <f t="shared" si="1"/>
        <v>11</v>
      </c>
      <c r="G62" s="2">
        <f t="shared" si="2"/>
        <v>23</v>
      </c>
      <c r="H62" s="6">
        <f t="shared" si="3"/>
        <v>1</v>
      </c>
      <c r="I62" s="2" t="s">
        <v>3090</v>
      </c>
      <c r="J62" s="2" t="s">
        <v>3090</v>
      </c>
      <c r="K62" s="2" t="s">
        <v>3090</v>
      </c>
      <c r="L62" s="2" t="s">
        <v>3091</v>
      </c>
      <c r="M62" s="2" t="s">
        <v>3091</v>
      </c>
      <c r="N62" s="2" t="s">
        <v>3090</v>
      </c>
      <c r="O62" s="2" t="s">
        <v>3091</v>
      </c>
      <c r="P62" s="2" t="s">
        <v>3091</v>
      </c>
      <c r="Q62" s="2" t="s">
        <v>3090</v>
      </c>
      <c r="R62" s="2" t="s">
        <v>3090</v>
      </c>
      <c r="S62" s="2" t="s">
        <v>3090</v>
      </c>
      <c r="T62" s="2" t="s">
        <v>3091</v>
      </c>
      <c r="U62" s="2" t="s">
        <v>3090</v>
      </c>
      <c r="V62" s="2" t="s">
        <v>3090</v>
      </c>
      <c r="W62" s="2" t="s">
        <v>3091</v>
      </c>
      <c r="X62" s="2" t="s">
        <v>3091</v>
      </c>
      <c r="Y62" s="2" t="s">
        <v>3090</v>
      </c>
      <c r="Z62" s="2" t="s">
        <v>3090</v>
      </c>
      <c r="AA62" s="3" t="s">
        <v>3091</v>
      </c>
      <c r="AB62" s="3" t="s">
        <v>3090</v>
      </c>
      <c r="AC62" s="3" t="s">
        <v>3091</v>
      </c>
      <c r="AD62" s="3" t="s">
        <v>3091</v>
      </c>
      <c r="AE62" s="3" t="s">
        <v>3091</v>
      </c>
      <c r="AF62" s="3"/>
      <c r="AG62" s="3"/>
      <c r="AH62" s="3"/>
      <c r="AI62" s="3"/>
      <c r="AJ62" s="3"/>
      <c r="AK62" s="3"/>
    </row>
    <row r="63" spans="1:37" ht="15.75" customHeight="1">
      <c r="A63" s="2" t="s">
        <v>2749</v>
      </c>
      <c r="B63" s="2" t="s">
        <v>2662</v>
      </c>
      <c r="C63" s="3">
        <v>378</v>
      </c>
      <c r="D63" s="2" t="s">
        <v>589</v>
      </c>
      <c r="E63" s="2">
        <f t="shared" si="0"/>
        <v>11</v>
      </c>
      <c r="F63" s="2">
        <f t="shared" si="1"/>
        <v>10</v>
      </c>
      <c r="G63" s="2">
        <f t="shared" si="2"/>
        <v>21</v>
      </c>
      <c r="H63" s="6">
        <f t="shared" si="3"/>
        <v>0.91304347826086996</v>
      </c>
      <c r="I63" s="2" t="s">
        <v>3091</v>
      </c>
      <c r="J63" s="2" t="s">
        <v>3090</v>
      </c>
      <c r="K63" s="2" t="s">
        <v>3090</v>
      </c>
      <c r="L63" s="2" t="s">
        <v>3090</v>
      </c>
      <c r="M63" s="2" t="s">
        <v>3090</v>
      </c>
      <c r="N63" s="2" t="s">
        <v>3090</v>
      </c>
      <c r="O63" s="2" t="s">
        <v>3091</v>
      </c>
      <c r="P63" s="2" t="s">
        <v>3091</v>
      </c>
      <c r="Q63" s="2" t="s">
        <v>3090</v>
      </c>
      <c r="R63" s="2" t="s">
        <v>3090</v>
      </c>
      <c r="S63" s="2" t="s">
        <v>3090</v>
      </c>
      <c r="T63" s="2" t="s">
        <v>3092</v>
      </c>
      <c r="U63" s="2" t="s">
        <v>3090</v>
      </c>
      <c r="V63" s="2" t="s">
        <v>3090</v>
      </c>
      <c r="W63" s="2" t="s">
        <v>3092</v>
      </c>
      <c r="X63" s="2" t="s">
        <v>3091</v>
      </c>
      <c r="Y63" s="2" t="s">
        <v>3091</v>
      </c>
      <c r="Z63" s="2" t="s">
        <v>3090</v>
      </c>
      <c r="AA63" s="3" t="s">
        <v>3091</v>
      </c>
      <c r="AB63" s="3" t="s">
        <v>3091</v>
      </c>
      <c r="AC63" s="3" t="s">
        <v>3091</v>
      </c>
      <c r="AD63" s="3" t="s">
        <v>3091</v>
      </c>
      <c r="AE63" s="3" t="s">
        <v>3091</v>
      </c>
      <c r="AF63" s="3"/>
      <c r="AG63" s="3"/>
      <c r="AH63" s="3"/>
      <c r="AI63" s="3"/>
      <c r="AJ63" s="3"/>
      <c r="AK63" s="3"/>
    </row>
    <row r="64" spans="1:37" ht="15.75" customHeight="1">
      <c r="A64" s="2" t="s">
        <v>2750</v>
      </c>
      <c r="B64" s="2" t="s">
        <v>2674</v>
      </c>
      <c r="C64" s="3">
        <v>736</v>
      </c>
      <c r="D64" s="2" t="s">
        <v>248</v>
      </c>
      <c r="E64" s="2">
        <f t="shared" si="0"/>
        <v>0</v>
      </c>
      <c r="F64" s="2">
        <f t="shared" si="1"/>
        <v>15</v>
      </c>
      <c r="G64" s="2">
        <f t="shared" si="2"/>
        <v>15</v>
      </c>
      <c r="H64" s="6">
        <f t="shared" si="3"/>
        <v>0.65217391304347805</v>
      </c>
      <c r="I64" s="2" t="s">
        <v>3091</v>
      </c>
      <c r="J64" s="2" t="s">
        <v>3091</v>
      </c>
      <c r="K64" s="2" t="s">
        <v>3091</v>
      </c>
      <c r="L64" s="2" t="s">
        <v>3091</v>
      </c>
      <c r="M64" s="2" t="s">
        <v>3091</v>
      </c>
      <c r="N64" s="2" t="s">
        <v>3091</v>
      </c>
      <c r="O64" s="2" t="s">
        <v>3091</v>
      </c>
      <c r="P64" s="2" t="s">
        <v>3091</v>
      </c>
      <c r="Q64" s="2" t="s">
        <v>3091</v>
      </c>
      <c r="R64" s="2" t="s">
        <v>3091</v>
      </c>
      <c r="S64" s="2" t="s">
        <v>3091</v>
      </c>
      <c r="T64" s="2" t="s">
        <v>3091</v>
      </c>
      <c r="U64" s="2" t="s">
        <v>3091</v>
      </c>
      <c r="V64" s="2" t="s">
        <v>3091</v>
      </c>
      <c r="W64" s="2" t="s">
        <v>3091</v>
      </c>
      <c r="X64" s="2" t="s">
        <v>3092</v>
      </c>
      <c r="Y64" s="2" t="s">
        <v>3092</v>
      </c>
      <c r="Z64" s="2" t="s">
        <v>3092</v>
      </c>
      <c r="AA64" s="3" t="s">
        <v>3092</v>
      </c>
      <c r="AB64" s="3" t="s">
        <v>3092</v>
      </c>
      <c r="AC64" s="3" t="s">
        <v>3092</v>
      </c>
      <c r="AD64" s="3" t="s">
        <v>3092</v>
      </c>
      <c r="AE64" s="3" t="s">
        <v>3092</v>
      </c>
      <c r="AF64" s="3"/>
      <c r="AG64" s="3"/>
      <c r="AH64" s="3"/>
      <c r="AI64" s="3"/>
      <c r="AJ64" s="3"/>
      <c r="AK64" s="3"/>
    </row>
    <row r="65" spans="1:37" ht="15.75" customHeight="1">
      <c r="A65" s="2" t="s">
        <v>2751</v>
      </c>
      <c r="B65" s="2" t="s">
        <v>2671</v>
      </c>
      <c r="C65" s="3">
        <v>594</v>
      </c>
      <c r="D65" s="2" t="s">
        <v>105</v>
      </c>
      <c r="E65" s="2">
        <f t="shared" si="0"/>
        <v>3</v>
      </c>
      <c r="F65" s="2">
        <f t="shared" si="1"/>
        <v>3</v>
      </c>
      <c r="G65" s="2">
        <f t="shared" si="2"/>
        <v>6</v>
      </c>
      <c r="H65" s="6">
        <f t="shared" si="3"/>
        <v>0.26086956521739102</v>
      </c>
      <c r="I65" s="2" t="s">
        <v>3090</v>
      </c>
      <c r="J65" s="2" t="s">
        <v>3091</v>
      </c>
      <c r="K65" s="2" t="s">
        <v>3091</v>
      </c>
      <c r="L65" s="2" t="s">
        <v>3091</v>
      </c>
      <c r="M65" s="2" t="s">
        <v>3090</v>
      </c>
      <c r="N65" s="2" t="s">
        <v>3090</v>
      </c>
      <c r="O65" s="2" t="s">
        <v>3092</v>
      </c>
      <c r="P65" s="2" t="s">
        <v>3092</v>
      </c>
      <c r="Q65" s="2" t="s">
        <v>3092</v>
      </c>
      <c r="R65" s="2" t="s">
        <v>3092</v>
      </c>
      <c r="S65" s="2" t="s">
        <v>3092</v>
      </c>
      <c r="T65" s="2" t="s">
        <v>3092</v>
      </c>
      <c r="U65" s="2" t="s">
        <v>3092</v>
      </c>
      <c r="V65" s="2" t="s">
        <v>3092</v>
      </c>
      <c r="W65" s="2" t="s">
        <v>3092</v>
      </c>
      <c r="X65" s="2" t="s">
        <v>3092</v>
      </c>
      <c r="Y65" s="2" t="s">
        <v>3092</v>
      </c>
      <c r="Z65" s="2" t="s">
        <v>3092</v>
      </c>
      <c r="AA65" s="3" t="s">
        <v>3092</v>
      </c>
      <c r="AB65" s="3" t="s">
        <v>3092</v>
      </c>
      <c r="AC65" s="3" t="s">
        <v>3092</v>
      </c>
      <c r="AD65" s="3" t="s">
        <v>3092</v>
      </c>
      <c r="AE65" s="3" t="s">
        <v>3092</v>
      </c>
      <c r="AF65" s="3"/>
      <c r="AG65" s="3"/>
      <c r="AH65" s="3"/>
      <c r="AI65" s="3"/>
      <c r="AJ65" s="3"/>
      <c r="AK65" s="3"/>
    </row>
    <row r="66" spans="1:37" ht="15.75" customHeight="1">
      <c r="A66" s="2" t="s">
        <v>2752</v>
      </c>
      <c r="B66" s="2" t="s">
        <v>2682</v>
      </c>
      <c r="C66" s="3">
        <v>727</v>
      </c>
      <c r="D66" s="2" t="s">
        <v>207</v>
      </c>
      <c r="E66" s="2">
        <f t="shared" ref="E66:E129" si="4">COUNTIF(I66:AK66,"L (1/1)")</f>
        <v>17</v>
      </c>
      <c r="F66" s="2">
        <f t="shared" ref="F66:F129" si="5">COUNTIF(I66:AK66,"R (1/1)")</f>
        <v>6</v>
      </c>
      <c r="G66" s="2">
        <f t="shared" ref="G66:G129" si="6">E66+F66</f>
        <v>23</v>
      </c>
      <c r="H66" s="6">
        <f t="shared" ref="H66:H129" si="7">G66/23</f>
        <v>1</v>
      </c>
      <c r="I66" s="2" t="s">
        <v>3090</v>
      </c>
      <c r="J66" s="2" t="s">
        <v>3090</v>
      </c>
      <c r="K66" s="2" t="s">
        <v>3090</v>
      </c>
      <c r="L66" s="2" t="s">
        <v>3090</v>
      </c>
      <c r="M66" s="2" t="s">
        <v>3090</v>
      </c>
      <c r="N66" s="2" t="s">
        <v>3090</v>
      </c>
      <c r="O66" s="2" t="s">
        <v>3091</v>
      </c>
      <c r="P66" s="2" t="s">
        <v>3091</v>
      </c>
      <c r="Q66" s="2" t="s">
        <v>3090</v>
      </c>
      <c r="R66" s="2" t="s">
        <v>3090</v>
      </c>
      <c r="S66" s="2" t="s">
        <v>3090</v>
      </c>
      <c r="T66" s="2" t="s">
        <v>3091</v>
      </c>
      <c r="U66" s="2" t="s">
        <v>3090</v>
      </c>
      <c r="V66" s="2" t="s">
        <v>3090</v>
      </c>
      <c r="W66" s="2" t="s">
        <v>3091</v>
      </c>
      <c r="X66" s="2" t="s">
        <v>3091</v>
      </c>
      <c r="Y66" s="2" t="s">
        <v>3090</v>
      </c>
      <c r="Z66" s="2" t="s">
        <v>3090</v>
      </c>
      <c r="AA66" s="3" t="s">
        <v>3091</v>
      </c>
      <c r="AB66" s="3" t="s">
        <v>3090</v>
      </c>
      <c r="AC66" s="3" t="s">
        <v>3090</v>
      </c>
      <c r="AD66" s="3" t="s">
        <v>3090</v>
      </c>
      <c r="AE66" s="3" t="s">
        <v>3090</v>
      </c>
      <c r="AF66" s="3"/>
      <c r="AG66" s="3"/>
      <c r="AH66" s="3"/>
      <c r="AI66" s="3"/>
      <c r="AJ66" s="3"/>
      <c r="AK66" s="3"/>
    </row>
    <row r="67" spans="1:37" ht="15.75" customHeight="1">
      <c r="A67" s="2" t="s">
        <v>2753</v>
      </c>
      <c r="B67" s="2" t="s">
        <v>2693</v>
      </c>
      <c r="C67" s="3">
        <v>412</v>
      </c>
      <c r="D67" s="2" t="s">
        <v>209</v>
      </c>
      <c r="E67" s="2">
        <f t="shared" si="4"/>
        <v>16</v>
      </c>
      <c r="F67" s="2">
        <f t="shared" si="5"/>
        <v>7</v>
      </c>
      <c r="G67" s="2">
        <f t="shared" si="6"/>
        <v>23</v>
      </c>
      <c r="H67" s="6">
        <f t="shared" si="7"/>
        <v>1</v>
      </c>
      <c r="I67" s="2" t="s">
        <v>3091</v>
      </c>
      <c r="J67" s="2" t="s">
        <v>3090</v>
      </c>
      <c r="K67" s="2" t="s">
        <v>3090</v>
      </c>
      <c r="L67" s="2" t="s">
        <v>3090</v>
      </c>
      <c r="M67" s="2" t="s">
        <v>3090</v>
      </c>
      <c r="N67" s="2" t="s">
        <v>3090</v>
      </c>
      <c r="O67" s="2" t="s">
        <v>3091</v>
      </c>
      <c r="P67" s="2" t="s">
        <v>3091</v>
      </c>
      <c r="Q67" s="2" t="s">
        <v>3090</v>
      </c>
      <c r="R67" s="2" t="s">
        <v>3090</v>
      </c>
      <c r="S67" s="2" t="s">
        <v>3090</v>
      </c>
      <c r="T67" s="2" t="s">
        <v>3091</v>
      </c>
      <c r="U67" s="2" t="s">
        <v>3090</v>
      </c>
      <c r="V67" s="2" t="s">
        <v>3090</v>
      </c>
      <c r="W67" s="2" t="s">
        <v>3091</v>
      </c>
      <c r="X67" s="2" t="s">
        <v>3091</v>
      </c>
      <c r="Y67" s="2" t="s">
        <v>3090</v>
      </c>
      <c r="Z67" s="2" t="s">
        <v>3090</v>
      </c>
      <c r="AA67" s="3" t="s">
        <v>3091</v>
      </c>
      <c r="AB67" s="3" t="s">
        <v>3090</v>
      </c>
      <c r="AC67" s="3" t="s">
        <v>3090</v>
      </c>
      <c r="AD67" s="3" t="s">
        <v>3090</v>
      </c>
      <c r="AE67" s="3" t="s">
        <v>3090</v>
      </c>
      <c r="AF67" s="3"/>
      <c r="AG67" s="3"/>
      <c r="AH67" s="3"/>
      <c r="AI67" s="3"/>
      <c r="AJ67" s="3"/>
      <c r="AK67" s="3"/>
    </row>
    <row r="68" spans="1:37" ht="15.75" customHeight="1">
      <c r="A68" s="2" t="s">
        <v>2754</v>
      </c>
      <c r="B68" s="2" t="s">
        <v>2755</v>
      </c>
      <c r="C68" s="3">
        <v>496</v>
      </c>
      <c r="D68" s="2" t="s">
        <v>787</v>
      </c>
      <c r="E68" s="2">
        <f t="shared" si="4"/>
        <v>3</v>
      </c>
      <c r="F68" s="2">
        <f t="shared" si="5"/>
        <v>20</v>
      </c>
      <c r="G68" s="2">
        <f t="shared" si="6"/>
        <v>23</v>
      </c>
      <c r="H68" s="6">
        <f t="shared" si="7"/>
        <v>1</v>
      </c>
      <c r="I68" s="2" t="s">
        <v>3090</v>
      </c>
      <c r="J68" s="2" t="s">
        <v>3091</v>
      </c>
      <c r="K68" s="2" t="s">
        <v>3091</v>
      </c>
      <c r="L68" s="2" t="s">
        <v>3091</v>
      </c>
      <c r="M68" s="2" t="s">
        <v>3091</v>
      </c>
      <c r="N68" s="2" t="s">
        <v>3090</v>
      </c>
      <c r="O68" s="2" t="s">
        <v>3091</v>
      </c>
      <c r="P68" s="2" t="s">
        <v>3091</v>
      </c>
      <c r="Q68" s="2" t="s">
        <v>3091</v>
      </c>
      <c r="R68" s="2" t="s">
        <v>3091</v>
      </c>
      <c r="S68" s="2" t="s">
        <v>3091</v>
      </c>
      <c r="T68" s="2" t="s">
        <v>3091</v>
      </c>
      <c r="U68" s="2" t="s">
        <v>3091</v>
      </c>
      <c r="V68" s="2" t="s">
        <v>3091</v>
      </c>
      <c r="W68" s="2" t="s">
        <v>3091</v>
      </c>
      <c r="X68" s="2" t="s">
        <v>3091</v>
      </c>
      <c r="Y68" s="2" t="s">
        <v>3091</v>
      </c>
      <c r="Z68" s="2" t="s">
        <v>3091</v>
      </c>
      <c r="AA68" s="3" t="s">
        <v>3091</v>
      </c>
      <c r="AB68" s="3" t="s">
        <v>3091</v>
      </c>
      <c r="AC68" s="3" t="s">
        <v>3091</v>
      </c>
      <c r="AD68" s="3" t="s">
        <v>3091</v>
      </c>
      <c r="AE68" s="3" t="s">
        <v>3090</v>
      </c>
      <c r="AF68" s="3"/>
      <c r="AG68" s="3"/>
      <c r="AH68" s="3"/>
      <c r="AI68" s="3"/>
      <c r="AJ68" s="3"/>
      <c r="AK68" s="3"/>
    </row>
    <row r="69" spans="1:37" ht="15.75" customHeight="1">
      <c r="A69" s="2" t="s">
        <v>2756</v>
      </c>
      <c r="B69" s="2" t="s">
        <v>2757</v>
      </c>
      <c r="C69" s="3">
        <v>703</v>
      </c>
      <c r="D69" s="2" t="s">
        <v>712</v>
      </c>
      <c r="E69" s="2">
        <f t="shared" si="4"/>
        <v>0</v>
      </c>
      <c r="F69" s="2">
        <f t="shared" si="5"/>
        <v>18</v>
      </c>
      <c r="G69" s="2">
        <f t="shared" si="6"/>
        <v>18</v>
      </c>
      <c r="H69" s="6">
        <f t="shared" si="7"/>
        <v>0.78260869565217395</v>
      </c>
      <c r="I69" s="2" t="s">
        <v>3091</v>
      </c>
      <c r="J69" s="2" t="s">
        <v>3091</v>
      </c>
      <c r="K69" s="2" t="s">
        <v>3091</v>
      </c>
      <c r="L69" s="2" t="s">
        <v>3091</v>
      </c>
      <c r="M69" s="2" t="s">
        <v>3091</v>
      </c>
      <c r="N69" s="2" t="s">
        <v>3091</v>
      </c>
      <c r="O69" s="2" t="s">
        <v>3091</v>
      </c>
      <c r="P69" s="2" t="s">
        <v>3091</v>
      </c>
      <c r="Q69" s="2" t="s">
        <v>3091</v>
      </c>
      <c r="R69" s="2" t="s">
        <v>3091</v>
      </c>
      <c r="S69" s="2" t="s">
        <v>3091</v>
      </c>
      <c r="T69" s="2" t="s">
        <v>3091</v>
      </c>
      <c r="U69" s="2" t="s">
        <v>3091</v>
      </c>
      <c r="V69" s="2" t="s">
        <v>3091</v>
      </c>
      <c r="W69" s="2" t="s">
        <v>3091</v>
      </c>
      <c r="X69" s="2" t="s">
        <v>3091</v>
      </c>
      <c r="Y69" s="2" t="s">
        <v>3092</v>
      </c>
      <c r="Z69" s="2" t="s">
        <v>3092</v>
      </c>
      <c r="AA69" s="3" t="s">
        <v>3091</v>
      </c>
      <c r="AB69" s="3" t="s">
        <v>3092</v>
      </c>
      <c r="AC69" s="3" t="s">
        <v>3092</v>
      </c>
      <c r="AD69" s="3" t="s">
        <v>3091</v>
      </c>
      <c r="AE69" s="3" t="s">
        <v>3092</v>
      </c>
      <c r="AF69" s="3"/>
      <c r="AG69" s="3"/>
      <c r="AH69" s="3"/>
      <c r="AI69" s="3"/>
      <c r="AJ69" s="3"/>
      <c r="AK69" s="3"/>
    </row>
    <row r="70" spans="1:37" ht="15.75" customHeight="1">
      <c r="A70" s="2" t="s">
        <v>2758</v>
      </c>
      <c r="B70" s="2" t="s">
        <v>2759</v>
      </c>
      <c r="C70" s="3">
        <v>251</v>
      </c>
      <c r="D70" s="2" t="s">
        <v>550</v>
      </c>
      <c r="E70" s="2">
        <f t="shared" si="4"/>
        <v>16</v>
      </c>
      <c r="F70" s="2">
        <f t="shared" si="5"/>
        <v>7</v>
      </c>
      <c r="G70" s="2">
        <f t="shared" si="6"/>
        <v>23</v>
      </c>
      <c r="H70" s="6">
        <f t="shared" si="7"/>
        <v>1</v>
      </c>
      <c r="I70" s="2" t="s">
        <v>3090</v>
      </c>
      <c r="J70" s="2" t="s">
        <v>3090</v>
      </c>
      <c r="K70" s="2" t="s">
        <v>3090</v>
      </c>
      <c r="L70" s="2" t="s">
        <v>3090</v>
      </c>
      <c r="M70" s="2" t="s">
        <v>3090</v>
      </c>
      <c r="N70" s="2" t="s">
        <v>3090</v>
      </c>
      <c r="O70" s="2" t="s">
        <v>3091</v>
      </c>
      <c r="P70" s="2" t="s">
        <v>3091</v>
      </c>
      <c r="Q70" s="2" t="s">
        <v>3091</v>
      </c>
      <c r="R70" s="2" t="s">
        <v>3090</v>
      </c>
      <c r="S70" s="2" t="s">
        <v>3090</v>
      </c>
      <c r="T70" s="2" t="s">
        <v>3091</v>
      </c>
      <c r="U70" s="2" t="s">
        <v>3090</v>
      </c>
      <c r="V70" s="2" t="s">
        <v>3090</v>
      </c>
      <c r="W70" s="2" t="s">
        <v>3091</v>
      </c>
      <c r="X70" s="2" t="s">
        <v>3091</v>
      </c>
      <c r="Y70" s="2" t="s">
        <v>3090</v>
      </c>
      <c r="Z70" s="2" t="s">
        <v>3090</v>
      </c>
      <c r="AA70" s="3" t="s">
        <v>3091</v>
      </c>
      <c r="AB70" s="3" t="s">
        <v>3090</v>
      </c>
      <c r="AC70" s="3" t="s">
        <v>3090</v>
      </c>
      <c r="AD70" s="3" t="s">
        <v>3090</v>
      </c>
      <c r="AE70" s="3" t="s">
        <v>3090</v>
      </c>
      <c r="AF70" s="3"/>
      <c r="AG70" s="3"/>
      <c r="AH70" s="3"/>
      <c r="AI70" s="3"/>
      <c r="AJ70" s="3"/>
      <c r="AK70" s="3"/>
    </row>
    <row r="71" spans="1:37" ht="15.75" customHeight="1">
      <c r="A71" s="2" t="s">
        <v>2760</v>
      </c>
      <c r="B71" s="2" t="s">
        <v>2761</v>
      </c>
      <c r="C71" s="3">
        <v>659</v>
      </c>
      <c r="D71" s="2" t="s">
        <v>756</v>
      </c>
      <c r="E71" s="2">
        <f t="shared" si="4"/>
        <v>15</v>
      </c>
      <c r="F71" s="2">
        <f t="shared" si="5"/>
        <v>7</v>
      </c>
      <c r="G71" s="2">
        <f t="shared" si="6"/>
        <v>22</v>
      </c>
      <c r="H71" s="6">
        <f t="shared" si="7"/>
        <v>0.95652173913043503</v>
      </c>
      <c r="I71" s="2" t="s">
        <v>3090</v>
      </c>
      <c r="J71" s="2" t="s">
        <v>3090</v>
      </c>
      <c r="K71" s="2" t="s">
        <v>3090</v>
      </c>
      <c r="L71" s="2" t="s">
        <v>3090</v>
      </c>
      <c r="M71" s="2" t="s">
        <v>3090</v>
      </c>
      <c r="N71" s="2" t="s">
        <v>3090</v>
      </c>
      <c r="O71" s="2" t="s">
        <v>3091</v>
      </c>
      <c r="P71" s="2" t="s">
        <v>3091</v>
      </c>
      <c r="Q71" s="2" t="s">
        <v>3090</v>
      </c>
      <c r="R71" s="2" t="s">
        <v>3090</v>
      </c>
      <c r="S71" s="2" t="s">
        <v>3091</v>
      </c>
      <c r="T71" s="2" t="s">
        <v>3091</v>
      </c>
      <c r="U71" s="2" t="s">
        <v>3090</v>
      </c>
      <c r="V71" s="2" t="s">
        <v>3090</v>
      </c>
      <c r="W71" s="2" t="s">
        <v>3091</v>
      </c>
      <c r="X71" s="2" t="s">
        <v>3091</v>
      </c>
      <c r="Y71" s="2" t="s">
        <v>3090</v>
      </c>
      <c r="Z71" s="2" t="s">
        <v>3090</v>
      </c>
      <c r="AA71" s="3" t="s">
        <v>3091</v>
      </c>
      <c r="AB71" s="3" t="s">
        <v>3090</v>
      </c>
      <c r="AC71" s="3" t="s">
        <v>3090</v>
      </c>
      <c r="AD71" s="3" t="s">
        <v>3090</v>
      </c>
      <c r="AE71" s="3" t="s">
        <v>3092</v>
      </c>
      <c r="AF71" s="3"/>
      <c r="AG71" s="3"/>
      <c r="AH71" s="3"/>
      <c r="AI71" s="3"/>
      <c r="AJ71" s="3"/>
      <c r="AK71" s="3"/>
    </row>
    <row r="72" spans="1:37" ht="15.75" customHeight="1">
      <c r="A72" s="2" t="s">
        <v>2762</v>
      </c>
      <c r="B72" s="2" t="s">
        <v>2701</v>
      </c>
      <c r="C72" s="3">
        <v>670</v>
      </c>
      <c r="D72" s="2" t="s">
        <v>64</v>
      </c>
      <c r="E72" s="2">
        <f t="shared" si="4"/>
        <v>8</v>
      </c>
      <c r="F72" s="2">
        <f t="shared" si="5"/>
        <v>14</v>
      </c>
      <c r="G72" s="2">
        <f t="shared" si="6"/>
        <v>22</v>
      </c>
      <c r="H72" s="6">
        <f t="shared" si="7"/>
        <v>0.95652173913043503</v>
      </c>
      <c r="I72" s="2" t="s">
        <v>3090</v>
      </c>
      <c r="J72" s="2" t="s">
        <v>3090</v>
      </c>
      <c r="K72" s="2" t="s">
        <v>3091</v>
      </c>
      <c r="L72" s="2" t="s">
        <v>3090</v>
      </c>
      <c r="M72" s="2" t="s">
        <v>3090</v>
      </c>
      <c r="N72" s="2" t="s">
        <v>3090</v>
      </c>
      <c r="O72" s="2" t="s">
        <v>3091</v>
      </c>
      <c r="P72" s="2" t="s">
        <v>3091</v>
      </c>
      <c r="Q72" s="2" t="s">
        <v>3090</v>
      </c>
      <c r="R72" s="2" t="s">
        <v>3090</v>
      </c>
      <c r="S72" s="2" t="s">
        <v>3090</v>
      </c>
      <c r="T72" s="2" t="s">
        <v>3091</v>
      </c>
      <c r="U72" s="2" t="s">
        <v>3091</v>
      </c>
      <c r="V72" s="2" t="s">
        <v>3091</v>
      </c>
      <c r="W72" s="2" t="s">
        <v>3092</v>
      </c>
      <c r="X72" s="2" t="s">
        <v>3091</v>
      </c>
      <c r="Y72" s="2" t="s">
        <v>3091</v>
      </c>
      <c r="Z72" s="2" t="s">
        <v>3091</v>
      </c>
      <c r="AA72" s="3" t="s">
        <v>3091</v>
      </c>
      <c r="AB72" s="3" t="s">
        <v>3091</v>
      </c>
      <c r="AC72" s="3" t="s">
        <v>3091</v>
      </c>
      <c r="AD72" s="3" t="s">
        <v>3091</v>
      </c>
      <c r="AE72" s="3" t="s">
        <v>3091</v>
      </c>
      <c r="AF72" s="3"/>
      <c r="AG72" s="3"/>
      <c r="AH72" s="3"/>
      <c r="AI72" s="3"/>
      <c r="AJ72" s="3"/>
      <c r="AK72" s="3"/>
    </row>
    <row r="73" spans="1:37" ht="15.75" customHeight="1">
      <c r="A73" s="2" t="s">
        <v>2763</v>
      </c>
      <c r="B73" s="2" t="s">
        <v>2671</v>
      </c>
      <c r="C73" s="3">
        <v>413</v>
      </c>
      <c r="D73" s="2" t="s">
        <v>510</v>
      </c>
      <c r="E73" s="2">
        <f t="shared" si="4"/>
        <v>2</v>
      </c>
      <c r="F73" s="2">
        <f t="shared" si="5"/>
        <v>17</v>
      </c>
      <c r="G73" s="2">
        <f t="shared" si="6"/>
        <v>19</v>
      </c>
      <c r="H73" s="6">
        <f t="shared" si="7"/>
        <v>0.82608695652173902</v>
      </c>
      <c r="I73" s="2" t="s">
        <v>3091</v>
      </c>
      <c r="J73" s="2" t="s">
        <v>3091</v>
      </c>
      <c r="K73" s="2" t="s">
        <v>3091</v>
      </c>
      <c r="L73" s="2" t="s">
        <v>3091</v>
      </c>
      <c r="M73" s="2" t="s">
        <v>3091</v>
      </c>
      <c r="N73" s="2" t="s">
        <v>3091</v>
      </c>
      <c r="O73" s="2" t="s">
        <v>3091</v>
      </c>
      <c r="P73" s="2" t="s">
        <v>3091</v>
      </c>
      <c r="Q73" s="2" t="s">
        <v>3091</v>
      </c>
      <c r="R73" s="2" t="s">
        <v>3091</v>
      </c>
      <c r="S73" s="2" t="s">
        <v>3091</v>
      </c>
      <c r="T73" s="2" t="s">
        <v>3091</v>
      </c>
      <c r="U73" s="2" t="s">
        <v>3091</v>
      </c>
      <c r="V73" s="2" t="s">
        <v>3091</v>
      </c>
      <c r="W73" s="2" t="s">
        <v>3091</v>
      </c>
      <c r="X73" s="2" t="s">
        <v>3092</v>
      </c>
      <c r="Y73" s="2" t="s">
        <v>3091</v>
      </c>
      <c r="Z73" s="2" t="s">
        <v>3090</v>
      </c>
      <c r="AA73" s="3" t="s">
        <v>3092</v>
      </c>
      <c r="AB73" s="3" t="s">
        <v>3092</v>
      </c>
      <c r="AC73" s="3" t="s">
        <v>3091</v>
      </c>
      <c r="AD73" s="3" t="s">
        <v>3090</v>
      </c>
      <c r="AE73" s="3" t="s">
        <v>3092</v>
      </c>
      <c r="AF73" s="3"/>
      <c r="AG73" s="3"/>
      <c r="AH73" s="3"/>
      <c r="AI73" s="3"/>
      <c r="AJ73" s="3"/>
      <c r="AK73" s="3"/>
    </row>
    <row r="74" spans="1:37" ht="15.75" customHeight="1">
      <c r="A74" s="2" t="s">
        <v>2764</v>
      </c>
      <c r="B74" s="2" t="s">
        <v>2732</v>
      </c>
      <c r="C74" s="3">
        <v>593</v>
      </c>
      <c r="D74" s="2" t="s">
        <v>108</v>
      </c>
      <c r="E74" s="2">
        <f t="shared" si="4"/>
        <v>17</v>
      </c>
      <c r="F74" s="2">
        <f t="shared" si="5"/>
        <v>6</v>
      </c>
      <c r="G74" s="2">
        <f t="shared" si="6"/>
        <v>23</v>
      </c>
      <c r="H74" s="6">
        <f t="shared" si="7"/>
        <v>1</v>
      </c>
      <c r="I74" s="2" t="s">
        <v>3090</v>
      </c>
      <c r="J74" s="2" t="s">
        <v>3090</v>
      </c>
      <c r="K74" s="2" t="s">
        <v>3090</v>
      </c>
      <c r="L74" s="2" t="s">
        <v>3090</v>
      </c>
      <c r="M74" s="2" t="s">
        <v>3090</v>
      </c>
      <c r="N74" s="2" t="s">
        <v>3090</v>
      </c>
      <c r="O74" s="2" t="s">
        <v>3091</v>
      </c>
      <c r="P74" s="2" t="s">
        <v>3091</v>
      </c>
      <c r="Q74" s="2" t="s">
        <v>3090</v>
      </c>
      <c r="R74" s="2" t="s">
        <v>3090</v>
      </c>
      <c r="S74" s="2" t="s">
        <v>3090</v>
      </c>
      <c r="T74" s="2" t="s">
        <v>3091</v>
      </c>
      <c r="U74" s="2" t="s">
        <v>3090</v>
      </c>
      <c r="V74" s="2" t="s">
        <v>3090</v>
      </c>
      <c r="W74" s="2" t="s">
        <v>3091</v>
      </c>
      <c r="X74" s="2" t="s">
        <v>3091</v>
      </c>
      <c r="Y74" s="2" t="s">
        <v>3090</v>
      </c>
      <c r="Z74" s="2" t="s">
        <v>3090</v>
      </c>
      <c r="AA74" s="3" t="s">
        <v>3091</v>
      </c>
      <c r="AB74" s="3" t="s">
        <v>3090</v>
      </c>
      <c r="AC74" s="3" t="s">
        <v>3090</v>
      </c>
      <c r="AD74" s="3" t="s">
        <v>3090</v>
      </c>
      <c r="AE74" s="3" t="s">
        <v>3090</v>
      </c>
      <c r="AF74" s="3"/>
      <c r="AG74" s="3"/>
      <c r="AH74" s="3"/>
      <c r="AI74" s="3"/>
      <c r="AJ74" s="3"/>
      <c r="AK74" s="3"/>
    </row>
    <row r="75" spans="1:37" ht="15.75" customHeight="1">
      <c r="A75" s="2" t="s">
        <v>2765</v>
      </c>
      <c r="B75" s="2" t="s">
        <v>2766</v>
      </c>
      <c r="C75" s="3">
        <v>723</v>
      </c>
      <c r="D75" s="2" t="s">
        <v>591</v>
      </c>
      <c r="E75" s="2">
        <f t="shared" si="4"/>
        <v>17</v>
      </c>
      <c r="F75" s="2">
        <f t="shared" si="5"/>
        <v>6</v>
      </c>
      <c r="G75" s="2">
        <f t="shared" si="6"/>
        <v>23</v>
      </c>
      <c r="H75" s="6">
        <f t="shared" si="7"/>
        <v>1</v>
      </c>
      <c r="I75" s="2" t="s">
        <v>3090</v>
      </c>
      <c r="J75" s="2" t="s">
        <v>3090</v>
      </c>
      <c r="K75" s="2" t="s">
        <v>3090</v>
      </c>
      <c r="L75" s="2" t="s">
        <v>3090</v>
      </c>
      <c r="M75" s="2" t="s">
        <v>3090</v>
      </c>
      <c r="N75" s="2" t="s">
        <v>3090</v>
      </c>
      <c r="O75" s="2" t="s">
        <v>3091</v>
      </c>
      <c r="P75" s="2" t="s">
        <v>3091</v>
      </c>
      <c r="Q75" s="2" t="s">
        <v>3090</v>
      </c>
      <c r="R75" s="2" t="s">
        <v>3090</v>
      </c>
      <c r="S75" s="2" t="s">
        <v>3090</v>
      </c>
      <c r="T75" s="2" t="s">
        <v>3091</v>
      </c>
      <c r="U75" s="2" t="s">
        <v>3090</v>
      </c>
      <c r="V75" s="2" t="s">
        <v>3090</v>
      </c>
      <c r="W75" s="2" t="s">
        <v>3091</v>
      </c>
      <c r="X75" s="2" t="s">
        <v>3091</v>
      </c>
      <c r="Y75" s="2" t="s">
        <v>3090</v>
      </c>
      <c r="Z75" s="2" t="s">
        <v>3090</v>
      </c>
      <c r="AA75" s="3" t="s">
        <v>3091</v>
      </c>
      <c r="AB75" s="3" t="s">
        <v>3090</v>
      </c>
      <c r="AC75" s="3" t="s">
        <v>3090</v>
      </c>
      <c r="AD75" s="3" t="s">
        <v>3090</v>
      </c>
      <c r="AE75" s="3" t="s">
        <v>3090</v>
      </c>
      <c r="AF75" s="3"/>
      <c r="AG75" s="3"/>
      <c r="AH75" s="3"/>
      <c r="AI75" s="3"/>
      <c r="AJ75" s="3"/>
      <c r="AK75" s="3"/>
    </row>
    <row r="76" spans="1:37" ht="15.75" customHeight="1">
      <c r="A76" s="2" t="s">
        <v>2767</v>
      </c>
      <c r="B76" s="2" t="s">
        <v>2768</v>
      </c>
      <c r="C76" s="3">
        <v>759</v>
      </c>
      <c r="D76" s="2" t="s">
        <v>716</v>
      </c>
      <c r="E76" s="2">
        <f t="shared" si="4"/>
        <v>0</v>
      </c>
      <c r="F76" s="2">
        <f t="shared" si="5"/>
        <v>2</v>
      </c>
      <c r="G76" s="2">
        <f t="shared" si="6"/>
        <v>2</v>
      </c>
      <c r="H76" s="6">
        <f t="shared" si="7"/>
        <v>8.6956521739130405E-2</v>
      </c>
      <c r="I76" s="2" t="s">
        <v>3092</v>
      </c>
      <c r="J76" s="2" t="s">
        <v>3091</v>
      </c>
      <c r="K76" s="2" t="s">
        <v>3092</v>
      </c>
      <c r="L76" s="2" t="s">
        <v>3092</v>
      </c>
      <c r="M76" s="2" t="s">
        <v>3092</v>
      </c>
      <c r="N76" s="2" t="s">
        <v>3092</v>
      </c>
      <c r="O76" s="2" t="s">
        <v>3092</v>
      </c>
      <c r="P76" s="2" t="s">
        <v>3092</v>
      </c>
      <c r="Q76" s="2" t="s">
        <v>3091</v>
      </c>
      <c r="R76" s="2" t="s">
        <v>3092</v>
      </c>
      <c r="S76" s="2" t="s">
        <v>3092</v>
      </c>
      <c r="T76" s="2" t="s">
        <v>3092</v>
      </c>
      <c r="U76" s="2" t="s">
        <v>3092</v>
      </c>
      <c r="V76" s="2" t="s">
        <v>3092</v>
      </c>
      <c r="W76" s="2" t="s">
        <v>3092</v>
      </c>
      <c r="X76" s="2" t="s">
        <v>3092</v>
      </c>
      <c r="Y76" s="2" t="s">
        <v>3092</v>
      </c>
      <c r="Z76" s="2" t="s">
        <v>3092</v>
      </c>
      <c r="AA76" s="3" t="s">
        <v>3092</v>
      </c>
      <c r="AB76" s="3" t="s">
        <v>3092</v>
      </c>
      <c r="AC76" s="3" t="s">
        <v>3092</v>
      </c>
      <c r="AD76" s="3" t="s">
        <v>3092</v>
      </c>
      <c r="AE76" s="3" t="s">
        <v>3092</v>
      </c>
      <c r="AF76" s="3"/>
      <c r="AG76" s="3"/>
      <c r="AH76" s="3"/>
      <c r="AI76" s="3"/>
      <c r="AJ76" s="3"/>
      <c r="AK76" s="3"/>
    </row>
    <row r="77" spans="1:37" ht="15.75" customHeight="1">
      <c r="A77" s="2" t="s">
        <v>2769</v>
      </c>
      <c r="B77" s="2" t="s">
        <v>2770</v>
      </c>
      <c r="C77" s="3">
        <v>277</v>
      </c>
      <c r="D77" s="2" t="s">
        <v>385</v>
      </c>
      <c r="E77" s="2">
        <f t="shared" si="4"/>
        <v>13</v>
      </c>
      <c r="F77" s="2">
        <f t="shared" si="5"/>
        <v>10</v>
      </c>
      <c r="G77" s="2">
        <f t="shared" si="6"/>
        <v>23</v>
      </c>
      <c r="H77" s="6">
        <f t="shared" si="7"/>
        <v>1</v>
      </c>
      <c r="I77" s="2" t="s">
        <v>3091</v>
      </c>
      <c r="J77" s="2" t="s">
        <v>3090</v>
      </c>
      <c r="K77" s="2" t="s">
        <v>3090</v>
      </c>
      <c r="L77" s="2" t="s">
        <v>3090</v>
      </c>
      <c r="M77" s="2" t="s">
        <v>3090</v>
      </c>
      <c r="N77" s="2" t="s">
        <v>3090</v>
      </c>
      <c r="O77" s="2" t="s">
        <v>3091</v>
      </c>
      <c r="P77" s="2" t="s">
        <v>3091</v>
      </c>
      <c r="Q77" s="2" t="s">
        <v>3090</v>
      </c>
      <c r="R77" s="2" t="s">
        <v>3090</v>
      </c>
      <c r="S77" s="2" t="s">
        <v>3091</v>
      </c>
      <c r="T77" s="2" t="s">
        <v>3091</v>
      </c>
      <c r="U77" s="2" t="s">
        <v>3090</v>
      </c>
      <c r="V77" s="2" t="s">
        <v>3090</v>
      </c>
      <c r="W77" s="2" t="s">
        <v>3091</v>
      </c>
      <c r="X77" s="2" t="s">
        <v>3091</v>
      </c>
      <c r="Y77" s="2" t="s">
        <v>3090</v>
      </c>
      <c r="Z77" s="2" t="s">
        <v>3091</v>
      </c>
      <c r="AA77" s="3" t="s">
        <v>3091</v>
      </c>
      <c r="AB77" s="3" t="s">
        <v>3090</v>
      </c>
      <c r="AC77" s="3" t="s">
        <v>3090</v>
      </c>
      <c r="AD77" s="3" t="s">
        <v>3090</v>
      </c>
      <c r="AE77" s="3" t="s">
        <v>3091</v>
      </c>
      <c r="AF77" s="3"/>
      <c r="AG77" s="3"/>
      <c r="AH77" s="3"/>
      <c r="AI77" s="3"/>
      <c r="AJ77" s="3"/>
      <c r="AK77" s="3"/>
    </row>
    <row r="78" spans="1:37" ht="15.75" customHeight="1">
      <c r="A78" s="2" t="s">
        <v>2771</v>
      </c>
      <c r="B78" s="2" t="s">
        <v>2680</v>
      </c>
      <c r="C78" s="3">
        <v>331</v>
      </c>
      <c r="D78" s="2" t="s">
        <v>296</v>
      </c>
      <c r="E78" s="2">
        <f t="shared" si="4"/>
        <v>16</v>
      </c>
      <c r="F78" s="2">
        <f t="shared" si="5"/>
        <v>7</v>
      </c>
      <c r="G78" s="2">
        <f t="shared" si="6"/>
        <v>23</v>
      </c>
      <c r="H78" s="6">
        <f t="shared" si="7"/>
        <v>1</v>
      </c>
      <c r="I78" s="2" t="s">
        <v>3090</v>
      </c>
      <c r="J78" s="2" t="s">
        <v>3090</v>
      </c>
      <c r="K78" s="2" t="s">
        <v>3090</v>
      </c>
      <c r="L78" s="2" t="s">
        <v>3090</v>
      </c>
      <c r="M78" s="2" t="s">
        <v>3090</v>
      </c>
      <c r="N78" s="2" t="s">
        <v>3090</v>
      </c>
      <c r="O78" s="2" t="s">
        <v>3091</v>
      </c>
      <c r="P78" s="2" t="s">
        <v>3091</v>
      </c>
      <c r="Q78" s="2" t="s">
        <v>3090</v>
      </c>
      <c r="R78" s="2" t="s">
        <v>3090</v>
      </c>
      <c r="S78" s="2" t="s">
        <v>3090</v>
      </c>
      <c r="T78" s="2" t="s">
        <v>3091</v>
      </c>
      <c r="U78" s="2" t="s">
        <v>3090</v>
      </c>
      <c r="V78" s="2" t="s">
        <v>3090</v>
      </c>
      <c r="W78" s="2" t="s">
        <v>3091</v>
      </c>
      <c r="X78" s="2" t="s">
        <v>3091</v>
      </c>
      <c r="Y78" s="2" t="s">
        <v>3090</v>
      </c>
      <c r="Z78" s="2" t="s">
        <v>3090</v>
      </c>
      <c r="AA78" s="3" t="s">
        <v>3091</v>
      </c>
      <c r="AB78" s="3" t="s">
        <v>3091</v>
      </c>
      <c r="AC78" s="3" t="s">
        <v>3090</v>
      </c>
      <c r="AD78" s="3" t="s">
        <v>3090</v>
      </c>
      <c r="AE78" s="3" t="s">
        <v>3090</v>
      </c>
      <c r="AF78" s="3"/>
      <c r="AG78" s="3"/>
      <c r="AH78" s="3"/>
      <c r="AI78" s="3"/>
      <c r="AJ78" s="3"/>
      <c r="AK78" s="3"/>
    </row>
    <row r="79" spans="1:37" ht="15.75" customHeight="1">
      <c r="A79" s="2" t="s">
        <v>2772</v>
      </c>
      <c r="B79" s="2" t="s">
        <v>2676</v>
      </c>
      <c r="C79" s="3">
        <v>259</v>
      </c>
      <c r="D79" s="2" t="s">
        <v>612</v>
      </c>
      <c r="E79" s="2">
        <f t="shared" si="4"/>
        <v>2</v>
      </c>
      <c r="F79" s="2">
        <f t="shared" si="5"/>
        <v>16</v>
      </c>
      <c r="G79" s="2">
        <f t="shared" si="6"/>
        <v>18</v>
      </c>
      <c r="H79" s="6">
        <f t="shared" si="7"/>
        <v>0.78260869565217395</v>
      </c>
      <c r="I79" s="2" t="s">
        <v>3090</v>
      </c>
      <c r="J79" s="2" t="s">
        <v>3092</v>
      </c>
      <c r="K79" s="2" t="s">
        <v>3091</v>
      </c>
      <c r="L79" s="2" t="s">
        <v>3091</v>
      </c>
      <c r="M79" s="2" t="s">
        <v>3090</v>
      </c>
      <c r="N79" s="2" t="s">
        <v>3091</v>
      </c>
      <c r="O79" s="2" t="s">
        <v>3091</v>
      </c>
      <c r="P79" s="2" t="s">
        <v>3091</v>
      </c>
      <c r="Q79" s="2" t="s">
        <v>3091</v>
      </c>
      <c r="R79" s="2" t="s">
        <v>3092</v>
      </c>
      <c r="S79" s="2" t="s">
        <v>3091</v>
      </c>
      <c r="T79" s="2" t="s">
        <v>3092</v>
      </c>
      <c r="U79" s="2" t="s">
        <v>3091</v>
      </c>
      <c r="V79" s="2" t="s">
        <v>3091</v>
      </c>
      <c r="W79" s="2" t="s">
        <v>3091</v>
      </c>
      <c r="X79" s="2" t="s">
        <v>3091</v>
      </c>
      <c r="Y79" s="2" t="s">
        <v>3092</v>
      </c>
      <c r="Z79" s="2" t="s">
        <v>3091</v>
      </c>
      <c r="AA79" s="3" t="s">
        <v>3091</v>
      </c>
      <c r="AB79" s="3" t="s">
        <v>3091</v>
      </c>
      <c r="AC79" s="3" t="s">
        <v>3092</v>
      </c>
      <c r="AD79" s="3" t="s">
        <v>3091</v>
      </c>
      <c r="AE79" s="3" t="s">
        <v>3091</v>
      </c>
      <c r="AF79" s="3"/>
      <c r="AG79" s="3"/>
      <c r="AH79" s="3"/>
      <c r="AI79" s="3"/>
      <c r="AJ79" s="3"/>
      <c r="AK79" s="3"/>
    </row>
    <row r="80" spans="1:37" ht="15.75" customHeight="1">
      <c r="A80" s="2" t="s">
        <v>2773</v>
      </c>
      <c r="B80" s="2" t="s">
        <v>2699</v>
      </c>
      <c r="C80" s="3">
        <v>285</v>
      </c>
      <c r="D80" s="2" t="s">
        <v>158</v>
      </c>
      <c r="E80" s="2">
        <f t="shared" si="4"/>
        <v>14</v>
      </c>
      <c r="F80" s="2">
        <f t="shared" si="5"/>
        <v>9</v>
      </c>
      <c r="G80" s="2">
        <f t="shared" si="6"/>
        <v>23</v>
      </c>
      <c r="H80" s="6">
        <f t="shared" si="7"/>
        <v>1</v>
      </c>
      <c r="I80" s="2" t="s">
        <v>3090</v>
      </c>
      <c r="J80" s="2" t="s">
        <v>3090</v>
      </c>
      <c r="K80" s="2" t="s">
        <v>3090</v>
      </c>
      <c r="L80" s="2" t="s">
        <v>3090</v>
      </c>
      <c r="M80" s="2" t="s">
        <v>3090</v>
      </c>
      <c r="N80" s="2" t="s">
        <v>3090</v>
      </c>
      <c r="O80" s="2" t="s">
        <v>3091</v>
      </c>
      <c r="P80" s="2" t="s">
        <v>3091</v>
      </c>
      <c r="Q80" s="2" t="s">
        <v>3090</v>
      </c>
      <c r="R80" s="2" t="s">
        <v>3090</v>
      </c>
      <c r="S80" s="2" t="s">
        <v>3090</v>
      </c>
      <c r="T80" s="2" t="s">
        <v>3091</v>
      </c>
      <c r="U80" s="2" t="s">
        <v>3090</v>
      </c>
      <c r="V80" s="2" t="s">
        <v>3090</v>
      </c>
      <c r="W80" s="2" t="s">
        <v>3091</v>
      </c>
      <c r="X80" s="2" t="s">
        <v>3091</v>
      </c>
      <c r="Y80" s="2" t="s">
        <v>3090</v>
      </c>
      <c r="Z80" s="2" t="s">
        <v>3091</v>
      </c>
      <c r="AA80" s="3" t="s">
        <v>3091</v>
      </c>
      <c r="AB80" s="3" t="s">
        <v>3091</v>
      </c>
      <c r="AC80" s="3" t="s">
        <v>3091</v>
      </c>
      <c r="AD80" s="3" t="s">
        <v>3090</v>
      </c>
      <c r="AE80" s="3" t="s">
        <v>3090</v>
      </c>
      <c r="AF80" s="3"/>
      <c r="AG80" s="3"/>
      <c r="AH80" s="3"/>
      <c r="AI80" s="3"/>
      <c r="AJ80" s="3"/>
      <c r="AK80" s="3"/>
    </row>
    <row r="81" spans="1:37" ht="15.75" customHeight="1">
      <c r="A81" s="2" t="s">
        <v>2774</v>
      </c>
      <c r="B81" s="2" t="s">
        <v>2775</v>
      </c>
      <c r="C81" s="3">
        <v>607</v>
      </c>
      <c r="D81" s="2" t="s">
        <v>789</v>
      </c>
      <c r="E81" s="2">
        <f t="shared" si="4"/>
        <v>11</v>
      </c>
      <c r="F81" s="2">
        <f t="shared" si="5"/>
        <v>12</v>
      </c>
      <c r="G81" s="2">
        <f t="shared" si="6"/>
        <v>23</v>
      </c>
      <c r="H81" s="6">
        <f t="shared" si="7"/>
        <v>1</v>
      </c>
      <c r="I81" s="2" t="s">
        <v>3090</v>
      </c>
      <c r="J81" s="2" t="s">
        <v>3090</v>
      </c>
      <c r="K81" s="2" t="s">
        <v>3090</v>
      </c>
      <c r="L81" s="2" t="s">
        <v>3090</v>
      </c>
      <c r="M81" s="2" t="s">
        <v>3090</v>
      </c>
      <c r="N81" s="2" t="s">
        <v>3090</v>
      </c>
      <c r="O81" s="2" t="s">
        <v>3091</v>
      </c>
      <c r="P81" s="2" t="s">
        <v>3091</v>
      </c>
      <c r="Q81" s="2" t="s">
        <v>3090</v>
      </c>
      <c r="R81" s="2" t="s">
        <v>3090</v>
      </c>
      <c r="S81" s="2" t="s">
        <v>3090</v>
      </c>
      <c r="T81" s="2" t="s">
        <v>3091</v>
      </c>
      <c r="U81" s="2" t="s">
        <v>3091</v>
      </c>
      <c r="V81" s="2" t="s">
        <v>3091</v>
      </c>
      <c r="W81" s="2" t="s">
        <v>3091</v>
      </c>
      <c r="X81" s="2" t="s">
        <v>3091</v>
      </c>
      <c r="Y81" s="2" t="s">
        <v>3091</v>
      </c>
      <c r="Z81" s="2" t="s">
        <v>3091</v>
      </c>
      <c r="AA81" s="3" t="s">
        <v>3091</v>
      </c>
      <c r="AB81" s="3" t="s">
        <v>3091</v>
      </c>
      <c r="AC81" s="3" t="s">
        <v>3091</v>
      </c>
      <c r="AD81" s="3" t="s">
        <v>3090</v>
      </c>
      <c r="AE81" s="3" t="s">
        <v>3090</v>
      </c>
      <c r="AF81" s="3"/>
      <c r="AG81" s="3"/>
      <c r="AH81" s="3"/>
      <c r="AI81" s="3"/>
      <c r="AJ81" s="3"/>
      <c r="AK81" s="3"/>
    </row>
    <row r="82" spans="1:37" ht="15.75" customHeight="1">
      <c r="A82" s="2" t="s">
        <v>2776</v>
      </c>
      <c r="B82" s="2" t="s">
        <v>2777</v>
      </c>
      <c r="C82" s="3">
        <v>753</v>
      </c>
      <c r="D82" s="2" t="s">
        <v>462</v>
      </c>
      <c r="E82" s="2">
        <f t="shared" si="4"/>
        <v>1</v>
      </c>
      <c r="F82" s="2">
        <f t="shared" si="5"/>
        <v>21</v>
      </c>
      <c r="G82" s="2">
        <f t="shared" si="6"/>
        <v>22</v>
      </c>
      <c r="H82" s="6">
        <f t="shared" si="7"/>
        <v>0.95652173913043503</v>
      </c>
      <c r="I82" s="2" t="s">
        <v>3090</v>
      </c>
      <c r="J82" s="2" t="s">
        <v>3091</v>
      </c>
      <c r="K82" s="2" t="s">
        <v>3091</v>
      </c>
      <c r="L82" s="2" t="s">
        <v>3091</v>
      </c>
      <c r="M82" s="2" t="s">
        <v>3091</v>
      </c>
      <c r="N82" s="2" t="s">
        <v>3091</v>
      </c>
      <c r="O82" s="2" t="s">
        <v>3091</v>
      </c>
      <c r="P82" s="2" t="s">
        <v>3091</v>
      </c>
      <c r="Q82" s="2" t="s">
        <v>3091</v>
      </c>
      <c r="R82" s="2" t="s">
        <v>3091</v>
      </c>
      <c r="S82" s="2" t="s">
        <v>3091</v>
      </c>
      <c r="T82" s="2" t="s">
        <v>3091</v>
      </c>
      <c r="U82" s="2" t="s">
        <v>3091</v>
      </c>
      <c r="V82" s="2" t="s">
        <v>3091</v>
      </c>
      <c r="W82" s="2" t="s">
        <v>3091</v>
      </c>
      <c r="X82" s="2" t="s">
        <v>3091</v>
      </c>
      <c r="Y82" s="2" t="s">
        <v>3091</v>
      </c>
      <c r="Z82" s="2" t="s">
        <v>3091</v>
      </c>
      <c r="AA82" s="3" t="s">
        <v>3091</v>
      </c>
      <c r="AB82" s="3" t="s">
        <v>3091</v>
      </c>
      <c r="AC82" s="3" t="s">
        <v>3091</v>
      </c>
      <c r="AD82" s="3" t="s">
        <v>3091</v>
      </c>
      <c r="AE82" s="3" t="s">
        <v>3092</v>
      </c>
      <c r="AF82" s="3"/>
      <c r="AG82" s="3"/>
      <c r="AH82" s="3"/>
      <c r="AI82" s="3"/>
      <c r="AJ82" s="3"/>
      <c r="AK82" s="3"/>
    </row>
    <row r="83" spans="1:37" ht="15.75" customHeight="1">
      <c r="A83" s="2" t="s">
        <v>2778</v>
      </c>
      <c r="B83" s="2" t="s">
        <v>2779</v>
      </c>
      <c r="C83" s="3">
        <v>668</v>
      </c>
      <c r="D83" s="2" t="s">
        <v>111</v>
      </c>
      <c r="E83" s="2">
        <f t="shared" si="4"/>
        <v>15</v>
      </c>
      <c r="F83" s="2">
        <f t="shared" si="5"/>
        <v>8</v>
      </c>
      <c r="G83" s="2">
        <f t="shared" si="6"/>
        <v>23</v>
      </c>
      <c r="H83" s="6">
        <f t="shared" si="7"/>
        <v>1</v>
      </c>
      <c r="I83" s="2" t="s">
        <v>3090</v>
      </c>
      <c r="J83" s="2" t="s">
        <v>3090</v>
      </c>
      <c r="K83" s="2" t="s">
        <v>3090</v>
      </c>
      <c r="L83" s="2" t="s">
        <v>3090</v>
      </c>
      <c r="M83" s="2" t="s">
        <v>3090</v>
      </c>
      <c r="N83" s="2" t="s">
        <v>3090</v>
      </c>
      <c r="O83" s="2" t="s">
        <v>3091</v>
      </c>
      <c r="P83" s="2" t="s">
        <v>3091</v>
      </c>
      <c r="Q83" s="2" t="s">
        <v>3091</v>
      </c>
      <c r="R83" s="2" t="s">
        <v>3091</v>
      </c>
      <c r="S83" s="2" t="s">
        <v>3090</v>
      </c>
      <c r="T83" s="2" t="s">
        <v>3091</v>
      </c>
      <c r="U83" s="2" t="s">
        <v>3090</v>
      </c>
      <c r="V83" s="2" t="s">
        <v>3090</v>
      </c>
      <c r="W83" s="2" t="s">
        <v>3091</v>
      </c>
      <c r="X83" s="2" t="s">
        <v>3091</v>
      </c>
      <c r="Y83" s="2" t="s">
        <v>3090</v>
      </c>
      <c r="Z83" s="2" t="s">
        <v>3090</v>
      </c>
      <c r="AA83" s="3" t="s">
        <v>3091</v>
      </c>
      <c r="AB83" s="3" t="s">
        <v>3090</v>
      </c>
      <c r="AC83" s="3" t="s">
        <v>3090</v>
      </c>
      <c r="AD83" s="3" t="s">
        <v>3090</v>
      </c>
      <c r="AE83" s="3" t="s">
        <v>3090</v>
      </c>
      <c r="AF83" s="3"/>
      <c r="AG83" s="3"/>
      <c r="AH83" s="3"/>
      <c r="AI83" s="3"/>
      <c r="AJ83" s="3"/>
      <c r="AK83" s="3"/>
    </row>
    <row r="84" spans="1:37" ht="15.75" customHeight="1">
      <c r="A84" s="2" t="s">
        <v>2780</v>
      </c>
      <c r="B84" s="2" t="s">
        <v>2781</v>
      </c>
      <c r="C84" s="3">
        <v>775</v>
      </c>
      <c r="D84" s="2" t="s">
        <v>114</v>
      </c>
      <c r="E84" s="2">
        <f t="shared" si="4"/>
        <v>11</v>
      </c>
      <c r="F84" s="2">
        <f t="shared" si="5"/>
        <v>7</v>
      </c>
      <c r="G84" s="2">
        <f t="shared" si="6"/>
        <v>18</v>
      </c>
      <c r="H84" s="6">
        <f t="shared" si="7"/>
        <v>0.78260869565217395</v>
      </c>
      <c r="I84" s="2" t="s">
        <v>3090</v>
      </c>
      <c r="J84" s="2" t="s">
        <v>3091</v>
      </c>
      <c r="K84" s="2" t="s">
        <v>3091</v>
      </c>
      <c r="L84" s="2" t="s">
        <v>3091</v>
      </c>
      <c r="M84" s="2" t="s">
        <v>3091</v>
      </c>
      <c r="N84" s="2" t="s">
        <v>3090</v>
      </c>
      <c r="O84" s="2" t="s">
        <v>3092</v>
      </c>
      <c r="P84" s="2" t="s">
        <v>3092</v>
      </c>
      <c r="Q84" s="2" t="s">
        <v>3090</v>
      </c>
      <c r="R84" s="2" t="s">
        <v>3090</v>
      </c>
      <c r="S84" s="2" t="s">
        <v>3090</v>
      </c>
      <c r="T84" s="2" t="s">
        <v>3092</v>
      </c>
      <c r="U84" s="2" t="s">
        <v>3090</v>
      </c>
      <c r="V84" s="2" t="s">
        <v>3091</v>
      </c>
      <c r="W84" s="2" t="s">
        <v>3092</v>
      </c>
      <c r="X84" s="2" t="s">
        <v>3091</v>
      </c>
      <c r="Y84" s="2" t="s">
        <v>3090</v>
      </c>
      <c r="Z84" s="2" t="s">
        <v>3090</v>
      </c>
      <c r="AA84" s="3" t="s">
        <v>3091</v>
      </c>
      <c r="AB84" s="3" t="s">
        <v>3090</v>
      </c>
      <c r="AC84" s="3" t="s">
        <v>3090</v>
      </c>
      <c r="AD84" s="3" t="s">
        <v>3092</v>
      </c>
      <c r="AE84" s="3" t="s">
        <v>3090</v>
      </c>
      <c r="AF84" s="3"/>
      <c r="AG84" s="3"/>
      <c r="AH84" s="3"/>
      <c r="AI84" s="3"/>
      <c r="AJ84" s="3"/>
      <c r="AK84" s="3"/>
    </row>
    <row r="85" spans="1:37" ht="15.75" customHeight="1">
      <c r="A85" s="2" t="s">
        <v>2782</v>
      </c>
      <c r="B85" s="2" t="s">
        <v>833</v>
      </c>
      <c r="C85" s="3">
        <v>342</v>
      </c>
      <c r="D85" s="2" t="s">
        <v>464</v>
      </c>
      <c r="E85" s="2">
        <f t="shared" si="4"/>
        <v>8</v>
      </c>
      <c r="F85" s="2">
        <f t="shared" si="5"/>
        <v>15</v>
      </c>
      <c r="G85" s="2">
        <f t="shared" si="6"/>
        <v>23</v>
      </c>
      <c r="H85" s="6">
        <f t="shared" si="7"/>
        <v>1</v>
      </c>
      <c r="I85" s="2" t="s">
        <v>3090</v>
      </c>
      <c r="J85" s="2" t="s">
        <v>3090</v>
      </c>
      <c r="K85" s="2" t="s">
        <v>3090</v>
      </c>
      <c r="L85" s="2" t="s">
        <v>3090</v>
      </c>
      <c r="M85" s="2" t="s">
        <v>3090</v>
      </c>
      <c r="N85" s="2" t="s">
        <v>3091</v>
      </c>
      <c r="O85" s="2" t="s">
        <v>3091</v>
      </c>
      <c r="P85" s="2" t="s">
        <v>3091</v>
      </c>
      <c r="Q85" s="2" t="s">
        <v>3090</v>
      </c>
      <c r="R85" s="2" t="s">
        <v>3090</v>
      </c>
      <c r="S85" s="2" t="s">
        <v>3090</v>
      </c>
      <c r="T85" s="2" t="s">
        <v>3091</v>
      </c>
      <c r="U85" s="2" t="s">
        <v>3091</v>
      </c>
      <c r="V85" s="2" t="s">
        <v>3091</v>
      </c>
      <c r="W85" s="2" t="s">
        <v>3091</v>
      </c>
      <c r="X85" s="2" t="s">
        <v>3091</v>
      </c>
      <c r="Y85" s="2" t="s">
        <v>3091</v>
      </c>
      <c r="Z85" s="2" t="s">
        <v>3091</v>
      </c>
      <c r="AA85" s="3" t="s">
        <v>3091</v>
      </c>
      <c r="AB85" s="3" t="s">
        <v>3091</v>
      </c>
      <c r="AC85" s="3" t="s">
        <v>3091</v>
      </c>
      <c r="AD85" s="3" t="s">
        <v>3091</v>
      </c>
      <c r="AE85" s="3" t="s">
        <v>3091</v>
      </c>
      <c r="AF85" s="3"/>
      <c r="AG85" s="3"/>
      <c r="AH85" s="3"/>
      <c r="AI85" s="3"/>
      <c r="AJ85" s="3"/>
      <c r="AK85" s="3"/>
    </row>
    <row r="86" spans="1:37" ht="15.75" customHeight="1">
      <c r="A86" s="2" t="s">
        <v>2783</v>
      </c>
      <c r="B86" s="2" t="s">
        <v>2659</v>
      </c>
      <c r="C86" s="3">
        <v>725</v>
      </c>
      <c r="D86" s="2" t="s">
        <v>512</v>
      </c>
      <c r="E86" s="2">
        <f t="shared" si="4"/>
        <v>3</v>
      </c>
      <c r="F86" s="2">
        <f t="shared" si="5"/>
        <v>20</v>
      </c>
      <c r="G86" s="2">
        <f t="shared" si="6"/>
        <v>23</v>
      </c>
      <c r="H86" s="6">
        <f t="shared" si="7"/>
        <v>1</v>
      </c>
      <c r="I86" s="2" t="s">
        <v>3090</v>
      </c>
      <c r="J86" s="2" t="s">
        <v>3091</v>
      </c>
      <c r="K86" s="2" t="s">
        <v>3090</v>
      </c>
      <c r="L86" s="2" t="s">
        <v>3091</v>
      </c>
      <c r="M86" s="2" t="s">
        <v>3091</v>
      </c>
      <c r="N86" s="2" t="s">
        <v>3091</v>
      </c>
      <c r="O86" s="2" t="s">
        <v>3091</v>
      </c>
      <c r="P86" s="2" t="s">
        <v>3091</v>
      </c>
      <c r="Q86" s="2" t="s">
        <v>3091</v>
      </c>
      <c r="R86" s="2" t="s">
        <v>3091</v>
      </c>
      <c r="S86" s="2" t="s">
        <v>3090</v>
      </c>
      <c r="T86" s="2" t="s">
        <v>3091</v>
      </c>
      <c r="U86" s="2" t="s">
        <v>3091</v>
      </c>
      <c r="V86" s="2" t="s">
        <v>3091</v>
      </c>
      <c r="W86" s="2" t="s">
        <v>3091</v>
      </c>
      <c r="X86" s="2" t="s">
        <v>3091</v>
      </c>
      <c r="Y86" s="2" t="s">
        <v>3091</v>
      </c>
      <c r="Z86" s="2" t="s">
        <v>3091</v>
      </c>
      <c r="AA86" s="3" t="s">
        <v>3091</v>
      </c>
      <c r="AB86" s="3" t="s">
        <v>3091</v>
      </c>
      <c r="AC86" s="3" t="s">
        <v>3091</v>
      </c>
      <c r="AD86" s="3" t="s">
        <v>3091</v>
      </c>
      <c r="AE86" s="3" t="s">
        <v>3091</v>
      </c>
      <c r="AF86" s="3"/>
      <c r="AG86" s="3"/>
      <c r="AH86" s="3"/>
      <c r="AI86" s="3"/>
      <c r="AJ86" s="3"/>
      <c r="AK86" s="3"/>
    </row>
    <row r="87" spans="1:37" ht="15.75" customHeight="1">
      <c r="A87" s="2" t="s">
        <v>2784</v>
      </c>
      <c r="B87" s="2" t="s">
        <v>2701</v>
      </c>
      <c r="C87" s="3">
        <v>700</v>
      </c>
      <c r="D87" s="2" t="s">
        <v>353</v>
      </c>
      <c r="E87" s="2">
        <f t="shared" si="4"/>
        <v>3</v>
      </c>
      <c r="F87" s="2">
        <f t="shared" si="5"/>
        <v>20</v>
      </c>
      <c r="G87" s="2">
        <f t="shared" si="6"/>
        <v>23</v>
      </c>
      <c r="H87" s="6">
        <f t="shared" si="7"/>
        <v>1</v>
      </c>
      <c r="I87" s="2" t="s">
        <v>3090</v>
      </c>
      <c r="J87" s="2" t="s">
        <v>3090</v>
      </c>
      <c r="K87" s="2" t="s">
        <v>3090</v>
      </c>
      <c r="L87" s="2" t="s">
        <v>3091</v>
      </c>
      <c r="M87" s="2" t="s">
        <v>3091</v>
      </c>
      <c r="N87" s="2" t="s">
        <v>3091</v>
      </c>
      <c r="O87" s="2" t="s">
        <v>3091</v>
      </c>
      <c r="P87" s="2" t="s">
        <v>3091</v>
      </c>
      <c r="Q87" s="2" t="s">
        <v>3091</v>
      </c>
      <c r="R87" s="2" t="s">
        <v>3091</v>
      </c>
      <c r="S87" s="2" t="s">
        <v>3091</v>
      </c>
      <c r="T87" s="2" t="s">
        <v>3091</v>
      </c>
      <c r="U87" s="2" t="s">
        <v>3091</v>
      </c>
      <c r="V87" s="2" t="s">
        <v>3091</v>
      </c>
      <c r="W87" s="2" t="s">
        <v>3091</v>
      </c>
      <c r="X87" s="2" t="s">
        <v>3091</v>
      </c>
      <c r="Y87" s="2" t="s">
        <v>3091</v>
      </c>
      <c r="Z87" s="2" t="s">
        <v>3091</v>
      </c>
      <c r="AA87" s="3" t="s">
        <v>3091</v>
      </c>
      <c r="AB87" s="3" t="s">
        <v>3091</v>
      </c>
      <c r="AC87" s="3" t="s">
        <v>3091</v>
      </c>
      <c r="AD87" s="3" t="s">
        <v>3091</v>
      </c>
      <c r="AE87" s="3" t="s">
        <v>3091</v>
      </c>
      <c r="AF87" s="3"/>
      <c r="AG87" s="3"/>
      <c r="AH87" s="3"/>
      <c r="AI87" s="3"/>
      <c r="AJ87" s="3"/>
      <c r="AK87" s="3"/>
    </row>
    <row r="88" spans="1:37" ht="15.75" customHeight="1">
      <c r="A88" s="2" t="s">
        <v>2785</v>
      </c>
      <c r="B88" s="2" t="s">
        <v>833</v>
      </c>
      <c r="C88" s="3">
        <v>689</v>
      </c>
      <c r="D88" s="2" t="s">
        <v>675</v>
      </c>
      <c r="E88" s="2">
        <f t="shared" si="4"/>
        <v>2</v>
      </c>
      <c r="F88" s="2">
        <f t="shared" si="5"/>
        <v>19</v>
      </c>
      <c r="G88" s="2">
        <f t="shared" si="6"/>
        <v>21</v>
      </c>
      <c r="H88" s="6">
        <f t="shared" si="7"/>
        <v>0.91304347826086996</v>
      </c>
      <c r="I88" s="2" t="s">
        <v>3090</v>
      </c>
      <c r="J88" s="2" t="s">
        <v>3091</v>
      </c>
      <c r="K88" s="2" t="s">
        <v>3091</v>
      </c>
      <c r="L88" s="2" t="s">
        <v>3091</v>
      </c>
      <c r="M88" s="2" t="s">
        <v>3091</v>
      </c>
      <c r="N88" s="2" t="s">
        <v>3091</v>
      </c>
      <c r="O88" s="2" t="s">
        <v>3091</v>
      </c>
      <c r="P88" s="2" t="s">
        <v>3091</v>
      </c>
      <c r="Q88" s="2" t="s">
        <v>3091</v>
      </c>
      <c r="R88" s="2" t="s">
        <v>3091</v>
      </c>
      <c r="S88" s="2" t="s">
        <v>3091</v>
      </c>
      <c r="T88" s="2" t="s">
        <v>3091</v>
      </c>
      <c r="U88" s="2" t="s">
        <v>3091</v>
      </c>
      <c r="V88" s="2" t="s">
        <v>3091</v>
      </c>
      <c r="W88" s="2" t="s">
        <v>3091</v>
      </c>
      <c r="X88" s="2" t="s">
        <v>3091</v>
      </c>
      <c r="Y88" s="2" t="s">
        <v>3091</v>
      </c>
      <c r="Z88" s="2" t="s">
        <v>3091</v>
      </c>
      <c r="AA88" s="3" t="s">
        <v>3091</v>
      </c>
      <c r="AB88" s="3" t="s">
        <v>3090</v>
      </c>
      <c r="AC88" s="3" t="s">
        <v>3091</v>
      </c>
      <c r="AD88" s="3" t="s">
        <v>3092</v>
      </c>
      <c r="AE88" s="3" t="s">
        <v>3092</v>
      </c>
      <c r="AF88" s="3"/>
      <c r="AG88" s="3"/>
      <c r="AH88" s="3"/>
      <c r="AI88" s="3"/>
      <c r="AJ88" s="3"/>
      <c r="AK88" s="3"/>
    </row>
    <row r="89" spans="1:37" ht="15.75" customHeight="1">
      <c r="A89" s="2" t="s">
        <v>2786</v>
      </c>
      <c r="B89" s="2" t="s">
        <v>2787</v>
      </c>
      <c r="C89" s="3">
        <v>690</v>
      </c>
      <c r="D89" s="2" t="s">
        <v>678</v>
      </c>
      <c r="E89" s="2">
        <f t="shared" si="4"/>
        <v>1</v>
      </c>
      <c r="F89" s="2">
        <f t="shared" si="5"/>
        <v>20</v>
      </c>
      <c r="G89" s="2">
        <f t="shared" si="6"/>
        <v>21</v>
      </c>
      <c r="H89" s="6">
        <f t="shared" si="7"/>
        <v>0.91304347826086996</v>
      </c>
      <c r="I89" s="2" t="s">
        <v>3091</v>
      </c>
      <c r="J89" s="2" t="s">
        <v>3091</v>
      </c>
      <c r="K89" s="2" t="s">
        <v>3091</v>
      </c>
      <c r="L89" s="2" t="s">
        <v>3091</v>
      </c>
      <c r="M89" s="2" t="s">
        <v>3091</v>
      </c>
      <c r="N89" s="2" t="s">
        <v>3091</v>
      </c>
      <c r="O89" s="2" t="s">
        <v>3091</v>
      </c>
      <c r="P89" s="2" t="s">
        <v>3091</v>
      </c>
      <c r="Q89" s="2" t="s">
        <v>3091</v>
      </c>
      <c r="R89" s="2" t="s">
        <v>3091</v>
      </c>
      <c r="S89" s="2" t="s">
        <v>3091</v>
      </c>
      <c r="T89" s="2" t="s">
        <v>3091</v>
      </c>
      <c r="U89" s="2" t="s">
        <v>3091</v>
      </c>
      <c r="V89" s="2" t="s">
        <v>3091</v>
      </c>
      <c r="W89" s="2" t="s">
        <v>3091</v>
      </c>
      <c r="X89" s="2" t="s">
        <v>3091</v>
      </c>
      <c r="Y89" s="2" t="s">
        <v>3090</v>
      </c>
      <c r="Z89" s="2" t="s">
        <v>3091</v>
      </c>
      <c r="AA89" s="3" t="s">
        <v>3091</v>
      </c>
      <c r="AB89" s="3" t="s">
        <v>3091</v>
      </c>
      <c r="AC89" s="3" t="s">
        <v>3091</v>
      </c>
      <c r="AD89" s="3" t="s">
        <v>3092</v>
      </c>
      <c r="AE89" s="3" t="s">
        <v>3092</v>
      </c>
      <c r="AF89" s="3"/>
      <c r="AG89" s="3"/>
      <c r="AH89" s="3"/>
      <c r="AI89" s="3"/>
      <c r="AJ89" s="3"/>
      <c r="AK89" s="3"/>
    </row>
    <row r="90" spans="1:37" ht="15.75" customHeight="1">
      <c r="A90" s="2" t="s">
        <v>2788</v>
      </c>
      <c r="B90" s="2" t="s">
        <v>2659</v>
      </c>
      <c r="C90" s="3">
        <v>735</v>
      </c>
      <c r="D90" s="2" t="s">
        <v>552</v>
      </c>
      <c r="E90" s="2">
        <f t="shared" si="4"/>
        <v>11</v>
      </c>
      <c r="F90" s="2">
        <f t="shared" si="5"/>
        <v>8</v>
      </c>
      <c r="G90" s="2">
        <f t="shared" si="6"/>
        <v>19</v>
      </c>
      <c r="H90" s="6">
        <f t="shared" si="7"/>
        <v>0.82608695652173902</v>
      </c>
      <c r="I90" s="2" t="s">
        <v>3090</v>
      </c>
      <c r="J90" s="2" t="s">
        <v>3091</v>
      </c>
      <c r="K90" s="2" t="s">
        <v>3091</v>
      </c>
      <c r="L90" s="2" t="s">
        <v>3091</v>
      </c>
      <c r="M90" s="2" t="s">
        <v>3090</v>
      </c>
      <c r="N90" s="2" t="s">
        <v>3090</v>
      </c>
      <c r="O90" s="2" t="s">
        <v>3091</v>
      </c>
      <c r="P90" s="2" t="s">
        <v>3092</v>
      </c>
      <c r="Q90" s="2" t="s">
        <v>3090</v>
      </c>
      <c r="R90" s="2" t="s">
        <v>3091</v>
      </c>
      <c r="S90" s="2" t="s">
        <v>3090</v>
      </c>
      <c r="T90" s="2" t="s">
        <v>3091</v>
      </c>
      <c r="U90" s="2" t="s">
        <v>3090</v>
      </c>
      <c r="V90" s="2" t="s">
        <v>3090</v>
      </c>
      <c r="W90" s="2" t="s">
        <v>3091</v>
      </c>
      <c r="X90" s="2" t="s">
        <v>3091</v>
      </c>
      <c r="Y90" s="2" t="s">
        <v>3090</v>
      </c>
      <c r="Z90" s="2" t="s">
        <v>3090</v>
      </c>
      <c r="AA90" s="3" t="s">
        <v>3092</v>
      </c>
      <c r="AB90" s="3" t="s">
        <v>3090</v>
      </c>
      <c r="AC90" s="3" t="s">
        <v>3090</v>
      </c>
      <c r="AD90" s="3" t="s">
        <v>3092</v>
      </c>
      <c r="AE90" s="3" t="s">
        <v>3092</v>
      </c>
      <c r="AF90" s="3"/>
      <c r="AG90" s="3"/>
      <c r="AH90" s="3"/>
      <c r="AI90" s="3"/>
      <c r="AJ90" s="3"/>
      <c r="AK90" s="3"/>
    </row>
    <row r="91" spans="1:37" ht="15.75" customHeight="1">
      <c r="A91" s="2" t="s">
        <v>2789</v>
      </c>
      <c r="B91" s="2" t="s">
        <v>2790</v>
      </c>
      <c r="C91" s="3">
        <v>730</v>
      </c>
      <c r="D91" s="2" t="s">
        <v>778</v>
      </c>
      <c r="E91" s="2">
        <f t="shared" si="4"/>
        <v>16</v>
      </c>
      <c r="F91" s="2">
        <f t="shared" si="5"/>
        <v>7</v>
      </c>
      <c r="G91" s="2">
        <f t="shared" si="6"/>
        <v>23</v>
      </c>
      <c r="H91" s="6">
        <f t="shared" si="7"/>
        <v>1</v>
      </c>
      <c r="I91" s="2" t="s">
        <v>3090</v>
      </c>
      <c r="J91" s="2" t="s">
        <v>3090</v>
      </c>
      <c r="K91" s="2" t="s">
        <v>3090</v>
      </c>
      <c r="L91" s="2" t="s">
        <v>3090</v>
      </c>
      <c r="M91" s="2" t="s">
        <v>3090</v>
      </c>
      <c r="N91" s="2" t="s">
        <v>3090</v>
      </c>
      <c r="O91" s="2" t="s">
        <v>3091</v>
      </c>
      <c r="P91" s="2" t="s">
        <v>3091</v>
      </c>
      <c r="Q91" s="2" t="s">
        <v>3090</v>
      </c>
      <c r="R91" s="2" t="s">
        <v>3090</v>
      </c>
      <c r="S91" s="2" t="s">
        <v>3090</v>
      </c>
      <c r="T91" s="2" t="s">
        <v>3091</v>
      </c>
      <c r="U91" s="2" t="s">
        <v>3090</v>
      </c>
      <c r="V91" s="2" t="s">
        <v>3090</v>
      </c>
      <c r="W91" s="2" t="s">
        <v>3091</v>
      </c>
      <c r="X91" s="2" t="s">
        <v>3091</v>
      </c>
      <c r="Y91" s="2" t="s">
        <v>3090</v>
      </c>
      <c r="Z91" s="2" t="s">
        <v>3091</v>
      </c>
      <c r="AA91" s="3" t="s">
        <v>3091</v>
      </c>
      <c r="AB91" s="3" t="s">
        <v>3090</v>
      </c>
      <c r="AC91" s="3" t="s">
        <v>3090</v>
      </c>
      <c r="AD91" s="3" t="s">
        <v>3090</v>
      </c>
      <c r="AE91" s="3" t="s">
        <v>3090</v>
      </c>
      <c r="AF91" s="3"/>
      <c r="AG91" s="3"/>
      <c r="AH91" s="3"/>
      <c r="AI91" s="3"/>
      <c r="AJ91" s="3"/>
      <c r="AK91" s="3"/>
    </row>
    <row r="92" spans="1:37" ht="15.75" customHeight="1">
      <c r="A92" s="2" t="s">
        <v>2791</v>
      </c>
      <c r="B92" s="2" t="s">
        <v>2792</v>
      </c>
      <c r="C92" s="3">
        <v>330</v>
      </c>
      <c r="D92" s="2" t="s">
        <v>387</v>
      </c>
      <c r="E92" s="2">
        <f t="shared" si="4"/>
        <v>12</v>
      </c>
      <c r="F92" s="2">
        <f t="shared" si="5"/>
        <v>11</v>
      </c>
      <c r="G92" s="2">
        <f t="shared" si="6"/>
        <v>23</v>
      </c>
      <c r="H92" s="6">
        <f t="shared" si="7"/>
        <v>1</v>
      </c>
      <c r="I92" s="2" t="s">
        <v>3090</v>
      </c>
      <c r="J92" s="2" t="s">
        <v>3090</v>
      </c>
      <c r="K92" s="2" t="s">
        <v>3090</v>
      </c>
      <c r="L92" s="2" t="s">
        <v>3090</v>
      </c>
      <c r="M92" s="2" t="s">
        <v>3090</v>
      </c>
      <c r="N92" s="2" t="s">
        <v>3090</v>
      </c>
      <c r="O92" s="2" t="s">
        <v>3091</v>
      </c>
      <c r="P92" s="2" t="s">
        <v>3091</v>
      </c>
      <c r="Q92" s="2" t="s">
        <v>3090</v>
      </c>
      <c r="R92" s="2" t="s">
        <v>3090</v>
      </c>
      <c r="S92" s="2" t="s">
        <v>3091</v>
      </c>
      <c r="T92" s="2" t="s">
        <v>3091</v>
      </c>
      <c r="U92" s="2" t="s">
        <v>3090</v>
      </c>
      <c r="V92" s="2" t="s">
        <v>3090</v>
      </c>
      <c r="W92" s="2" t="s">
        <v>3091</v>
      </c>
      <c r="X92" s="2" t="s">
        <v>3091</v>
      </c>
      <c r="Y92" s="2" t="s">
        <v>3090</v>
      </c>
      <c r="Z92" s="2" t="s">
        <v>3091</v>
      </c>
      <c r="AA92" s="3" t="s">
        <v>3091</v>
      </c>
      <c r="AB92" s="3" t="s">
        <v>3090</v>
      </c>
      <c r="AC92" s="3" t="s">
        <v>3091</v>
      </c>
      <c r="AD92" s="3" t="s">
        <v>3091</v>
      </c>
      <c r="AE92" s="3" t="s">
        <v>3091</v>
      </c>
      <c r="AF92" s="3"/>
      <c r="AG92" s="3"/>
      <c r="AH92" s="3"/>
      <c r="AI92" s="3"/>
      <c r="AJ92" s="3"/>
      <c r="AK92" s="3"/>
    </row>
    <row r="93" spans="1:37" ht="15.75" customHeight="1">
      <c r="A93" s="2" t="s">
        <v>2793</v>
      </c>
      <c r="B93" s="2" t="s">
        <v>2662</v>
      </c>
      <c r="C93" s="3">
        <v>742</v>
      </c>
      <c r="D93" s="2" t="s">
        <v>67</v>
      </c>
      <c r="E93" s="2">
        <f t="shared" si="4"/>
        <v>17</v>
      </c>
      <c r="F93" s="2">
        <f t="shared" si="5"/>
        <v>6</v>
      </c>
      <c r="G93" s="2">
        <f t="shared" si="6"/>
        <v>23</v>
      </c>
      <c r="H93" s="6">
        <f t="shared" si="7"/>
        <v>1</v>
      </c>
      <c r="I93" s="2" t="s">
        <v>3090</v>
      </c>
      <c r="J93" s="2" t="s">
        <v>3090</v>
      </c>
      <c r="K93" s="2" t="s">
        <v>3090</v>
      </c>
      <c r="L93" s="2" t="s">
        <v>3090</v>
      </c>
      <c r="M93" s="2" t="s">
        <v>3090</v>
      </c>
      <c r="N93" s="2" t="s">
        <v>3090</v>
      </c>
      <c r="O93" s="2" t="s">
        <v>3091</v>
      </c>
      <c r="P93" s="2" t="s">
        <v>3091</v>
      </c>
      <c r="Q93" s="2" t="s">
        <v>3090</v>
      </c>
      <c r="R93" s="2" t="s">
        <v>3090</v>
      </c>
      <c r="S93" s="2" t="s">
        <v>3090</v>
      </c>
      <c r="T93" s="2" t="s">
        <v>3091</v>
      </c>
      <c r="U93" s="2" t="s">
        <v>3090</v>
      </c>
      <c r="V93" s="2" t="s">
        <v>3090</v>
      </c>
      <c r="W93" s="2" t="s">
        <v>3091</v>
      </c>
      <c r="X93" s="2" t="s">
        <v>3091</v>
      </c>
      <c r="Y93" s="2" t="s">
        <v>3090</v>
      </c>
      <c r="Z93" s="2" t="s">
        <v>3090</v>
      </c>
      <c r="AA93" s="3" t="s">
        <v>3091</v>
      </c>
      <c r="AB93" s="3" t="s">
        <v>3090</v>
      </c>
      <c r="AC93" s="3" t="s">
        <v>3090</v>
      </c>
      <c r="AD93" s="3" t="s">
        <v>3090</v>
      </c>
      <c r="AE93" s="3" t="s">
        <v>3090</v>
      </c>
      <c r="AF93" s="3"/>
      <c r="AG93" s="3"/>
      <c r="AH93" s="3"/>
      <c r="AI93" s="3"/>
      <c r="AJ93" s="3"/>
      <c r="AK93" s="3"/>
    </row>
    <row r="94" spans="1:37" ht="15.75" customHeight="1">
      <c r="A94" s="2" t="s">
        <v>2794</v>
      </c>
      <c r="B94" s="2" t="s">
        <v>2732</v>
      </c>
      <c r="C94" s="3">
        <v>305</v>
      </c>
      <c r="D94" s="2" t="s">
        <v>466</v>
      </c>
      <c r="E94" s="2">
        <f t="shared" si="4"/>
        <v>10</v>
      </c>
      <c r="F94" s="2">
        <f t="shared" si="5"/>
        <v>9</v>
      </c>
      <c r="G94" s="2">
        <f t="shared" si="6"/>
        <v>19</v>
      </c>
      <c r="H94" s="6">
        <f t="shared" si="7"/>
        <v>0.82608695652173902</v>
      </c>
      <c r="I94" s="2" t="s">
        <v>3090</v>
      </c>
      <c r="J94" s="2" t="s">
        <v>3090</v>
      </c>
      <c r="K94" s="2" t="s">
        <v>3090</v>
      </c>
      <c r="L94" s="2" t="s">
        <v>3090</v>
      </c>
      <c r="M94" s="2" t="s">
        <v>3090</v>
      </c>
      <c r="N94" s="2" t="s">
        <v>3090</v>
      </c>
      <c r="O94" s="2" t="s">
        <v>3092</v>
      </c>
      <c r="P94" s="2" t="s">
        <v>3092</v>
      </c>
      <c r="Q94" s="2" t="s">
        <v>3091</v>
      </c>
      <c r="R94" s="2" t="s">
        <v>3091</v>
      </c>
      <c r="S94" s="2" t="s">
        <v>3090</v>
      </c>
      <c r="T94" s="2" t="s">
        <v>3092</v>
      </c>
      <c r="U94" s="2" t="s">
        <v>3091</v>
      </c>
      <c r="V94" s="2" t="s">
        <v>3090</v>
      </c>
      <c r="W94" s="2" t="s">
        <v>3091</v>
      </c>
      <c r="X94" s="2" t="s">
        <v>3091</v>
      </c>
      <c r="Y94" s="2" t="s">
        <v>3090</v>
      </c>
      <c r="Z94" s="2" t="s">
        <v>3090</v>
      </c>
      <c r="AA94" s="3" t="s">
        <v>3091</v>
      </c>
      <c r="AB94" s="3" t="s">
        <v>3091</v>
      </c>
      <c r="AC94" s="3" t="s">
        <v>3091</v>
      </c>
      <c r="AD94" s="3" t="s">
        <v>3091</v>
      </c>
      <c r="AE94" s="3" t="s">
        <v>3092</v>
      </c>
      <c r="AF94" s="3"/>
      <c r="AG94" s="3"/>
      <c r="AH94" s="3"/>
      <c r="AI94" s="3"/>
      <c r="AJ94" s="3"/>
      <c r="AK94" s="3"/>
    </row>
    <row r="95" spans="1:37" ht="15.75" customHeight="1">
      <c r="A95" s="2" t="s">
        <v>2795</v>
      </c>
      <c r="B95" s="2" t="s">
        <v>2796</v>
      </c>
      <c r="C95" s="3">
        <v>778</v>
      </c>
      <c r="D95" s="2" t="s">
        <v>719</v>
      </c>
      <c r="E95" s="2">
        <f t="shared" si="4"/>
        <v>1</v>
      </c>
      <c r="F95" s="2">
        <f t="shared" si="5"/>
        <v>17</v>
      </c>
      <c r="G95" s="2">
        <f t="shared" si="6"/>
        <v>18</v>
      </c>
      <c r="H95" s="6">
        <f t="shared" si="7"/>
        <v>0.78260869565217395</v>
      </c>
      <c r="I95" s="2" t="s">
        <v>3090</v>
      </c>
      <c r="J95" s="2" t="s">
        <v>3091</v>
      </c>
      <c r="K95" s="2" t="s">
        <v>3091</v>
      </c>
      <c r="L95" s="2" t="s">
        <v>3091</v>
      </c>
      <c r="M95" s="2" t="s">
        <v>3091</v>
      </c>
      <c r="N95" s="2" t="s">
        <v>3091</v>
      </c>
      <c r="O95" s="2" t="s">
        <v>3091</v>
      </c>
      <c r="P95" s="2" t="s">
        <v>3091</v>
      </c>
      <c r="Q95" s="2" t="s">
        <v>3092</v>
      </c>
      <c r="R95" s="2" t="s">
        <v>3091</v>
      </c>
      <c r="S95" s="2" t="s">
        <v>3092</v>
      </c>
      <c r="T95" s="2" t="s">
        <v>3091</v>
      </c>
      <c r="U95" s="2" t="s">
        <v>3091</v>
      </c>
      <c r="V95" s="2" t="s">
        <v>3091</v>
      </c>
      <c r="W95" s="2" t="s">
        <v>3091</v>
      </c>
      <c r="X95" s="2" t="s">
        <v>3091</v>
      </c>
      <c r="Y95" s="2" t="s">
        <v>3091</v>
      </c>
      <c r="Z95" s="2" t="s">
        <v>3091</v>
      </c>
      <c r="AA95" s="3" t="s">
        <v>3092</v>
      </c>
      <c r="AB95" s="3" t="s">
        <v>3091</v>
      </c>
      <c r="AC95" s="3" t="s">
        <v>3091</v>
      </c>
      <c r="AD95" s="3" t="s">
        <v>3092</v>
      </c>
      <c r="AE95" s="3" t="s">
        <v>3092</v>
      </c>
      <c r="AF95" s="3"/>
      <c r="AG95" s="3"/>
      <c r="AH95" s="3"/>
      <c r="AI95" s="3"/>
      <c r="AJ95" s="3"/>
      <c r="AK95" s="3"/>
    </row>
    <row r="96" spans="1:37" ht="15.75" customHeight="1">
      <c r="A96" s="2" t="s">
        <v>2797</v>
      </c>
      <c r="B96" s="2" t="s">
        <v>2798</v>
      </c>
      <c r="C96" s="3">
        <v>792</v>
      </c>
      <c r="D96" s="2" t="s">
        <v>9</v>
      </c>
      <c r="E96" s="2">
        <f t="shared" si="4"/>
        <v>0</v>
      </c>
      <c r="F96" s="2">
        <f t="shared" si="5"/>
        <v>23</v>
      </c>
      <c r="G96" s="2">
        <f t="shared" si="6"/>
        <v>23</v>
      </c>
      <c r="H96" s="6">
        <f t="shared" si="7"/>
        <v>1</v>
      </c>
      <c r="I96" s="2" t="s">
        <v>3091</v>
      </c>
      <c r="J96" s="2" t="s">
        <v>3091</v>
      </c>
      <c r="K96" s="2" t="s">
        <v>3091</v>
      </c>
      <c r="L96" s="2" t="s">
        <v>3091</v>
      </c>
      <c r="M96" s="2" t="s">
        <v>3091</v>
      </c>
      <c r="N96" s="2" t="s">
        <v>3091</v>
      </c>
      <c r="O96" s="2" t="s">
        <v>3091</v>
      </c>
      <c r="P96" s="2" t="s">
        <v>3091</v>
      </c>
      <c r="Q96" s="2" t="s">
        <v>3091</v>
      </c>
      <c r="R96" s="2" t="s">
        <v>3091</v>
      </c>
      <c r="S96" s="2" t="s">
        <v>3091</v>
      </c>
      <c r="T96" s="2" t="s">
        <v>3091</v>
      </c>
      <c r="U96" s="2" t="s">
        <v>3091</v>
      </c>
      <c r="V96" s="2" t="s">
        <v>3091</v>
      </c>
      <c r="W96" s="2" t="s">
        <v>3091</v>
      </c>
      <c r="X96" s="2" t="s">
        <v>3091</v>
      </c>
      <c r="Y96" s="2" t="s">
        <v>3091</v>
      </c>
      <c r="Z96" s="2" t="s">
        <v>3091</v>
      </c>
      <c r="AA96" s="3" t="s">
        <v>3091</v>
      </c>
      <c r="AB96" s="3" t="s">
        <v>3091</v>
      </c>
      <c r="AC96" s="3" t="s">
        <v>3091</v>
      </c>
      <c r="AD96" s="3" t="s">
        <v>3091</v>
      </c>
      <c r="AE96" s="3" t="s">
        <v>3091</v>
      </c>
      <c r="AF96" s="3"/>
      <c r="AG96" s="3"/>
      <c r="AH96" s="3"/>
      <c r="AI96" s="3"/>
      <c r="AJ96" s="3"/>
      <c r="AK96" s="3"/>
    </row>
    <row r="97" spans="1:37" ht="15.75" customHeight="1">
      <c r="A97" s="2" t="s">
        <v>2799</v>
      </c>
      <c r="B97" s="2" t="s">
        <v>2746</v>
      </c>
      <c r="C97" s="3">
        <v>366</v>
      </c>
      <c r="D97" s="2" t="s">
        <v>160</v>
      </c>
      <c r="E97" s="2">
        <f t="shared" si="4"/>
        <v>11</v>
      </c>
      <c r="F97" s="2">
        <f t="shared" si="5"/>
        <v>11</v>
      </c>
      <c r="G97" s="2">
        <f t="shared" si="6"/>
        <v>22</v>
      </c>
      <c r="H97" s="6">
        <f t="shared" si="7"/>
        <v>0.95652173913043503</v>
      </c>
      <c r="I97" s="2" t="s">
        <v>3090</v>
      </c>
      <c r="J97" s="2" t="s">
        <v>3090</v>
      </c>
      <c r="K97" s="2" t="s">
        <v>3090</v>
      </c>
      <c r="L97" s="2" t="s">
        <v>3090</v>
      </c>
      <c r="M97" s="2" t="s">
        <v>3090</v>
      </c>
      <c r="N97" s="2" t="s">
        <v>3090</v>
      </c>
      <c r="O97" s="2" t="s">
        <v>3091</v>
      </c>
      <c r="P97" s="2" t="s">
        <v>3091</v>
      </c>
      <c r="Q97" s="2" t="s">
        <v>3090</v>
      </c>
      <c r="R97" s="2" t="s">
        <v>3090</v>
      </c>
      <c r="S97" s="2" t="s">
        <v>3090</v>
      </c>
      <c r="T97" s="2" t="s">
        <v>3091</v>
      </c>
      <c r="U97" s="2" t="s">
        <v>3090</v>
      </c>
      <c r="V97" s="2" t="s">
        <v>3090</v>
      </c>
      <c r="W97" s="2" t="s">
        <v>3091</v>
      </c>
      <c r="X97" s="2" t="s">
        <v>3091</v>
      </c>
      <c r="Y97" s="2" t="s">
        <v>3091</v>
      </c>
      <c r="Z97" s="2" t="s">
        <v>3091</v>
      </c>
      <c r="AA97" s="3" t="s">
        <v>3091</v>
      </c>
      <c r="AB97" s="3" t="s">
        <v>3091</v>
      </c>
      <c r="AC97" s="3" t="s">
        <v>3091</v>
      </c>
      <c r="AD97" s="3" t="s">
        <v>3091</v>
      </c>
      <c r="AE97" s="3" t="s">
        <v>3092</v>
      </c>
      <c r="AF97" s="3"/>
      <c r="AG97" s="3"/>
      <c r="AH97" s="3"/>
      <c r="AI97" s="3"/>
      <c r="AJ97" s="3"/>
      <c r="AK97" s="3"/>
    </row>
    <row r="98" spans="1:37" ht="15.75" customHeight="1">
      <c r="A98" s="2" t="s">
        <v>2800</v>
      </c>
      <c r="B98" s="2" t="s">
        <v>2801</v>
      </c>
      <c r="C98" s="3">
        <v>807</v>
      </c>
      <c r="D98" s="2" t="s">
        <v>299</v>
      </c>
      <c r="E98" s="2">
        <f t="shared" si="4"/>
        <v>5</v>
      </c>
      <c r="F98" s="2">
        <f t="shared" si="5"/>
        <v>11</v>
      </c>
      <c r="G98" s="2">
        <f t="shared" si="6"/>
        <v>16</v>
      </c>
      <c r="H98" s="6">
        <f t="shared" si="7"/>
        <v>0.69565217391304301</v>
      </c>
      <c r="I98" s="2" t="s">
        <v>3091</v>
      </c>
      <c r="J98" s="2" t="s">
        <v>3091</v>
      </c>
      <c r="K98" s="2" t="s">
        <v>3091</v>
      </c>
      <c r="L98" s="2" t="s">
        <v>3091</v>
      </c>
      <c r="M98" s="2" t="s">
        <v>3090</v>
      </c>
      <c r="N98" s="2" t="s">
        <v>3090</v>
      </c>
      <c r="O98" s="2" t="s">
        <v>3092</v>
      </c>
      <c r="P98" s="2" t="s">
        <v>3092</v>
      </c>
      <c r="Q98" s="2" t="s">
        <v>3090</v>
      </c>
      <c r="R98" s="2" t="s">
        <v>3090</v>
      </c>
      <c r="S98" s="2" t="s">
        <v>3090</v>
      </c>
      <c r="T98" s="2" t="s">
        <v>3091</v>
      </c>
      <c r="U98" s="2" t="s">
        <v>3091</v>
      </c>
      <c r="V98" s="2" t="s">
        <v>3091</v>
      </c>
      <c r="W98" s="2" t="s">
        <v>3092</v>
      </c>
      <c r="X98" s="2" t="s">
        <v>3091</v>
      </c>
      <c r="Y98" s="2" t="s">
        <v>3092</v>
      </c>
      <c r="Z98" s="2" t="s">
        <v>3092</v>
      </c>
      <c r="AA98" s="3" t="s">
        <v>3091</v>
      </c>
      <c r="AB98" s="3" t="s">
        <v>3092</v>
      </c>
      <c r="AC98" s="3" t="s">
        <v>3092</v>
      </c>
      <c r="AD98" s="3" t="s">
        <v>3091</v>
      </c>
      <c r="AE98" s="3" t="s">
        <v>3091</v>
      </c>
      <c r="AF98" s="3"/>
      <c r="AG98" s="3"/>
      <c r="AH98" s="3"/>
      <c r="AI98" s="3"/>
      <c r="AJ98" s="3"/>
      <c r="AK98" s="3"/>
    </row>
    <row r="99" spans="1:37" ht="15.75" customHeight="1">
      <c r="A99" s="2" t="s">
        <v>2802</v>
      </c>
      <c r="B99" s="2" t="s">
        <v>2682</v>
      </c>
      <c r="C99" s="3">
        <v>765</v>
      </c>
      <c r="D99" s="2" t="s">
        <v>117</v>
      </c>
      <c r="E99" s="2">
        <f t="shared" si="4"/>
        <v>7</v>
      </c>
      <c r="F99" s="2">
        <f t="shared" si="5"/>
        <v>15</v>
      </c>
      <c r="G99" s="2">
        <f t="shared" si="6"/>
        <v>22</v>
      </c>
      <c r="H99" s="6">
        <f t="shared" si="7"/>
        <v>0.95652173913043503</v>
      </c>
      <c r="I99" s="2" t="s">
        <v>3090</v>
      </c>
      <c r="J99" s="2" t="s">
        <v>3090</v>
      </c>
      <c r="K99" s="2" t="s">
        <v>3090</v>
      </c>
      <c r="L99" s="2" t="s">
        <v>3090</v>
      </c>
      <c r="M99" s="2" t="s">
        <v>3091</v>
      </c>
      <c r="N99" s="2" t="s">
        <v>3090</v>
      </c>
      <c r="O99" s="2" t="s">
        <v>3091</v>
      </c>
      <c r="P99" s="2" t="s">
        <v>3091</v>
      </c>
      <c r="Q99" s="2" t="s">
        <v>3090</v>
      </c>
      <c r="R99" s="2" t="s">
        <v>3092</v>
      </c>
      <c r="S99" s="2" t="s">
        <v>3090</v>
      </c>
      <c r="T99" s="2" t="s">
        <v>3091</v>
      </c>
      <c r="U99" s="2" t="s">
        <v>3091</v>
      </c>
      <c r="V99" s="2" t="s">
        <v>3091</v>
      </c>
      <c r="W99" s="2" t="s">
        <v>3091</v>
      </c>
      <c r="X99" s="2" t="s">
        <v>3091</v>
      </c>
      <c r="Y99" s="2" t="s">
        <v>3091</v>
      </c>
      <c r="Z99" s="2" t="s">
        <v>3091</v>
      </c>
      <c r="AA99" s="3" t="s">
        <v>3091</v>
      </c>
      <c r="AB99" s="3" t="s">
        <v>3091</v>
      </c>
      <c r="AC99" s="3" t="s">
        <v>3091</v>
      </c>
      <c r="AD99" s="3" t="s">
        <v>3091</v>
      </c>
      <c r="AE99" s="3" t="s">
        <v>3091</v>
      </c>
      <c r="AF99" s="3"/>
      <c r="AG99" s="3"/>
      <c r="AH99" s="3"/>
      <c r="AI99" s="3"/>
      <c r="AJ99" s="3"/>
      <c r="AK99" s="3"/>
    </row>
    <row r="100" spans="1:37" ht="15.75" customHeight="1">
      <c r="A100" s="2" t="s">
        <v>2803</v>
      </c>
      <c r="B100" s="2" t="s">
        <v>2804</v>
      </c>
      <c r="C100" s="3">
        <v>695</v>
      </c>
      <c r="D100" s="2" t="s">
        <v>250</v>
      </c>
      <c r="E100" s="2">
        <f t="shared" si="4"/>
        <v>5</v>
      </c>
      <c r="F100" s="2">
        <f t="shared" si="5"/>
        <v>18</v>
      </c>
      <c r="G100" s="2">
        <f t="shared" si="6"/>
        <v>23</v>
      </c>
      <c r="H100" s="6">
        <f t="shared" si="7"/>
        <v>1</v>
      </c>
      <c r="I100" s="2" t="s">
        <v>3091</v>
      </c>
      <c r="J100" s="2" t="s">
        <v>3091</v>
      </c>
      <c r="K100" s="2" t="s">
        <v>3091</v>
      </c>
      <c r="L100" s="2" t="s">
        <v>3090</v>
      </c>
      <c r="M100" s="2" t="s">
        <v>3091</v>
      </c>
      <c r="N100" s="2" t="s">
        <v>3091</v>
      </c>
      <c r="O100" s="2" t="s">
        <v>3091</v>
      </c>
      <c r="P100" s="2" t="s">
        <v>3091</v>
      </c>
      <c r="Q100" s="2" t="s">
        <v>3090</v>
      </c>
      <c r="R100" s="2" t="s">
        <v>3090</v>
      </c>
      <c r="S100" s="2" t="s">
        <v>3091</v>
      </c>
      <c r="T100" s="2" t="s">
        <v>3091</v>
      </c>
      <c r="U100" s="2" t="s">
        <v>3090</v>
      </c>
      <c r="V100" s="2" t="s">
        <v>3090</v>
      </c>
      <c r="W100" s="2" t="s">
        <v>3091</v>
      </c>
      <c r="X100" s="2" t="s">
        <v>3091</v>
      </c>
      <c r="Y100" s="2" t="s">
        <v>3091</v>
      </c>
      <c r="Z100" s="2" t="s">
        <v>3091</v>
      </c>
      <c r="AA100" s="3" t="s">
        <v>3091</v>
      </c>
      <c r="AB100" s="3" t="s">
        <v>3091</v>
      </c>
      <c r="AC100" s="3" t="s">
        <v>3091</v>
      </c>
      <c r="AD100" s="3" t="s">
        <v>3091</v>
      </c>
      <c r="AE100" s="3" t="s">
        <v>3091</v>
      </c>
      <c r="AF100" s="3"/>
      <c r="AG100" s="3"/>
      <c r="AH100" s="3"/>
      <c r="AI100" s="3"/>
      <c r="AJ100" s="3"/>
      <c r="AK100" s="3"/>
    </row>
    <row r="101" spans="1:37" ht="15.75" customHeight="1">
      <c r="A101" s="2" t="s">
        <v>2805</v>
      </c>
      <c r="B101" s="2" t="s">
        <v>2790</v>
      </c>
      <c r="C101" s="3">
        <v>468</v>
      </c>
      <c r="D101" s="2" t="s">
        <v>515</v>
      </c>
      <c r="E101" s="2">
        <f t="shared" si="4"/>
        <v>8</v>
      </c>
      <c r="F101" s="2">
        <f t="shared" si="5"/>
        <v>15</v>
      </c>
      <c r="G101" s="2">
        <f t="shared" si="6"/>
        <v>23</v>
      </c>
      <c r="H101" s="6">
        <f t="shared" si="7"/>
        <v>1</v>
      </c>
      <c r="I101" s="2" t="s">
        <v>3090</v>
      </c>
      <c r="J101" s="2" t="s">
        <v>3091</v>
      </c>
      <c r="K101" s="2" t="s">
        <v>3091</v>
      </c>
      <c r="L101" s="2" t="s">
        <v>3091</v>
      </c>
      <c r="M101" s="2" t="s">
        <v>3091</v>
      </c>
      <c r="N101" s="2" t="s">
        <v>3090</v>
      </c>
      <c r="O101" s="2" t="s">
        <v>3091</v>
      </c>
      <c r="P101" s="2" t="s">
        <v>3091</v>
      </c>
      <c r="Q101" s="2" t="s">
        <v>3090</v>
      </c>
      <c r="R101" s="2" t="s">
        <v>3090</v>
      </c>
      <c r="S101" s="2" t="s">
        <v>3091</v>
      </c>
      <c r="T101" s="2" t="s">
        <v>3091</v>
      </c>
      <c r="U101" s="2" t="s">
        <v>3090</v>
      </c>
      <c r="V101" s="2" t="s">
        <v>3091</v>
      </c>
      <c r="W101" s="2" t="s">
        <v>3091</v>
      </c>
      <c r="X101" s="2" t="s">
        <v>3091</v>
      </c>
      <c r="Y101" s="2" t="s">
        <v>3090</v>
      </c>
      <c r="Z101" s="2" t="s">
        <v>3091</v>
      </c>
      <c r="AA101" s="3" t="s">
        <v>3091</v>
      </c>
      <c r="AB101" s="3" t="s">
        <v>3090</v>
      </c>
      <c r="AC101" s="3" t="s">
        <v>3091</v>
      </c>
      <c r="AD101" s="3" t="s">
        <v>3091</v>
      </c>
      <c r="AE101" s="3" t="s">
        <v>3090</v>
      </c>
      <c r="AF101" s="3"/>
      <c r="AG101" s="3"/>
      <c r="AH101" s="3"/>
      <c r="AI101" s="3"/>
      <c r="AJ101" s="3"/>
      <c r="AK101" s="3"/>
    </row>
    <row r="102" spans="1:37" ht="15.75" customHeight="1">
      <c r="A102" s="2" t="s">
        <v>2386</v>
      </c>
      <c r="B102" s="2" t="s">
        <v>851</v>
      </c>
      <c r="C102" s="3">
        <v>789</v>
      </c>
      <c r="D102" s="2" t="s">
        <v>722</v>
      </c>
      <c r="E102" s="2">
        <f t="shared" si="4"/>
        <v>4</v>
      </c>
      <c r="F102" s="2">
        <f t="shared" si="5"/>
        <v>7</v>
      </c>
      <c r="G102" s="2">
        <f t="shared" si="6"/>
        <v>11</v>
      </c>
      <c r="H102" s="6">
        <f t="shared" si="7"/>
        <v>0.47826086956521702</v>
      </c>
      <c r="I102" s="2" t="s">
        <v>3090</v>
      </c>
      <c r="J102" s="2" t="s">
        <v>3091</v>
      </c>
      <c r="K102" s="2" t="s">
        <v>3091</v>
      </c>
      <c r="L102" s="2" t="s">
        <v>3091</v>
      </c>
      <c r="M102" s="2" t="s">
        <v>3091</v>
      </c>
      <c r="N102" s="2" t="s">
        <v>3091</v>
      </c>
      <c r="O102" s="2" t="s">
        <v>3091</v>
      </c>
      <c r="P102" s="2" t="s">
        <v>3091</v>
      </c>
      <c r="Q102" s="2" t="s">
        <v>3090</v>
      </c>
      <c r="R102" s="2" t="s">
        <v>3090</v>
      </c>
      <c r="S102" s="2" t="s">
        <v>3090</v>
      </c>
      <c r="T102" s="2" t="s">
        <v>3092</v>
      </c>
      <c r="U102" s="2" t="s">
        <v>3092</v>
      </c>
      <c r="V102" s="2" t="s">
        <v>3092</v>
      </c>
      <c r="W102" s="2" t="s">
        <v>3092</v>
      </c>
      <c r="X102" s="2" t="s">
        <v>3092</v>
      </c>
      <c r="Y102" s="2" t="s">
        <v>3092</v>
      </c>
      <c r="Z102" s="2" t="s">
        <v>3092</v>
      </c>
      <c r="AA102" s="3" t="s">
        <v>3092</v>
      </c>
      <c r="AB102" s="3" t="s">
        <v>3092</v>
      </c>
      <c r="AC102" s="3" t="s">
        <v>3092</v>
      </c>
      <c r="AD102" s="3" t="s">
        <v>3092</v>
      </c>
      <c r="AE102" s="3" t="s">
        <v>3092</v>
      </c>
      <c r="AF102" s="3"/>
      <c r="AG102" s="3"/>
      <c r="AH102" s="3"/>
      <c r="AI102" s="3"/>
      <c r="AJ102" s="3"/>
      <c r="AK102" s="3"/>
    </row>
    <row r="103" spans="1:37" ht="15.75" customHeight="1">
      <c r="A103" s="2" t="s">
        <v>2386</v>
      </c>
      <c r="B103" s="2" t="s">
        <v>2659</v>
      </c>
      <c r="C103" s="3">
        <v>596</v>
      </c>
      <c r="D103" s="2" t="s">
        <v>355</v>
      </c>
      <c r="E103" s="2">
        <f t="shared" si="4"/>
        <v>16</v>
      </c>
      <c r="F103" s="2">
        <f t="shared" si="5"/>
        <v>7</v>
      </c>
      <c r="G103" s="2">
        <f t="shared" si="6"/>
        <v>23</v>
      </c>
      <c r="H103" s="6">
        <f t="shared" si="7"/>
        <v>1</v>
      </c>
      <c r="I103" s="2" t="s">
        <v>3090</v>
      </c>
      <c r="J103" s="2" t="s">
        <v>3090</v>
      </c>
      <c r="K103" s="2" t="s">
        <v>3090</v>
      </c>
      <c r="L103" s="2" t="s">
        <v>3090</v>
      </c>
      <c r="M103" s="2" t="s">
        <v>3090</v>
      </c>
      <c r="N103" s="2" t="s">
        <v>3090</v>
      </c>
      <c r="O103" s="2" t="s">
        <v>3091</v>
      </c>
      <c r="P103" s="2" t="s">
        <v>3091</v>
      </c>
      <c r="Q103" s="2" t="s">
        <v>3090</v>
      </c>
      <c r="R103" s="2" t="s">
        <v>3090</v>
      </c>
      <c r="S103" s="2" t="s">
        <v>3090</v>
      </c>
      <c r="T103" s="2" t="s">
        <v>3091</v>
      </c>
      <c r="U103" s="2" t="s">
        <v>3090</v>
      </c>
      <c r="V103" s="2" t="s">
        <v>3090</v>
      </c>
      <c r="W103" s="2" t="s">
        <v>3091</v>
      </c>
      <c r="X103" s="2" t="s">
        <v>3091</v>
      </c>
      <c r="Y103" s="2" t="s">
        <v>3090</v>
      </c>
      <c r="Z103" s="2" t="s">
        <v>3090</v>
      </c>
      <c r="AA103" s="3" t="s">
        <v>3091</v>
      </c>
      <c r="AB103" s="3" t="s">
        <v>3090</v>
      </c>
      <c r="AC103" s="3" t="s">
        <v>3090</v>
      </c>
      <c r="AD103" s="3" t="s">
        <v>3090</v>
      </c>
      <c r="AE103" s="3" t="s">
        <v>3091</v>
      </c>
      <c r="AF103" s="3"/>
      <c r="AG103" s="3"/>
      <c r="AH103" s="3"/>
      <c r="AI103" s="3"/>
      <c r="AJ103" s="3"/>
      <c r="AK103" s="3"/>
    </row>
    <row r="104" spans="1:37" ht="15.75" customHeight="1">
      <c r="A104" s="2" t="s">
        <v>2806</v>
      </c>
      <c r="B104" s="2" t="s">
        <v>2722</v>
      </c>
      <c r="C104" s="3">
        <v>752</v>
      </c>
      <c r="D104" s="2" t="s">
        <v>12</v>
      </c>
      <c r="E104" s="2">
        <f t="shared" si="4"/>
        <v>0</v>
      </c>
      <c r="F104" s="2">
        <f t="shared" si="5"/>
        <v>23</v>
      </c>
      <c r="G104" s="2">
        <f t="shared" si="6"/>
        <v>23</v>
      </c>
      <c r="H104" s="6">
        <f t="shared" si="7"/>
        <v>1</v>
      </c>
      <c r="I104" s="2" t="s">
        <v>3091</v>
      </c>
      <c r="J104" s="2" t="s">
        <v>3091</v>
      </c>
      <c r="K104" s="2" t="s">
        <v>3091</v>
      </c>
      <c r="L104" s="2" t="s">
        <v>3091</v>
      </c>
      <c r="M104" s="2" t="s">
        <v>3091</v>
      </c>
      <c r="N104" s="2" t="s">
        <v>3091</v>
      </c>
      <c r="O104" s="2" t="s">
        <v>3091</v>
      </c>
      <c r="P104" s="2" t="s">
        <v>3091</v>
      </c>
      <c r="Q104" s="2" t="s">
        <v>3091</v>
      </c>
      <c r="R104" s="2" t="s">
        <v>3091</v>
      </c>
      <c r="S104" s="2" t="s">
        <v>3091</v>
      </c>
      <c r="T104" s="2" t="s">
        <v>3091</v>
      </c>
      <c r="U104" s="2" t="s">
        <v>3091</v>
      </c>
      <c r="V104" s="2" t="s">
        <v>3091</v>
      </c>
      <c r="W104" s="2" t="s">
        <v>3091</v>
      </c>
      <c r="X104" s="2" t="s">
        <v>3091</v>
      </c>
      <c r="Y104" s="2" t="s">
        <v>3091</v>
      </c>
      <c r="Z104" s="2" t="s">
        <v>3091</v>
      </c>
      <c r="AA104" s="3" t="s">
        <v>3091</v>
      </c>
      <c r="AB104" s="3" t="s">
        <v>3091</v>
      </c>
      <c r="AC104" s="3" t="s">
        <v>3091</v>
      </c>
      <c r="AD104" s="3" t="s">
        <v>3091</v>
      </c>
      <c r="AE104" s="3" t="s">
        <v>3091</v>
      </c>
      <c r="AF104" s="3"/>
      <c r="AG104" s="3"/>
      <c r="AH104" s="3"/>
      <c r="AI104" s="3"/>
      <c r="AJ104" s="3"/>
      <c r="AK104" s="3"/>
    </row>
    <row r="105" spans="1:37" ht="15.75" customHeight="1">
      <c r="A105" s="2" t="s">
        <v>2807</v>
      </c>
      <c r="B105" s="2" t="s">
        <v>2808</v>
      </c>
      <c r="C105" s="3">
        <v>297</v>
      </c>
      <c r="D105" s="2" t="s">
        <v>517</v>
      </c>
      <c r="E105" s="2">
        <f t="shared" si="4"/>
        <v>15</v>
      </c>
      <c r="F105" s="2">
        <f t="shared" si="5"/>
        <v>8</v>
      </c>
      <c r="G105" s="2">
        <f t="shared" si="6"/>
        <v>23</v>
      </c>
      <c r="H105" s="6">
        <f t="shared" si="7"/>
        <v>1</v>
      </c>
      <c r="I105" s="2" t="s">
        <v>3090</v>
      </c>
      <c r="J105" s="2" t="s">
        <v>3090</v>
      </c>
      <c r="K105" s="2" t="s">
        <v>3090</v>
      </c>
      <c r="L105" s="2" t="s">
        <v>3090</v>
      </c>
      <c r="M105" s="2" t="s">
        <v>3090</v>
      </c>
      <c r="N105" s="2" t="s">
        <v>3090</v>
      </c>
      <c r="O105" s="2" t="s">
        <v>3091</v>
      </c>
      <c r="P105" s="2" t="s">
        <v>3091</v>
      </c>
      <c r="Q105" s="2" t="s">
        <v>3090</v>
      </c>
      <c r="R105" s="2" t="s">
        <v>3090</v>
      </c>
      <c r="S105" s="2" t="s">
        <v>3090</v>
      </c>
      <c r="T105" s="2" t="s">
        <v>3091</v>
      </c>
      <c r="U105" s="2" t="s">
        <v>3090</v>
      </c>
      <c r="V105" s="2" t="s">
        <v>3090</v>
      </c>
      <c r="W105" s="2" t="s">
        <v>3091</v>
      </c>
      <c r="X105" s="2" t="s">
        <v>3091</v>
      </c>
      <c r="Y105" s="2" t="s">
        <v>3090</v>
      </c>
      <c r="Z105" s="2" t="s">
        <v>3091</v>
      </c>
      <c r="AA105" s="3" t="s">
        <v>3091</v>
      </c>
      <c r="AB105" s="3" t="s">
        <v>3090</v>
      </c>
      <c r="AC105" s="3" t="s">
        <v>3090</v>
      </c>
      <c r="AD105" s="3" t="s">
        <v>3090</v>
      </c>
      <c r="AE105" s="3" t="s">
        <v>3091</v>
      </c>
      <c r="AF105" s="3"/>
      <c r="AG105" s="3"/>
      <c r="AH105" s="3"/>
      <c r="AI105" s="3"/>
      <c r="AJ105" s="3"/>
      <c r="AK105" s="3"/>
    </row>
    <row r="106" spans="1:37" ht="15.75" customHeight="1">
      <c r="A106" s="2" t="s">
        <v>2761</v>
      </c>
      <c r="B106" s="2" t="s">
        <v>2809</v>
      </c>
      <c r="C106" s="3">
        <v>806</v>
      </c>
      <c r="D106" s="2" t="s">
        <v>658</v>
      </c>
      <c r="E106" s="2">
        <f t="shared" si="4"/>
        <v>3</v>
      </c>
      <c r="F106" s="2">
        <f t="shared" si="5"/>
        <v>15</v>
      </c>
      <c r="G106" s="2">
        <f t="shared" si="6"/>
        <v>18</v>
      </c>
      <c r="H106" s="6">
        <f t="shared" si="7"/>
        <v>0.78260869565217395</v>
      </c>
      <c r="I106" s="2" t="s">
        <v>3091</v>
      </c>
      <c r="J106" s="2" t="s">
        <v>3091</v>
      </c>
      <c r="K106" s="2" t="s">
        <v>3091</v>
      </c>
      <c r="L106" s="2" t="s">
        <v>3090</v>
      </c>
      <c r="M106" s="2" t="s">
        <v>3090</v>
      </c>
      <c r="N106" s="2" t="s">
        <v>3090</v>
      </c>
      <c r="O106" s="2" t="s">
        <v>3091</v>
      </c>
      <c r="P106" s="2" t="s">
        <v>3091</v>
      </c>
      <c r="Q106" s="2" t="s">
        <v>3091</v>
      </c>
      <c r="R106" s="2" t="s">
        <v>3091</v>
      </c>
      <c r="S106" s="2" t="s">
        <v>3091</v>
      </c>
      <c r="T106" s="2" t="s">
        <v>3091</v>
      </c>
      <c r="U106" s="2" t="s">
        <v>3091</v>
      </c>
      <c r="V106" s="2" t="s">
        <v>3091</v>
      </c>
      <c r="W106" s="2" t="s">
        <v>3091</v>
      </c>
      <c r="X106" s="2" t="s">
        <v>3091</v>
      </c>
      <c r="Y106" s="2" t="s">
        <v>3091</v>
      </c>
      <c r="Z106" s="2" t="s">
        <v>3091</v>
      </c>
      <c r="AA106" s="3" t="s">
        <v>3092</v>
      </c>
      <c r="AB106" s="3" t="s">
        <v>3092</v>
      </c>
      <c r="AC106" s="3" t="s">
        <v>3092</v>
      </c>
      <c r="AD106" s="3" t="s">
        <v>3092</v>
      </c>
      <c r="AE106" s="3" t="s">
        <v>3092</v>
      </c>
      <c r="AF106" s="3"/>
      <c r="AG106" s="3"/>
      <c r="AH106" s="3"/>
      <c r="AI106" s="3"/>
      <c r="AJ106" s="3"/>
      <c r="AK106" s="3"/>
    </row>
    <row r="107" spans="1:37" ht="15.75" customHeight="1">
      <c r="A107" s="2" t="s">
        <v>2810</v>
      </c>
      <c r="B107" s="2" t="s">
        <v>2770</v>
      </c>
      <c r="C107" s="3">
        <v>627</v>
      </c>
      <c r="D107" s="2" t="s">
        <v>615</v>
      </c>
      <c r="E107" s="2">
        <f t="shared" si="4"/>
        <v>15</v>
      </c>
      <c r="F107" s="2">
        <f t="shared" si="5"/>
        <v>8</v>
      </c>
      <c r="G107" s="2">
        <f t="shared" si="6"/>
        <v>23</v>
      </c>
      <c r="H107" s="6">
        <f t="shared" si="7"/>
        <v>1</v>
      </c>
      <c r="I107" s="2" t="s">
        <v>3090</v>
      </c>
      <c r="J107" s="2" t="s">
        <v>3091</v>
      </c>
      <c r="K107" s="2" t="s">
        <v>3091</v>
      </c>
      <c r="L107" s="2" t="s">
        <v>3090</v>
      </c>
      <c r="M107" s="2" t="s">
        <v>3090</v>
      </c>
      <c r="N107" s="2" t="s">
        <v>3090</v>
      </c>
      <c r="O107" s="2" t="s">
        <v>3091</v>
      </c>
      <c r="P107" s="2" t="s">
        <v>3091</v>
      </c>
      <c r="Q107" s="2" t="s">
        <v>3090</v>
      </c>
      <c r="R107" s="2" t="s">
        <v>3090</v>
      </c>
      <c r="S107" s="2" t="s">
        <v>3090</v>
      </c>
      <c r="T107" s="2" t="s">
        <v>3091</v>
      </c>
      <c r="U107" s="2" t="s">
        <v>3090</v>
      </c>
      <c r="V107" s="2" t="s">
        <v>3090</v>
      </c>
      <c r="W107" s="2" t="s">
        <v>3091</v>
      </c>
      <c r="X107" s="2" t="s">
        <v>3091</v>
      </c>
      <c r="Y107" s="2" t="s">
        <v>3090</v>
      </c>
      <c r="Z107" s="2" t="s">
        <v>3090</v>
      </c>
      <c r="AA107" s="3" t="s">
        <v>3091</v>
      </c>
      <c r="AB107" s="3" t="s">
        <v>3090</v>
      </c>
      <c r="AC107" s="3" t="s">
        <v>3090</v>
      </c>
      <c r="AD107" s="3" t="s">
        <v>3090</v>
      </c>
      <c r="AE107" s="3" t="s">
        <v>3090</v>
      </c>
      <c r="AF107" s="3"/>
      <c r="AG107" s="3"/>
      <c r="AH107" s="3"/>
      <c r="AI107" s="3"/>
      <c r="AJ107" s="3"/>
      <c r="AK107" s="3"/>
    </row>
    <row r="108" spans="1:37" ht="15.75" customHeight="1">
      <c r="A108" s="2" t="s">
        <v>2810</v>
      </c>
      <c r="B108" s="2" t="s">
        <v>2811</v>
      </c>
      <c r="C108" s="3">
        <v>616</v>
      </c>
      <c r="D108" s="2" t="s">
        <v>618</v>
      </c>
      <c r="E108" s="2">
        <f t="shared" si="4"/>
        <v>10</v>
      </c>
      <c r="F108" s="2">
        <f t="shared" si="5"/>
        <v>13</v>
      </c>
      <c r="G108" s="2">
        <f t="shared" si="6"/>
        <v>23</v>
      </c>
      <c r="H108" s="6">
        <f t="shared" si="7"/>
        <v>1</v>
      </c>
      <c r="I108" s="2" t="s">
        <v>3090</v>
      </c>
      <c r="J108" s="2" t="s">
        <v>3090</v>
      </c>
      <c r="K108" s="2" t="s">
        <v>3090</v>
      </c>
      <c r="L108" s="2" t="s">
        <v>3090</v>
      </c>
      <c r="M108" s="2" t="s">
        <v>3090</v>
      </c>
      <c r="N108" s="2" t="s">
        <v>3090</v>
      </c>
      <c r="O108" s="2" t="s">
        <v>3091</v>
      </c>
      <c r="P108" s="2" t="s">
        <v>3091</v>
      </c>
      <c r="Q108" s="2" t="s">
        <v>3090</v>
      </c>
      <c r="R108" s="2" t="s">
        <v>3090</v>
      </c>
      <c r="S108" s="2" t="s">
        <v>3091</v>
      </c>
      <c r="T108" s="2" t="s">
        <v>3091</v>
      </c>
      <c r="U108" s="2" t="s">
        <v>3091</v>
      </c>
      <c r="V108" s="2" t="s">
        <v>3090</v>
      </c>
      <c r="W108" s="2" t="s">
        <v>3091</v>
      </c>
      <c r="X108" s="2" t="s">
        <v>3091</v>
      </c>
      <c r="Y108" s="2" t="s">
        <v>3091</v>
      </c>
      <c r="Z108" s="2" t="s">
        <v>3091</v>
      </c>
      <c r="AA108" s="3" t="s">
        <v>3091</v>
      </c>
      <c r="AB108" s="3" t="s">
        <v>3091</v>
      </c>
      <c r="AC108" s="3" t="s">
        <v>3091</v>
      </c>
      <c r="AD108" s="3" t="s">
        <v>3091</v>
      </c>
      <c r="AE108" s="3" t="s">
        <v>3090</v>
      </c>
      <c r="AF108" s="3"/>
      <c r="AG108" s="3"/>
      <c r="AH108" s="3"/>
      <c r="AI108" s="3"/>
      <c r="AJ108" s="3"/>
      <c r="AK108" s="3"/>
    </row>
    <row r="109" spans="1:37" ht="15.75" customHeight="1">
      <c r="A109" s="2" t="s">
        <v>2812</v>
      </c>
      <c r="B109" s="2" t="s">
        <v>2813</v>
      </c>
      <c r="C109" s="3">
        <v>300</v>
      </c>
      <c r="D109" s="2" t="s">
        <v>389</v>
      </c>
      <c r="E109" s="2">
        <f t="shared" si="4"/>
        <v>17</v>
      </c>
      <c r="F109" s="2">
        <f t="shared" si="5"/>
        <v>4</v>
      </c>
      <c r="G109" s="2">
        <f t="shared" si="6"/>
        <v>21</v>
      </c>
      <c r="H109" s="6">
        <f t="shared" si="7"/>
        <v>0.91304347826086996</v>
      </c>
      <c r="I109" s="2" t="s">
        <v>3090</v>
      </c>
      <c r="J109" s="2" t="s">
        <v>3090</v>
      </c>
      <c r="K109" s="2" t="s">
        <v>3090</v>
      </c>
      <c r="L109" s="2" t="s">
        <v>3090</v>
      </c>
      <c r="M109" s="2" t="s">
        <v>3090</v>
      </c>
      <c r="N109" s="2" t="s">
        <v>3090</v>
      </c>
      <c r="O109" s="2" t="s">
        <v>3091</v>
      </c>
      <c r="P109" s="2" t="s">
        <v>3091</v>
      </c>
      <c r="Q109" s="2" t="s">
        <v>3090</v>
      </c>
      <c r="R109" s="2" t="s">
        <v>3090</v>
      </c>
      <c r="S109" s="2" t="s">
        <v>3090</v>
      </c>
      <c r="T109" s="2" t="s">
        <v>3091</v>
      </c>
      <c r="U109" s="2" t="s">
        <v>3090</v>
      </c>
      <c r="V109" s="2" t="s">
        <v>3090</v>
      </c>
      <c r="W109" s="2" t="s">
        <v>3091</v>
      </c>
      <c r="X109" s="2" t="s">
        <v>3092</v>
      </c>
      <c r="Y109" s="2" t="s">
        <v>3090</v>
      </c>
      <c r="Z109" s="2" t="s">
        <v>3090</v>
      </c>
      <c r="AA109" s="3" t="s">
        <v>3092</v>
      </c>
      <c r="AB109" s="3" t="s">
        <v>3090</v>
      </c>
      <c r="AC109" s="3" t="s">
        <v>3090</v>
      </c>
      <c r="AD109" s="3" t="s">
        <v>3090</v>
      </c>
      <c r="AE109" s="3" t="s">
        <v>3090</v>
      </c>
      <c r="AF109" s="3"/>
      <c r="AG109" s="3"/>
      <c r="AH109" s="3"/>
      <c r="AI109" s="3"/>
      <c r="AJ109" s="3"/>
      <c r="AK109" s="3"/>
    </row>
    <row r="110" spans="1:37" ht="15.75" customHeight="1">
      <c r="A110" s="2" t="s">
        <v>2814</v>
      </c>
      <c r="B110" s="2" t="s">
        <v>2815</v>
      </c>
      <c r="C110" s="3">
        <v>372</v>
      </c>
      <c r="D110" s="2" t="s">
        <v>681</v>
      </c>
      <c r="E110" s="2">
        <f t="shared" si="4"/>
        <v>12</v>
      </c>
      <c r="F110" s="2">
        <f t="shared" si="5"/>
        <v>0</v>
      </c>
      <c r="G110" s="2">
        <f t="shared" si="6"/>
        <v>12</v>
      </c>
      <c r="H110" s="6">
        <f t="shared" si="7"/>
        <v>0.52173913043478304</v>
      </c>
      <c r="I110" s="2" t="s">
        <v>3090</v>
      </c>
      <c r="J110" s="2" t="s">
        <v>3090</v>
      </c>
      <c r="K110" s="2" t="s">
        <v>3090</v>
      </c>
      <c r="L110" s="2" t="s">
        <v>3090</v>
      </c>
      <c r="M110" s="2" t="s">
        <v>3092</v>
      </c>
      <c r="N110" s="2" t="s">
        <v>3090</v>
      </c>
      <c r="O110" s="2" t="s">
        <v>3092</v>
      </c>
      <c r="P110" s="2" t="s">
        <v>3092</v>
      </c>
      <c r="Q110" s="2" t="s">
        <v>3090</v>
      </c>
      <c r="R110" s="2" t="s">
        <v>3090</v>
      </c>
      <c r="S110" s="2" t="s">
        <v>3092</v>
      </c>
      <c r="T110" s="2" t="s">
        <v>3092</v>
      </c>
      <c r="U110" s="2" t="s">
        <v>3092</v>
      </c>
      <c r="V110" s="2" t="s">
        <v>3092</v>
      </c>
      <c r="W110" s="2" t="s">
        <v>3092</v>
      </c>
      <c r="X110" s="2" t="s">
        <v>3092</v>
      </c>
      <c r="Y110" s="2" t="s">
        <v>3090</v>
      </c>
      <c r="Z110" s="2" t="s">
        <v>3092</v>
      </c>
      <c r="AA110" s="3" t="s">
        <v>3092</v>
      </c>
      <c r="AB110" s="3" t="s">
        <v>3090</v>
      </c>
      <c r="AC110" s="3" t="s">
        <v>3090</v>
      </c>
      <c r="AD110" s="3" t="s">
        <v>3090</v>
      </c>
      <c r="AE110" s="3" t="s">
        <v>3090</v>
      </c>
      <c r="AF110" s="3"/>
      <c r="AG110" s="3"/>
      <c r="AH110" s="3"/>
      <c r="AI110" s="3"/>
      <c r="AJ110" s="3"/>
      <c r="AK110" s="3"/>
    </row>
    <row r="111" spans="1:37" ht="15.75" customHeight="1">
      <c r="A111" s="2" t="s">
        <v>2816</v>
      </c>
      <c r="B111" s="2" t="s">
        <v>2678</v>
      </c>
      <c r="C111" s="3">
        <v>654</v>
      </c>
      <c r="D111" s="2" t="s">
        <v>252</v>
      </c>
      <c r="E111" s="2">
        <f t="shared" si="4"/>
        <v>6</v>
      </c>
      <c r="F111" s="2">
        <f t="shared" si="5"/>
        <v>17</v>
      </c>
      <c r="G111" s="2">
        <f t="shared" si="6"/>
        <v>23</v>
      </c>
      <c r="H111" s="6">
        <f t="shared" si="7"/>
        <v>1</v>
      </c>
      <c r="I111" s="2" t="s">
        <v>3091</v>
      </c>
      <c r="J111" s="2" t="s">
        <v>3091</v>
      </c>
      <c r="K111" s="2" t="s">
        <v>3090</v>
      </c>
      <c r="L111" s="2" t="s">
        <v>3091</v>
      </c>
      <c r="M111" s="2" t="s">
        <v>3090</v>
      </c>
      <c r="N111" s="2" t="s">
        <v>3090</v>
      </c>
      <c r="O111" s="2" t="s">
        <v>3091</v>
      </c>
      <c r="P111" s="2" t="s">
        <v>3091</v>
      </c>
      <c r="Q111" s="2" t="s">
        <v>3091</v>
      </c>
      <c r="R111" s="2" t="s">
        <v>3091</v>
      </c>
      <c r="S111" s="2" t="s">
        <v>3091</v>
      </c>
      <c r="T111" s="2" t="s">
        <v>3091</v>
      </c>
      <c r="U111" s="2" t="s">
        <v>3090</v>
      </c>
      <c r="V111" s="2" t="s">
        <v>3091</v>
      </c>
      <c r="W111" s="2" t="s">
        <v>3091</v>
      </c>
      <c r="X111" s="2" t="s">
        <v>3091</v>
      </c>
      <c r="Y111" s="2" t="s">
        <v>3090</v>
      </c>
      <c r="Z111" s="2" t="s">
        <v>3090</v>
      </c>
      <c r="AA111" s="3" t="s">
        <v>3091</v>
      </c>
      <c r="AB111" s="3" t="s">
        <v>3091</v>
      </c>
      <c r="AC111" s="3" t="s">
        <v>3091</v>
      </c>
      <c r="AD111" s="3" t="s">
        <v>3091</v>
      </c>
      <c r="AE111" s="3" t="s">
        <v>3091</v>
      </c>
      <c r="AF111" s="3"/>
      <c r="AG111" s="3"/>
      <c r="AH111" s="3"/>
      <c r="AI111" s="3"/>
      <c r="AJ111" s="3"/>
      <c r="AK111" s="3"/>
    </row>
    <row r="112" spans="1:37" ht="15.75" customHeight="1">
      <c r="A112" s="2" t="s">
        <v>2817</v>
      </c>
      <c r="B112" s="2" t="s">
        <v>2693</v>
      </c>
      <c r="C112" s="3">
        <v>268</v>
      </c>
      <c r="D112" s="2" t="s">
        <v>555</v>
      </c>
      <c r="E112" s="2">
        <f t="shared" si="4"/>
        <v>13</v>
      </c>
      <c r="F112" s="2">
        <f t="shared" si="5"/>
        <v>10</v>
      </c>
      <c r="G112" s="2">
        <f t="shared" si="6"/>
        <v>23</v>
      </c>
      <c r="H112" s="6">
        <f t="shared" si="7"/>
        <v>1</v>
      </c>
      <c r="I112" s="2" t="s">
        <v>3090</v>
      </c>
      <c r="J112" s="2" t="s">
        <v>3090</v>
      </c>
      <c r="K112" s="2" t="s">
        <v>3091</v>
      </c>
      <c r="L112" s="2" t="s">
        <v>3091</v>
      </c>
      <c r="M112" s="2" t="s">
        <v>3090</v>
      </c>
      <c r="N112" s="2" t="s">
        <v>3090</v>
      </c>
      <c r="O112" s="2" t="s">
        <v>3091</v>
      </c>
      <c r="P112" s="2" t="s">
        <v>3091</v>
      </c>
      <c r="Q112" s="2" t="s">
        <v>3090</v>
      </c>
      <c r="R112" s="2" t="s">
        <v>3090</v>
      </c>
      <c r="S112" s="2" t="s">
        <v>3090</v>
      </c>
      <c r="T112" s="2" t="s">
        <v>3091</v>
      </c>
      <c r="U112" s="2" t="s">
        <v>3090</v>
      </c>
      <c r="V112" s="2" t="s">
        <v>3090</v>
      </c>
      <c r="W112" s="2" t="s">
        <v>3091</v>
      </c>
      <c r="X112" s="2" t="s">
        <v>3091</v>
      </c>
      <c r="Y112" s="2" t="s">
        <v>3091</v>
      </c>
      <c r="Z112" s="2" t="s">
        <v>3090</v>
      </c>
      <c r="AA112" s="3" t="s">
        <v>3091</v>
      </c>
      <c r="AB112" s="3" t="s">
        <v>3090</v>
      </c>
      <c r="AC112" s="3" t="s">
        <v>3090</v>
      </c>
      <c r="AD112" s="3" t="s">
        <v>3090</v>
      </c>
      <c r="AE112" s="3" t="s">
        <v>3091</v>
      </c>
      <c r="AF112" s="3"/>
      <c r="AG112" s="3"/>
      <c r="AH112" s="3"/>
      <c r="AI112" s="3"/>
      <c r="AJ112" s="3"/>
      <c r="AK112" s="3"/>
    </row>
    <row r="113" spans="1:37" ht="15.75" customHeight="1">
      <c r="A113" s="2" t="s">
        <v>2818</v>
      </c>
      <c r="B113" s="2" t="s">
        <v>2659</v>
      </c>
      <c r="C113" s="3">
        <v>645</v>
      </c>
      <c r="D113" s="2" t="s">
        <v>620</v>
      </c>
      <c r="E113" s="2">
        <f t="shared" si="4"/>
        <v>15</v>
      </c>
      <c r="F113" s="2">
        <f t="shared" si="5"/>
        <v>8</v>
      </c>
      <c r="G113" s="2">
        <f t="shared" si="6"/>
        <v>23</v>
      </c>
      <c r="H113" s="6">
        <f t="shared" si="7"/>
        <v>1</v>
      </c>
      <c r="I113" s="2" t="s">
        <v>3090</v>
      </c>
      <c r="J113" s="2" t="s">
        <v>3090</v>
      </c>
      <c r="K113" s="2" t="s">
        <v>3090</v>
      </c>
      <c r="L113" s="2" t="s">
        <v>3090</v>
      </c>
      <c r="M113" s="2" t="s">
        <v>3090</v>
      </c>
      <c r="N113" s="2" t="s">
        <v>3090</v>
      </c>
      <c r="O113" s="2" t="s">
        <v>3091</v>
      </c>
      <c r="P113" s="2" t="s">
        <v>3091</v>
      </c>
      <c r="Q113" s="2" t="s">
        <v>3090</v>
      </c>
      <c r="R113" s="2" t="s">
        <v>3090</v>
      </c>
      <c r="S113" s="2" t="s">
        <v>3091</v>
      </c>
      <c r="T113" s="2" t="s">
        <v>3091</v>
      </c>
      <c r="U113" s="2" t="s">
        <v>3090</v>
      </c>
      <c r="V113" s="2" t="s">
        <v>3090</v>
      </c>
      <c r="W113" s="2" t="s">
        <v>3091</v>
      </c>
      <c r="X113" s="2" t="s">
        <v>3091</v>
      </c>
      <c r="Y113" s="2" t="s">
        <v>3090</v>
      </c>
      <c r="Z113" s="2" t="s">
        <v>3090</v>
      </c>
      <c r="AA113" s="3" t="s">
        <v>3091</v>
      </c>
      <c r="AB113" s="3" t="s">
        <v>3090</v>
      </c>
      <c r="AC113" s="3" t="s">
        <v>3090</v>
      </c>
      <c r="AD113" s="3" t="s">
        <v>3091</v>
      </c>
      <c r="AE113" s="3" t="s">
        <v>3090</v>
      </c>
      <c r="AF113" s="3"/>
      <c r="AG113" s="3"/>
      <c r="AH113" s="3"/>
      <c r="AI113" s="3"/>
      <c r="AJ113" s="3"/>
      <c r="AK113" s="3"/>
    </row>
    <row r="114" spans="1:37" ht="15.75" customHeight="1">
      <c r="A114" s="2" t="s">
        <v>2819</v>
      </c>
      <c r="B114" s="2" t="s">
        <v>2811</v>
      </c>
      <c r="C114" s="3">
        <v>307</v>
      </c>
      <c r="D114" s="2" t="s">
        <v>357</v>
      </c>
      <c r="E114" s="2">
        <f t="shared" si="4"/>
        <v>10</v>
      </c>
      <c r="F114" s="2">
        <f t="shared" si="5"/>
        <v>13</v>
      </c>
      <c r="G114" s="2">
        <f t="shared" si="6"/>
        <v>23</v>
      </c>
      <c r="H114" s="6">
        <f t="shared" si="7"/>
        <v>1</v>
      </c>
      <c r="I114" s="2" t="s">
        <v>3090</v>
      </c>
      <c r="J114" s="2" t="s">
        <v>3090</v>
      </c>
      <c r="K114" s="2" t="s">
        <v>3090</v>
      </c>
      <c r="L114" s="2" t="s">
        <v>3090</v>
      </c>
      <c r="M114" s="2" t="s">
        <v>3090</v>
      </c>
      <c r="N114" s="2" t="s">
        <v>3090</v>
      </c>
      <c r="O114" s="2" t="s">
        <v>3091</v>
      </c>
      <c r="P114" s="2" t="s">
        <v>3091</v>
      </c>
      <c r="Q114" s="2" t="s">
        <v>3091</v>
      </c>
      <c r="R114" s="2" t="s">
        <v>3091</v>
      </c>
      <c r="S114" s="2" t="s">
        <v>3091</v>
      </c>
      <c r="T114" s="2" t="s">
        <v>3091</v>
      </c>
      <c r="U114" s="2" t="s">
        <v>3091</v>
      </c>
      <c r="V114" s="2" t="s">
        <v>3091</v>
      </c>
      <c r="W114" s="2" t="s">
        <v>3091</v>
      </c>
      <c r="X114" s="2" t="s">
        <v>3091</v>
      </c>
      <c r="Y114" s="2" t="s">
        <v>3091</v>
      </c>
      <c r="Z114" s="2" t="s">
        <v>3090</v>
      </c>
      <c r="AA114" s="3" t="s">
        <v>3091</v>
      </c>
      <c r="AB114" s="3" t="s">
        <v>3090</v>
      </c>
      <c r="AC114" s="3" t="s">
        <v>3090</v>
      </c>
      <c r="AD114" s="3" t="s">
        <v>3090</v>
      </c>
      <c r="AE114" s="3" t="s">
        <v>3091</v>
      </c>
      <c r="AF114" s="3"/>
      <c r="AG114" s="3"/>
      <c r="AH114" s="3"/>
      <c r="AI114" s="3"/>
      <c r="AJ114" s="3"/>
      <c r="AK114" s="3"/>
    </row>
    <row r="115" spans="1:37" ht="15.75" customHeight="1">
      <c r="A115" s="2" t="s">
        <v>2820</v>
      </c>
      <c r="B115" s="2" t="s">
        <v>2682</v>
      </c>
      <c r="C115" s="3">
        <v>487</v>
      </c>
      <c r="D115" s="2" t="s">
        <v>468</v>
      </c>
      <c r="E115" s="2">
        <f t="shared" si="4"/>
        <v>2</v>
      </c>
      <c r="F115" s="2">
        <f t="shared" si="5"/>
        <v>3</v>
      </c>
      <c r="G115" s="2">
        <f t="shared" si="6"/>
        <v>5</v>
      </c>
      <c r="H115" s="6">
        <f t="shared" si="7"/>
        <v>0.217391304347826</v>
      </c>
      <c r="I115" s="2" t="s">
        <v>3090</v>
      </c>
      <c r="J115" s="2" t="s">
        <v>3091</v>
      </c>
      <c r="K115" s="2" t="s">
        <v>3091</v>
      </c>
      <c r="L115" s="2" t="s">
        <v>3091</v>
      </c>
      <c r="M115" s="2" t="s">
        <v>3090</v>
      </c>
      <c r="N115" s="2" t="s">
        <v>3092</v>
      </c>
      <c r="O115" s="2" t="s">
        <v>3092</v>
      </c>
      <c r="P115" s="2" t="s">
        <v>3092</v>
      </c>
      <c r="Q115" s="2" t="s">
        <v>3092</v>
      </c>
      <c r="R115" s="2" t="s">
        <v>3092</v>
      </c>
      <c r="S115" s="2" t="s">
        <v>3092</v>
      </c>
      <c r="T115" s="2" t="s">
        <v>3092</v>
      </c>
      <c r="U115" s="2" t="s">
        <v>3092</v>
      </c>
      <c r="V115" s="2" t="s">
        <v>3092</v>
      </c>
      <c r="W115" s="2" t="s">
        <v>3092</v>
      </c>
      <c r="X115" s="2" t="s">
        <v>3092</v>
      </c>
      <c r="Y115" s="2" t="s">
        <v>3092</v>
      </c>
      <c r="Z115" s="2" t="s">
        <v>3092</v>
      </c>
      <c r="AA115" s="3" t="s">
        <v>3092</v>
      </c>
      <c r="AB115" s="3" t="s">
        <v>3092</v>
      </c>
      <c r="AC115" s="3" t="s">
        <v>3092</v>
      </c>
      <c r="AD115" s="3" t="s">
        <v>3092</v>
      </c>
      <c r="AE115" s="3" t="s">
        <v>3092</v>
      </c>
      <c r="AF115" s="3"/>
      <c r="AG115" s="3"/>
      <c r="AH115" s="3"/>
      <c r="AI115" s="3"/>
      <c r="AJ115" s="3"/>
      <c r="AK115" s="3"/>
    </row>
    <row r="116" spans="1:37" ht="15.75" customHeight="1">
      <c r="A116" s="2" t="s">
        <v>2821</v>
      </c>
      <c r="B116" s="2" t="s">
        <v>2822</v>
      </c>
      <c r="C116" s="3">
        <v>666</v>
      </c>
      <c r="D116" s="2" t="s">
        <v>391</v>
      </c>
      <c r="E116" s="2">
        <f t="shared" si="4"/>
        <v>16</v>
      </c>
      <c r="F116" s="2">
        <f t="shared" si="5"/>
        <v>7</v>
      </c>
      <c r="G116" s="2">
        <f t="shared" si="6"/>
        <v>23</v>
      </c>
      <c r="H116" s="6">
        <f t="shared" si="7"/>
        <v>1</v>
      </c>
      <c r="I116" s="2" t="s">
        <v>3090</v>
      </c>
      <c r="J116" s="2" t="s">
        <v>3090</v>
      </c>
      <c r="K116" s="2" t="s">
        <v>3090</v>
      </c>
      <c r="L116" s="2" t="s">
        <v>3090</v>
      </c>
      <c r="M116" s="2" t="s">
        <v>3090</v>
      </c>
      <c r="N116" s="2" t="s">
        <v>3090</v>
      </c>
      <c r="O116" s="2" t="s">
        <v>3091</v>
      </c>
      <c r="P116" s="2" t="s">
        <v>3091</v>
      </c>
      <c r="Q116" s="2" t="s">
        <v>3090</v>
      </c>
      <c r="R116" s="2" t="s">
        <v>3090</v>
      </c>
      <c r="S116" s="2" t="s">
        <v>3090</v>
      </c>
      <c r="T116" s="2" t="s">
        <v>3091</v>
      </c>
      <c r="U116" s="2" t="s">
        <v>3090</v>
      </c>
      <c r="V116" s="2" t="s">
        <v>3090</v>
      </c>
      <c r="W116" s="2" t="s">
        <v>3091</v>
      </c>
      <c r="X116" s="2" t="s">
        <v>3091</v>
      </c>
      <c r="Y116" s="2" t="s">
        <v>3090</v>
      </c>
      <c r="Z116" s="2" t="s">
        <v>3090</v>
      </c>
      <c r="AA116" s="3" t="s">
        <v>3091</v>
      </c>
      <c r="AB116" s="3" t="s">
        <v>3091</v>
      </c>
      <c r="AC116" s="3" t="s">
        <v>3090</v>
      </c>
      <c r="AD116" s="3" t="s">
        <v>3090</v>
      </c>
      <c r="AE116" s="3" t="s">
        <v>3090</v>
      </c>
      <c r="AF116" s="3"/>
      <c r="AG116" s="3"/>
      <c r="AH116" s="3"/>
      <c r="AI116" s="3"/>
      <c r="AJ116" s="3"/>
      <c r="AK116" s="3"/>
    </row>
    <row r="117" spans="1:37" ht="15.75" customHeight="1">
      <c r="A117" s="2" t="s">
        <v>2823</v>
      </c>
      <c r="B117" s="2" t="s">
        <v>2662</v>
      </c>
      <c r="C117" s="3">
        <v>708</v>
      </c>
      <c r="D117" s="2" t="s">
        <v>470</v>
      </c>
      <c r="E117" s="2">
        <f t="shared" si="4"/>
        <v>3</v>
      </c>
      <c r="F117" s="2">
        <f t="shared" si="5"/>
        <v>17</v>
      </c>
      <c r="G117" s="2">
        <f t="shared" si="6"/>
        <v>20</v>
      </c>
      <c r="H117" s="6">
        <f t="shared" si="7"/>
        <v>0.86956521739130399</v>
      </c>
      <c r="I117" s="2" t="s">
        <v>3090</v>
      </c>
      <c r="J117" s="2" t="s">
        <v>3091</v>
      </c>
      <c r="K117" s="2" t="s">
        <v>3091</v>
      </c>
      <c r="L117" s="2" t="s">
        <v>3091</v>
      </c>
      <c r="M117" s="2" t="s">
        <v>3091</v>
      </c>
      <c r="N117" s="2" t="s">
        <v>3091</v>
      </c>
      <c r="O117" s="2" t="s">
        <v>3091</v>
      </c>
      <c r="P117" s="2" t="s">
        <v>3091</v>
      </c>
      <c r="Q117" s="2" t="s">
        <v>3091</v>
      </c>
      <c r="R117" s="2" t="s">
        <v>3091</v>
      </c>
      <c r="S117" s="2" t="s">
        <v>3090</v>
      </c>
      <c r="T117" s="2" t="s">
        <v>3091</v>
      </c>
      <c r="U117" s="2" t="s">
        <v>3092</v>
      </c>
      <c r="V117" s="2" t="s">
        <v>3092</v>
      </c>
      <c r="W117" s="2" t="s">
        <v>3091</v>
      </c>
      <c r="X117" s="2" t="s">
        <v>3092</v>
      </c>
      <c r="Y117" s="2" t="s">
        <v>3091</v>
      </c>
      <c r="Z117" s="2" t="s">
        <v>3091</v>
      </c>
      <c r="AA117" s="3" t="s">
        <v>3091</v>
      </c>
      <c r="AB117" s="3" t="s">
        <v>3091</v>
      </c>
      <c r="AC117" s="3" t="s">
        <v>3091</v>
      </c>
      <c r="AD117" s="3" t="s">
        <v>3091</v>
      </c>
      <c r="AE117" s="3" t="s">
        <v>3090</v>
      </c>
      <c r="AF117" s="3"/>
      <c r="AG117" s="3"/>
      <c r="AH117" s="3"/>
      <c r="AI117" s="3"/>
      <c r="AJ117" s="3"/>
      <c r="AK117" s="3"/>
    </row>
    <row r="118" spans="1:37" ht="15.75" customHeight="1">
      <c r="A118" s="2" t="s">
        <v>2824</v>
      </c>
      <c r="B118" s="2" t="s">
        <v>2777</v>
      </c>
      <c r="C118" s="3">
        <v>745</v>
      </c>
      <c r="D118" s="2" t="s">
        <v>78</v>
      </c>
      <c r="E118" s="2">
        <f t="shared" si="4"/>
        <v>7</v>
      </c>
      <c r="F118" s="2">
        <f t="shared" si="5"/>
        <v>16</v>
      </c>
      <c r="G118" s="2">
        <f t="shared" si="6"/>
        <v>23</v>
      </c>
      <c r="H118" s="6">
        <f t="shared" si="7"/>
        <v>1</v>
      </c>
      <c r="I118" s="2" t="s">
        <v>3090</v>
      </c>
      <c r="J118" s="2" t="s">
        <v>3090</v>
      </c>
      <c r="K118" s="2" t="s">
        <v>3090</v>
      </c>
      <c r="L118" s="2" t="s">
        <v>3090</v>
      </c>
      <c r="M118" s="2" t="s">
        <v>3090</v>
      </c>
      <c r="N118" s="2" t="s">
        <v>3090</v>
      </c>
      <c r="O118" s="2" t="s">
        <v>3091</v>
      </c>
      <c r="P118" s="2" t="s">
        <v>3091</v>
      </c>
      <c r="Q118" s="2" t="s">
        <v>3090</v>
      </c>
      <c r="R118" s="2" t="s">
        <v>3091</v>
      </c>
      <c r="S118" s="2" t="s">
        <v>3091</v>
      </c>
      <c r="T118" s="2" t="s">
        <v>3091</v>
      </c>
      <c r="U118" s="2" t="s">
        <v>3091</v>
      </c>
      <c r="V118" s="2" t="s">
        <v>3091</v>
      </c>
      <c r="W118" s="2" t="s">
        <v>3091</v>
      </c>
      <c r="X118" s="2" t="s">
        <v>3091</v>
      </c>
      <c r="Y118" s="2" t="s">
        <v>3091</v>
      </c>
      <c r="Z118" s="2" t="s">
        <v>3091</v>
      </c>
      <c r="AA118" s="3" t="s">
        <v>3091</v>
      </c>
      <c r="AB118" s="3" t="s">
        <v>3091</v>
      </c>
      <c r="AC118" s="3" t="s">
        <v>3091</v>
      </c>
      <c r="AD118" s="3" t="s">
        <v>3091</v>
      </c>
      <c r="AE118" s="3" t="s">
        <v>3091</v>
      </c>
      <c r="AF118" s="3"/>
      <c r="AG118" s="3"/>
      <c r="AH118" s="3"/>
      <c r="AI118" s="3"/>
      <c r="AJ118" s="3"/>
      <c r="AK118" s="3"/>
    </row>
    <row r="119" spans="1:37" ht="15.75" customHeight="1">
      <c r="A119" s="2" t="s">
        <v>2825</v>
      </c>
      <c r="B119" s="2" t="s">
        <v>2710</v>
      </c>
      <c r="C119" s="3">
        <v>605</v>
      </c>
      <c r="D119" s="2" t="s">
        <v>120</v>
      </c>
      <c r="E119" s="2">
        <f t="shared" si="4"/>
        <v>7</v>
      </c>
      <c r="F119" s="2">
        <f t="shared" si="5"/>
        <v>16</v>
      </c>
      <c r="G119" s="2">
        <f t="shared" si="6"/>
        <v>23</v>
      </c>
      <c r="H119" s="6">
        <f t="shared" si="7"/>
        <v>1</v>
      </c>
      <c r="I119" s="2" t="s">
        <v>3090</v>
      </c>
      <c r="J119" s="2" t="s">
        <v>3090</v>
      </c>
      <c r="K119" s="2" t="s">
        <v>3090</v>
      </c>
      <c r="L119" s="2" t="s">
        <v>3090</v>
      </c>
      <c r="M119" s="2" t="s">
        <v>3090</v>
      </c>
      <c r="N119" s="2" t="s">
        <v>3090</v>
      </c>
      <c r="O119" s="2" t="s">
        <v>3091</v>
      </c>
      <c r="P119" s="2" t="s">
        <v>3091</v>
      </c>
      <c r="Q119" s="2" t="s">
        <v>3091</v>
      </c>
      <c r="R119" s="2" t="s">
        <v>3091</v>
      </c>
      <c r="S119" s="2" t="s">
        <v>3091</v>
      </c>
      <c r="T119" s="2" t="s">
        <v>3091</v>
      </c>
      <c r="U119" s="2" t="s">
        <v>3091</v>
      </c>
      <c r="V119" s="2" t="s">
        <v>3091</v>
      </c>
      <c r="W119" s="2" t="s">
        <v>3091</v>
      </c>
      <c r="X119" s="2" t="s">
        <v>3091</v>
      </c>
      <c r="Y119" s="2" t="s">
        <v>3090</v>
      </c>
      <c r="Z119" s="2" t="s">
        <v>3091</v>
      </c>
      <c r="AA119" s="3" t="s">
        <v>3091</v>
      </c>
      <c r="AB119" s="3" t="s">
        <v>3091</v>
      </c>
      <c r="AC119" s="3" t="s">
        <v>3091</v>
      </c>
      <c r="AD119" s="3" t="s">
        <v>3091</v>
      </c>
      <c r="AE119" s="3" t="s">
        <v>3091</v>
      </c>
      <c r="AF119" s="3"/>
      <c r="AG119" s="3"/>
      <c r="AH119" s="3"/>
      <c r="AI119" s="3"/>
      <c r="AJ119" s="3"/>
      <c r="AK119" s="3"/>
    </row>
    <row r="120" spans="1:37" ht="15.75" customHeight="1">
      <c r="A120" s="2" t="s">
        <v>3093</v>
      </c>
      <c r="B120" s="2" t="s">
        <v>3094</v>
      </c>
      <c r="C120" s="3">
        <v>823</v>
      </c>
      <c r="D120" s="2" t="s">
        <v>975</v>
      </c>
      <c r="E120" s="2">
        <f t="shared" si="4"/>
        <v>0</v>
      </c>
      <c r="F120" s="2">
        <f t="shared" si="5"/>
        <v>0</v>
      </c>
      <c r="G120" s="2">
        <f t="shared" si="6"/>
        <v>0</v>
      </c>
      <c r="H120" s="6">
        <f t="shared" si="7"/>
        <v>0</v>
      </c>
      <c r="I120" s="2" t="s">
        <v>3092</v>
      </c>
      <c r="J120" s="2" t="s">
        <v>3092</v>
      </c>
      <c r="K120" s="2" t="s">
        <v>3092</v>
      </c>
      <c r="L120" s="2" t="s">
        <v>3092</v>
      </c>
      <c r="M120" s="2" t="s">
        <v>3092</v>
      </c>
      <c r="N120" s="2" t="s">
        <v>3092</v>
      </c>
      <c r="O120" s="2" t="s">
        <v>3092</v>
      </c>
      <c r="P120" s="2" t="s">
        <v>3092</v>
      </c>
      <c r="Q120" s="2" t="s">
        <v>3092</v>
      </c>
      <c r="R120" s="2" t="s">
        <v>3092</v>
      </c>
      <c r="S120" s="2" t="s">
        <v>3092</v>
      </c>
      <c r="T120" s="2" t="s">
        <v>3092</v>
      </c>
      <c r="U120" s="2" t="s">
        <v>3092</v>
      </c>
      <c r="V120" s="2" t="s">
        <v>3092</v>
      </c>
      <c r="W120" s="2" t="s">
        <v>3092</v>
      </c>
      <c r="X120" s="2" t="s">
        <v>3092</v>
      </c>
      <c r="Y120" s="2" t="s">
        <v>3092</v>
      </c>
      <c r="Z120" s="2" t="s">
        <v>3092</v>
      </c>
      <c r="AA120" s="2" t="s">
        <v>3092</v>
      </c>
      <c r="AB120" s="2" t="s">
        <v>3092</v>
      </c>
      <c r="AC120" s="2" t="s">
        <v>3092</v>
      </c>
      <c r="AD120" s="2" t="s">
        <v>3092</v>
      </c>
      <c r="AE120" s="2" t="s">
        <v>3092</v>
      </c>
      <c r="AF120" s="2"/>
      <c r="AG120" s="2"/>
      <c r="AH120" s="2"/>
      <c r="AI120" s="2"/>
      <c r="AJ120" s="2"/>
      <c r="AK120" s="2"/>
    </row>
    <row r="121" spans="1:37" ht="15.75" customHeight="1">
      <c r="A121" s="2" t="s">
        <v>2826</v>
      </c>
      <c r="B121" s="2" t="s">
        <v>2777</v>
      </c>
      <c r="C121" s="3">
        <v>768</v>
      </c>
      <c r="D121" s="2" t="s">
        <v>255</v>
      </c>
      <c r="E121" s="2">
        <f t="shared" si="4"/>
        <v>9</v>
      </c>
      <c r="F121" s="2">
        <f t="shared" si="5"/>
        <v>0</v>
      </c>
      <c r="G121" s="2">
        <f t="shared" si="6"/>
        <v>9</v>
      </c>
      <c r="H121" s="6">
        <f t="shared" si="7"/>
        <v>0.39130434782608697</v>
      </c>
      <c r="I121" s="2" t="s">
        <v>3090</v>
      </c>
      <c r="J121" s="2" t="s">
        <v>3090</v>
      </c>
      <c r="K121" s="2" t="s">
        <v>3090</v>
      </c>
      <c r="L121" s="2" t="s">
        <v>3090</v>
      </c>
      <c r="M121" s="2" t="s">
        <v>3090</v>
      </c>
      <c r="N121" s="2" t="s">
        <v>3090</v>
      </c>
      <c r="O121" s="2" t="s">
        <v>3092</v>
      </c>
      <c r="P121" s="2" t="s">
        <v>3092</v>
      </c>
      <c r="Q121" s="2" t="s">
        <v>3090</v>
      </c>
      <c r="R121" s="2" t="s">
        <v>3090</v>
      </c>
      <c r="S121" s="2" t="s">
        <v>3090</v>
      </c>
      <c r="T121" s="2" t="s">
        <v>3092</v>
      </c>
      <c r="U121" s="2" t="s">
        <v>3092</v>
      </c>
      <c r="V121" s="2" t="s">
        <v>3092</v>
      </c>
      <c r="W121" s="2" t="s">
        <v>3092</v>
      </c>
      <c r="X121" s="2" t="s">
        <v>3092</v>
      </c>
      <c r="Y121" s="2" t="s">
        <v>3092</v>
      </c>
      <c r="Z121" s="2" t="s">
        <v>3092</v>
      </c>
      <c r="AA121" s="3" t="s">
        <v>3092</v>
      </c>
      <c r="AB121" s="3" t="s">
        <v>3092</v>
      </c>
      <c r="AC121" s="3" t="s">
        <v>3092</v>
      </c>
      <c r="AD121" s="3" t="s">
        <v>3092</v>
      </c>
      <c r="AE121" s="3" t="s">
        <v>3092</v>
      </c>
      <c r="AF121" s="3"/>
      <c r="AG121" s="3"/>
      <c r="AH121" s="3"/>
      <c r="AI121" s="3"/>
      <c r="AJ121" s="3"/>
      <c r="AK121" s="3"/>
    </row>
    <row r="122" spans="1:37" ht="15.75" customHeight="1">
      <c r="A122" s="2" t="s">
        <v>2827</v>
      </c>
      <c r="B122" s="2" t="s">
        <v>2828</v>
      </c>
      <c r="C122" s="3">
        <v>604</v>
      </c>
      <c r="D122" s="2" t="s">
        <v>212</v>
      </c>
      <c r="E122" s="2">
        <f t="shared" si="4"/>
        <v>1</v>
      </c>
      <c r="F122" s="2">
        <f t="shared" si="5"/>
        <v>22</v>
      </c>
      <c r="G122" s="2">
        <f t="shared" si="6"/>
        <v>23</v>
      </c>
      <c r="H122" s="6">
        <f t="shared" si="7"/>
        <v>1</v>
      </c>
      <c r="I122" s="2" t="s">
        <v>3090</v>
      </c>
      <c r="J122" s="2" t="s">
        <v>3091</v>
      </c>
      <c r="K122" s="2" t="s">
        <v>3091</v>
      </c>
      <c r="L122" s="2" t="s">
        <v>3091</v>
      </c>
      <c r="M122" s="2" t="s">
        <v>3091</v>
      </c>
      <c r="N122" s="2" t="s">
        <v>3091</v>
      </c>
      <c r="O122" s="2" t="s">
        <v>3091</v>
      </c>
      <c r="P122" s="2" t="s">
        <v>3091</v>
      </c>
      <c r="Q122" s="2" t="s">
        <v>3091</v>
      </c>
      <c r="R122" s="2" t="s">
        <v>3091</v>
      </c>
      <c r="S122" s="2" t="s">
        <v>3091</v>
      </c>
      <c r="T122" s="2" t="s">
        <v>3091</v>
      </c>
      <c r="U122" s="2" t="s">
        <v>3091</v>
      </c>
      <c r="V122" s="2" t="s">
        <v>3091</v>
      </c>
      <c r="W122" s="2" t="s">
        <v>3091</v>
      </c>
      <c r="X122" s="2" t="s">
        <v>3091</v>
      </c>
      <c r="Y122" s="2" t="s">
        <v>3091</v>
      </c>
      <c r="Z122" s="2" t="s">
        <v>3091</v>
      </c>
      <c r="AA122" s="3" t="s">
        <v>3091</v>
      </c>
      <c r="AB122" s="3" t="s">
        <v>3091</v>
      </c>
      <c r="AC122" s="3" t="s">
        <v>3091</v>
      </c>
      <c r="AD122" s="3" t="s">
        <v>3091</v>
      </c>
      <c r="AE122" s="3" t="s">
        <v>3091</v>
      </c>
      <c r="AF122" s="3"/>
      <c r="AG122" s="3"/>
      <c r="AH122" s="3"/>
      <c r="AI122" s="3"/>
      <c r="AJ122" s="3"/>
      <c r="AK122" s="3"/>
    </row>
    <row r="123" spans="1:37" ht="15.75" customHeight="1">
      <c r="A123" s="2" t="s">
        <v>2829</v>
      </c>
      <c r="B123" s="2" t="s">
        <v>2662</v>
      </c>
      <c r="C123" s="3">
        <v>358</v>
      </c>
      <c r="D123" s="2" t="s">
        <v>520</v>
      </c>
      <c r="E123" s="2">
        <f t="shared" si="4"/>
        <v>15</v>
      </c>
      <c r="F123" s="2">
        <f t="shared" si="5"/>
        <v>8</v>
      </c>
      <c r="G123" s="2">
        <f t="shared" si="6"/>
        <v>23</v>
      </c>
      <c r="H123" s="6">
        <f t="shared" si="7"/>
        <v>1</v>
      </c>
      <c r="I123" s="2" t="s">
        <v>3090</v>
      </c>
      <c r="J123" s="2" t="s">
        <v>3090</v>
      </c>
      <c r="K123" s="2" t="s">
        <v>3090</v>
      </c>
      <c r="L123" s="2" t="s">
        <v>3090</v>
      </c>
      <c r="M123" s="2" t="s">
        <v>3091</v>
      </c>
      <c r="N123" s="2" t="s">
        <v>3090</v>
      </c>
      <c r="O123" s="2" t="s">
        <v>3091</v>
      </c>
      <c r="P123" s="2" t="s">
        <v>3091</v>
      </c>
      <c r="Q123" s="2" t="s">
        <v>3091</v>
      </c>
      <c r="R123" s="2" t="s">
        <v>3090</v>
      </c>
      <c r="S123" s="2" t="s">
        <v>3090</v>
      </c>
      <c r="T123" s="2" t="s">
        <v>3091</v>
      </c>
      <c r="U123" s="2" t="s">
        <v>3090</v>
      </c>
      <c r="V123" s="2" t="s">
        <v>3090</v>
      </c>
      <c r="W123" s="2" t="s">
        <v>3091</v>
      </c>
      <c r="X123" s="2" t="s">
        <v>3091</v>
      </c>
      <c r="Y123" s="2" t="s">
        <v>3090</v>
      </c>
      <c r="Z123" s="2" t="s">
        <v>3090</v>
      </c>
      <c r="AA123" s="3" t="s">
        <v>3091</v>
      </c>
      <c r="AB123" s="3" t="s">
        <v>3090</v>
      </c>
      <c r="AC123" s="3" t="s">
        <v>3090</v>
      </c>
      <c r="AD123" s="3" t="s">
        <v>3090</v>
      </c>
      <c r="AE123" s="3" t="s">
        <v>3090</v>
      </c>
      <c r="AF123" s="3"/>
      <c r="AG123" s="3"/>
      <c r="AH123" s="3"/>
      <c r="AI123" s="3"/>
      <c r="AJ123" s="3"/>
      <c r="AK123" s="3"/>
    </row>
    <row r="124" spans="1:37" ht="15.75" customHeight="1">
      <c r="A124" s="2" t="s">
        <v>2830</v>
      </c>
      <c r="B124" s="2" t="s">
        <v>2682</v>
      </c>
      <c r="C124" s="3">
        <v>726</v>
      </c>
      <c r="D124" s="2" t="s">
        <v>124</v>
      </c>
      <c r="E124" s="2">
        <f t="shared" si="4"/>
        <v>0</v>
      </c>
      <c r="F124" s="2">
        <f t="shared" si="5"/>
        <v>23</v>
      </c>
      <c r="G124" s="2">
        <f t="shared" si="6"/>
        <v>23</v>
      </c>
      <c r="H124" s="6">
        <f t="shared" si="7"/>
        <v>1</v>
      </c>
      <c r="I124" s="2" t="s">
        <v>3091</v>
      </c>
      <c r="J124" s="2" t="s">
        <v>3091</v>
      </c>
      <c r="K124" s="2" t="s">
        <v>3091</v>
      </c>
      <c r="L124" s="2" t="s">
        <v>3091</v>
      </c>
      <c r="M124" s="2" t="s">
        <v>3091</v>
      </c>
      <c r="N124" s="2" t="s">
        <v>3091</v>
      </c>
      <c r="O124" s="2" t="s">
        <v>3091</v>
      </c>
      <c r="P124" s="2" t="s">
        <v>3091</v>
      </c>
      <c r="Q124" s="2" t="s">
        <v>3091</v>
      </c>
      <c r="R124" s="2" t="s">
        <v>3091</v>
      </c>
      <c r="S124" s="2" t="s">
        <v>3091</v>
      </c>
      <c r="T124" s="2" t="s">
        <v>3091</v>
      </c>
      <c r="U124" s="2" t="s">
        <v>3091</v>
      </c>
      <c r="V124" s="2" t="s">
        <v>3091</v>
      </c>
      <c r="W124" s="2" t="s">
        <v>3091</v>
      </c>
      <c r="X124" s="2" t="s">
        <v>3091</v>
      </c>
      <c r="Y124" s="2" t="s">
        <v>3091</v>
      </c>
      <c r="Z124" s="2" t="s">
        <v>3091</v>
      </c>
      <c r="AA124" s="3" t="s">
        <v>3091</v>
      </c>
      <c r="AB124" s="3" t="s">
        <v>3091</v>
      </c>
      <c r="AC124" s="3" t="s">
        <v>3091</v>
      </c>
      <c r="AD124" s="3" t="s">
        <v>3091</v>
      </c>
      <c r="AE124" s="3" t="s">
        <v>3091</v>
      </c>
      <c r="AF124" s="3"/>
      <c r="AG124" s="3"/>
      <c r="AH124" s="3"/>
      <c r="AI124" s="3"/>
      <c r="AJ124" s="3"/>
      <c r="AK124" s="3"/>
    </row>
    <row r="125" spans="1:37" ht="15.75" customHeight="1">
      <c r="A125" s="2" t="s">
        <v>2830</v>
      </c>
      <c r="B125" s="2" t="s">
        <v>2657</v>
      </c>
      <c r="C125" s="3">
        <v>329</v>
      </c>
      <c r="D125" s="2" t="s">
        <v>393</v>
      </c>
      <c r="E125" s="2">
        <f t="shared" si="4"/>
        <v>8</v>
      </c>
      <c r="F125" s="2">
        <f t="shared" si="5"/>
        <v>15</v>
      </c>
      <c r="G125" s="2">
        <f t="shared" si="6"/>
        <v>23</v>
      </c>
      <c r="H125" s="6">
        <f t="shared" si="7"/>
        <v>1</v>
      </c>
      <c r="I125" s="2" t="s">
        <v>3090</v>
      </c>
      <c r="J125" s="2" t="s">
        <v>3090</v>
      </c>
      <c r="K125" s="2" t="s">
        <v>3090</v>
      </c>
      <c r="L125" s="2" t="s">
        <v>3090</v>
      </c>
      <c r="M125" s="2" t="s">
        <v>3090</v>
      </c>
      <c r="N125" s="2" t="s">
        <v>3090</v>
      </c>
      <c r="O125" s="2" t="s">
        <v>3091</v>
      </c>
      <c r="P125" s="2" t="s">
        <v>3091</v>
      </c>
      <c r="Q125" s="2" t="s">
        <v>3090</v>
      </c>
      <c r="R125" s="2" t="s">
        <v>3091</v>
      </c>
      <c r="S125" s="2" t="s">
        <v>3090</v>
      </c>
      <c r="T125" s="2" t="s">
        <v>3091</v>
      </c>
      <c r="U125" s="2" t="s">
        <v>3091</v>
      </c>
      <c r="V125" s="2" t="s">
        <v>3091</v>
      </c>
      <c r="W125" s="2" t="s">
        <v>3091</v>
      </c>
      <c r="X125" s="2" t="s">
        <v>3091</v>
      </c>
      <c r="Y125" s="2" t="s">
        <v>3091</v>
      </c>
      <c r="Z125" s="2" t="s">
        <v>3091</v>
      </c>
      <c r="AA125" s="3" t="s">
        <v>3091</v>
      </c>
      <c r="AB125" s="3" t="s">
        <v>3091</v>
      </c>
      <c r="AC125" s="3" t="s">
        <v>3091</v>
      </c>
      <c r="AD125" s="3" t="s">
        <v>3091</v>
      </c>
      <c r="AE125" s="3" t="s">
        <v>3091</v>
      </c>
      <c r="AF125" s="3"/>
      <c r="AG125" s="3"/>
      <c r="AH125" s="3"/>
      <c r="AI125" s="3"/>
      <c r="AJ125" s="3"/>
      <c r="AK125" s="3"/>
    </row>
    <row r="126" spans="1:37" ht="15.75" customHeight="1">
      <c r="A126" s="2" t="s">
        <v>2831</v>
      </c>
      <c r="B126" s="2" t="s">
        <v>2722</v>
      </c>
      <c r="C126" s="3">
        <v>714</v>
      </c>
      <c r="D126" s="2" t="s">
        <v>557</v>
      </c>
      <c r="E126" s="2">
        <f t="shared" si="4"/>
        <v>3</v>
      </c>
      <c r="F126" s="2">
        <f t="shared" si="5"/>
        <v>20</v>
      </c>
      <c r="G126" s="2">
        <f t="shared" si="6"/>
        <v>23</v>
      </c>
      <c r="H126" s="6">
        <f t="shared" si="7"/>
        <v>1</v>
      </c>
      <c r="I126" s="2" t="s">
        <v>3091</v>
      </c>
      <c r="J126" s="2" t="s">
        <v>3091</v>
      </c>
      <c r="K126" s="2" t="s">
        <v>3091</v>
      </c>
      <c r="L126" s="2" t="s">
        <v>3091</v>
      </c>
      <c r="M126" s="2" t="s">
        <v>3090</v>
      </c>
      <c r="N126" s="2" t="s">
        <v>3091</v>
      </c>
      <c r="O126" s="2" t="s">
        <v>3091</v>
      </c>
      <c r="P126" s="2" t="s">
        <v>3091</v>
      </c>
      <c r="Q126" s="2" t="s">
        <v>3091</v>
      </c>
      <c r="R126" s="2" t="s">
        <v>3091</v>
      </c>
      <c r="S126" s="2" t="s">
        <v>3091</v>
      </c>
      <c r="T126" s="2" t="s">
        <v>3091</v>
      </c>
      <c r="U126" s="2" t="s">
        <v>3091</v>
      </c>
      <c r="V126" s="2" t="s">
        <v>3091</v>
      </c>
      <c r="W126" s="2" t="s">
        <v>3091</v>
      </c>
      <c r="X126" s="2" t="s">
        <v>3091</v>
      </c>
      <c r="Y126" s="2" t="s">
        <v>3091</v>
      </c>
      <c r="Z126" s="2" t="s">
        <v>3091</v>
      </c>
      <c r="AA126" s="3" t="s">
        <v>3091</v>
      </c>
      <c r="AB126" s="3" t="s">
        <v>3091</v>
      </c>
      <c r="AC126" s="3" t="s">
        <v>3091</v>
      </c>
      <c r="AD126" s="3" t="s">
        <v>3090</v>
      </c>
      <c r="AE126" s="3" t="s">
        <v>3090</v>
      </c>
      <c r="AF126" s="3"/>
      <c r="AG126" s="3"/>
      <c r="AH126" s="3"/>
      <c r="AI126" s="3"/>
      <c r="AJ126" s="3"/>
      <c r="AK126" s="3"/>
    </row>
    <row r="127" spans="1:37" ht="15.75" customHeight="1">
      <c r="A127" s="2" t="s">
        <v>2832</v>
      </c>
      <c r="B127" s="2" t="s">
        <v>2833</v>
      </c>
      <c r="C127" s="3">
        <v>756</v>
      </c>
      <c r="D127" s="2" t="s">
        <v>214</v>
      </c>
      <c r="E127" s="2">
        <f t="shared" si="4"/>
        <v>2</v>
      </c>
      <c r="F127" s="2">
        <f t="shared" si="5"/>
        <v>21</v>
      </c>
      <c r="G127" s="2">
        <f t="shared" si="6"/>
        <v>23</v>
      </c>
      <c r="H127" s="6">
        <f t="shared" si="7"/>
        <v>1</v>
      </c>
      <c r="I127" s="2" t="s">
        <v>3090</v>
      </c>
      <c r="J127" s="2" t="s">
        <v>3091</v>
      </c>
      <c r="K127" s="2" t="s">
        <v>3091</v>
      </c>
      <c r="L127" s="2" t="s">
        <v>3091</v>
      </c>
      <c r="M127" s="2" t="s">
        <v>3091</v>
      </c>
      <c r="N127" s="2" t="s">
        <v>3091</v>
      </c>
      <c r="O127" s="2" t="s">
        <v>3091</v>
      </c>
      <c r="P127" s="2" t="s">
        <v>3091</v>
      </c>
      <c r="Q127" s="2" t="s">
        <v>3091</v>
      </c>
      <c r="R127" s="2" t="s">
        <v>3091</v>
      </c>
      <c r="S127" s="2" t="s">
        <v>3091</v>
      </c>
      <c r="T127" s="2" t="s">
        <v>3091</v>
      </c>
      <c r="U127" s="2" t="s">
        <v>3090</v>
      </c>
      <c r="V127" s="2" t="s">
        <v>3091</v>
      </c>
      <c r="W127" s="2" t="s">
        <v>3091</v>
      </c>
      <c r="X127" s="2" t="s">
        <v>3091</v>
      </c>
      <c r="Y127" s="2" t="s">
        <v>3091</v>
      </c>
      <c r="Z127" s="2" t="s">
        <v>3091</v>
      </c>
      <c r="AA127" s="3" t="s">
        <v>3091</v>
      </c>
      <c r="AB127" s="3" t="s">
        <v>3091</v>
      </c>
      <c r="AC127" s="3" t="s">
        <v>3091</v>
      </c>
      <c r="AD127" s="3" t="s">
        <v>3091</v>
      </c>
      <c r="AE127" s="3" t="s">
        <v>3091</v>
      </c>
      <c r="AF127" s="3"/>
      <c r="AG127" s="3"/>
      <c r="AH127" s="3"/>
      <c r="AI127" s="3"/>
      <c r="AJ127" s="3"/>
      <c r="AK127" s="3"/>
    </row>
    <row r="128" spans="1:37" ht="15.75" customHeight="1">
      <c r="A128" s="2" t="s">
        <v>2834</v>
      </c>
      <c r="B128" s="2" t="s">
        <v>2682</v>
      </c>
      <c r="C128" s="3">
        <v>369</v>
      </c>
      <c r="D128" s="2" t="s">
        <v>395</v>
      </c>
      <c r="E128" s="2">
        <f t="shared" si="4"/>
        <v>15</v>
      </c>
      <c r="F128" s="2">
        <f t="shared" si="5"/>
        <v>5</v>
      </c>
      <c r="G128" s="2">
        <f t="shared" si="6"/>
        <v>20</v>
      </c>
      <c r="H128" s="6">
        <f t="shared" si="7"/>
        <v>0.86956521739130399</v>
      </c>
      <c r="I128" s="2" t="s">
        <v>3090</v>
      </c>
      <c r="J128" s="2" t="s">
        <v>3090</v>
      </c>
      <c r="K128" s="2" t="s">
        <v>3091</v>
      </c>
      <c r="L128" s="2" t="s">
        <v>3091</v>
      </c>
      <c r="M128" s="2" t="s">
        <v>3090</v>
      </c>
      <c r="N128" s="2" t="s">
        <v>3090</v>
      </c>
      <c r="O128" s="2" t="s">
        <v>3091</v>
      </c>
      <c r="P128" s="2" t="s">
        <v>3091</v>
      </c>
      <c r="Q128" s="2" t="s">
        <v>3090</v>
      </c>
      <c r="R128" s="2" t="s">
        <v>3090</v>
      </c>
      <c r="S128" s="2" t="s">
        <v>3090</v>
      </c>
      <c r="T128" s="2" t="s">
        <v>3092</v>
      </c>
      <c r="U128" s="2" t="s">
        <v>3090</v>
      </c>
      <c r="V128" s="2" t="s">
        <v>3090</v>
      </c>
      <c r="W128" s="2" t="s">
        <v>3092</v>
      </c>
      <c r="X128" s="2" t="s">
        <v>3091</v>
      </c>
      <c r="Y128" s="2" t="s">
        <v>3090</v>
      </c>
      <c r="Z128" s="2" t="s">
        <v>3090</v>
      </c>
      <c r="AA128" s="3" t="s">
        <v>3092</v>
      </c>
      <c r="AB128" s="3" t="s">
        <v>3090</v>
      </c>
      <c r="AC128" s="3" t="s">
        <v>3090</v>
      </c>
      <c r="AD128" s="3" t="s">
        <v>3090</v>
      </c>
      <c r="AE128" s="3" t="s">
        <v>3090</v>
      </c>
      <c r="AF128" s="3"/>
      <c r="AG128" s="3"/>
      <c r="AH128" s="3"/>
      <c r="AI128" s="3"/>
      <c r="AJ128" s="3"/>
      <c r="AK128" s="3"/>
    </row>
    <row r="129" spans="1:37" ht="15.75" customHeight="1">
      <c r="A129" s="2" t="s">
        <v>2835</v>
      </c>
      <c r="B129" s="2" t="s">
        <v>2682</v>
      </c>
      <c r="C129" s="3">
        <v>265</v>
      </c>
      <c r="D129" s="2" t="s">
        <v>622</v>
      </c>
      <c r="E129" s="2">
        <f t="shared" si="4"/>
        <v>17</v>
      </c>
      <c r="F129" s="2">
        <f t="shared" si="5"/>
        <v>6</v>
      </c>
      <c r="G129" s="2">
        <f t="shared" si="6"/>
        <v>23</v>
      </c>
      <c r="H129" s="6">
        <f t="shared" si="7"/>
        <v>1</v>
      </c>
      <c r="I129" s="2" t="s">
        <v>3090</v>
      </c>
      <c r="J129" s="2" t="s">
        <v>3090</v>
      </c>
      <c r="K129" s="2" t="s">
        <v>3090</v>
      </c>
      <c r="L129" s="2" t="s">
        <v>3090</v>
      </c>
      <c r="M129" s="2" t="s">
        <v>3090</v>
      </c>
      <c r="N129" s="2" t="s">
        <v>3090</v>
      </c>
      <c r="O129" s="2" t="s">
        <v>3091</v>
      </c>
      <c r="P129" s="2" t="s">
        <v>3091</v>
      </c>
      <c r="Q129" s="2" t="s">
        <v>3090</v>
      </c>
      <c r="R129" s="2" t="s">
        <v>3090</v>
      </c>
      <c r="S129" s="2" t="s">
        <v>3090</v>
      </c>
      <c r="T129" s="2" t="s">
        <v>3091</v>
      </c>
      <c r="U129" s="2" t="s">
        <v>3090</v>
      </c>
      <c r="V129" s="2" t="s">
        <v>3090</v>
      </c>
      <c r="W129" s="2" t="s">
        <v>3091</v>
      </c>
      <c r="X129" s="2" t="s">
        <v>3091</v>
      </c>
      <c r="Y129" s="2" t="s">
        <v>3090</v>
      </c>
      <c r="Z129" s="2" t="s">
        <v>3090</v>
      </c>
      <c r="AA129" s="3" t="s">
        <v>3091</v>
      </c>
      <c r="AB129" s="3" t="s">
        <v>3090</v>
      </c>
      <c r="AC129" s="3" t="s">
        <v>3090</v>
      </c>
      <c r="AD129" s="3" t="s">
        <v>3090</v>
      </c>
      <c r="AE129" s="3" t="s">
        <v>3090</v>
      </c>
      <c r="AF129" s="3"/>
      <c r="AG129" s="3"/>
      <c r="AH129" s="3"/>
      <c r="AI129" s="3"/>
      <c r="AJ129" s="3"/>
      <c r="AK129" s="3"/>
    </row>
    <row r="130" spans="1:37" ht="15.75" customHeight="1">
      <c r="A130" s="2" t="s">
        <v>2836</v>
      </c>
      <c r="B130" s="2" t="s">
        <v>2693</v>
      </c>
      <c r="C130" s="3">
        <v>437</v>
      </c>
      <c r="D130" s="2" t="s">
        <v>472</v>
      </c>
      <c r="E130" s="2">
        <f t="shared" ref="E130:E193" si="8">COUNTIF(I130:AK130,"L (1/1)")</f>
        <v>5</v>
      </c>
      <c r="F130" s="2">
        <f t="shared" ref="F130:F193" si="9">COUNTIF(I130:AK130,"R (1/1)")</f>
        <v>4</v>
      </c>
      <c r="G130" s="2">
        <f t="shared" ref="G130:G193" si="10">E130+F130</f>
        <v>9</v>
      </c>
      <c r="H130" s="6">
        <f t="shared" ref="H130:H193" si="11">G130/23</f>
        <v>0.39130434782608697</v>
      </c>
      <c r="I130" s="2" t="s">
        <v>3090</v>
      </c>
      <c r="J130" s="2" t="s">
        <v>3090</v>
      </c>
      <c r="K130" s="2" t="s">
        <v>3090</v>
      </c>
      <c r="L130" s="2" t="s">
        <v>3090</v>
      </c>
      <c r="M130" s="2" t="s">
        <v>3090</v>
      </c>
      <c r="N130" s="2" t="s">
        <v>3091</v>
      </c>
      <c r="O130" s="2" t="s">
        <v>3091</v>
      </c>
      <c r="P130" s="2" t="s">
        <v>3092</v>
      </c>
      <c r="Q130" s="2" t="s">
        <v>3091</v>
      </c>
      <c r="R130" s="2" t="s">
        <v>3091</v>
      </c>
      <c r="S130" s="2" t="s">
        <v>3092</v>
      </c>
      <c r="T130" s="2" t="s">
        <v>3092</v>
      </c>
      <c r="U130" s="2" t="s">
        <v>3092</v>
      </c>
      <c r="V130" s="2" t="s">
        <v>3092</v>
      </c>
      <c r="W130" s="2" t="s">
        <v>3092</v>
      </c>
      <c r="X130" s="2" t="s">
        <v>3092</v>
      </c>
      <c r="Y130" s="2" t="s">
        <v>3092</v>
      </c>
      <c r="Z130" s="2" t="s">
        <v>3092</v>
      </c>
      <c r="AA130" s="3" t="s">
        <v>3092</v>
      </c>
      <c r="AB130" s="3" t="s">
        <v>3092</v>
      </c>
      <c r="AC130" s="3" t="s">
        <v>3092</v>
      </c>
      <c r="AD130" s="3" t="s">
        <v>3092</v>
      </c>
      <c r="AE130" s="3" t="s">
        <v>3092</v>
      </c>
      <c r="AF130" s="3"/>
      <c r="AG130" s="3"/>
      <c r="AH130" s="3"/>
      <c r="AI130" s="3"/>
      <c r="AJ130" s="3"/>
      <c r="AK130" s="3"/>
    </row>
    <row r="131" spans="1:37" ht="15.75" customHeight="1">
      <c r="A131" s="2" t="s">
        <v>2837</v>
      </c>
      <c r="B131" s="2" t="s">
        <v>2695</v>
      </c>
      <c r="C131" s="3">
        <v>467</v>
      </c>
      <c r="D131" s="2" t="s">
        <v>724</v>
      </c>
      <c r="E131" s="2">
        <f t="shared" si="8"/>
        <v>0</v>
      </c>
      <c r="F131" s="2">
        <f t="shared" si="9"/>
        <v>22</v>
      </c>
      <c r="G131" s="2">
        <f t="shared" si="10"/>
        <v>22</v>
      </c>
      <c r="H131" s="6">
        <f t="shared" si="11"/>
        <v>0.95652173913043503</v>
      </c>
      <c r="I131" s="2" t="s">
        <v>3091</v>
      </c>
      <c r="J131" s="2" t="s">
        <v>3091</v>
      </c>
      <c r="K131" s="2" t="s">
        <v>3091</v>
      </c>
      <c r="L131" s="2" t="s">
        <v>3091</v>
      </c>
      <c r="M131" s="2" t="s">
        <v>3091</v>
      </c>
      <c r="N131" s="2" t="s">
        <v>3091</v>
      </c>
      <c r="O131" s="2" t="s">
        <v>3091</v>
      </c>
      <c r="P131" s="2" t="s">
        <v>3091</v>
      </c>
      <c r="Q131" s="2" t="s">
        <v>3091</v>
      </c>
      <c r="R131" s="2" t="s">
        <v>3091</v>
      </c>
      <c r="S131" s="2" t="s">
        <v>3091</v>
      </c>
      <c r="T131" s="2" t="s">
        <v>3091</v>
      </c>
      <c r="U131" s="2" t="s">
        <v>3091</v>
      </c>
      <c r="V131" s="2" t="s">
        <v>3091</v>
      </c>
      <c r="W131" s="2" t="s">
        <v>3091</v>
      </c>
      <c r="X131" s="2" t="s">
        <v>3091</v>
      </c>
      <c r="Y131" s="2" t="s">
        <v>3091</v>
      </c>
      <c r="Z131" s="2" t="s">
        <v>3091</v>
      </c>
      <c r="AA131" s="3" t="s">
        <v>3091</v>
      </c>
      <c r="AB131" s="3" t="s">
        <v>3091</v>
      </c>
      <c r="AC131" s="3" t="s">
        <v>3091</v>
      </c>
      <c r="AD131" s="3" t="s">
        <v>3091</v>
      </c>
      <c r="AE131" s="3" t="s">
        <v>3092</v>
      </c>
      <c r="AF131" s="3"/>
      <c r="AG131" s="3"/>
      <c r="AH131" s="3"/>
      <c r="AI131" s="3"/>
      <c r="AJ131" s="3"/>
      <c r="AK131" s="3"/>
    </row>
    <row r="132" spans="1:37" ht="15.75" customHeight="1">
      <c r="A132" s="2" t="s">
        <v>2838</v>
      </c>
      <c r="B132" s="2" t="s">
        <v>2695</v>
      </c>
      <c r="C132" s="3">
        <v>332</v>
      </c>
      <c r="D132" s="2" t="s">
        <v>302</v>
      </c>
      <c r="E132" s="2">
        <f t="shared" si="8"/>
        <v>3</v>
      </c>
      <c r="F132" s="2">
        <f t="shared" si="9"/>
        <v>19</v>
      </c>
      <c r="G132" s="2">
        <f t="shared" si="10"/>
        <v>22</v>
      </c>
      <c r="H132" s="6">
        <f t="shared" si="11"/>
        <v>0.95652173913043503</v>
      </c>
      <c r="I132" s="2" t="s">
        <v>3090</v>
      </c>
      <c r="J132" s="2" t="s">
        <v>3091</v>
      </c>
      <c r="K132" s="2" t="s">
        <v>3091</v>
      </c>
      <c r="L132" s="2" t="s">
        <v>3090</v>
      </c>
      <c r="M132" s="2" t="s">
        <v>3090</v>
      </c>
      <c r="N132" s="2" t="s">
        <v>3091</v>
      </c>
      <c r="O132" s="2" t="s">
        <v>3091</v>
      </c>
      <c r="P132" s="2" t="s">
        <v>3091</v>
      </c>
      <c r="Q132" s="2" t="s">
        <v>3091</v>
      </c>
      <c r="R132" s="2" t="s">
        <v>3091</v>
      </c>
      <c r="S132" s="2" t="s">
        <v>3091</v>
      </c>
      <c r="T132" s="2" t="s">
        <v>3091</v>
      </c>
      <c r="U132" s="2" t="s">
        <v>3091</v>
      </c>
      <c r="V132" s="2" t="s">
        <v>3091</v>
      </c>
      <c r="W132" s="2" t="s">
        <v>3091</v>
      </c>
      <c r="X132" s="2" t="s">
        <v>3091</v>
      </c>
      <c r="Y132" s="2" t="s">
        <v>3091</v>
      </c>
      <c r="Z132" s="2" t="s">
        <v>3091</v>
      </c>
      <c r="AA132" s="3" t="s">
        <v>3091</v>
      </c>
      <c r="AB132" s="3" t="s">
        <v>3091</v>
      </c>
      <c r="AC132" s="3" t="s">
        <v>3091</v>
      </c>
      <c r="AD132" s="3" t="s">
        <v>3091</v>
      </c>
      <c r="AE132" s="3" t="s">
        <v>3092</v>
      </c>
      <c r="AF132" s="3"/>
      <c r="AG132" s="3"/>
      <c r="AH132" s="3"/>
      <c r="AI132" s="3"/>
      <c r="AJ132" s="3"/>
      <c r="AK132" s="3"/>
    </row>
    <row r="133" spans="1:37" ht="15.75" customHeight="1">
      <c r="A133" s="2" t="s">
        <v>2839</v>
      </c>
      <c r="B133" s="2" t="s">
        <v>2669</v>
      </c>
      <c r="C133" s="3">
        <v>258</v>
      </c>
      <c r="D133" s="2" t="s">
        <v>624</v>
      </c>
      <c r="E133" s="2">
        <f t="shared" si="8"/>
        <v>12</v>
      </c>
      <c r="F133" s="2">
        <f t="shared" si="9"/>
        <v>11</v>
      </c>
      <c r="G133" s="2">
        <f t="shared" si="10"/>
        <v>23</v>
      </c>
      <c r="H133" s="6">
        <f t="shared" si="11"/>
        <v>1</v>
      </c>
      <c r="I133" s="2" t="s">
        <v>3090</v>
      </c>
      <c r="J133" s="2" t="s">
        <v>3090</v>
      </c>
      <c r="K133" s="2" t="s">
        <v>3090</v>
      </c>
      <c r="L133" s="2" t="s">
        <v>3090</v>
      </c>
      <c r="M133" s="2" t="s">
        <v>3090</v>
      </c>
      <c r="N133" s="2" t="s">
        <v>3090</v>
      </c>
      <c r="O133" s="2" t="s">
        <v>3091</v>
      </c>
      <c r="P133" s="2" t="s">
        <v>3091</v>
      </c>
      <c r="Q133" s="2" t="s">
        <v>3090</v>
      </c>
      <c r="R133" s="2" t="s">
        <v>3090</v>
      </c>
      <c r="S133" s="2" t="s">
        <v>3090</v>
      </c>
      <c r="T133" s="2" t="s">
        <v>3091</v>
      </c>
      <c r="U133" s="2" t="s">
        <v>3090</v>
      </c>
      <c r="V133" s="2" t="s">
        <v>3090</v>
      </c>
      <c r="W133" s="2" t="s">
        <v>3091</v>
      </c>
      <c r="X133" s="2" t="s">
        <v>3091</v>
      </c>
      <c r="Y133" s="2" t="s">
        <v>3090</v>
      </c>
      <c r="Z133" s="2" t="s">
        <v>3091</v>
      </c>
      <c r="AA133" s="3" t="s">
        <v>3091</v>
      </c>
      <c r="AB133" s="3" t="s">
        <v>3091</v>
      </c>
      <c r="AC133" s="3" t="s">
        <v>3091</v>
      </c>
      <c r="AD133" s="3" t="s">
        <v>3091</v>
      </c>
      <c r="AE133" s="3" t="s">
        <v>3091</v>
      </c>
      <c r="AF133" s="3"/>
      <c r="AG133" s="3"/>
      <c r="AH133" s="3"/>
      <c r="AI133" s="3"/>
      <c r="AJ133" s="3"/>
      <c r="AK133" s="3"/>
    </row>
    <row r="134" spans="1:37" ht="15.75" customHeight="1">
      <c r="A134" s="2" t="s">
        <v>2840</v>
      </c>
      <c r="B134" s="2" t="s">
        <v>2732</v>
      </c>
      <c r="C134" s="3">
        <v>458</v>
      </c>
      <c r="D134" s="2" t="s">
        <v>474</v>
      </c>
      <c r="E134" s="2">
        <f t="shared" si="8"/>
        <v>6</v>
      </c>
      <c r="F134" s="2">
        <f t="shared" si="9"/>
        <v>17</v>
      </c>
      <c r="G134" s="2">
        <f t="shared" si="10"/>
        <v>23</v>
      </c>
      <c r="H134" s="6">
        <f t="shared" si="11"/>
        <v>1</v>
      </c>
      <c r="I134" s="2" t="s">
        <v>3091</v>
      </c>
      <c r="J134" s="2" t="s">
        <v>3091</v>
      </c>
      <c r="K134" s="2" t="s">
        <v>3091</v>
      </c>
      <c r="L134" s="2" t="s">
        <v>3090</v>
      </c>
      <c r="M134" s="2" t="s">
        <v>3091</v>
      </c>
      <c r="N134" s="2" t="s">
        <v>3091</v>
      </c>
      <c r="O134" s="2" t="s">
        <v>3091</v>
      </c>
      <c r="P134" s="2" t="s">
        <v>3091</v>
      </c>
      <c r="Q134" s="2" t="s">
        <v>3091</v>
      </c>
      <c r="R134" s="2" t="s">
        <v>3091</v>
      </c>
      <c r="S134" s="2" t="s">
        <v>3090</v>
      </c>
      <c r="T134" s="2" t="s">
        <v>3091</v>
      </c>
      <c r="U134" s="2" t="s">
        <v>3090</v>
      </c>
      <c r="V134" s="2" t="s">
        <v>3091</v>
      </c>
      <c r="W134" s="2" t="s">
        <v>3091</v>
      </c>
      <c r="X134" s="2" t="s">
        <v>3091</v>
      </c>
      <c r="Y134" s="2" t="s">
        <v>3090</v>
      </c>
      <c r="Z134" s="2" t="s">
        <v>3090</v>
      </c>
      <c r="AA134" s="3" t="s">
        <v>3091</v>
      </c>
      <c r="AB134" s="3" t="s">
        <v>3091</v>
      </c>
      <c r="AC134" s="3" t="s">
        <v>3091</v>
      </c>
      <c r="AD134" s="3" t="s">
        <v>3091</v>
      </c>
      <c r="AE134" s="3" t="s">
        <v>3090</v>
      </c>
      <c r="AF134" s="3"/>
      <c r="AG134" s="3"/>
      <c r="AH134" s="3"/>
      <c r="AI134" s="3"/>
      <c r="AJ134" s="3"/>
      <c r="AK134" s="3"/>
    </row>
    <row r="135" spans="1:37" ht="15.75" customHeight="1">
      <c r="A135" s="2" t="s">
        <v>2841</v>
      </c>
      <c r="B135" s="2" t="s">
        <v>2746</v>
      </c>
      <c r="C135" s="3">
        <v>740</v>
      </c>
      <c r="D135" s="2" t="s">
        <v>684</v>
      </c>
      <c r="E135" s="2">
        <f t="shared" si="8"/>
        <v>10</v>
      </c>
      <c r="F135" s="2">
        <f t="shared" si="9"/>
        <v>0</v>
      </c>
      <c r="G135" s="2">
        <f t="shared" si="10"/>
        <v>10</v>
      </c>
      <c r="H135" s="6">
        <f t="shared" si="11"/>
        <v>0.434782608695652</v>
      </c>
      <c r="I135" s="2" t="s">
        <v>3090</v>
      </c>
      <c r="J135" s="2" t="s">
        <v>3090</v>
      </c>
      <c r="K135" s="2" t="s">
        <v>3090</v>
      </c>
      <c r="L135" s="2" t="s">
        <v>3090</v>
      </c>
      <c r="M135" s="2" t="s">
        <v>3090</v>
      </c>
      <c r="N135" s="2" t="s">
        <v>3090</v>
      </c>
      <c r="O135" s="2" t="s">
        <v>3092</v>
      </c>
      <c r="P135" s="2" t="s">
        <v>3092</v>
      </c>
      <c r="Q135" s="2" t="s">
        <v>3090</v>
      </c>
      <c r="R135" s="2" t="s">
        <v>3090</v>
      </c>
      <c r="S135" s="2" t="s">
        <v>3092</v>
      </c>
      <c r="T135" s="2" t="s">
        <v>3092</v>
      </c>
      <c r="U135" s="2" t="s">
        <v>3090</v>
      </c>
      <c r="V135" s="2" t="s">
        <v>3090</v>
      </c>
      <c r="W135" s="2" t="s">
        <v>3092</v>
      </c>
      <c r="X135" s="2" t="s">
        <v>3092</v>
      </c>
      <c r="Y135" s="2" t="s">
        <v>3092</v>
      </c>
      <c r="Z135" s="2" t="s">
        <v>3092</v>
      </c>
      <c r="AA135" s="3" t="s">
        <v>3092</v>
      </c>
      <c r="AB135" s="3" t="s">
        <v>3092</v>
      </c>
      <c r="AC135" s="3" t="s">
        <v>3092</v>
      </c>
      <c r="AD135" s="3" t="s">
        <v>3092</v>
      </c>
      <c r="AE135" s="3" t="s">
        <v>3092</v>
      </c>
      <c r="AF135" s="3"/>
      <c r="AG135" s="3"/>
      <c r="AH135" s="3"/>
      <c r="AI135" s="3"/>
      <c r="AJ135" s="3"/>
      <c r="AK135" s="3"/>
    </row>
    <row r="136" spans="1:37" ht="15.75" customHeight="1">
      <c r="A136" s="2" t="s">
        <v>2842</v>
      </c>
      <c r="B136" s="2" t="s">
        <v>2671</v>
      </c>
      <c r="C136" s="3">
        <v>615</v>
      </c>
      <c r="D136" s="2" t="s">
        <v>793</v>
      </c>
      <c r="E136" s="2">
        <f t="shared" si="8"/>
        <v>17</v>
      </c>
      <c r="F136" s="2">
        <f t="shared" si="9"/>
        <v>6</v>
      </c>
      <c r="G136" s="2">
        <f t="shared" si="10"/>
        <v>23</v>
      </c>
      <c r="H136" s="6">
        <f t="shared" si="11"/>
        <v>1</v>
      </c>
      <c r="I136" s="2" t="s">
        <v>3090</v>
      </c>
      <c r="J136" s="2" t="s">
        <v>3090</v>
      </c>
      <c r="K136" s="2" t="s">
        <v>3090</v>
      </c>
      <c r="L136" s="2" t="s">
        <v>3090</v>
      </c>
      <c r="M136" s="2" t="s">
        <v>3090</v>
      </c>
      <c r="N136" s="2" t="s">
        <v>3090</v>
      </c>
      <c r="O136" s="2" t="s">
        <v>3091</v>
      </c>
      <c r="P136" s="2" t="s">
        <v>3091</v>
      </c>
      <c r="Q136" s="2" t="s">
        <v>3090</v>
      </c>
      <c r="R136" s="2" t="s">
        <v>3090</v>
      </c>
      <c r="S136" s="2" t="s">
        <v>3090</v>
      </c>
      <c r="T136" s="2" t="s">
        <v>3091</v>
      </c>
      <c r="U136" s="2" t="s">
        <v>3090</v>
      </c>
      <c r="V136" s="2" t="s">
        <v>3090</v>
      </c>
      <c r="W136" s="2" t="s">
        <v>3091</v>
      </c>
      <c r="X136" s="2" t="s">
        <v>3091</v>
      </c>
      <c r="Y136" s="2" t="s">
        <v>3090</v>
      </c>
      <c r="Z136" s="2" t="s">
        <v>3090</v>
      </c>
      <c r="AA136" s="3" t="s">
        <v>3091</v>
      </c>
      <c r="AB136" s="3" t="s">
        <v>3090</v>
      </c>
      <c r="AC136" s="3" t="s">
        <v>3090</v>
      </c>
      <c r="AD136" s="3" t="s">
        <v>3090</v>
      </c>
      <c r="AE136" s="3" t="s">
        <v>3090</v>
      </c>
      <c r="AF136" s="3"/>
      <c r="AG136" s="3"/>
      <c r="AH136" s="3"/>
      <c r="AI136" s="3"/>
      <c r="AJ136" s="3"/>
      <c r="AK136" s="3"/>
    </row>
    <row r="137" spans="1:37" ht="15.75" customHeight="1">
      <c r="A137" s="2" t="s">
        <v>2843</v>
      </c>
      <c r="B137" s="2" t="s">
        <v>2669</v>
      </c>
      <c r="C137" s="3">
        <v>246</v>
      </c>
      <c r="D137" s="2" t="s">
        <v>626</v>
      </c>
      <c r="E137" s="2">
        <f t="shared" si="8"/>
        <v>15</v>
      </c>
      <c r="F137" s="2">
        <f t="shared" si="9"/>
        <v>8</v>
      </c>
      <c r="G137" s="2">
        <f t="shared" si="10"/>
        <v>23</v>
      </c>
      <c r="H137" s="6">
        <f t="shared" si="11"/>
        <v>1</v>
      </c>
      <c r="I137" s="2" t="s">
        <v>3090</v>
      </c>
      <c r="J137" s="2" t="s">
        <v>3091</v>
      </c>
      <c r="K137" s="2" t="s">
        <v>3091</v>
      </c>
      <c r="L137" s="2" t="s">
        <v>3090</v>
      </c>
      <c r="M137" s="2" t="s">
        <v>3090</v>
      </c>
      <c r="N137" s="2" t="s">
        <v>3090</v>
      </c>
      <c r="O137" s="2" t="s">
        <v>3091</v>
      </c>
      <c r="P137" s="2" t="s">
        <v>3091</v>
      </c>
      <c r="Q137" s="2" t="s">
        <v>3090</v>
      </c>
      <c r="R137" s="2" t="s">
        <v>3090</v>
      </c>
      <c r="S137" s="2" t="s">
        <v>3090</v>
      </c>
      <c r="T137" s="2" t="s">
        <v>3091</v>
      </c>
      <c r="U137" s="2" t="s">
        <v>3090</v>
      </c>
      <c r="V137" s="2" t="s">
        <v>3090</v>
      </c>
      <c r="W137" s="2" t="s">
        <v>3091</v>
      </c>
      <c r="X137" s="2" t="s">
        <v>3091</v>
      </c>
      <c r="Y137" s="2" t="s">
        <v>3090</v>
      </c>
      <c r="Z137" s="2" t="s">
        <v>3090</v>
      </c>
      <c r="AA137" s="3" t="s">
        <v>3091</v>
      </c>
      <c r="AB137" s="3" t="s">
        <v>3090</v>
      </c>
      <c r="AC137" s="3" t="s">
        <v>3090</v>
      </c>
      <c r="AD137" s="3" t="s">
        <v>3090</v>
      </c>
      <c r="AE137" s="3" t="s">
        <v>3090</v>
      </c>
      <c r="AF137" s="3"/>
      <c r="AG137" s="3"/>
      <c r="AH137" s="3"/>
      <c r="AI137" s="3"/>
      <c r="AJ137" s="3"/>
      <c r="AK137" s="3"/>
    </row>
    <row r="138" spans="1:37" ht="15.75" customHeight="1">
      <c r="A138" s="2" t="s">
        <v>2844</v>
      </c>
      <c r="B138" s="2" t="s">
        <v>2680</v>
      </c>
      <c r="C138" s="3">
        <v>339</v>
      </c>
      <c r="D138" s="2" t="s">
        <v>305</v>
      </c>
      <c r="E138" s="2">
        <f t="shared" si="8"/>
        <v>6</v>
      </c>
      <c r="F138" s="2">
        <f t="shared" si="9"/>
        <v>17</v>
      </c>
      <c r="G138" s="2">
        <f t="shared" si="10"/>
        <v>23</v>
      </c>
      <c r="H138" s="6">
        <f t="shared" si="11"/>
        <v>1</v>
      </c>
      <c r="I138" s="2" t="s">
        <v>3091</v>
      </c>
      <c r="J138" s="2" t="s">
        <v>3091</v>
      </c>
      <c r="K138" s="2" t="s">
        <v>3091</v>
      </c>
      <c r="L138" s="2" t="s">
        <v>3091</v>
      </c>
      <c r="M138" s="2" t="s">
        <v>3091</v>
      </c>
      <c r="N138" s="2" t="s">
        <v>3090</v>
      </c>
      <c r="O138" s="2" t="s">
        <v>3091</v>
      </c>
      <c r="P138" s="2" t="s">
        <v>3091</v>
      </c>
      <c r="Q138" s="2" t="s">
        <v>3091</v>
      </c>
      <c r="R138" s="2" t="s">
        <v>3091</v>
      </c>
      <c r="S138" s="2" t="s">
        <v>3090</v>
      </c>
      <c r="T138" s="2" t="s">
        <v>3091</v>
      </c>
      <c r="U138" s="2" t="s">
        <v>3091</v>
      </c>
      <c r="V138" s="2" t="s">
        <v>3091</v>
      </c>
      <c r="W138" s="2" t="s">
        <v>3091</v>
      </c>
      <c r="X138" s="2" t="s">
        <v>3091</v>
      </c>
      <c r="Y138" s="2" t="s">
        <v>3091</v>
      </c>
      <c r="Z138" s="2" t="s">
        <v>3091</v>
      </c>
      <c r="AA138" s="3" t="s">
        <v>3091</v>
      </c>
      <c r="AB138" s="3" t="s">
        <v>3090</v>
      </c>
      <c r="AC138" s="3" t="s">
        <v>3090</v>
      </c>
      <c r="AD138" s="3" t="s">
        <v>3090</v>
      </c>
      <c r="AE138" s="3" t="s">
        <v>3090</v>
      </c>
      <c r="AF138" s="3"/>
      <c r="AG138" s="3"/>
      <c r="AH138" s="3"/>
      <c r="AI138" s="3"/>
      <c r="AJ138" s="3"/>
      <c r="AK138" s="3"/>
    </row>
    <row r="139" spans="1:37" ht="15.75" customHeight="1">
      <c r="A139" s="2" t="s">
        <v>2845</v>
      </c>
      <c r="B139" s="2" t="s">
        <v>2846</v>
      </c>
      <c r="C139" s="3">
        <v>341</v>
      </c>
      <c r="D139" s="2" t="s">
        <v>476</v>
      </c>
      <c r="E139" s="2">
        <f t="shared" si="8"/>
        <v>16</v>
      </c>
      <c r="F139" s="2">
        <f t="shared" si="9"/>
        <v>7</v>
      </c>
      <c r="G139" s="2">
        <f t="shared" si="10"/>
        <v>23</v>
      </c>
      <c r="H139" s="6">
        <f t="shared" si="11"/>
        <v>1</v>
      </c>
      <c r="I139" s="2" t="s">
        <v>3090</v>
      </c>
      <c r="J139" s="2" t="s">
        <v>3090</v>
      </c>
      <c r="K139" s="2" t="s">
        <v>3090</v>
      </c>
      <c r="L139" s="2" t="s">
        <v>3090</v>
      </c>
      <c r="M139" s="2" t="s">
        <v>3090</v>
      </c>
      <c r="N139" s="2" t="s">
        <v>3090</v>
      </c>
      <c r="O139" s="2" t="s">
        <v>3091</v>
      </c>
      <c r="P139" s="2" t="s">
        <v>3091</v>
      </c>
      <c r="Q139" s="2" t="s">
        <v>3090</v>
      </c>
      <c r="R139" s="2" t="s">
        <v>3090</v>
      </c>
      <c r="S139" s="2" t="s">
        <v>3090</v>
      </c>
      <c r="T139" s="2" t="s">
        <v>3091</v>
      </c>
      <c r="U139" s="2" t="s">
        <v>3090</v>
      </c>
      <c r="V139" s="2" t="s">
        <v>3090</v>
      </c>
      <c r="W139" s="2" t="s">
        <v>3091</v>
      </c>
      <c r="X139" s="2" t="s">
        <v>3091</v>
      </c>
      <c r="Y139" s="2" t="s">
        <v>3091</v>
      </c>
      <c r="Z139" s="2" t="s">
        <v>3090</v>
      </c>
      <c r="AA139" s="3" t="s">
        <v>3091</v>
      </c>
      <c r="AB139" s="3" t="s">
        <v>3090</v>
      </c>
      <c r="AC139" s="3" t="s">
        <v>3090</v>
      </c>
      <c r="AD139" s="3" t="s">
        <v>3090</v>
      </c>
      <c r="AE139" s="3" t="s">
        <v>3090</v>
      </c>
      <c r="AF139" s="3"/>
      <c r="AG139" s="3"/>
      <c r="AH139" s="3"/>
      <c r="AI139" s="3"/>
      <c r="AJ139" s="3"/>
      <c r="AK139" s="3"/>
    </row>
    <row r="140" spans="1:37" ht="15.75" customHeight="1">
      <c r="A140" s="2" t="s">
        <v>832</v>
      </c>
      <c r="B140" s="2" t="s">
        <v>833</v>
      </c>
      <c r="C140" s="3">
        <v>450</v>
      </c>
      <c r="D140" s="2" t="s">
        <v>431</v>
      </c>
      <c r="E140" s="2">
        <f t="shared" si="8"/>
        <v>7</v>
      </c>
      <c r="F140" s="2">
        <f t="shared" si="9"/>
        <v>0</v>
      </c>
      <c r="G140" s="2">
        <f t="shared" si="10"/>
        <v>7</v>
      </c>
      <c r="H140" s="6">
        <f t="shared" si="11"/>
        <v>0.30434782608695699</v>
      </c>
      <c r="I140" s="2" t="s">
        <v>3090</v>
      </c>
      <c r="J140" s="2" t="s">
        <v>3090</v>
      </c>
      <c r="K140" s="2" t="s">
        <v>3090</v>
      </c>
      <c r="L140" s="2" t="s">
        <v>3092</v>
      </c>
      <c r="M140" s="2" t="s">
        <v>3092</v>
      </c>
      <c r="N140" s="2" t="s">
        <v>3090</v>
      </c>
      <c r="O140" s="2" t="s">
        <v>3092</v>
      </c>
      <c r="P140" s="2" t="s">
        <v>3092</v>
      </c>
      <c r="Q140" s="2" t="s">
        <v>3090</v>
      </c>
      <c r="R140" s="2" t="s">
        <v>3090</v>
      </c>
      <c r="S140" s="2" t="s">
        <v>3092</v>
      </c>
      <c r="T140" s="2" t="s">
        <v>3092</v>
      </c>
      <c r="U140" s="2" t="s">
        <v>3090</v>
      </c>
      <c r="V140" s="2" t="s">
        <v>3092</v>
      </c>
      <c r="W140" s="2" t="s">
        <v>3092</v>
      </c>
      <c r="X140" s="2" t="s">
        <v>3092</v>
      </c>
      <c r="Y140" s="2" t="s">
        <v>3092</v>
      </c>
      <c r="Z140" s="2" t="s">
        <v>3092</v>
      </c>
      <c r="AA140" s="3" t="s">
        <v>3092</v>
      </c>
      <c r="AB140" s="3" t="s">
        <v>3092</v>
      </c>
      <c r="AC140" s="3" t="s">
        <v>3092</v>
      </c>
      <c r="AD140" s="3" t="s">
        <v>3092</v>
      </c>
      <c r="AE140" s="3" t="s">
        <v>3092</v>
      </c>
      <c r="AF140" s="3"/>
      <c r="AG140" s="3"/>
      <c r="AH140" s="3"/>
      <c r="AI140" s="3"/>
      <c r="AJ140" s="3"/>
      <c r="AK140" s="3"/>
    </row>
    <row r="141" spans="1:37" ht="15.75" customHeight="1">
      <c r="A141" s="2" t="s">
        <v>2847</v>
      </c>
      <c r="B141" s="2" t="s">
        <v>2682</v>
      </c>
      <c r="C141" s="3">
        <v>665</v>
      </c>
      <c r="D141" s="2" t="s">
        <v>522</v>
      </c>
      <c r="E141" s="2">
        <f t="shared" si="8"/>
        <v>17</v>
      </c>
      <c r="F141" s="2">
        <f t="shared" si="9"/>
        <v>6</v>
      </c>
      <c r="G141" s="2">
        <f t="shared" si="10"/>
        <v>23</v>
      </c>
      <c r="H141" s="6">
        <f t="shared" si="11"/>
        <v>1</v>
      </c>
      <c r="I141" s="2" t="s">
        <v>3090</v>
      </c>
      <c r="J141" s="2" t="s">
        <v>3090</v>
      </c>
      <c r="K141" s="2" t="s">
        <v>3090</v>
      </c>
      <c r="L141" s="2" t="s">
        <v>3090</v>
      </c>
      <c r="M141" s="2" t="s">
        <v>3090</v>
      </c>
      <c r="N141" s="2" t="s">
        <v>3090</v>
      </c>
      <c r="O141" s="2" t="s">
        <v>3091</v>
      </c>
      <c r="P141" s="2" t="s">
        <v>3091</v>
      </c>
      <c r="Q141" s="2" t="s">
        <v>3090</v>
      </c>
      <c r="R141" s="2" t="s">
        <v>3090</v>
      </c>
      <c r="S141" s="2" t="s">
        <v>3090</v>
      </c>
      <c r="T141" s="2" t="s">
        <v>3091</v>
      </c>
      <c r="U141" s="2" t="s">
        <v>3090</v>
      </c>
      <c r="V141" s="2" t="s">
        <v>3090</v>
      </c>
      <c r="W141" s="2" t="s">
        <v>3091</v>
      </c>
      <c r="X141" s="2" t="s">
        <v>3091</v>
      </c>
      <c r="Y141" s="2" t="s">
        <v>3090</v>
      </c>
      <c r="Z141" s="2" t="s">
        <v>3090</v>
      </c>
      <c r="AA141" s="3" t="s">
        <v>3091</v>
      </c>
      <c r="AB141" s="3" t="s">
        <v>3090</v>
      </c>
      <c r="AC141" s="3" t="s">
        <v>3090</v>
      </c>
      <c r="AD141" s="3" t="s">
        <v>3090</v>
      </c>
      <c r="AE141" s="3" t="s">
        <v>3090</v>
      </c>
      <c r="AF141" s="3"/>
      <c r="AG141" s="3"/>
      <c r="AH141" s="3"/>
      <c r="AI141" s="3"/>
      <c r="AJ141" s="3"/>
      <c r="AK141" s="3"/>
    </row>
    <row r="142" spans="1:37" ht="15.75" customHeight="1">
      <c r="A142" s="2" t="s">
        <v>2848</v>
      </c>
      <c r="B142" s="2" t="s">
        <v>2732</v>
      </c>
      <c r="C142" s="3">
        <v>693</v>
      </c>
      <c r="D142" s="2" t="s">
        <v>727</v>
      </c>
      <c r="E142" s="2">
        <f t="shared" si="8"/>
        <v>5</v>
      </c>
      <c r="F142" s="2">
        <f t="shared" si="9"/>
        <v>13</v>
      </c>
      <c r="G142" s="2">
        <f t="shared" si="10"/>
        <v>18</v>
      </c>
      <c r="H142" s="6">
        <f t="shared" si="11"/>
        <v>0.78260869565217395</v>
      </c>
      <c r="I142" s="2" t="s">
        <v>3090</v>
      </c>
      <c r="J142" s="2" t="s">
        <v>3090</v>
      </c>
      <c r="K142" s="2" t="s">
        <v>3091</v>
      </c>
      <c r="L142" s="2" t="s">
        <v>3090</v>
      </c>
      <c r="M142" s="2" t="s">
        <v>3090</v>
      </c>
      <c r="N142" s="2" t="s">
        <v>3090</v>
      </c>
      <c r="O142" s="2" t="s">
        <v>3091</v>
      </c>
      <c r="P142" s="2" t="s">
        <v>3091</v>
      </c>
      <c r="Q142" s="2" t="s">
        <v>3091</v>
      </c>
      <c r="R142" s="2" t="s">
        <v>3091</v>
      </c>
      <c r="S142" s="2" t="s">
        <v>3091</v>
      </c>
      <c r="T142" s="2" t="s">
        <v>3091</v>
      </c>
      <c r="U142" s="2" t="s">
        <v>3091</v>
      </c>
      <c r="V142" s="2" t="s">
        <v>3091</v>
      </c>
      <c r="W142" s="2" t="s">
        <v>3091</v>
      </c>
      <c r="X142" s="2" t="s">
        <v>3091</v>
      </c>
      <c r="Y142" s="2" t="s">
        <v>3091</v>
      </c>
      <c r="Z142" s="2" t="s">
        <v>3091</v>
      </c>
      <c r="AA142" s="3" t="s">
        <v>3092</v>
      </c>
      <c r="AB142" s="3" t="s">
        <v>3092</v>
      </c>
      <c r="AC142" s="3" t="s">
        <v>3092</v>
      </c>
      <c r="AD142" s="3" t="s">
        <v>3092</v>
      </c>
      <c r="AE142" s="3" t="s">
        <v>3092</v>
      </c>
      <c r="AF142" s="3"/>
      <c r="AG142" s="3"/>
      <c r="AH142" s="3"/>
      <c r="AI142" s="3"/>
      <c r="AJ142" s="3"/>
      <c r="AK142" s="3"/>
    </row>
    <row r="143" spans="1:37" ht="15.75" customHeight="1">
      <c r="A143" s="2" t="s">
        <v>2849</v>
      </c>
      <c r="B143" s="2" t="s">
        <v>2682</v>
      </c>
      <c r="C143" s="3">
        <v>732</v>
      </c>
      <c r="D143" s="2" t="s">
        <v>593</v>
      </c>
      <c r="E143" s="2">
        <f t="shared" si="8"/>
        <v>17</v>
      </c>
      <c r="F143" s="2">
        <f t="shared" si="9"/>
        <v>6</v>
      </c>
      <c r="G143" s="2">
        <f t="shared" si="10"/>
        <v>23</v>
      </c>
      <c r="H143" s="6">
        <f t="shared" si="11"/>
        <v>1</v>
      </c>
      <c r="I143" s="2" t="s">
        <v>3090</v>
      </c>
      <c r="J143" s="2" t="s">
        <v>3090</v>
      </c>
      <c r="K143" s="2" t="s">
        <v>3090</v>
      </c>
      <c r="L143" s="2" t="s">
        <v>3090</v>
      </c>
      <c r="M143" s="2" t="s">
        <v>3090</v>
      </c>
      <c r="N143" s="2" t="s">
        <v>3090</v>
      </c>
      <c r="O143" s="2" t="s">
        <v>3091</v>
      </c>
      <c r="P143" s="2" t="s">
        <v>3091</v>
      </c>
      <c r="Q143" s="2" t="s">
        <v>3090</v>
      </c>
      <c r="R143" s="2" t="s">
        <v>3090</v>
      </c>
      <c r="S143" s="2" t="s">
        <v>3090</v>
      </c>
      <c r="T143" s="2" t="s">
        <v>3091</v>
      </c>
      <c r="U143" s="2" t="s">
        <v>3090</v>
      </c>
      <c r="V143" s="2" t="s">
        <v>3090</v>
      </c>
      <c r="W143" s="2" t="s">
        <v>3091</v>
      </c>
      <c r="X143" s="2" t="s">
        <v>3091</v>
      </c>
      <c r="Y143" s="2" t="s">
        <v>3090</v>
      </c>
      <c r="Z143" s="2" t="s">
        <v>3090</v>
      </c>
      <c r="AA143" s="3" t="s">
        <v>3091</v>
      </c>
      <c r="AB143" s="3" t="s">
        <v>3090</v>
      </c>
      <c r="AC143" s="3" t="s">
        <v>3090</v>
      </c>
      <c r="AD143" s="3" t="s">
        <v>3090</v>
      </c>
      <c r="AE143" s="3" t="s">
        <v>3090</v>
      </c>
      <c r="AF143" s="3"/>
      <c r="AG143" s="3"/>
      <c r="AH143" s="3"/>
      <c r="AI143" s="3"/>
      <c r="AJ143" s="3"/>
      <c r="AK143" s="3"/>
    </row>
    <row r="144" spans="1:37" ht="15.75" customHeight="1">
      <c r="A144" s="2" t="s">
        <v>2850</v>
      </c>
      <c r="B144" s="2" t="s">
        <v>2668</v>
      </c>
      <c r="C144" s="3">
        <v>731</v>
      </c>
      <c r="D144" s="2" t="s">
        <v>595</v>
      </c>
      <c r="E144" s="2">
        <f t="shared" si="8"/>
        <v>17</v>
      </c>
      <c r="F144" s="2">
        <f t="shared" si="9"/>
        <v>5</v>
      </c>
      <c r="G144" s="2">
        <f t="shared" si="10"/>
        <v>22</v>
      </c>
      <c r="H144" s="6">
        <f t="shared" si="11"/>
        <v>0.95652173913043503</v>
      </c>
      <c r="I144" s="2" t="s">
        <v>3090</v>
      </c>
      <c r="J144" s="2" t="s">
        <v>3090</v>
      </c>
      <c r="K144" s="2" t="s">
        <v>3090</v>
      </c>
      <c r="L144" s="2" t="s">
        <v>3090</v>
      </c>
      <c r="M144" s="2" t="s">
        <v>3090</v>
      </c>
      <c r="N144" s="2" t="s">
        <v>3090</v>
      </c>
      <c r="O144" s="2" t="s">
        <v>3091</v>
      </c>
      <c r="P144" s="2" t="s">
        <v>3091</v>
      </c>
      <c r="Q144" s="2" t="s">
        <v>3090</v>
      </c>
      <c r="R144" s="2" t="s">
        <v>3090</v>
      </c>
      <c r="S144" s="2" t="s">
        <v>3090</v>
      </c>
      <c r="T144" s="2" t="s">
        <v>3091</v>
      </c>
      <c r="U144" s="2" t="s">
        <v>3090</v>
      </c>
      <c r="V144" s="2" t="s">
        <v>3090</v>
      </c>
      <c r="W144" s="2" t="s">
        <v>3091</v>
      </c>
      <c r="X144" s="2" t="s">
        <v>3091</v>
      </c>
      <c r="Y144" s="2" t="s">
        <v>3090</v>
      </c>
      <c r="Z144" s="2" t="s">
        <v>3090</v>
      </c>
      <c r="AA144" s="3" t="s">
        <v>3092</v>
      </c>
      <c r="AB144" s="3" t="s">
        <v>3090</v>
      </c>
      <c r="AC144" s="3" t="s">
        <v>3090</v>
      </c>
      <c r="AD144" s="3" t="s">
        <v>3090</v>
      </c>
      <c r="AE144" s="3" t="s">
        <v>3090</v>
      </c>
      <c r="AF144" s="3"/>
      <c r="AG144" s="3"/>
      <c r="AH144" s="3"/>
      <c r="AI144" s="3"/>
      <c r="AJ144" s="3"/>
      <c r="AK144" s="3"/>
    </row>
    <row r="145" spans="1:37" ht="15.75" customHeight="1">
      <c r="A145" s="2" t="s">
        <v>2851</v>
      </c>
      <c r="B145" s="2" t="s">
        <v>2852</v>
      </c>
      <c r="C145" s="3">
        <v>612</v>
      </c>
      <c r="D145" s="2" t="s">
        <v>70</v>
      </c>
      <c r="E145" s="2">
        <f t="shared" si="8"/>
        <v>1</v>
      </c>
      <c r="F145" s="2">
        <f t="shared" si="9"/>
        <v>0</v>
      </c>
      <c r="G145" s="2">
        <f t="shared" si="10"/>
        <v>1</v>
      </c>
      <c r="H145" s="6">
        <f t="shared" si="11"/>
        <v>4.3478260869565202E-2</v>
      </c>
      <c r="I145" s="2" t="s">
        <v>3090</v>
      </c>
      <c r="J145" s="2" t="s">
        <v>3092</v>
      </c>
      <c r="K145" s="2" t="s">
        <v>3092</v>
      </c>
      <c r="L145" s="2" t="s">
        <v>3092</v>
      </c>
      <c r="M145" s="2" t="s">
        <v>3092</v>
      </c>
      <c r="N145" s="2" t="s">
        <v>3092</v>
      </c>
      <c r="O145" s="2" t="s">
        <v>3092</v>
      </c>
      <c r="P145" s="2" t="s">
        <v>3092</v>
      </c>
      <c r="Q145" s="2" t="s">
        <v>3092</v>
      </c>
      <c r="R145" s="2" t="s">
        <v>3092</v>
      </c>
      <c r="S145" s="2" t="s">
        <v>3092</v>
      </c>
      <c r="T145" s="2" t="s">
        <v>3092</v>
      </c>
      <c r="U145" s="2" t="s">
        <v>3092</v>
      </c>
      <c r="V145" s="2" t="s">
        <v>3092</v>
      </c>
      <c r="W145" s="2" t="s">
        <v>3092</v>
      </c>
      <c r="X145" s="2" t="s">
        <v>3092</v>
      </c>
      <c r="Y145" s="2" t="s">
        <v>3092</v>
      </c>
      <c r="Z145" s="2" t="s">
        <v>3092</v>
      </c>
      <c r="AA145" s="3" t="s">
        <v>3092</v>
      </c>
      <c r="AB145" s="3" t="s">
        <v>3092</v>
      </c>
      <c r="AC145" s="3" t="s">
        <v>3092</v>
      </c>
      <c r="AD145" s="3" t="s">
        <v>3092</v>
      </c>
      <c r="AE145" s="3" t="s">
        <v>3092</v>
      </c>
      <c r="AF145" s="3"/>
      <c r="AG145" s="3"/>
      <c r="AH145" s="3"/>
      <c r="AI145" s="3"/>
      <c r="AJ145" s="3"/>
      <c r="AK145" s="3"/>
    </row>
    <row r="146" spans="1:37" ht="15.75" customHeight="1">
      <c r="A146" s="2" t="s">
        <v>2853</v>
      </c>
      <c r="B146" s="2" t="s">
        <v>833</v>
      </c>
      <c r="C146" s="3">
        <v>710</v>
      </c>
      <c r="D146" s="2" t="s">
        <v>216</v>
      </c>
      <c r="E146" s="2">
        <f t="shared" si="8"/>
        <v>10</v>
      </c>
      <c r="F146" s="2">
        <f t="shared" si="9"/>
        <v>13</v>
      </c>
      <c r="G146" s="2">
        <f t="shared" si="10"/>
        <v>23</v>
      </c>
      <c r="H146" s="6">
        <f t="shared" si="11"/>
        <v>1</v>
      </c>
      <c r="I146" s="2" t="s">
        <v>3090</v>
      </c>
      <c r="J146" s="2" t="s">
        <v>3090</v>
      </c>
      <c r="K146" s="2" t="s">
        <v>3091</v>
      </c>
      <c r="L146" s="2" t="s">
        <v>3090</v>
      </c>
      <c r="M146" s="2" t="s">
        <v>3090</v>
      </c>
      <c r="N146" s="2" t="s">
        <v>3090</v>
      </c>
      <c r="O146" s="2" t="s">
        <v>3091</v>
      </c>
      <c r="P146" s="2" t="s">
        <v>3091</v>
      </c>
      <c r="Q146" s="2" t="s">
        <v>3090</v>
      </c>
      <c r="R146" s="2" t="s">
        <v>3090</v>
      </c>
      <c r="S146" s="2" t="s">
        <v>3091</v>
      </c>
      <c r="T146" s="2" t="s">
        <v>3091</v>
      </c>
      <c r="U146" s="2" t="s">
        <v>3091</v>
      </c>
      <c r="V146" s="2" t="s">
        <v>3090</v>
      </c>
      <c r="W146" s="2" t="s">
        <v>3091</v>
      </c>
      <c r="X146" s="2" t="s">
        <v>3091</v>
      </c>
      <c r="Y146" s="2" t="s">
        <v>3091</v>
      </c>
      <c r="Z146" s="2" t="s">
        <v>3090</v>
      </c>
      <c r="AA146" s="3" t="s">
        <v>3091</v>
      </c>
      <c r="AB146" s="3" t="s">
        <v>3090</v>
      </c>
      <c r="AC146" s="3" t="s">
        <v>3091</v>
      </c>
      <c r="AD146" s="3" t="s">
        <v>3091</v>
      </c>
      <c r="AE146" s="3" t="s">
        <v>3091</v>
      </c>
      <c r="AF146" s="3"/>
      <c r="AG146" s="3"/>
      <c r="AH146" s="3"/>
      <c r="AI146" s="3"/>
      <c r="AJ146" s="3"/>
      <c r="AK146" s="3"/>
    </row>
    <row r="147" spans="1:37" ht="15.75" customHeight="1">
      <c r="A147" s="2" t="s">
        <v>2854</v>
      </c>
      <c r="B147" s="2" t="s">
        <v>2701</v>
      </c>
      <c r="C147" s="3">
        <v>611</v>
      </c>
      <c r="D147" s="2" t="s">
        <v>163</v>
      </c>
      <c r="E147" s="2">
        <f t="shared" si="8"/>
        <v>14</v>
      </c>
      <c r="F147" s="2">
        <f t="shared" si="9"/>
        <v>6</v>
      </c>
      <c r="G147" s="2">
        <f t="shared" si="10"/>
        <v>20</v>
      </c>
      <c r="H147" s="6">
        <f t="shared" si="11"/>
        <v>0.86956521739130399</v>
      </c>
      <c r="I147" s="2" t="s">
        <v>3090</v>
      </c>
      <c r="J147" s="2" t="s">
        <v>3090</v>
      </c>
      <c r="K147" s="2" t="s">
        <v>3090</v>
      </c>
      <c r="L147" s="2" t="s">
        <v>3090</v>
      </c>
      <c r="M147" s="2" t="s">
        <v>3090</v>
      </c>
      <c r="N147" s="2" t="s">
        <v>3090</v>
      </c>
      <c r="O147" s="2" t="s">
        <v>3091</v>
      </c>
      <c r="P147" s="2" t="s">
        <v>3091</v>
      </c>
      <c r="Q147" s="2" t="s">
        <v>3090</v>
      </c>
      <c r="R147" s="2" t="s">
        <v>3090</v>
      </c>
      <c r="S147" s="2" t="s">
        <v>3090</v>
      </c>
      <c r="T147" s="2" t="s">
        <v>3091</v>
      </c>
      <c r="U147" s="2" t="s">
        <v>3090</v>
      </c>
      <c r="V147" s="2" t="s">
        <v>3090</v>
      </c>
      <c r="W147" s="2" t="s">
        <v>3091</v>
      </c>
      <c r="X147" s="2" t="s">
        <v>3091</v>
      </c>
      <c r="Y147" s="2" t="s">
        <v>3090</v>
      </c>
      <c r="Z147" s="2" t="s">
        <v>3090</v>
      </c>
      <c r="AA147" s="3" t="s">
        <v>3091</v>
      </c>
      <c r="AB147" s="3" t="s">
        <v>3092</v>
      </c>
      <c r="AC147" s="3" t="s">
        <v>3092</v>
      </c>
      <c r="AD147" s="3" t="s">
        <v>3090</v>
      </c>
      <c r="AE147" s="3" t="s">
        <v>3092</v>
      </c>
      <c r="AF147" s="3"/>
      <c r="AG147" s="3"/>
      <c r="AH147" s="3"/>
      <c r="AI147" s="3"/>
      <c r="AJ147" s="3"/>
      <c r="AK147" s="3"/>
    </row>
    <row r="148" spans="1:37" ht="15.75" customHeight="1">
      <c r="A148" s="2" t="s">
        <v>2855</v>
      </c>
      <c r="B148" s="2" t="s">
        <v>2755</v>
      </c>
      <c r="C148" s="3">
        <v>286</v>
      </c>
      <c r="D148" s="2" t="s">
        <v>560</v>
      </c>
      <c r="E148" s="2">
        <f t="shared" si="8"/>
        <v>0</v>
      </c>
      <c r="F148" s="2">
        <f t="shared" si="9"/>
        <v>22</v>
      </c>
      <c r="G148" s="2">
        <f t="shared" si="10"/>
        <v>22</v>
      </c>
      <c r="H148" s="6">
        <f t="shared" si="11"/>
        <v>0.95652173913043503</v>
      </c>
      <c r="I148" s="2" t="s">
        <v>3091</v>
      </c>
      <c r="J148" s="2" t="s">
        <v>3091</v>
      </c>
      <c r="K148" s="2" t="s">
        <v>3091</v>
      </c>
      <c r="L148" s="2" t="s">
        <v>3091</v>
      </c>
      <c r="M148" s="2" t="s">
        <v>3091</v>
      </c>
      <c r="N148" s="2" t="s">
        <v>3091</v>
      </c>
      <c r="O148" s="2" t="s">
        <v>3091</v>
      </c>
      <c r="P148" s="2" t="s">
        <v>3091</v>
      </c>
      <c r="Q148" s="2" t="s">
        <v>3091</v>
      </c>
      <c r="R148" s="2" t="s">
        <v>3091</v>
      </c>
      <c r="S148" s="2" t="s">
        <v>3091</v>
      </c>
      <c r="T148" s="2" t="s">
        <v>3091</v>
      </c>
      <c r="U148" s="2" t="s">
        <v>3091</v>
      </c>
      <c r="V148" s="2" t="s">
        <v>3091</v>
      </c>
      <c r="W148" s="2" t="s">
        <v>3091</v>
      </c>
      <c r="X148" s="2" t="s">
        <v>3091</v>
      </c>
      <c r="Y148" s="2" t="s">
        <v>3091</v>
      </c>
      <c r="Z148" s="2" t="s">
        <v>3091</v>
      </c>
      <c r="AA148" s="3" t="s">
        <v>3091</v>
      </c>
      <c r="AB148" s="3" t="s">
        <v>3091</v>
      </c>
      <c r="AC148" s="3" t="s">
        <v>3091</v>
      </c>
      <c r="AD148" s="3" t="s">
        <v>3091</v>
      </c>
      <c r="AE148" s="3" t="s">
        <v>3092</v>
      </c>
      <c r="AF148" s="3"/>
      <c r="AG148" s="3"/>
      <c r="AH148" s="3"/>
      <c r="AI148" s="3"/>
      <c r="AJ148" s="3"/>
      <c r="AK148" s="3"/>
    </row>
    <row r="149" spans="1:37" ht="15.75" customHeight="1">
      <c r="A149" s="2" t="s">
        <v>2856</v>
      </c>
      <c r="B149" s="2" t="s">
        <v>2693</v>
      </c>
      <c r="C149" s="3">
        <v>505</v>
      </c>
      <c r="D149" s="2" t="s">
        <v>14</v>
      </c>
      <c r="E149" s="2">
        <f t="shared" si="8"/>
        <v>0</v>
      </c>
      <c r="F149" s="2">
        <f t="shared" si="9"/>
        <v>23</v>
      </c>
      <c r="G149" s="2">
        <f t="shared" si="10"/>
        <v>23</v>
      </c>
      <c r="H149" s="6">
        <f t="shared" si="11"/>
        <v>1</v>
      </c>
      <c r="I149" s="2" t="s">
        <v>3091</v>
      </c>
      <c r="J149" s="2" t="s">
        <v>3091</v>
      </c>
      <c r="K149" s="2" t="s">
        <v>3091</v>
      </c>
      <c r="L149" s="2" t="s">
        <v>3091</v>
      </c>
      <c r="M149" s="2" t="s">
        <v>3091</v>
      </c>
      <c r="N149" s="2" t="s">
        <v>3091</v>
      </c>
      <c r="O149" s="2" t="s">
        <v>3091</v>
      </c>
      <c r="P149" s="2" t="s">
        <v>3091</v>
      </c>
      <c r="Q149" s="2" t="s">
        <v>3091</v>
      </c>
      <c r="R149" s="2" t="s">
        <v>3091</v>
      </c>
      <c r="S149" s="2" t="s">
        <v>3091</v>
      </c>
      <c r="T149" s="2" t="s">
        <v>3091</v>
      </c>
      <c r="U149" s="2" t="s">
        <v>3091</v>
      </c>
      <c r="V149" s="2" t="s">
        <v>3091</v>
      </c>
      <c r="W149" s="2" t="s">
        <v>3091</v>
      </c>
      <c r="X149" s="2" t="s">
        <v>3091</v>
      </c>
      <c r="Y149" s="2" t="s">
        <v>3091</v>
      </c>
      <c r="Z149" s="2" t="s">
        <v>3091</v>
      </c>
      <c r="AA149" s="3" t="s">
        <v>3091</v>
      </c>
      <c r="AB149" s="3" t="s">
        <v>3091</v>
      </c>
      <c r="AC149" s="3" t="s">
        <v>3091</v>
      </c>
      <c r="AD149" s="3" t="s">
        <v>3091</v>
      </c>
      <c r="AE149" s="3" t="s">
        <v>3091</v>
      </c>
      <c r="AF149" s="3"/>
      <c r="AG149" s="3"/>
      <c r="AH149" s="3"/>
      <c r="AI149" s="3"/>
      <c r="AJ149" s="3"/>
      <c r="AK149" s="3"/>
    </row>
    <row r="150" spans="1:37" ht="15.75" customHeight="1">
      <c r="A150" s="2" t="s">
        <v>2857</v>
      </c>
      <c r="B150" s="2" t="s">
        <v>2858</v>
      </c>
      <c r="C150" s="3">
        <v>633</v>
      </c>
      <c r="D150" s="2" t="s">
        <v>796</v>
      </c>
      <c r="E150" s="2">
        <f t="shared" si="8"/>
        <v>6</v>
      </c>
      <c r="F150" s="2">
        <f t="shared" si="9"/>
        <v>17</v>
      </c>
      <c r="G150" s="2">
        <f t="shared" si="10"/>
        <v>23</v>
      </c>
      <c r="H150" s="6">
        <f t="shared" si="11"/>
        <v>1</v>
      </c>
      <c r="I150" s="2" t="s">
        <v>3090</v>
      </c>
      <c r="J150" s="2" t="s">
        <v>3091</v>
      </c>
      <c r="K150" s="2" t="s">
        <v>3091</v>
      </c>
      <c r="L150" s="2" t="s">
        <v>3091</v>
      </c>
      <c r="M150" s="2" t="s">
        <v>3091</v>
      </c>
      <c r="N150" s="2" t="s">
        <v>3090</v>
      </c>
      <c r="O150" s="2" t="s">
        <v>3091</v>
      </c>
      <c r="P150" s="2" t="s">
        <v>3091</v>
      </c>
      <c r="Q150" s="2" t="s">
        <v>3090</v>
      </c>
      <c r="R150" s="2" t="s">
        <v>3090</v>
      </c>
      <c r="S150" s="2" t="s">
        <v>3090</v>
      </c>
      <c r="T150" s="2" t="s">
        <v>3091</v>
      </c>
      <c r="U150" s="2" t="s">
        <v>3091</v>
      </c>
      <c r="V150" s="2" t="s">
        <v>3091</v>
      </c>
      <c r="W150" s="2" t="s">
        <v>3091</v>
      </c>
      <c r="X150" s="2" t="s">
        <v>3091</v>
      </c>
      <c r="Y150" s="2" t="s">
        <v>3091</v>
      </c>
      <c r="Z150" s="2" t="s">
        <v>3091</v>
      </c>
      <c r="AA150" s="3" t="s">
        <v>3091</v>
      </c>
      <c r="AB150" s="3" t="s">
        <v>3090</v>
      </c>
      <c r="AC150" s="3" t="s">
        <v>3091</v>
      </c>
      <c r="AD150" s="3" t="s">
        <v>3091</v>
      </c>
      <c r="AE150" s="3" t="s">
        <v>3091</v>
      </c>
      <c r="AF150" s="3"/>
      <c r="AG150" s="3"/>
      <c r="AH150" s="3"/>
      <c r="AI150" s="3"/>
      <c r="AJ150" s="3"/>
      <c r="AK150" s="3"/>
    </row>
    <row r="151" spans="1:37" ht="15.75" customHeight="1">
      <c r="A151" s="2" t="s">
        <v>2859</v>
      </c>
      <c r="B151" s="2" t="s">
        <v>2846</v>
      </c>
      <c r="C151" s="3">
        <v>757</v>
      </c>
      <c r="D151" s="2" t="s">
        <v>525</v>
      </c>
      <c r="E151" s="2">
        <f t="shared" si="8"/>
        <v>14</v>
      </c>
      <c r="F151" s="2">
        <f t="shared" si="9"/>
        <v>9</v>
      </c>
      <c r="G151" s="2">
        <f t="shared" si="10"/>
        <v>23</v>
      </c>
      <c r="H151" s="6">
        <f t="shared" si="11"/>
        <v>1</v>
      </c>
      <c r="I151" s="2" t="s">
        <v>3090</v>
      </c>
      <c r="J151" s="2" t="s">
        <v>3090</v>
      </c>
      <c r="K151" s="2" t="s">
        <v>3090</v>
      </c>
      <c r="L151" s="2" t="s">
        <v>3090</v>
      </c>
      <c r="M151" s="2" t="s">
        <v>3090</v>
      </c>
      <c r="N151" s="2" t="s">
        <v>3090</v>
      </c>
      <c r="O151" s="2" t="s">
        <v>3091</v>
      </c>
      <c r="P151" s="2" t="s">
        <v>3091</v>
      </c>
      <c r="Q151" s="2" t="s">
        <v>3090</v>
      </c>
      <c r="R151" s="2" t="s">
        <v>3090</v>
      </c>
      <c r="S151" s="2" t="s">
        <v>3090</v>
      </c>
      <c r="T151" s="2" t="s">
        <v>3091</v>
      </c>
      <c r="U151" s="2" t="s">
        <v>3090</v>
      </c>
      <c r="V151" s="2" t="s">
        <v>3090</v>
      </c>
      <c r="W151" s="2" t="s">
        <v>3091</v>
      </c>
      <c r="X151" s="2" t="s">
        <v>3091</v>
      </c>
      <c r="Y151" s="2" t="s">
        <v>3090</v>
      </c>
      <c r="Z151" s="2" t="s">
        <v>3090</v>
      </c>
      <c r="AA151" s="3" t="s">
        <v>3091</v>
      </c>
      <c r="AB151" s="3" t="s">
        <v>3090</v>
      </c>
      <c r="AC151" s="3" t="s">
        <v>3091</v>
      </c>
      <c r="AD151" s="3" t="s">
        <v>3091</v>
      </c>
      <c r="AE151" s="3" t="s">
        <v>3091</v>
      </c>
      <c r="AF151" s="3"/>
      <c r="AG151" s="3"/>
      <c r="AH151" s="3"/>
      <c r="AI151" s="3"/>
      <c r="AJ151" s="3"/>
      <c r="AK151" s="3"/>
    </row>
    <row r="152" spans="1:37" ht="15.75" customHeight="1">
      <c r="A152" s="2" t="s">
        <v>2860</v>
      </c>
      <c r="B152" s="2" t="s">
        <v>2701</v>
      </c>
      <c r="C152" s="3">
        <v>750</v>
      </c>
      <c r="D152" s="2" t="s">
        <v>758</v>
      </c>
      <c r="E152" s="2">
        <f t="shared" si="8"/>
        <v>4</v>
      </c>
      <c r="F152" s="2">
        <f t="shared" si="9"/>
        <v>19</v>
      </c>
      <c r="G152" s="2">
        <f t="shared" si="10"/>
        <v>23</v>
      </c>
      <c r="H152" s="6">
        <f t="shared" si="11"/>
        <v>1</v>
      </c>
      <c r="I152" s="2" t="s">
        <v>3090</v>
      </c>
      <c r="J152" s="2" t="s">
        <v>3091</v>
      </c>
      <c r="K152" s="2" t="s">
        <v>3091</v>
      </c>
      <c r="L152" s="2" t="s">
        <v>3090</v>
      </c>
      <c r="M152" s="2" t="s">
        <v>3090</v>
      </c>
      <c r="N152" s="2" t="s">
        <v>3090</v>
      </c>
      <c r="O152" s="2" t="s">
        <v>3091</v>
      </c>
      <c r="P152" s="2" t="s">
        <v>3091</v>
      </c>
      <c r="Q152" s="2" t="s">
        <v>3091</v>
      </c>
      <c r="R152" s="2" t="s">
        <v>3091</v>
      </c>
      <c r="S152" s="2" t="s">
        <v>3091</v>
      </c>
      <c r="T152" s="2" t="s">
        <v>3091</v>
      </c>
      <c r="U152" s="2" t="s">
        <v>3091</v>
      </c>
      <c r="V152" s="2" t="s">
        <v>3091</v>
      </c>
      <c r="W152" s="2" t="s">
        <v>3091</v>
      </c>
      <c r="X152" s="2" t="s">
        <v>3091</v>
      </c>
      <c r="Y152" s="2" t="s">
        <v>3091</v>
      </c>
      <c r="Z152" s="2" t="s">
        <v>3091</v>
      </c>
      <c r="AA152" s="3" t="s">
        <v>3091</v>
      </c>
      <c r="AB152" s="3" t="s">
        <v>3091</v>
      </c>
      <c r="AC152" s="3" t="s">
        <v>3091</v>
      </c>
      <c r="AD152" s="3" t="s">
        <v>3091</v>
      </c>
      <c r="AE152" s="3" t="s">
        <v>3091</v>
      </c>
      <c r="AF152" s="3"/>
      <c r="AG152" s="3"/>
      <c r="AH152" s="3"/>
      <c r="AI152" s="3"/>
      <c r="AJ152" s="3"/>
      <c r="AK152" s="3"/>
    </row>
    <row r="153" spans="1:37" ht="15.75" customHeight="1">
      <c r="A153" s="2" t="s">
        <v>2861</v>
      </c>
      <c r="B153" s="2" t="s">
        <v>2682</v>
      </c>
      <c r="C153" s="3">
        <v>636</v>
      </c>
      <c r="D153" s="2" t="s">
        <v>433</v>
      </c>
      <c r="E153" s="2">
        <f t="shared" si="8"/>
        <v>17</v>
      </c>
      <c r="F153" s="2">
        <f t="shared" si="9"/>
        <v>6</v>
      </c>
      <c r="G153" s="2">
        <f t="shared" si="10"/>
        <v>23</v>
      </c>
      <c r="H153" s="6">
        <f t="shared" si="11"/>
        <v>1</v>
      </c>
      <c r="I153" s="2" t="s">
        <v>3090</v>
      </c>
      <c r="J153" s="2" t="s">
        <v>3090</v>
      </c>
      <c r="K153" s="2" t="s">
        <v>3090</v>
      </c>
      <c r="L153" s="2" t="s">
        <v>3090</v>
      </c>
      <c r="M153" s="2" t="s">
        <v>3090</v>
      </c>
      <c r="N153" s="2" t="s">
        <v>3090</v>
      </c>
      <c r="O153" s="2" t="s">
        <v>3091</v>
      </c>
      <c r="P153" s="2" t="s">
        <v>3091</v>
      </c>
      <c r="Q153" s="2" t="s">
        <v>3090</v>
      </c>
      <c r="R153" s="2" t="s">
        <v>3090</v>
      </c>
      <c r="S153" s="2" t="s">
        <v>3090</v>
      </c>
      <c r="T153" s="2" t="s">
        <v>3091</v>
      </c>
      <c r="U153" s="2" t="s">
        <v>3090</v>
      </c>
      <c r="V153" s="2" t="s">
        <v>3090</v>
      </c>
      <c r="W153" s="2" t="s">
        <v>3091</v>
      </c>
      <c r="X153" s="2" t="s">
        <v>3091</v>
      </c>
      <c r="Y153" s="2" t="s">
        <v>3090</v>
      </c>
      <c r="Z153" s="2" t="s">
        <v>3090</v>
      </c>
      <c r="AA153" s="3" t="s">
        <v>3091</v>
      </c>
      <c r="AB153" s="3" t="s">
        <v>3090</v>
      </c>
      <c r="AC153" s="3" t="s">
        <v>3090</v>
      </c>
      <c r="AD153" s="3" t="s">
        <v>3090</v>
      </c>
      <c r="AE153" s="3" t="s">
        <v>3090</v>
      </c>
      <c r="AF153" s="3"/>
      <c r="AG153" s="3"/>
      <c r="AH153" s="3"/>
      <c r="AI153" s="3"/>
      <c r="AJ153" s="3"/>
      <c r="AK153" s="3"/>
    </row>
    <row r="154" spans="1:37" ht="15.75" customHeight="1">
      <c r="A154" s="2" t="s">
        <v>2862</v>
      </c>
      <c r="B154" s="2" t="s">
        <v>2863</v>
      </c>
      <c r="C154" s="3">
        <v>781</v>
      </c>
      <c r="D154" s="2" t="s">
        <v>258</v>
      </c>
      <c r="E154" s="2">
        <f t="shared" si="8"/>
        <v>4</v>
      </c>
      <c r="F154" s="2">
        <f t="shared" si="9"/>
        <v>19</v>
      </c>
      <c r="G154" s="2">
        <f t="shared" si="10"/>
        <v>23</v>
      </c>
      <c r="H154" s="6">
        <f t="shared" si="11"/>
        <v>1</v>
      </c>
      <c r="I154" s="2" t="s">
        <v>3090</v>
      </c>
      <c r="J154" s="2" t="s">
        <v>3091</v>
      </c>
      <c r="K154" s="2" t="s">
        <v>3091</v>
      </c>
      <c r="L154" s="2" t="s">
        <v>3091</v>
      </c>
      <c r="M154" s="2" t="s">
        <v>3091</v>
      </c>
      <c r="N154" s="2" t="s">
        <v>3091</v>
      </c>
      <c r="O154" s="2" t="s">
        <v>3091</v>
      </c>
      <c r="P154" s="2" t="s">
        <v>3091</v>
      </c>
      <c r="Q154" s="2" t="s">
        <v>3091</v>
      </c>
      <c r="R154" s="2" t="s">
        <v>3091</v>
      </c>
      <c r="S154" s="2" t="s">
        <v>3091</v>
      </c>
      <c r="T154" s="2" t="s">
        <v>3091</v>
      </c>
      <c r="U154" s="2" t="s">
        <v>3091</v>
      </c>
      <c r="V154" s="2" t="s">
        <v>3091</v>
      </c>
      <c r="W154" s="2" t="s">
        <v>3091</v>
      </c>
      <c r="X154" s="2" t="s">
        <v>3091</v>
      </c>
      <c r="Y154" s="2" t="s">
        <v>3091</v>
      </c>
      <c r="Z154" s="2" t="s">
        <v>3091</v>
      </c>
      <c r="AA154" s="3" t="s">
        <v>3091</v>
      </c>
      <c r="AB154" s="3" t="s">
        <v>3090</v>
      </c>
      <c r="AC154" s="3" t="s">
        <v>3090</v>
      </c>
      <c r="AD154" s="3" t="s">
        <v>3091</v>
      </c>
      <c r="AE154" s="3" t="s">
        <v>3090</v>
      </c>
      <c r="AF154" s="3"/>
      <c r="AG154" s="3"/>
      <c r="AH154" s="3"/>
      <c r="AI154" s="3"/>
      <c r="AJ154" s="3"/>
      <c r="AK154" s="3"/>
    </row>
    <row r="155" spans="1:37" ht="15.75" customHeight="1">
      <c r="A155" s="2" t="s">
        <v>2864</v>
      </c>
      <c r="B155" s="2" t="s">
        <v>2701</v>
      </c>
      <c r="C155" s="3">
        <v>375</v>
      </c>
      <c r="D155" s="2" t="s">
        <v>563</v>
      </c>
      <c r="E155" s="2">
        <f t="shared" si="8"/>
        <v>0</v>
      </c>
      <c r="F155" s="2">
        <f t="shared" si="9"/>
        <v>10</v>
      </c>
      <c r="G155" s="2">
        <f t="shared" si="10"/>
        <v>10</v>
      </c>
      <c r="H155" s="6">
        <f t="shared" si="11"/>
        <v>0.434782608695652</v>
      </c>
      <c r="I155" s="2" t="s">
        <v>3091</v>
      </c>
      <c r="J155" s="2" t="s">
        <v>3091</v>
      </c>
      <c r="K155" s="2" t="s">
        <v>3091</v>
      </c>
      <c r="L155" s="2" t="s">
        <v>3091</v>
      </c>
      <c r="M155" s="2" t="s">
        <v>3091</v>
      </c>
      <c r="N155" s="2" t="s">
        <v>3091</v>
      </c>
      <c r="O155" s="2" t="s">
        <v>3091</v>
      </c>
      <c r="P155" s="2" t="s">
        <v>3091</v>
      </c>
      <c r="Q155" s="2" t="s">
        <v>3091</v>
      </c>
      <c r="R155" s="2" t="s">
        <v>3091</v>
      </c>
      <c r="S155" s="2" t="s">
        <v>3092</v>
      </c>
      <c r="T155" s="2" t="s">
        <v>3092</v>
      </c>
      <c r="U155" s="2" t="s">
        <v>3092</v>
      </c>
      <c r="V155" s="2" t="s">
        <v>3092</v>
      </c>
      <c r="W155" s="2" t="s">
        <v>3092</v>
      </c>
      <c r="X155" s="2" t="s">
        <v>3092</v>
      </c>
      <c r="Y155" s="2" t="s">
        <v>3092</v>
      </c>
      <c r="Z155" s="2" t="s">
        <v>3092</v>
      </c>
      <c r="AA155" s="3" t="s">
        <v>3092</v>
      </c>
      <c r="AB155" s="3" t="s">
        <v>3092</v>
      </c>
      <c r="AC155" s="3" t="s">
        <v>3092</v>
      </c>
      <c r="AD155" s="3" t="s">
        <v>3092</v>
      </c>
      <c r="AE155" s="3" t="s">
        <v>3092</v>
      </c>
      <c r="AF155" s="3"/>
      <c r="AG155" s="3"/>
      <c r="AH155" s="3"/>
      <c r="AI155" s="3"/>
      <c r="AJ155" s="3"/>
      <c r="AK155" s="3"/>
    </row>
    <row r="156" spans="1:37" ht="15.75" customHeight="1">
      <c r="A156" s="2" t="s">
        <v>2865</v>
      </c>
      <c r="B156" s="2" t="s">
        <v>2662</v>
      </c>
      <c r="C156" s="3">
        <v>622</v>
      </c>
      <c r="D156" s="2" t="s">
        <v>528</v>
      </c>
      <c r="E156" s="2">
        <f t="shared" si="8"/>
        <v>4</v>
      </c>
      <c r="F156" s="2">
        <f t="shared" si="9"/>
        <v>19</v>
      </c>
      <c r="G156" s="2">
        <f t="shared" si="10"/>
        <v>23</v>
      </c>
      <c r="H156" s="6">
        <f t="shared" si="11"/>
        <v>1</v>
      </c>
      <c r="I156" s="2" t="s">
        <v>3090</v>
      </c>
      <c r="J156" s="2" t="s">
        <v>3091</v>
      </c>
      <c r="K156" s="2" t="s">
        <v>3091</v>
      </c>
      <c r="L156" s="2" t="s">
        <v>3091</v>
      </c>
      <c r="M156" s="2" t="s">
        <v>3091</v>
      </c>
      <c r="N156" s="2" t="s">
        <v>3091</v>
      </c>
      <c r="O156" s="2" t="s">
        <v>3091</v>
      </c>
      <c r="P156" s="2" t="s">
        <v>3091</v>
      </c>
      <c r="Q156" s="2" t="s">
        <v>3091</v>
      </c>
      <c r="R156" s="2" t="s">
        <v>3091</v>
      </c>
      <c r="S156" s="2" t="s">
        <v>3090</v>
      </c>
      <c r="T156" s="2" t="s">
        <v>3091</v>
      </c>
      <c r="U156" s="2" t="s">
        <v>3091</v>
      </c>
      <c r="V156" s="2" t="s">
        <v>3091</v>
      </c>
      <c r="W156" s="2" t="s">
        <v>3091</v>
      </c>
      <c r="X156" s="2" t="s">
        <v>3091</v>
      </c>
      <c r="Y156" s="2" t="s">
        <v>3090</v>
      </c>
      <c r="Z156" s="2" t="s">
        <v>3091</v>
      </c>
      <c r="AA156" s="3" t="s">
        <v>3091</v>
      </c>
      <c r="AB156" s="3" t="s">
        <v>3091</v>
      </c>
      <c r="AC156" s="3" t="s">
        <v>3091</v>
      </c>
      <c r="AD156" s="3" t="s">
        <v>3091</v>
      </c>
      <c r="AE156" s="3" t="s">
        <v>3090</v>
      </c>
      <c r="AF156" s="3"/>
      <c r="AG156" s="3"/>
      <c r="AH156" s="3"/>
      <c r="AI156" s="3"/>
      <c r="AJ156" s="3"/>
      <c r="AK156" s="3"/>
    </row>
    <row r="157" spans="1:37" ht="15.75" customHeight="1">
      <c r="A157" s="2" t="s">
        <v>2866</v>
      </c>
      <c r="B157" s="2" t="s">
        <v>2732</v>
      </c>
      <c r="C157" s="3">
        <v>459</v>
      </c>
      <c r="D157" s="2" t="s">
        <v>397</v>
      </c>
      <c r="E157" s="2">
        <f t="shared" si="8"/>
        <v>14</v>
      </c>
      <c r="F157" s="2">
        <f t="shared" si="9"/>
        <v>9</v>
      </c>
      <c r="G157" s="2">
        <f t="shared" si="10"/>
        <v>23</v>
      </c>
      <c r="H157" s="6">
        <f t="shared" si="11"/>
        <v>1</v>
      </c>
      <c r="I157" s="2" t="s">
        <v>3090</v>
      </c>
      <c r="J157" s="2" t="s">
        <v>3090</v>
      </c>
      <c r="K157" s="2" t="s">
        <v>3090</v>
      </c>
      <c r="L157" s="2" t="s">
        <v>3090</v>
      </c>
      <c r="M157" s="2" t="s">
        <v>3090</v>
      </c>
      <c r="N157" s="2" t="s">
        <v>3090</v>
      </c>
      <c r="O157" s="2" t="s">
        <v>3091</v>
      </c>
      <c r="P157" s="2" t="s">
        <v>3091</v>
      </c>
      <c r="Q157" s="2" t="s">
        <v>3090</v>
      </c>
      <c r="R157" s="2" t="s">
        <v>3090</v>
      </c>
      <c r="S157" s="2" t="s">
        <v>3090</v>
      </c>
      <c r="T157" s="2" t="s">
        <v>3091</v>
      </c>
      <c r="U157" s="2" t="s">
        <v>3090</v>
      </c>
      <c r="V157" s="2" t="s">
        <v>3090</v>
      </c>
      <c r="W157" s="2" t="s">
        <v>3091</v>
      </c>
      <c r="X157" s="2" t="s">
        <v>3091</v>
      </c>
      <c r="Y157" s="2" t="s">
        <v>3091</v>
      </c>
      <c r="Z157" s="2" t="s">
        <v>3090</v>
      </c>
      <c r="AA157" s="3" t="s">
        <v>3091</v>
      </c>
      <c r="AB157" s="3" t="s">
        <v>3090</v>
      </c>
      <c r="AC157" s="3" t="s">
        <v>3090</v>
      </c>
      <c r="AD157" s="3" t="s">
        <v>3091</v>
      </c>
      <c r="AE157" s="3" t="s">
        <v>3091</v>
      </c>
      <c r="AF157" s="3"/>
      <c r="AG157" s="3"/>
      <c r="AH157" s="3"/>
      <c r="AI157" s="3"/>
      <c r="AJ157" s="3"/>
      <c r="AK157" s="3"/>
    </row>
    <row r="158" spans="1:37" ht="15.75" customHeight="1">
      <c r="A158" s="2" t="s">
        <v>2867</v>
      </c>
      <c r="B158" s="2" t="s">
        <v>2755</v>
      </c>
      <c r="C158" s="3">
        <v>379</v>
      </c>
      <c r="D158" s="2" t="s">
        <v>628</v>
      </c>
      <c r="E158" s="2">
        <f t="shared" si="8"/>
        <v>16</v>
      </c>
      <c r="F158" s="2">
        <f t="shared" si="9"/>
        <v>7</v>
      </c>
      <c r="G158" s="2">
        <f t="shared" si="10"/>
        <v>23</v>
      </c>
      <c r="H158" s="6">
        <f t="shared" si="11"/>
        <v>1</v>
      </c>
      <c r="I158" s="2" t="s">
        <v>3090</v>
      </c>
      <c r="J158" s="2" t="s">
        <v>3090</v>
      </c>
      <c r="K158" s="2" t="s">
        <v>3090</v>
      </c>
      <c r="L158" s="2" t="s">
        <v>3090</v>
      </c>
      <c r="M158" s="2" t="s">
        <v>3090</v>
      </c>
      <c r="N158" s="2" t="s">
        <v>3090</v>
      </c>
      <c r="O158" s="2" t="s">
        <v>3091</v>
      </c>
      <c r="P158" s="2" t="s">
        <v>3091</v>
      </c>
      <c r="Q158" s="2" t="s">
        <v>3090</v>
      </c>
      <c r="R158" s="2" t="s">
        <v>3090</v>
      </c>
      <c r="S158" s="2" t="s">
        <v>3090</v>
      </c>
      <c r="T158" s="2" t="s">
        <v>3091</v>
      </c>
      <c r="U158" s="2" t="s">
        <v>3090</v>
      </c>
      <c r="V158" s="2" t="s">
        <v>3090</v>
      </c>
      <c r="W158" s="2" t="s">
        <v>3091</v>
      </c>
      <c r="X158" s="2" t="s">
        <v>3091</v>
      </c>
      <c r="Y158" s="2" t="s">
        <v>3090</v>
      </c>
      <c r="Z158" s="2" t="s">
        <v>3090</v>
      </c>
      <c r="AA158" s="3" t="s">
        <v>3091</v>
      </c>
      <c r="AB158" s="3" t="s">
        <v>3091</v>
      </c>
      <c r="AC158" s="3" t="s">
        <v>3090</v>
      </c>
      <c r="AD158" s="3" t="s">
        <v>3090</v>
      </c>
      <c r="AE158" s="3" t="s">
        <v>3090</v>
      </c>
      <c r="AF158" s="3"/>
      <c r="AG158" s="3"/>
      <c r="AH158" s="3"/>
      <c r="AI158" s="3"/>
      <c r="AJ158" s="3"/>
      <c r="AK158" s="3"/>
    </row>
    <row r="159" spans="1:37" ht="15.75" customHeight="1">
      <c r="A159" s="2" t="s">
        <v>2868</v>
      </c>
      <c r="B159" s="2" t="s">
        <v>2695</v>
      </c>
      <c r="C159" s="3">
        <v>624</v>
      </c>
      <c r="D159" s="2" t="s">
        <v>75</v>
      </c>
      <c r="E159" s="2">
        <f t="shared" si="8"/>
        <v>14</v>
      </c>
      <c r="F159" s="2">
        <f t="shared" si="9"/>
        <v>9</v>
      </c>
      <c r="G159" s="2">
        <f t="shared" si="10"/>
        <v>23</v>
      </c>
      <c r="H159" s="6">
        <f t="shared" si="11"/>
        <v>1</v>
      </c>
      <c r="I159" s="2" t="s">
        <v>3090</v>
      </c>
      <c r="J159" s="2" t="s">
        <v>3090</v>
      </c>
      <c r="K159" s="2" t="s">
        <v>3090</v>
      </c>
      <c r="L159" s="2" t="s">
        <v>3090</v>
      </c>
      <c r="M159" s="2" t="s">
        <v>3091</v>
      </c>
      <c r="N159" s="2" t="s">
        <v>3090</v>
      </c>
      <c r="O159" s="2" t="s">
        <v>3091</v>
      </c>
      <c r="P159" s="2" t="s">
        <v>3091</v>
      </c>
      <c r="Q159" s="2" t="s">
        <v>3090</v>
      </c>
      <c r="R159" s="2" t="s">
        <v>3090</v>
      </c>
      <c r="S159" s="2" t="s">
        <v>3090</v>
      </c>
      <c r="T159" s="2" t="s">
        <v>3091</v>
      </c>
      <c r="U159" s="2" t="s">
        <v>3091</v>
      </c>
      <c r="V159" s="2" t="s">
        <v>3091</v>
      </c>
      <c r="W159" s="2" t="s">
        <v>3091</v>
      </c>
      <c r="X159" s="2" t="s">
        <v>3091</v>
      </c>
      <c r="Y159" s="2" t="s">
        <v>3090</v>
      </c>
      <c r="Z159" s="2" t="s">
        <v>3090</v>
      </c>
      <c r="AA159" s="3" t="s">
        <v>3091</v>
      </c>
      <c r="AB159" s="3" t="s">
        <v>3090</v>
      </c>
      <c r="AC159" s="3" t="s">
        <v>3090</v>
      </c>
      <c r="AD159" s="3" t="s">
        <v>3090</v>
      </c>
      <c r="AE159" s="3" t="s">
        <v>3090</v>
      </c>
      <c r="AF159" s="3"/>
      <c r="AG159" s="3"/>
      <c r="AH159" s="3"/>
      <c r="AI159" s="3"/>
      <c r="AJ159" s="3"/>
      <c r="AK159" s="3"/>
    </row>
    <row r="160" spans="1:37" ht="15.75" customHeight="1">
      <c r="A160" s="2" t="s">
        <v>2869</v>
      </c>
      <c r="B160" s="2" t="s">
        <v>2775</v>
      </c>
      <c r="C160" s="3">
        <v>769</v>
      </c>
      <c r="D160" s="2" t="s">
        <v>478</v>
      </c>
      <c r="E160" s="2">
        <f t="shared" si="8"/>
        <v>17</v>
      </c>
      <c r="F160" s="2">
        <f t="shared" si="9"/>
        <v>4</v>
      </c>
      <c r="G160" s="2">
        <f t="shared" si="10"/>
        <v>21</v>
      </c>
      <c r="H160" s="6">
        <f t="shared" si="11"/>
        <v>0.91304347826086996</v>
      </c>
      <c r="I160" s="2" t="s">
        <v>3090</v>
      </c>
      <c r="J160" s="2" t="s">
        <v>3090</v>
      </c>
      <c r="K160" s="2" t="s">
        <v>3090</v>
      </c>
      <c r="L160" s="2" t="s">
        <v>3090</v>
      </c>
      <c r="M160" s="2" t="s">
        <v>3090</v>
      </c>
      <c r="N160" s="2" t="s">
        <v>3090</v>
      </c>
      <c r="O160" s="2" t="s">
        <v>3092</v>
      </c>
      <c r="P160" s="2" t="s">
        <v>3092</v>
      </c>
      <c r="Q160" s="2" t="s">
        <v>3090</v>
      </c>
      <c r="R160" s="2" t="s">
        <v>3090</v>
      </c>
      <c r="S160" s="2" t="s">
        <v>3090</v>
      </c>
      <c r="T160" s="2" t="s">
        <v>3091</v>
      </c>
      <c r="U160" s="2" t="s">
        <v>3090</v>
      </c>
      <c r="V160" s="2" t="s">
        <v>3090</v>
      </c>
      <c r="W160" s="2" t="s">
        <v>3091</v>
      </c>
      <c r="X160" s="2" t="s">
        <v>3091</v>
      </c>
      <c r="Y160" s="2" t="s">
        <v>3090</v>
      </c>
      <c r="Z160" s="2" t="s">
        <v>3090</v>
      </c>
      <c r="AA160" s="3" t="s">
        <v>3091</v>
      </c>
      <c r="AB160" s="3" t="s">
        <v>3090</v>
      </c>
      <c r="AC160" s="3" t="s">
        <v>3090</v>
      </c>
      <c r="AD160" s="3" t="s">
        <v>3090</v>
      </c>
      <c r="AE160" s="3" t="s">
        <v>3090</v>
      </c>
      <c r="AF160" s="3"/>
      <c r="AG160" s="3"/>
      <c r="AH160" s="3"/>
      <c r="AI160" s="3"/>
      <c r="AJ160" s="3"/>
      <c r="AK160" s="3"/>
    </row>
    <row r="161" spans="1:37" ht="15.75" customHeight="1">
      <c r="A161" s="2" t="s">
        <v>2870</v>
      </c>
      <c r="B161" s="2" t="s">
        <v>2682</v>
      </c>
      <c r="C161" s="3">
        <v>601</v>
      </c>
      <c r="D161" s="2" t="s">
        <v>359</v>
      </c>
      <c r="E161" s="2">
        <f t="shared" si="8"/>
        <v>3</v>
      </c>
      <c r="F161" s="2">
        <f t="shared" si="9"/>
        <v>20</v>
      </c>
      <c r="G161" s="2">
        <f t="shared" si="10"/>
        <v>23</v>
      </c>
      <c r="H161" s="6">
        <f t="shared" si="11"/>
        <v>1</v>
      </c>
      <c r="I161" s="2" t="s">
        <v>3090</v>
      </c>
      <c r="J161" s="2" t="s">
        <v>3091</v>
      </c>
      <c r="K161" s="2" t="s">
        <v>3091</v>
      </c>
      <c r="L161" s="2" t="s">
        <v>3091</v>
      </c>
      <c r="M161" s="2" t="s">
        <v>3091</v>
      </c>
      <c r="N161" s="2" t="s">
        <v>3090</v>
      </c>
      <c r="O161" s="2" t="s">
        <v>3091</v>
      </c>
      <c r="P161" s="2" t="s">
        <v>3091</v>
      </c>
      <c r="Q161" s="2" t="s">
        <v>3091</v>
      </c>
      <c r="R161" s="2" t="s">
        <v>3091</v>
      </c>
      <c r="S161" s="2" t="s">
        <v>3091</v>
      </c>
      <c r="T161" s="2" t="s">
        <v>3091</v>
      </c>
      <c r="U161" s="2" t="s">
        <v>3091</v>
      </c>
      <c r="V161" s="2" t="s">
        <v>3091</v>
      </c>
      <c r="W161" s="2" t="s">
        <v>3091</v>
      </c>
      <c r="X161" s="2" t="s">
        <v>3091</v>
      </c>
      <c r="Y161" s="2" t="s">
        <v>3090</v>
      </c>
      <c r="Z161" s="2" t="s">
        <v>3091</v>
      </c>
      <c r="AA161" s="3" t="s">
        <v>3091</v>
      </c>
      <c r="AB161" s="3" t="s">
        <v>3091</v>
      </c>
      <c r="AC161" s="3" t="s">
        <v>3091</v>
      </c>
      <c r="AD161" s="3" t="s">
        <v>3091</v>
      </c>
      <c r="AE161" s="3" t="s">
        <v>3091</v>
      </c>
      <c r="AF161" s="3"/>
      <c r="AG161" s="3"/>
      <c r="AH161" s="3"/>
      <c r="AI161" s="3"/>
      <c r="AJ161" s="3"/>
      <c r="AK161" s="3"/>
    </row>
    <row r="162" spans="1:37" ht="15.75" customHeight="1">
      <c r="A162" s="2" t="s">
        <v>2871</v>
      </c>
      <c r="B162" s="2" t="s">
        <v>2682</v>
      </c>
      <c r="C162" s="3">
        <v>712</v>
      </c>
      <c r="D162" s="2" t="s">
        <v>261</v>
      </c>
      <c r="E162" s="2">
        <f t="shared" si="8"/>
        <v>0</v>
      </c>
      <c r="F162" s="2">
        <f t="shared" si="9"/>
        <v>9</v>
      </c>
      <c r="G162" s="2">
        <f t="shared" si="10"/>
        <v>9</v>
      </c>
      <c r="H162" s="6">
        <f t="shared" si="11"/>
        <v>0.39130434782608697</v>
      </c>
      <c r="I162" s="2" t="s">
        <v>3091</v>
      </c>
      <c r="J162" s="2" t="s">
        <v>3091</v>
      </c>
      <c r="K162" s="2" t="s">
        <v>3091</v>
      </c>
      <c r="L162" s="2" t="s">
        <v>3091</v>
      </c>
      <c r="M162" s="2" t="s">
        <v>3091</v>
      </c>
      <c r="N162" s="2" t="s">
        <v>3091</v>
      </c>
      <c r="O162" s="2" t="s">
        <v>3091</v>
      </c>
      <c r="P162" s="2" t="s">
        <v>3092</v>
      </c>
      <c r="Q162" s="2" t="s">
        <v>3091</v>
      </c>
      <c r="R162" s="2" t="s">
        <v>3091</v>
      </c>
      <c r="S162" s="2" t="s">
        <v>3092</v>
      </c>
      <c r="T162" s="2" t="s">
        <v>3092</v>
      </c>
      <c r="U162" s="2" t="s">
        <v>3092</v>
      </c>
      <c r="V162" s="2" t="s">
        <v>3092</v>
      </c>
      <c r="W162" s="2" t="s">
        <v>3092</v>
      </c>
      <c r="X162" s="2" t="s">
        <v>3092</v>
      </c>
      <c r="Y162" s="2" t="s">
        <v>3092</v>
      </c>
      <c r="Z162" s="2" t="s">
        <v>3092</v>
      </c>
      <c r="AA162" s="3" t="s">
        <v>3092</v>
      </c>
      <c r="AB162" s="3" t="s">
        <v>3092</v>
      </c>
      <c r="AC162" s="3" t="s">
        <v>3092</v>
      </c>
      <c r="AD162" s="3" t="s">
        <v>3092</v>
      </c>
      <c r="AE162" s="3" t="s">
        <v>3092</v>
      </c>
      <c r="AF162" s="3"/>
      <c r="AG162" s="3"/>
      <c r="AH162" s="3"/>
      <c r="AI162" s="3"/>
      <c r="AJ162" s="3"/>
      <c r="AK162" s="3"/>
    </row>
    <row r="163" spans="1:37" ht="15.75" customHeight="1">
      <c r="A163" s="2" t="s">
        <v>2872</v>
      </c>
      <c r="B163" s="2" t="s">
        <v>2811</v>
      </c>
      <c r="C163" s="3">
        <v>597</v>
      </c>
      <c r="D163" s="2" t="s">
        <v>362</v>
      </c>
      <c r="E163" s="2">
        <f t="shared" si="8"/>
        <v>8</v>
      </c>
      <c r="F163" s="2">
        <f t="shared" si="9"/>
        <v>15</v>
      </c>
      <c r="G163" s="2">
        <f t="shared" si="10"/>
        <v>23</v>
      </c>
      <c r="H163" s="6">
        <f t="shared" si="11"/>
        <v>1</v>
      </c>
      <c r="I163" s="2" t="s">
        <v>3090</v>
      </c>
      <c r="J163" s="2" t="s">
        <v>3090</v>
      </c>
      <c r="K163" s="2" t="s">
        <v>3090</v>
      </c>
      <c r="L163" s="2" t="s">
        <v>3090</v>
      </c>
      <c r="M163" s="2" t="s">
        <v>3090</v>
      </c>
      <c r="N163" s="2" t="s">
        <v>3090</v>
      </c>
      <c r="O163" s="2" t="s">
        <v>3091</v>
      </c>
      <c r="P163" s="2" t="s">
        <v>3091</v>
      </c>
      <c r="Q163" s="2" t="s">
        <v>3091</v>
      </c>
      <c r="R163" s="2" t="s">
        <v>3091</v>
      </c>
      <c r="S163" s="2" t="s">
        <v>3090</v>
      </c>
      <c r="T163" s="2" t="s">
        <v>3091</v>
      </c>
      <c r="U163" s="2" t="s">
        <v>3090</v>
      </c>
      <c r="V163" s="2" t="s">
        <v>3091</v>
      </c>
      <c r="W163" s="2" t="s">
        <v>3091</v>
      </c>
      <c r="X163" s="2" t="s">
        <v>3091</v>
      </c>
      <c r="Y163" s="2" t="s">
        <v>3091</v>
      </c>
      <c r="Z163" s="2" t="s">
        <v>3091</v>
      </c>
      <c r="AA163" s="3" t="s">
        <v>3091</v>
      </c>
      <c r="AB163" s="3" t="s">
        <v>3091</v>
      </c>
      <c r="AC163" s="3" t="s">
        <v>3091</v>
      </c>
      <c r="AD163" s="3" t="s">
        <v>3091</v>
      </c>
      <c r="AE163" s="3" t="s">
        <v>3091</v>
      </c>
      <c r="AF163" s="3"/>
      <c r="AG163" s="3"/>
      <c r="AH163" s="3"/>
      <c r="AI163" s="3"/>
      <c r="AJ163" s="3"/>
      <c r="AK163" s="3"/>
    </row>
    <row r="164" spans="1:37" ht="15.75" customHeight="1">
      <c r="A164" s="2" t="s">
        <v>2873</v>
      </c>
      <c r="B164" s="2" t="s">
        <v>2874</v>
      </c>
      <c r="C164" s="3">
        <v>618</v>
      </c>
      <c r="D164" s="2" t="s">
        <v>686</v>
      </c>
      <c r="E164" s="2">
        <f t="shared" si="8"/>
        <v>7</v>
      </c>
      <c r="F164" s="2">
        <f t="shared" si="9"/>
        <v>16</v>
      </c>
      <c r="G164" s="2">
        <f t="shared" si="10"/>
        <v>23</v>
      </c>
      <c r="H164" s="6">
        <f t="shared" si="11"/>
        <v>1</v>
      </c>
      <c r="I164" s="2" t="s">
        <v>3091</v>
      </c>
      <c r="J164" s="2" t="s">
        <v>3090</v>
      </c>
      <c r="K164" s="2" t="s">
        <v>3090</v>
      </c>
      <c r="L164" s="2" t="s">
        <v>3090</v>
      </c>
      <c r="M164" s="2" t="s">
        <v>3090</v>
      </c>
      <c r="N164" s="2" t="s">
        <v>3090</v>
      </c>
      <c r="O164" s="2" t="s">
        <v>3091</v>
      </c>
      <c r="P164" s="2" t="s">
        <v>3091</v>
      </c>
      <c r="Q164" s="2" t="s">
        <v>3091</v>
      </c>
      <c r="R164" s="2" t="s">
        <v>3090</v>
      </c>
      <c r="S164" s="2" t="s">
        <v>3091</v>
      </c>
      <c r="T164" s="2" t="s">
        <v>3091</v>
      </c>
      <c r="U164" s="2" t="s">
        <v>3091</v>
      </c>
      <c r="V164" s="2" t="s">
        <v>3091</v>
      </c>
      <c r="W164" s="2" t="s">
        <v>3091</v>
      </c>
      <c r="X164" s="2" t="s">
        <v>3091</v>
      </c>
      <c r="Y164" s="2" t="s">
        <v>3091</v>
      </c>
      <c r="Z164" s="2" t="s">
        <v>3090</v>
      </c>
      <c r="AA164" s="3" t="s">
        <v>3091</v>
      </c>
      <c r="AB164" s="3" t="s">
        <v>3091</v>
      </c>
      <c r="AC164" s="3" t="s">
        <v>3091</v>
      </c>
      <c r="AD164" s="3" t="s">
        <v>3091</v>
      </c>
      <c r="AE164" s="3" t="s">
        <v>3091</v>
      </c>
      <c r="AF164" s="3"/>
      <c r="AG164" s="3"/>
      <c r="AH164" s="3"/>
      <c r="AI164" s="3"/>
      <c r="AJ164" s="3"/>
      <c r="AK164" s="3"/>
    </row>
    <row r="165" spans="1:37" ht="15.75" customHeight="1">
      <c r="A165" s="2" t="s">
        <v>2875</v>
      </c>
      <c r="B165" s="2" t="s">
        <v>2876</v>
      </c>
      <c r="C165" s="3">
        <v>779</v>
      </c>
      <c r="D165" s="2" t="s">
        <v>688</v>
      </c>
      <c r="E165" s="2">
        <f t="shared" si="8"/>
        <v>5</v>
      </c>
      <c r="F165" s="2">
        <f t="shared" si="9"/>
        <v>16</v>
      </c>
      <c r="G165" s="2">
        <f t="shared" si="10"/>
        <v>21</v>
      </c>
      <c r="H165" s="6">
        <f t="shared" si="11"/>
        <v>0.91304347826086996</v>
      </c>
      <c r="I165" s="2" t="s">
        <v>3091</v>
      </c>
      <c r="J165" s="2" t="s">
        <v>3090</v>
      </c>
      <c r="K165" s="2" t="s">
        <v>3090</v>
      </c>
      <c r="L165" s="2" t="s">
        <v>3090</v>
      </c>
      <c r="M165" s="2" t="s">
        <v>3090</v>
      </c>
      <c r="N165" s="2" t="s">
        <v>3090</v>
      </c>
      <c r="O165" s="2" t="s">
        <v>3091</v>
      </c>
      <c r="P165" s="2" t="s">
        <v>3091</v>
      </c>
      <c r="Q165" s="2" t="s">
        <v>3091</v>
      </c>
      <c r="R165" s="2" t="s">
        <v>3091</v>
      </c>
      <c r="S165" s="2" t="s">
        <v>3091</v>
      </c>
      <c r="T165" s="2" t="s">
        <v>3091</v>
      </c>
      <c r="U165" s="2" t="s">
        <v>3091</v>
      </c>
      <c r="V165" s="2" t="s">
        <v>3091</v>
      </c>
      <c r="W165" s="2" t="s">
        <v>3091</v>
      </c>
      <c r="X165" s="2" t="s">
        <v>3091</v>
      </c>
      <c r="Y165" s="2" t="s">
        <v>3091</v>
      </c>
      <c r="Z165" s="2" t="s">
        <v>3091</v>
      </c>
      <c r="AA165" s="3" t="s">
        <v>3092</v>
      </c>
      <c r="AB165" s="3" t="s">
        <v>3091</v>
      </c>
      <c r="AC165" s="3" t="s">
        <v>3091</v>
      </c>
      <c r="AD165" s="3" t="s">
        <v>3091</v>
      </c>
      <c r="AE165" s="3" t="s">
        <v>3092</v>
      </c>
      <c r="AF165" s="3"/>
      <c r="AG165" s="3"/>
      <c r="AH165" s="3"/>
      <c r="AI165" s="3"/>
      <c r="AJ165" s="3"/>
      <c r="AK165" s="3"/>
    </row>
    <row r="166" spans="1:37" ht="15.75" customHeight="1">
      <c r="A166" s="2" t="s">
        <v>2877</v>
      </c>
      <c r="B166" s="2" t="s">
        <v>2693</v>
      </c>
      <c r="C166" s="3">
        <v>814</v>
      </c>
      <c r="D166" s="2" t="s">
        <v>730</v>
      </c>
      <c r="E166" s="2">
        <f t="shared" si="8"/>
        <v>0</v>
      </c>
      <c r="F166" s="2">
        <f t="shared" si="9"/>
        <v>1</v>
      </c>
      <c r="G166" s="2">
        <f t="shared" si="10"/>
        <v>1</v>
      </c>
      <c r="H166" s="6">
        <f t="shared" si="11"/>
        <v>4.3478260869565202E-2</v>
      </c>
      <c r="I166" s="2" t="s">
        <v>3091</v>
      </c>
      <c r="J166" s="2" t="s">
        <v>3092</v>
      </c>
      <c r="K166" s="2" t="s">
        <v>3092</v>
      </c>
      <c r="L166" s="2" t="s">
        <v>3092</v>
      </c>
      <c r="M166" s="2" t="s">
        <v>3092</v>
      </c>
      <c r="N166" s="2" t="s">
        <v>3092</v>
      </c>
      <c r="O166" s="2" t="s">
        <v>3092</v>
      </c>
      <c r="P166" s="2" t="s">
        <v>3092</v>
      </c>
      <c r="Q166" s="2" t="s">
        <v>3092</v>
      </c>
      <c r="R166" s="2" t="s">
        <v>3092</v>
      </c>
      <c r="S166" s="2" t="s">
        <v>3092</v>
      </c>
      <c r="T166" s="2" t="s">
        <v>3092</v>
      </c>
      <c r="U166" s="2" t="s">
        <v>3092</v>
      </c>
      <c r="V166" s="2" t="s">
        <v>3092</v>
      </c>
      <c r="W166" s="2" t="s">
        <v>3092</v>
      </c>
      <c r="X166" s="2" t="s">
        <v>3092</v>
      </c>
      <c r="Y166" s="2" t="s">
        <v>3092</v>
      </c>
      <c r="Z166" s="2" t="s">
        <v>3092</v>
      </c>
      <c r="AA166" s="3" t="s">
        <v>3092</v>
      </c>
      <c r="AB166" s="3" t="s">
        <v>3092</v>
      </c>
      <c r="AC166" s="3" t="s">
        <v>3092</v>
      </c>
      <c r="AD166" s="3" t="s">
        <v>3092</v>
      </c>
      <c r="AE166" s="3" t="s">
        <v>3092</v>
      </c>
      <c r="AF166" s="3"/>
      <c r="AG166" s="3"/>
      <c r="AH166" s="3"/>
      <c r="AI166" s="3"/>
      <c r="AJ166" s="3"/>
      <c r="AK166" s="3"/>
    </row>
    <row r="167" spans="1:37" ht="15.75" customHeight="1">
      <c r="A167" s="2" t="s">
        <v>2878</v>
      </c>
      <c r="B167" s="2" t="s">
        <v>2701</v>
      </c>
      <c r="C167" s="3">
        <v>705</v>
      </c>
      <c r="D167" s="2" t="s">
        <v>264</v>
      </c>
      <c r="E167" s="2">
        <f t="shared" si="8"/>
        <v>10</v>
      </c>
      <c r="F167" s="2">
        <f t="shared" si="9"/>
        <v>13</v>
      </c>
      <c r="G167" s="2">
        <f t="shared" si="10"/>
        <v>23</v>
      </c>
      <c r="H167" s="6">
        <f t="shared" si="11"/>
        <v>1</v>
      </c>
      <c r="I167" s="2" t="s">
        <v>3090</v>
      </c>
      <c r="J167" s="2" t="s">
        <v>3091</v>
      </c>
      <c r="K167" s="2" t="s">
        <v>3091</v>
      </c>
      <c r="L167" s="2" t="s">
        <v>3090</v>
      </c>
      <c r="M167" s="2" t="s">
        <v>3090</v>
      </c>
      <c r="N167" s="2" t="s">
        <v>3090</v>
      </c>
      <c r="O167" s="2" t="s">
        <v>3091</v>
      </c>
      <c r="P167" s="2" t="s">
        <v>3091</v>
      </c>
      <c r="Q167" s="2" t="s">
        <v>3090</v>
      </c>
      <c r="R167" s="2" t="s">
        <v>3091</v>
      </c>
      <c r="S167" s="2" t="s">
        <v>3090</v>
      </c>
      <c r="T167" s="2" t="s">
        <v>3091</v>
      </c>
      <c r="U167" s="2" t="s">
        <v>3091</v>
      </c>
      <c r="V167" s="2" t="s">
        <v>3091</v>
      </c>
      <c r="W167" s="2" t="s">
        <v>3091</v>
      </c>
      <c r="X167" s="2" t="s">
        <v>3091</v>
      </c>
      <c r="Y167" s="2" t="s">
        <v>3091</v>
      </c>
      <c r="Z167" s="2" t="s">
        <v>3091</v>
      </c>
      <c r="AA167" s="3" t="s">
        <v>3091</v>
      </c>
      <c r="AB167" s="3" t="s">
        <v>3090</v>
      </c>
      <c r="AC167" s="3" t="s">
        <v>3090</v>
      </c>
      <c r="AD167" s="3" t="s">
        <v>3090</v>
      </c>
      <c r="AE167" s="3" t="s">
        <v>3090</v>
      </c>
      <c r="AF167" s="3"/>
      <c r="AG167" s="3"/>
      <c r="AH167" s="3"/>
      <c r="AI167" s="3"/>
      <c r="AJ167" s="3"/>
      <c r="AK167" s="3"/>
    </row>
    <row r="168" spans="1:37" ht="15.75" customHeight="1">
      <c r="A168" s="2" t="s">
        <v>2879</v>
      </c>
      <c r="B168" s="2" t="s">
        <v>2770</v>
      </c>
      <c r="C168" s="3">
        <v>635</v>
      </c>
      <c r="D168" s="2" t="s">
        <v>364</v>
      </c>
      <c r="E168" s="2">
        <f t="shared" si="8"/>
        <v>17</v>
      </c>
      <c r="F168" s="2">
        <f t="shared" si="9"/>
        <v>6</v>
      </c>
      <c r="G168" s="2">
        <f t="shared" si="10"/>
        <v>23</v>
      </c>
      <c r="H168" s="6">
        <f t="shared" si="11"/>
        <v>1</v>
      </c>
      <c r="I168" s="2" t="s">
        <v>3090</v>
      </c>
      <c r="J168" s="2" t="s">
        <v>3090</v>
      </c>
      <c r="K168" s="2" t="s">
        <v>3090</v>
      </c>
      <c r="L168" s="2" t="s">
        <v>3090</v>
      </c>
      <c r="M168" s="2" t="s">
        <v>3090</v>
      </c>
      <c r="N168" s="2" t="s">
        <v>3090</v>
      </c>
      <c r="O168" s="2" t="s">
        <v>3091</v>
      </c>
      <c r="P168" s="2" t="s">
        <v>3091</v>
      </c>
      <c r="Q168" s="2" t="s">
        <v>3090</v>
      </c>
      <c r="R168" s="2" t="s">
        <v>3090</v>
      </c>
      <c r="S168" s="2" t="s">
        <v>3090</v>
      </c>
      <c r="T168" s="2" t="s">
        <v>3091</v>
      </c>
      <c r="U168" s="2" t="s">
        <v>3090</v>
      </c>
      <c r="V168" s="2" t="s">
        <v>3090</v>
      </c>
      <c r="W168" s="2" t="s">
        <v>3091</v>
      </c>
      <c r="X168" s="2" t="s">
        <v>3091</v>
      </c>
      <c r="Y168" s="2" t="s">
        <v>3090</v>
      </c>
      <c r="Z168" s="2" t="s">
        <v>3090</v>
      </c>
      <c r="AA168" s="3" t="s">
        <v>3091</v>
      </c>
      <c r="AB168" s="3" t="s">
        <v>3090</v>
      </c>
      <c r="AC168" s="3" t="s">
        <v>3090</v>
      </c>
      <c r="AD168" s="3" t="s">
        <v>3090</v>
      </c>
      <c r="AE168" s="3" t="s">
        <v>3090</v>
      </c>
      <c r="AF168" s="3"/>
      <c r="AG168" s="3"/>
      <c r="AH168" s="3"/>
      <c r="AI168" s="3"/>
      <c r="AJ168" s="3"/>
      <c r="AK168" s="3"/>
    </row>
    <row r="169" spans="1:37" ht="15.75" customHeight="1">
      <c r="A169" s="2" t="s">
        <v>851</v>
      </c>
      <c r="B169" s="2" t="s">
        <v>2880</v>
      </c>
      <c r="C169" s="3">
        <v>261</v>
      </c>
      <c r="D169" s="2" t="s">
        <v>234</v>
      </c>
      <c r="E169" s="2">
        <f t="shared" si="8"/>
        <v>17</v>
      </c>
      <c r="F169" s="2">
        <f t="shared" si="9"/>
        <v>6</v>
      </c>
      <c r="G169" s="2">
        <f t="shared" si="10"/>
        <v>23</v>
      </c>
      <c r="H169" s="6">
        <f t="shared" si="11"/>
        <v>1</v>
      </c>
      <c r="I169" s="2" t="s">
        <v>3090</v>
      </c>
      <c r="J169" s="2" t="s">
        <v>3090</v>
      </c>
      <c r="K169" s="2" t="s">
        <v>3090</v>
      </c>
      <c r="L169" s="2" t="s">
        <v>3090</v>
      </c>
      <c r="M169" s="2" t="s">
        <v>3090</v>
      </c>
      <c r="N169" s="2" t="s">
        <v>3090</v>
      </c>
      <c r="O169" s="2" t="s">
        <v>3091</v>
      </c>
      <c r="P169" s="2" t="s">
        <v>3091</v>
      </c>
      <c r="Q169" s="2" t="s">
        <v>3090</v>
      </c>
      <c r="R169" s="2" t="s">
        <v>3090</v>
      </c>
      <c r="S169" s="2" t="s">
        <v>3090</v>
      </c>
      <c r="T169" s="2" t="s">
        <v>3091</v>
      </c>
      <c r="U169" s="2" t="s">
        <v>3090</v>
      </c>
      <c r="V169" s="2" t="s">
        <v>3090</v>
      </c>
      <c r="W169" s="2" t="s">
        <v>3091</v>
      </c>
      <c r="X169" s="2" t="s">
        <v>3091</v>
      </c>
      <c r="Y169" s="2" t="s">
        <v>3090</v>
      </c>
      <c r="Z169" s="2" t="s">
        <v>3090</v>
      </c>
      <c r="AA169" s="3" t="s">
        <v>3091</v>
      </c>
      <c r="AB169" s="3" t="s">
        <v>3090</v>
      </c>
      <c r="AC169" s="3" t="s">
        <v>3090</v>
      </c>
      <c r="AD169" s="3" t="s">
        <v>3090</v>
      </c>
      <c r="AE169" s="3" t="s">
        <v>3090</v>
      </c>
      <c r="AF169" s="3"/>
      <c r="AG169" s="3"/>
      <c r="AH169" s="3"/>
      <c r="AI169" s="3"/>
      <c r="AJ169" s="3"/>
      <c r="AK169" s="3"/>
    </row>
    <row r="170" spans="1:37" ht="15.75" customHeight="1">
      <c r="A170" s="2" t="s">
        <v>2881</v>
      </c>
      <c r="B170" s="2" t="s">
        <v>2811</v>
      </c>
      <c r="C170" s="3">
        <v>380</v>
      </c>
      <c r="D170" s="2" t="s">
        <v>80</v>
      </c>
      <c r="E170" s="2">
        <f t="shared" si="8"/>
        <v>5</v>
      </c>
      <c r="F170" s="2">
        <f t="shared" si="9"/>
        <v>18</v>
      </c>
      <c r="G170" s="2">
        <f t="shared" si="10"/>
        <v>23</v>
      </c>
      <c r="H170" s="6">
        <f t="shared" si="11"/>
        <v>1</v>
      </c>
      <c r="I170" s="2" t="s">
        <v>3090</v>
      </c>
      <c r="J170" s="2" t="s">
        <v>3090</v>
      </c>
      <c r="K170" s="2" t="s">
        <v>3090</v>
      </c>
      <c r="L170" s="2" t="s">
        <v>3090</v>
      </c>
      <c r="M170" s="2" t="s">
        <v>3090</v>
      </c>
      <c r="N170" s="2" t="s">
        <v>3091</v>
      </c>
      <c r="O170" s="2" t="s">
        <v>3091</v>
      </c>
      <c r="P170" s="2" t="s">
        <v>3091</v>
      </c>
      <c r="Q170" s="2" t="s">
        <v>3091</v>
      </c>
      <c r="R170" s="2" t="s">
        <v>3091</v>
      </c>
      <c r="S170" s="2" t="s">
        <v>3091</v>
      </c>
      <c r="T170" s="2" t="s">
        <v>3091</v>
      </c>
      <c r="U170" s="2" t="s">
        <v>3091</v>
      </c>
      <c r="V170" s="2" t="s">
        <v>3091</v>
      </c>
      <c r="W170" s="2" t="s">
        <v>3091</v>
      </c>
      <c r="X170" s="2" t="s">
        <v>3091</v>
      </c>
      <c r="Y170" s="2" t="s">
        <v>3091</v>
      </c>
      <c r="Z170" s="2" t="s">
        <v>3091</v>
      </c>
      <c r="AA170" s="3" t="s">
        <v>3091</v>
      </c>
      <c r="AB170" s="3" t="s">
        <v>3091</v>
      </c>
      <c r="AC170" s="3" t="s">
        <v>3091</v>
      </c>
      <c r="AD170" s="3" t="s">
        <v>3091</v>
      </c>
      <c r="AE170" s="3" t="s">
        <v>3091</v>
      </c>
      <c r="AF170" s="3"/>
      <c r="AG170" s="3"/>
      <c r="AH170" s="3"/>
      <c r="AI170" s="3"/>
      <c r="AJ170" s="3"/>
      <c r="AK170" s="3"/>
    </row>
    <row r="171" spans="1:37" ht="15.75" customHeight="1">
      <c r="A171" s="2" t="s">
        <v>2882</v>
      </c>
      <c r="B171" s="2" t="s">
        <v>2804</v>
      </c>
      <c r="C171" s="3">
        <v>614</v>
      </c>
      <c r="D171" s="2" t="s">
        <v>366</v>
      </c>
      <c r="E171" s="2">
        <f t="shared" si="8"/>
        <v>16</v>
      </c>
      <c r="F171" s="2">
        <f t="shared" si="9"/>
        <v>7</v>
      </c>
      <c r="G171" s="2">
        <f t="shared" si="10"/>
        <v>23</v>
      </c>
      <c r="H171" s="6">
        <f t="shared" si="11"/>
        <v>1</v>
      </c>
      <c r="I171" s="2" t="s">
        <v>3090</v>
      </c>
      <c r="J171" s="2" t="s">
        <v>3090</v>
      </c>
      <c r="K171" s="2" t="s">
        <v>3090</v>
      </c>
      <c r="L171" s="2" t="s">
        <v>3090</v>
      </c>
      <c r="M171" s="2" t="s">
        <v>3090</v>
      </c>
      <c r="N171" s="2" t="s">
        <v>3090</v>
      </c>
      <c r="O171" s="2" t="s">
        <v>3091</v>
      </c>
      <c r="P171" s="2" t="s">
        <v>3091</v>
      </c>
      <c r="Q171" s="2" t="s">
        <v>3090</v>
      </c>
      <c r="R171" s="2" t="s">
        <v>3090</v>
      </c>
      <c r="S171" s="2" t="s">
        <v>3090</v>
      </c>
      <c r="T171" s="2" t="s">
        <v>3091</v>
      </c>
      <c r="U171" s="2" t="s">
        <v>3090</v>
      </c>
      <c r="V171" s="2" t="s">
        <v>3090</v>
      </c>
      <c r="W171" s="2" t="s">
        <v>3091</v>
      </c>
      <c r="X171" s="2" t="s">
        <v>3091</v>
      </c>
      <c r="Y171" s="2" t="s">
        <v>3090</v>
      </c>
      <c r="Z171" s="2" t="s">
        <v>3090</v>
      </c>
      <c r="AA171" s="3" t="s">
        <v>3091</v>
      </c>
      <c r="AB171" s="3" t="s">
        <v>3090</v>
      </c>
      <c r="AC171" s="3" t="s">
        <v>3090</v>
      </c>
      <c r="AD171" s="3" t="s">
        <v>3091</v>
      </c>
      <c r="AE171" s="3" t="s">
        <v>3090</v>
      </c>
      <c r="AF171" s="3"/>
      <c r="AG171" s="3"/>
      <c r="AH171" s="3"/>
      <c r="AI171" s="3"/>
      <c r="AJ171" s="3"/>
      <c r="AK171" s="3"/>
    </row>
    <row r="172" spans="1:37" ht="15.75" customHeight="1">
      <c r="A172" s="2" t="s">
        <v>2883</v>
      </c>
      <c r="B172" s="2" t="s">
        <v>2671</v>
      </c>
      <c r="C172" s="3">
        <v>497</v>
      </c>
      <c r="D172" s="2" t="s">
        <v>218</v>
      </c>
      <c r="E172" s="2">
        <f t="shared" si="8"/>
        <v>6</v>
      </c>
      <c r="F172" s="2">
        <f t="shared" si="9"/>
        <v>0</v>
      </c>
      <c r="G172" s="2">
        <f t="shared" si="10"/>
        <v>6</v>
      </c>
      <c r="H172" s="6">
        <f t="shared" si="11"/>
        <v>0.26086956521739102</v>
      </c>
      <c r="I172" s="2" t="s">
        <v>3090</v>
      </c>
      <c r="J172" s="2" t="s">
        <v>3090</v>
      </c>
      <c r="K172" s="2" t="s">
        <v>3090</v>
      </c>
      <c r="L172" s="2" t="s">
        <v>3090</v>
      </c>
      <c r="M172" s="2" t="s">
        <v>3090</v>
      </c>
      <c r="N172" s="2" t="s">
        <v>3090</v>
      </c>
      <c r="O172" s="2" t="s">
        <v>3092</v>
      </c>
      <c r="P172" s="2" t="s">
        <v>3092</v>
      </c>
      <c r="Q172" s="2" t="s">
        <v>3092</v>
      </c>
      <c r="R172" s="2" t="s">
        <v>3092</v>
      </c>
      <c r="S172" s="2" t="s">
        <v>3092</v>
      </c>
      <c r="T172" s="2" t="s">
        <v>3092</v>
      </c>
      <c r="U172" s="2" t="s">
        <v>3092</v>
      </c>
      <c r="V172" s="2" t="s">
        <v>3092</v>
      </c>
      <c r="W172" s="2" t="s">
        <v>3092</v>
      </c>
      <c r="X172" s="2" t="s">
        <v>3092</v>
      </c>
      <c r="Y172" s="2" t="s">
        <v>3092</v>
      </c>
      <c r="Z172" s="2" t="s">
        <v>3092</v>
      </c>
      <c r="AA172" s="3" t="s">
        <v>3092</v>
      </c>
      <c r="AB172" s="3" t="s">
        <v>3092</v>
      </c>
      <c r="AC172" s="3" t="s">
        <v>3092</v>
      </c>
      <c r="AD172" s="3" t="s">
        <v>3092</v>
      </c>
      <c r="AE172" s="3" t="s">
        <v>3092</v>
      </c>
      <c r="AF172" s="3"/>
      <c r="AG172" s="3"/>
      <c r="AH172" s="3"/>
      <c r="AI172" s="3"/>
      <c r="AJ172" s="3"/>
      <c r="AK172" s="3"/>
    </row>
    <row r="173" spans="1:37" ht="15.75" customHeight="1">
      <c r="A173" s="2" t="s">
        <v>2884</v>
      </c>
      <c r="B173" s="2" t="s">
        <v>2657</v>
      </c>
      <c r="C173" s="3">
        <v>748</v>
      </c>
      <c r="D173" s="2" t="s">
        <v>480</v>
      </c>
      <c r="E173" s="2">
        <f t="shared" si="8"/>
        <v>10</v>
      </c>
      <c r="F173" s="2">
        <f t="shared" si="9"/>
        <v>8</v>
      </c>
      <c r="G173" s="2">
        <f t="shared" si="10"/>
        <v>18</v>
      </c>
      <c r="H173" s="6">
        <f t="shared" si="11"/>
        <v>0.78260869565217395</v>
      </c>
      <c r="I173" s="2" t="s">
        <v>3090</v>
      </c>
      <c r="J173" s="2" t="s">
        <v>3090</v>
      </c>
      <c r="K173" s="2" t="s">
        <v>3090</v>
      </c>
      <c r="L173" s="2" t="s">
        <v>3090</v>
      </c>
      <c r="M173" s="2" t="s">
        <v>3090</v>
      </c>
      <c r="N173" s="2" t="s">
        <v>3090</v>
      </c>
      <c r="O173" s="2" t="s">
        <v>3092</v>
      </c>
      <c r="P173" s="2" t="s">
        <v>3092</v>
      </c>
      <c r="Q173" s="2" t="s">
        <v>3090</v>
      </c>
      <c r="R173" s="2" t="s">
        <v>3090</v>
      </c>
      <c r="S173" s="2" t="s">
        <v>3090</v>
      </c>
      <c r="T173" s="2" t="s">
        <v>3091</v>
      </c>
      <c r="U173" s="2" t="s">
        <v>3091</v>
      </c>
      <c r="V173" s="2" t="s">
        <v>3091</v>
      </c>
      <c r="W173" s="2" t="s">
        <v>3092</v>
      </c>
      <c r="X173" s="2" t="s">
        <v>3091</v>
      </c>
      <c r="Y173" s="2" t="s">
        <v>3091</v>
      </c>
      <c r="Z173" s="2" t="s">
        <v>3091</v>
      </c>
      <c r="AA173" s="3" t="s">
        <v>3092</v>
      </c>
      <c r="AB173" s="3" t="s">
        <v>3091</v>
      </c>
      <c r="AC173" s="3" t="s">
        <v>3092</v>
      </c>
      <c r="AD173" s="3" t="s">
        <v>3090</v>
      </c>
      <c r="AE173" s="3" t="s">
        <v>3091</v>
      </c>
      <c r="AF173" s="3"/>
      <c r="AG173" s="3"/>
      <c r="AH173" s="3"/>
      <c r="AI173" s="3"/>
      <c r="AJ173" s="3"/>
      <c r="AK173" s="3"/>
    </row>
    <row r="174" spans="1:37" ht="15.75" customHeight="1">
      <c r="A174" s="2" t="s">
        <v>2885</v>
      </c>
      <c r="B174" s="2" t="s">
        <v>2755</v>
      </c>
      <c r="C174" s="3">
        <v>367</v>
      </c>
      <c r="D174" s="2" t="s">
        <v>732</v>
      </c>
      <c r="E174" s="2">
        <f t="shared" si="8"/>
        <v>1</v>
      </c>
      <c r="F174" s="2">
        <f t="shared" si="9"/>
        <v>22</v>
      </c>
      <c r="G174" s="2">
        <f t="shared" si="10"/>
        <v>23</v>
      </c>
      <c r="H174" s="6">
        <f t="shared" si="11"/>
        <v>1</v>
      </c>
      <c r="I174" s="2" t="s">
        <v>3091</v>
      </c>
      <c r="J174" s="2" t="s">
        <v>3091</v>
      </c>
      <c r="K174" s="2" t="s">
        <v>3091</v>
      </c>
      <c r="L174" s="2" t="s">
        <v>3091</v>
      </c>
      <c r="M174" s="2" t="s">
        <v>3091</v>
      </c>
      <c r="N174" s="2" t="s">
        <v>3091</v>
      </c>
      <c r="O174" s="2" t="s">
        <v>3091</v>
      </c>
      <c r="P174" s="2" t="s">
        <v>3091</v>
      </c>
      <c r="Q174" s="2" t="s">
        <v>3091</v>
      </c>
      <c r="R174" s="2" t="s">
        <v>3091</v>
      </c>
      <c r="S174" s="2" t="s">
        <v>3091</v>
      </c>
      <c r="T174" s="2" t="s">
        <v>3091</v>
      </c>
      <c r="U174" s="2" t="s">
        <v>3091</v>
      </c>
      <c r="V174" s="2" t="s">
        <v>3091</v>
      </c>
      <c r="W174" s="2" t="s">
        <v>3091</v>
      </c>
      <c r="X174" s="2" t="s">
        <v>3091</v>
      </c>
      <c r="Y174" s="2" t="s">
        <v>3091</v>
      </c>
      <c r="Z174" s="2" t="s">
        <v>3091</v>
      </c>
      <c r="AA174" s="3" t="s">
        <v>3091</v>
      </c>
      <c r="AB174" s="3" t="s">
        <v>3091</v>
      </c>
      <c r="AC174" s="3" t="s">
        <v>3091</v>
      </c>
      <c r="AD174" s="3" t="s">
        <v>3091</v>
      </c>
      <c r="AE174" s="3" t="s">
        <v>3090</v>
      </c>
      <c r="AF174" s="3"/>
      <c r="AG174" s="3"/>
      <c r="AH174" s="3"/>
      <c r="AI174" s="3"/>
      <c r="AJ174" s="3"/>
      <c r="AK174" s="3"/>
    </row>
    <row r="175" spans="1:37" ht="15.75" customHeight="1">
      <c r="A175" s="2" t="s">
        <v>2886</v>
      </c>
      <c r="B175" s="2" t="s">
        <v>2781</v>
      </c>
      <c r="C175" s="3">
        <v>333</v>
      </c>
      <c r="D175" s="2" t="s">
        <v>165</v>
      </c>
      <c r="E175" s="2">
        <f t="shared" si="8"/>
        <v>12</v>
      </c>
      <c r="F175" s="2">
        <f t="shared" si="9"/>
        <v>11</v>
      </c>
      <c r="G175" s="2">
        <f t="shared" si="10"/>
        <v>23</v>
      </c>
      <c r="H175" s="6">
        <f t="shared" si="11"/>
        <v>1</v>
      </c>
      <c r="I175" s="2" t="s">
        <v>3090</v>
      </c>
      <c r="J175" s="2" t="s">
        <v>3090</v>
      </c>
      <c r="K175" s="2" t="s">
        <v>3090</v>
      </c>
      <c r="L175" s="2" t="s">
        <v>3090</v>
      </c>
      <c r="M175" s="2" t="s">
        <v>3090</v>
      </c>
      <c r="N175" s="2" t="s">
        <v>3091</v>
      </c>
      <c r="O175" s="2" t="s">
        <v>3091</v>
      </c>
      <c r="P175" s="2" t="s">
        <v>3091</v>
      </c>
      <c r="Q175" s="2" t="s">
        <v>3091</v>
      </c>
      <c r="R175" s="2" t="s">
        <v>3091</v>
      </c>
      <c r="S175" s="2" t="s">
        <v>3091</v>
      </c>
      <c r="T175" s="2" t="s">
        <v>3091</v>
      </c>
      <c r="U175" s="2" t="s">
        <v>3091</v>
      </c>
      <c r="V175" s="2" t="s">
        <v>3090</v>
      </c>
      <c r="W175" s="2" t="s">
        <v>3091</v>
      </c>
      <c r="X175" s="2" t="s">
        <v>3091</v>
      </c>
      <c r="Y175" s="2" t="s">
        <v>3090</v>
      </c>
      <c r="Z175" s="2" t="s">
        <v>3090</v>
      </c>
      <c r="AA175" s="3" t="s">
        <v>3091</v>
      </c>
      <c r="AB175" s="3" t="s">
        <v>3090</v>
      </c>
      <c r="AC175" s="3" t="s">
        <v>3090</v>
      </c>
      <c r="AD175" s="3" t="s">
        <v>3090</v>
      </c>
      <c r="AE175" s="3" t="s">
        <v>3090</v>
      </c>
      <c r="AF175" s="3"/>
      <c r="AG175" s="3"/>
      <c r="AH175" s="3"/>
      <c r="AI175" s="3"/>
      <c r="AJ175" s="3"/>
      <c r="AK175" s="3"/>
    </row>
    <row r="176" spans="1:37" ht="15.75" customHeight="1">
      <c r="A176" s="2" t="s">
        <v>2887</v>
      </c>
      <c r="B176" s="2" t="s">
        <v>2781</v>
      </c>
      <c r="C176" s="3">
        <v>325</v>
      </c>
      <c r="D176" s="2" t="s">
        <v>630</v>
      </c>
      <c r="E176" s="2">
        <f t="shared" si="8"/>
        <v>17</v>
      </c>
      <c r="F176" s="2">
        <f t="shared" si="9"/>
        <v>6</v>
      </c>
      <c r="G176" s="2">
        <f t="shared" si="10"/>
        <v>23</v>
      </c>
      <c r="H176" s="6">
        <f t="shared" si="11"/>
        <v>1</v>
      </c>
      <c r="I176" s="2" t="s">
        <v>3090</v>
      </c>
      <c r="J176" s="2" t="s">
        <v>3090</v>
      </c>
      <c r="K176" s="2" t="s">
        <v>3090</v>
      </c>
      <c r="L176" s="2" t="s">
        <v>3090</v>
      </c>
      <c r="M176" s="2" t="s">
        <v>3090</v>
      </c>
      <c r="N176" s="2" t="s">
        <v>3090</v>
      </c>
      <c r="O176" s="2" t="s">
        <v>3091</v>
      </c>
      <c r="P176" s="2" t="s">
        <v>3091</v>
      </c>
      <c r="Q176" s="2" t="s">
        <v>3090</v>
      </c>
      <c r="R176" s="2" t="s">
        <v>3090</v>
      </c>
      <c r="S176" s="2" t="s">
        <v>3090</v>
      </c>
      <c r="T176" s="2" t="s">
        <v>3091</v>
      </c>
      <c r="U176" s="2" t="s">
        <v>3090</v>
      </c>
      <c r="V176" s="2" t="s">
        <v>3090</v>
      </c>
      <c r="W176" s="2" t="s">
        <v>3091</v>
      </c>
      <c r="X176" s="2" t="s">
        <v>3091</v>
      </c>
      <c r="Y176" s="2" t="s">
        <v>3090</v>
      </c>
      <c r="Z176" s="2" t="s">
        <v>3090</v>
      </c>
      <c r="AA176" s="3" t="s">
        <v>3091</v>
      </c>
      <c r="AB176" s="3" t="s">
        <v>3090</v>
      </c>
      <c r="AC176" s="3" t="s">
        <v>3090</v>
      </c>
      <c r="AD176" s="3" t="s">
        <v>3090</v>
      </c>
      <c r="AE176" s="3" t="s">
        <v>3090</v>
      </c>
      <c r="AF176" s="3"/>
      <c r="AG176" s="3"/>
      <c r="AH176" s="3"/>
      <c r="AI176" s="3"/>
      <c r="AJ176" s="3"/>
      <c r="AK176" s="3"/>
    </row>
    <row r="177" spans="1:37" ht="15.75" customHeight="1">
      <c r="A177" s="2" t="s">
        <v>2888</v>
      </c>
      <c r="B177" s="2" t="s">
        <v>2730</v>
      </c>
      <c r="C177" s="3">
        <v>728</v>
      </c>
      <c r="D177" s="2" t="s">
        <v>435</v>
      </c>
      <c r="E177" s="2">
        <f t="shared" si="8"/>
        <v>15</v>
      </c>
      <c r="F177" s="2">
        <f t="shared" si="9"/>
        <v>8</v>
      </c>
      <c r="G177" s="2">
        <f t="shared" si="10"/>
        <v>23</v>
      </c>
      <c r="H177" s="6">
        <f t="shared" si="11"/>
        <v>1</v>
      </c>
      <c r="I177" s="2" t="s">
        <v>3090</v>
      </c>
      <c r="J177" s="2" t="s">
        <v>3090</v>
      </c>
      <c r="K177" s="2" t="s">
        <v>3090</v>
      </c>
      <c r="L177" s="2" t="s">
        <v>3090</v>
      </c>
      <c r="M177" s="2" t="s">
        <v>3090</v>
      </c>
      <c r="N177" s="2" t="s">
        <v>3090</v>
      </c>
      <c r="O177" s="2" t="s">
        <v>3091</v>
      </c>
      <c r="P177" s="2" t="s">
        <v>3091</v>
      </c>
      <c r="Q177" s="2" t="s">
        <v>3090</v>
      </c>
      <c r="R177" s="2" t="s">
        <v>3090</v>
      </c>
      <c r="S177" s="2" t="s">
        <v>3090</v>
      </c>
      <c r="T177" s="2" t="s">
        <v>3091</v>
      </c>
      <c r="U177" s="2" t="s">
        <v>3090</v>
      </c>
      <c r="V177" s="2" t="s">
        <v>3090</v>
      </c>
      <c r="W177" s="2" t="s">
        <v>3091</v>
      </c>
      <c r="X177" s="2" t="s">
        <v>3091</v>
      </c>
      <c r="Y177" s="2" t="s">
        <v>3090</v>
      </c>
      <c r="Z177" s="2" t="s">
        <v>3091</v>
      </c>
      <c r="AA177" s="3" t="s">
        <v>3091</v>
      </c>
      <c r="AB177" s="3" t="s">
        <v>3090</v>
      </c>
      <c r="AC177" s="3" t="s">
        <v>3090</v>
      </c>
      <c r="AD177" s="3" t="s">
        <v>3090</v>
      </c>
      <c r="AE177" s="3" t="s">
        <v>3091</v>
      </c>
      <c r="AF177" s="3"/>
      <c r="AG177" s="3"/>
      <c r="AH177" s="3"/>
      <c r="AI177" s="3"/>
      <c r="AJ177" s="3"/>
      <c r="AK177" s="3"/>
    </row>
    <row r="178" spans="1:37" ht="15.75" customHeight="1">
      <c r="A178" s="2" t="s">
        <v>2889</v>
      </c>
      <c r="B178" s="2" t="s">
        <v>2710</v>
      </c>
      <c r="C178" s="3">
        <v>709</v>
      </c>
      <c r="D178" s="2" t="s">
        <v>633</v>
      </c>
      <c r="E178" s="2">
        <f t="shared" si="8"/>
        <v>16</v>
      </c>
      <c r="F178" s="2">
        <f t="shared" si="9"/>
        <v>7</v>
      </c>
      <c r="G178" s="2">
        <f t="shared" si="10"/>
        <v>23</v>
      </c>
      <c r="H178" s="6">
        <f t="shared" si="11"/>
        <v>1</v>
      </c>
      <c r="I178" s="2" t="s">
        <v>3090</v>
      </c>
      <c r="J178" s="2" t="s">
        <v>3090</v>
      </c>
      <c r="K178" s="2" t="s">
        <v>3090</v>
      </c>
      <c r="L178" s="2" t="s">
        <v>3090</v>
      </c>
      <c r="M178" s="2" t="s">
        <v>3090</v>
      </c>
      <c r="N178" s="2" t="s">
        <v>3090</v>
      </c>
      <c r="O178" s="2" t="s">
        <v>3091</v>
      </c>
      <c r="P178" s="2" t="s">
        <v>3091</v>
      </c>
      <c r="Q178" s="2" t="s">
        <v>3090</v>
      </c>
      <c r="R178" s="2" t="s">
        <v>3090</v>
      </c>
      <c r="S178" s="2" t="s">
        <v>3090</v>
      </c>
      <c r="T178" s="2" t="s">
        <v>3091</v>
      </c>
      <c r="U178" s="2" t="s">
        <v>3090</v>
      </c>
      <c r="V178" s="2" t="s">
        <v>3090</v>
      </c>
      <c r="W178" s="2" t="s">
        <v>3091</v>
      </c>
      <c r="X178" s="2" t="s">
        <v>3091</v>
      </c>
      <c r="Y178" s="2" t="s">
        <v>3090</v>
      </c>
      <c r="Z178" s="2" t="s">
        <v>3091</v>
      </c>
      <c r="AA178" s="3" t="s">
        <v>3091</v>
      </c>
      <c r="AB178" s="3" t="s">
        <v>3090</v>
      </c>
      <c r="AC178" s="3" t="s">
        <v>3090</v>
      </c>
      <c r="AD178" s="3" t="s">
        <v>3090</v>
      </c>
      <c r="AE178" s="3" t="s">
        <v>3090</v>
      </c>
      <c r="AF178" s="3"/>
      <c r="AG178" s="3"/>
      <c r="AH178" s="3"/>
      <c r="AI178" s="3"/>
      <c r="AJ178" s="3"/>
      <c r="AK178" s="3"/>
    </row>
    <row r="179" spans="1:37" ht="15.75" customHeight="1">
      <c r="A179" s="2" t="s">
        <v>2890</v>
      </c>
      <c r="B179" s="2" t="s">
        <v>2682</v>
      </c>
      <c r="C179" s="3">
        <v>266</v>
      </c>
      <c r="D179" s="2" t="s">
        <v>635</v>
      </c>
      <c r="E179" s="2">
        <f t="shared" si="8"/>
        <v>16</v>
      </c>
      <c r="F179" s="2">
        <f t="shared" si="9"/>
        <v>7</v>
      </c>
      <c r="G179" s="2">
        <f t="shared" si="10"/>
        <v>23</v>
      </c>
      <c r="H179" s="6">
        <f t="shared" si="11"/>
        <v>1</v>
      </c>
      <c r="I179" s="2" t="s">
        <v>3090</v>
      </c>
      <c r="J179" s="2" t="s">
        <v>3090</v>
      </c>
      <c r="K179" s="2" t="s">
        <v>3090</v>
      </c>
      <c r="L179" s="2" t="s">
        <v>3090</v>
      </c>
      <c r="M179" s="2" t="s">
        <v>3090</v>
      </c>
      <c r="N179" s="2" t="s">
        <v>3090</v>
      </c>
      <c r="O179" s="2" t="s">
        <v>3091</v>
      </c>
      <c r="P179" s="2" t="s">
        <v>3091</v>
      </c>
      <c r="Q179" s="2" t="s">
        <v>3090</v>
      </c>
      <c r="R179" s="2" t="s">
        <v>3090</v>
      </c>
      <c r="S179" s="2" t="s">
        <v>3090</v>
      </c>
      <c r="T179" s="2" t="s">
        <v>3091</v>
      </c>
      <c r="U179" s="2" t="s">
        <v>3090</v>
      </c>
      <c r="V179" s="2" t="s">
        <v>3090</v>
      </c>
      <c r="W179" s="2" t="s">
        <v>3091</v>
      </c>
      <c r="X179" s="2" t="s">
        <v>3091</v>
      </c>
      <c r="Y179" s="2" t="s">
        <v>3090</v>
      </c>
      <c r="Z179" s="2" t="s">
        <v>3090</v>
      </c>
      <c r="AA179" s="3" t="s">
        <v>3091</v>
      </c>
      <c r="AB179" s="3" t="s">
        <v>3090</v>
      </c>
      <c r="AC179" s="3" t="s">
        <v>3090</v>
      </c>
      <c r="AD179" s="3" t="s">
        <v>3091</v>
      </c>
      <c r="AE179" s="3" t="s">
        <v>3090</v>
      </c>
      <c r="AF179" s="3"/>
      <c r="AG179" s="3"/>
      <c r="AH179" s="3"/>
      <c r="AI179" s="3"/>
      <c r="AJ179" s="3"/>
      <c r="AK179" s="3"/>
    </row>
    <row r="180" spans="1:37" ht="15.75" customHeight="1">
      <c r="A180" s="2" t="s">
        <v>2891</v>
      </c>
      <c r="B180" s="2" t="s">
        <v>2693</v>
      </c>
      <c r="C180" s="3">
        <v>401</v>
      </c>
      <c r="D180" s="2" t="s">
        <v>690</v>
      </c>
      <c r="E180" s="2">
        <f t="shared" si="8"/>
        <v>5</v>
      </c>
      <c r="F180" s="2">
        <f t="shared" si="9"/>
        <v>3</v>
      </c>
      <c r="G180" s="2">
        <f t="shared" si="10"/>
        <v>8</v>
      </c>
      <c r="H180" s="6">
        <f t="shared" si="11"/>
        <v>0.34782608695652201</v>
      </c>
      <c r="I180" s="2" t="s">
        <v>3091</v>
      </c>
      <c r="J180" s="2" t="s">
        <v>3091</v>
      </c>
      <c r="K180" s="2" t="s">
        <v>3092</v>
      </c>
      <c r="L180" s="2" t="s">
        <v>3092</v>
      </c>
      <c r="M180" s="2" t="s">
        <v>3090</v>
      </c>
      <c r="N180" s="2" t="s">
        <v>3090</v>
      </c>
      <c r="O180" s="2" t="s">
        <v>3092</v>
      </c>
      <c r="P180" s="2" t="s">
        <v>3092</v>
      </c>
      <c r="Q180" s="2" t="s">
        <v>3090</v>
      </c>
      <c r="R180" s="2" t="s">
        <v>3090</v>
      </c>
      <c r="S180" s="2" t="s">
        <v>3090</v>
      </c>
      <c r="T180" s="2" t="s">
        <v>3092</v>
      </c>
      <c r="U180" s="2" t="s">
        <v>3092</v>
      </c>
      <c r="V180" s="2" t="s">
        <v>3092</v>
      </c>
      <c r="W180" s="2" t="s">
        <v>3092</v>
      </c>
      <c r="X180" s="2" t="s">
        <v>3091</v>
      </c>
      <c r="Y180" s="2" t="s">
        <v>3092</v>
      </c>
      <c r="Z180" s="2" t="s">
        <v>3092</v>
      </c>
      <c r="AA180" s="3" t="s">
        <v>3092</v>
      </c>
      <c r="AB180" s="3" t="s">
        <v>3092</v>
      </c>
      <c r="AC180" s="3" t="s">
        <v>3092</v>
      </c>
      <c r="AD180" s="3" t="s">
        <v>3092</v>
      </c>
      <c r="AE180" s="3" t="s">
        <v>3092</v>
      </c>
      <c r="AF180" s="3"/>
      <c r="AG180" s="3"/>
      <c r="AH180" s="3"/>
      <c r="AI180" s="3"/>
      <c r="AJ180" s="3"/>
      <c r="AK180" s="3"/>
    </row>
    <row r="181" spans="1:37" ht="15.75" customHeight="1">
      <c r="A181" s="2" t="s">
        <v>2891</v>
      </c>
      <c r="B181" s="2" t="s">
        <v>2892</v>
      </c>
      <c r="C181" s="3">
        <v>793</v>
      </c>
      <c r="D181" s="2" t="s">
        <v>799</v>
      </c>
      <c r="E181" s="2">
        <f t="shared" si="8"/>
        <v>16</v>
      </c>
      <c r="F181" s="2">
        <f t="shared" si="9"/>
        <v>7</v>
      </c>
      <c r="G181" s="2">
        <f t="shared" si="10"/>
        <v>23</v>
      </c>
      <c r="H181" s="6">
        <f t="shared" si="11"/>
        <v>1</v>
      </c>
      <c r="I181" s="2" t="s">
        <v>3090</v>
      </c>
      <c r="J181" s="2" t="s">
        <v>3090</v>
      </c>
      <c r="K181" s="2" t="s">
        <v>3090</v>
      </c>
      <c r="L181" s="2" t="s">
        <v>3090</v>
      </c>
      <c r="M181" s="2" t="s">
        <v>3090</v>
      </c>
      <c r="N181" s="2" t="s">
        <v>3090</v>
      </c>
      <c r="O181" s="2" t="s">
        <v>3091</v>
      </c>
      <c r="P181" s="2" t="s">
        <v>3091</v>
      </c>
      <c r="Q181" s="2" t="s">
        <v>3091</v>
      </c>
      <c r="R181" s="2" t="s">
        <v>3090</v>
      </c>
      <c r="S181" s="2" t="s">
        <v>3090</v>
      </c>
      <c r="T181" s="2" t="s">
        <v>3091</v>
      </c>
      <c r="U181" s="2" t="s">
        <v>3090</v>
      </c>
      <c r="V181" s="2" t="s">
        <v>3090</v>
      </c>
      <c r="W181" s="2" t="s">
        <v>3091</v>
      </c>
      <c r="X181" s="2" t="s">
        <v>3091</v>
      </c>
      <c r="Y181" s="2" t="s">
        <v>3090</v>
      </c>
      <c r="Z181" s="2" t="s">
        <v>3090</v>
      </c>
      <c r="AA181" s="3" t="s">
        <v>3091</v>
      </c>
      <c r="AB181" s="3" t="s">
        <v>3090</v>
      </c>
      <c r="AC181" s="3" t="s">
        <v>3090</v>
      </c>
      <c r="AD181" s="3" t="s">
        <v>3090</v>
      </c>
      <c r="AE181" s="3" t="s">
        <v>3090</v>
      </c>
      <c r="AF181" s="3"/>
      <c r="AG181" s="3"/>
      <c r="AH181" s="3"/>
      <c r="AI181" s="3"/>
      <c r="AJ181" s="3"/>
      <c r="AK181" s="3"/>
    </row>
    <row r="182" spans="1:37" ht="15.75" customHeight="1">
      <c r="A182" s="2" t="s">
        <v>2893</v>
      </c>
      <c r="B182" s="2" t="s">
        <v>2894</v>
      </c>
      <c r="C182" s="3">
        <v>478</v>
      </c>
      <c r="D182" s="2" t="s">
        <v>16</v>
      </c>
      <c r="E182" s="2">
        <f t="shared" si="8"/>
        <v>4</v>
      </c>
      <c r="F182" s="2">
        <f t="shared" si="9"/>
        <v>19</v>
      </c>
      <c r="G182" s="2">
        <f t="shared" si="10"/>
        <v>23</v>
      </c>
      <c r="H182" s="6">
        <f t="shared" si="11"/>
        <v>1</v>
      </c>
      <c r="I182" s="2" t="s">
        <v>3091</v>
      </c>
      <c r="J182" s="2" t="s">
        <v>3091</v>
      </c>
      <c r="K182" s="2" t="s">
        <v>3091</v>
      </c>
      <c r="L182" s="2" t="s">
        <v>3091</v>
      </c>
      <c r="M182" s="2" t="s">
        <v>3091</v>
      </c>
      <c r="N182" s="2" t="s">
        <v>3091</v>
      </c>
      <c r="O182" s="2" t="s">
        <v>3091</v>
      </c>
      <c r="P182" s="2" t="s">
        <v>3091</v>
      </c>
      <c r="Q182" s="2" t="s">
        <v>3091</v>
      </c>
      <c r="R182" s="2" t="s">
        <v>3091</v>
      </c>
      <c r="S182" s="2" t="s">
        <v>3091</v>
      </c>
      <c r="T182" s="2" t="s">
        <v>3091</v>
      </c>
      <c r="U182" s="2" t="s">
        <v>3091</v>
      </c>
      <c r="V182" s="2" t="s">
        <v>3090</v>
      </c>
      <c r="W182" s="2" t="s">
        <v>3091</v>
      </c>
      <c r="X182" s="2" t="s">
        <v>3091</v>
      </c>
      <c r="Y182" s="2" t="s">
        <v>3091</v>
      </c>
      <c r="Z182" s="2" t="s">
        <v>3091</v>
      </c>
      <c r="AA182" s="3" t="s">
        <v>3091</v>
      </c>
      <c r="AB182" s="3" t="s">
        <v>3090</v>
      </c>
      <c r="AC182" s="3" t="s">
        <v>3090</v>
      </c>
      <c r="AD182" s="3" t="s">
        <v>3091</v>
      </c>
      <c r="AE182" s="3" t="s">
        <v>3090</v>
      </c>
      <c r="AF182" s="3"/>
      <c r="AG182" s="3"/>
      <c r="AH182" s="3"/>
      <c r="AI182" s="3"/>
      <c r="AJ182" s="3"/>
      <c r="AK182" s="3"/>
    </row>
    <row r="183" spans="1:37" ht="15.75" customHeight="1">
      <c r="A183" s="2" t="s">
        <v>2895</v>
      </c>
      <c r="B183" s="2" t="s">
        <v>2896</v>
      </c>
      <c r="C183" s="3">
        <v>701</v>
      </c>
      <c r="D183" s="2" t="s">
        <v>802</v>
      </c>
      <c r="E183" s="2">
        <f t="shared" si="8"/>
        <v>16</v>
      </c>
      <c r="F183" s="2">
        <f t="shared" si="9"/>
        <v>6</v>
      </c>
      <c r="G183" s="2">
        <f t="shared" si="10"/>
        <v>22</v>
      </c>
      <c r="H183" s="6">
        <f t="shared" si="11"/>
        <v>0.95652173913043503</v>
      </c>
      <c r="I183" s="2" t="s">
        <v>3090</v>
      </c>
      <c r="J183" s="2" t="s">
        <v>3090</v>
      </c>
      <c r="K183" s="2" t="s">
        <v>3090</v>
      </c>
      <c r="L183" s="2" t="s">
        <v>3090</v>
      </c>
      <c r="M183" s="2" t="s">
        <v>3090</v>
      </c>
      <c r="N183" s="2" t="s">
        <v>3090</v>
      </c>
      <c r="O183" s="2" t="s">
        <v>3091</v>
      </c>
      <c r="P183" s="2" t="s">
        <v>3091</v>
      </c>
      <c r="Q183" s="2" t="s">
        <v>3090</v>
      </c>
      <c r="R183" s="2" t="s">
        <v>3090</v>
      </c>
      <c r="S183" s="2" t="s">
        <v>3090</v>
      </c>
      <c r="T183" s="2" t="s">
        <v>3091</v>
      </c>
      <c r="U183" s="2" t="s">
        <v>3090</v>
      </c>
      <c r="V183" s="2" t="s">
        <v>3090</v>
      </c>
      <c r="W183" s="2" t="s">
        <v>3091</v>
      </c>
      <c r="X183" s="2" t="s">
        <v>3092</v>
      </c>
      <c r="Y183" s="2" t="s">
        <v>3090</v>
      </c>
      <c r="Z183" s="2" t="s">
        <v>3091</v>
      </c>
      <c r="AA183" s="3" t="s">
        <v>3091</v>
      </c>
      <c r="AB183" s="3" t="s">
        <v>3090</v>
      </c>
      <c r="AC183" s="3" t="s">
        <v>3090</v>
      </c>
      <c r="AD183" s="3" t="s">
        <v>3090</v>
      </c>
      <c r="AE183" s="3" t="s">
        <v>3090</v>
      </c>
      <c r="AF183" s="3"/>
      <c r="AG183" s="3"/>
      <c r="AH183" s="3"/>
      <c r="AI183" s="3"/>
      <c r="AJ183" s="3"/>
      <c r="AK183" s="3"/>
    </row>
    <row r="184" spans="1:37" ht="15.75" customHeight="1">
      <c r="A184" s="2" t="s">
        <v>2897</v>
      </c>
      <c r="B184" s="2" t="s">
        <v>2732</v>
      </c>
      <c r="C184" s="3">
        <v>311</v>
      </c>
      <c r="D184" s="2" t="s">
        <v>168</v>
      </c>
      <c r="E184" s="2">
        <f t="shared" si="8"/>
        <v>7</v>
      </c>
      <c r="F184" s="2">
        <f t="shared" si="9"/>
        <v>15</v>
      </c>
      <c r="G184" s="2">
        <f t="shared" si="10"/>
        <v>22</v>
      </c>
      <c r="H184" s="6">
        <f t="shared" si="11"/>
        <v>0.95652173913043503</v>
      </c>
      <c r="I184" s="2" t="s">
        <v>3090</v>
      </c>
      <c r="J184" s="2" t="s">
        <v>3091</v>
      </c>
      <c r="K184" s="2" t="s">
        <v>3090</v>
      </c>
      <c r="L184" s="2" t="s">
        <v>3090</v>
      </c>
      <c r="M184" s="2" t="s">
        <v>3090</v>
      </c>
      <c r="N184" s="2" t="s">
        <v>3090</v>
      </c>
      <c r="O184" s="2" t="s">
        <v>3091</v>
      </c>
      <c r="P184" s="2" t="s">
        <v>3091</v>
      </c>
      <c r="Q184" s="2" t="s">
        <v>3090</v>
      </c>
      <c r="R184" s="2" t="s">
        <v>3090</v>
      </c>
      <c r="S184" s="2" t="s">
        <v>3091</v>
      </c>
      <c r="T184" s="2" t="s">
        <v>3091</v>
      </c>
      <c r="U184" s="2" t="s">
        <v>3091</v>
      </c>
      <c r="V184" s="2" t="s">
        <v>3091</v>
      </c>
      <c r="W184" s="2" t="s">
        <v>3091</v>
      </c>
      <c r="X184" s="2" t="s">
        <v>3091</v>
      </c>
      <c r="Y184" s="2" t="s">
        <v>3091</v>
      </c>
      <c r="Z184" s="2" t="s">
        <v>3091</v>
      </c>
      <c r="AA184" s="3" t="s">
        <v>3091</v>
      </c>
      <c r="AB184" s="3" t="s">
        <v>3091</v>
      </c>
      <c r="AC184" s="3" t="s">
        <v>3091</v>
      </c>
      <c r="AD184" s="3" t="s">
        <v>3091</v>
      </c>
      <c r="AE184" s="3" t="s">
        <v>3092</v>
      </c>
      <c r="AF184" s="3"/>
      <c r="AG184" s="3"/>
      <c r="AH184" s="3"/>
      <c r="AI184" s="3"/>
      <c r="AJ184" s="3"/>
      <c r="AK184" s="3"/>
    </row>
    <row r="185" spans="1:37" ht="15.75" customHeight="1">
      <c r="A185" s="2" t="s">
        <v>2898</v>
      </c>
      <c r="B185" s="2" t="s">
        <v>2682</v>
      </c>
      <c r="C185" s="3">
        <v>702</v>
      </c>
      <c r="D185" s="2" t="s">
        <v>19</v>
      </c>
      <c r="E185" s="2">
        <f t="shared" si="8"/>
        <v>4</v>
      </c>
      <c r="F185" s="2">
        <f t="shared" si="9"/>
        <v>19</v>
      </c>
      <c r="G185" s="2">
        <f t="shared" si="10"/>
        <v>23</v>
      </c>
      <c r="H185" s="6">
        <f t="shared" si="11"/>
        <v>1</v>
      </c>
      <c r="I185" s="2" t="s">
        <v>3091</v>
      </c>
      <c r="J185" s="2" t="s">
        <v>3090</v>
      </c>
      <c r="K185" s="2" t="s">
        <v>3090</v>
      </c>
      <c r="L185" s="2" t="s">
        <v>3090</v>
      </c>
      <c r="M185" s="2" t="s">
        <v>3091</v>
      </c>
      <c r="N185" s="2" t="s">
        <v>3091</v>
      </c>
      <c r="O185" s="2" t="s">
        <v>3091</v>
      </c>
      <c r="P185" s="2" t="s">
        <v>3091</v>
      </c>
      <c r="Q185" s="2" t="s">
        <v>3091</v>
      </c>
      <c r="R185" s="2" t="s">
        <v>3090</v>
      </c>
      <c r="S185" s="2" t="s">
        <v>3091</v>
      </c>
      <c r="T185" s="2" t="s">
        <v>3091</v>
      </c>
      <c r="U185" s="2" t="s">
        <v>3091</v>
      </c>
      <c r="V185" s="2" t="s">
        <v>3091</v>
      </c>
      <c r="W185" s="2" t="s">
        <v>3091</v>
      </c>
      <c r="X185" s="2" t="s">
        <v>3091</v>
      </c>
      <c r="Y185" s="2" t="s">
        <v>3091</v>
      </c>
      <c r="Z185" s="2" t="s">
        <v>3091</v>
      </c>
      <c r="AA185" s="3" t="s">
        <v>3091</v>
      </c>
      <c r="AB185" s="3" t="s">
        <v>3091</v>
      </c>
      <c r="AC185" s="3" t="s">
        <v>3091</v>
      </c>
      <c r="AD185" s="3" t="s">
        <v>3091</v>
      </c>
      <c r="AE185" s="3" t="s">
        <v>3091</v>
      </c>
      <c r="AF185" s="3"/>
      <c r="AG185" s="3"/>
      <c r="AH185" s="3"/>
      <c r="AI185" s="3"/>
      <c r="AJ185" s="3"/>
      <c r="AK185" s="3"/>
    </row>
    <row r="186" spans="1:37" ht="15.75" customHeight="1">
      <c r="A186" s="2" t="s">
        <v>2899</v>
      </c>
      <c r="B186" s="2" t="s">
        <v>2900</v>
      </c>
      <c r="C186" s="3">
        <v>664</v>
      </c>
      <c r="D186" s="2" t="s">
        <v>22</v>
      </c>
      <c r="E186" s="2">
        <f t="shared" si="8"/>
        <v>5</v>
      </c>
      <c r="F186" s="2">
        <f t="shared" si="9"/>
        <v>18</v>
      </c>
      <c r="G186" s="2">
        <f t="shared" si="10"/>
        <v>23</v>
      </c>
      <c r="H186" s="6">
        <f t="shared" si="11"/>
        <v>1</v>
      </c>
      <c r="I186" s="2" t="s">
        <v>3090</v>
      </c>
      <c r="J186" s="2" t="s">
        <v>3091</v>
      </c>
      <c r="K186" s="2" t="s">
        <v>3090</v>
      </c>
      <c r="L186" s="2" t="s">
        <v>3091</v>
      </c>
      <c r="M186" s="2" t="s">
        <v>3091</v>
      </c>
      <c r="N186" s="2" t="s">
        <v>3091</v>
      </c>
      <c r="O186" s="2" t="s">
        <v>3091</v>
      </c>
      <c r="P186" s="2" t="s">
        <v>3091</v>
      </c>
      <c r="Q186" s="2" t="s">
        <v>3090</v>
      </c>
      <c r="R186" s="2" t="s">
        <v>3090</v>
      </c>
      <c r="S186" s="2" t="s">
        <v>3090</v>
      </c>
      <c r="T186" s="2" t="s">
        <v>3091</v>
      </c>
      <c r="U186" s="2" t="s">
        <v>3091</v>
      </c>
      <c r="V186" s="2" t="s">
        <v>3091</v>
      </c>
      <c r="W186" s="2" t="s">
        <v>3091</v>
      </c>
      <c r="X186" s="2" t="s">
        <v>3091</v>
      </c>
      <c r="Y186" s="2" t="s">
        <v>3091</v>
      </c>
      <c r="Z186" s="2" t="s">
        <v>3091</v>
      </c>
      <c r="AA186" s="3" t="s">
        <v>3091</v>
      </c>
      <c r="AB186" s="3" t="s">
        <v>3091</v>
      </c>
      <c r="AC186" s="3" t="s">
        <v>3091</v>
      </c>
      <c r="AD186" s="3" t="s">
        <v>3091</v>
      </c>
      <c r="AE186" s="3" t="s">
        <v>3091</v>
      </c>
      <c r="AF186" s="3"/>
      <c r="AG186" s="3"/>
      <c r="AH186" s="3"/>
      <c r="AI186" s="3"/>
      <c r="AJ186" s="3"/>
      <c r="AK186" s="3"/>
    </row>
    <row r="187" spans="1:37" ht="15.75" customHeight="1">
      <c r="A187" s="2" t="s">
        <v>2899</v>
      </c>
      <c r="B187" s="2" t="s">
        <v>851</v>
      </c>
      <c r="C187" s="3">
        <v>449</v>
      </c>
      <c r="D187" s="2" t="s">
        <v>24</v>
      </c>
      <c r="E187" s="2">
        <f t="shared" si="8"/>
        <v>2</v>
      </c>
      <c r="F187" s="2">
        <f t="shared" si="9"/>
        <v>19</v>
      </c>
      <c r="G187" s="2">
        <f t="shared" si="10"/>
        <v>21</v>
      </c>
      <c r="H187" s="6">
        <f t="shared" si="11"/>
        <v>0.91304347826086996</v>
      </c>
      <c r="I187" s="2" t="s">
        <v>3090</v>
      </c>
      <c r="J187" s="2" t="s">
        <v>3091</v>
      </c>
      <c r="K187" s="2" t="s">
        <v>3091</v>
      </c>
      <c r="L187" s="2" t="s">
        <v>3091</v>
      </c>
      <c r="M187" s="2" t="s">
        <v>3091</v>
      </c>
      <c r="N187" s="2" t="s">
        <v>3091</v>
      </c>
      <c r="O187" s="2" t="s">
        <v>3091</v>
      </c>
      <c r="P187" s="2" t="s">
        <v>3091</v>
      </c>
      <c r="Q187" s="2" t="s">
        <v>3090</v>
      </c>
      <c r="R187" s="2" t="s">
        <v>3091</v>
      </c>
      <c r="S187" s="2" t="s">
        <v>3091</v>
      </c>
      <c r="T187" s="2" t="s">
        <v>3091</v>
      </c>
      <c r="U187" s="2" t="s">
        <v>3091</v>
      </c>
      <c r="V187" s="2" t="s">
        <v>3091</v>
      </c>
      <c r="W187" s="2" t="s">
        <v>3091</v>
      </c>
      <c r="X187" s="2" t="s">
        <v>3091</v>
      </c>
      <c r="Y187" s="2" t="s">
        <v>3091</v>
      </c>
      <c r="Z187" s="2" t="s">
        <v>3091</v>
      </c>
      <c r="AA187" s="3" t="s">
        <v>3091</v>
      </c>
      <c r="AB187" s="3" t="s">
        <v>3091</v>
      </c>
      <c r="AC187" s="3" t="s">
        <v>3091</v>
      </c>
      <c r="AD187" s="3" t="s">
        <v>3092</v>
      </c>
      <c r="AE187" s="3" t="s">
        <v>3092</v>
      </c>
      <c r="AF187" s="3"/>
      <c r="AG187" s="3"/>
      <c r="AH187" s="3"/>
      <c r="AI187" s="3"/>
      <c r="AJ187" s="3"/>
      <c r="AK187" s="3"/>
    </row>
    <row r="188" spans="1:37" ht="15.75" customHeight="1">
      <c r="A188" s="2" t="s">
        <v>2901</v>
      </c>
      <c r="B188" s="2" t="s">
        <v>2701</v>
      </c>
      <c r="C188" s="3">
        <v>653</v>
      </c>
      <c r="D188" s="2" t="s">
        <v>597</v>
      </c>
      <c r="E188" s="2">
        <f t="shared" si="8"/>
        <v>10</v>
      </c>
      <c r="F188" s="2">
        <f t="shared" si="9"/>
        <v>13</v>
      </c>
      <c r="G188" s="2">
        <f t="shared" si="10"/>
        <v>23</v>
      </c>
      <c r="H188" s="6">
        <f t="shared" si="11"/>
        <v>1</v>
      </c>
      <c r="I188" s="2" t="s">
        <v>3090</v>
      </c>
      <c r="J188" s="2" t="s">
        <v>3090</v>
      </c>
      <c r="K188" s="2" t="s">
        <v>3090</v>
      </c>
      <c r="L188" s="2" t="s">
        <v>3091</v>
      </c>
      <c r="M188" s="2" t="s">
        <v>3091</v>
      </c>
      <c r="N188" s="2" t="s">
        <v>3090</v>
      </c>
      <c r="O188" s="2" t="s">
        <v>3091</v>
      </c>
      <c r="P188" s="2" t="s">
        <v>3091</v>
      </c>
      <c r="Q188" s="2" t="s">
        <v>3090</v>
      </c>
      <c r="R188" s="2" t="s">
        <v>3091</v>
      </c>
      <c r="S188" s="2" t="s">
        <v>3090</v>
      </c>
      <c r="T188" s="2" t="s">
        <v>3091</v>
      </c>
      <c r="U188" s="2" t="s">
        <v>3090</v>
      </c>
      <c r="V188" s="2" t="s">
        <v>3090</v>
      </c>
      <c r="W188" s="2" t="s">
        <v>3091</v>
      </c>
      <c r="X188" s="2" t="s">
        <v>3091</v>
      </c>
      <c r="Y188" s="2" t="s">
        <v>3090</v>
      </c>
      <c r="Z188" s="2" t="s">
        <v>3090</v>
      </c>
      <c r="AA188" s="3" t="s">
        <v>3091</v>
      </c>
      <c r="AB188" s="3" t="s">
        <v>3091</v>
      </c>
      <c r="AC188" s="3" t="s">
        <v>3091</v>
      </c>
      <c r="AD188" s="3" t="s">
        <v>3091</v>
      </c>
      <c r="AE188" s="3" t="s">
        <v>3091</v>
      </c>
      <c r="AF188" s="3"/>
      <c r="AG188" s="3"/>
      <c r="AH188" s="3"/>
      <c r="AI188" s="3"/>
      <c r="AJ188" s="3"/>
      <c r="AK188" s="3"/>
    </row>
    <row r="189" spans="1:37" ht="15.75" customHeight="1">
      <c r="A189" s="2" t="s">
        <v>2349</v>
      </c>
      <c r="B189" s="2" t="s">
        <v>2676</v>
      </c>
      <c r="C189" s="3">
        <v>414</v>
      </c>
      <c r="D189" s="2" t="s">
        <v>83</v>
      </c>
      <c r="E189" s="2">
        <f t="shared" si="8"/>
        <v>13</v>
      </c>
      <c r="F189" s="2">
        <f t="shared" si="9"/>
        <v>10</v>
      </c>
      <c r="G189" s="2">
        <f t="shared" si="10"/>
        <v>23</v>
      </c>
      <c r="H189" s="6">
        <f t="shared" si="11"/>
        <v>1</v>
      </c>
      <c r="I189" s="2" t="s">
        <v>3090</v>
      </c>
      <c r="J189" s="2" t="s">
        <v>3090</v>
      </c>
      <c r="K189" s="2" t="s">
        <v>3091</v>
      </c>
      <c r="L189" s="2" t="s">
        <v>3090</v>
      </c>
      <c r="M189" s="2" t="s">
        <v>3090</v>
      </c>
      <c r="N189" s="2" t="s">
        <v>3090</v>
      </c>
      <c r="O189" s="2" t="s">
        <v>3091</v>
      </c>
      <c r="P189" s="2" t="s">
        <v>3091</v>
      </c>
      <c r="Q189" s="2" t="s">
        <v>3090</v>
      </c>
      <c r="R189" s="2" t="s">
        <v>3091</v>
      </c>
      <c r="S189" s="2" t="s">
        <v>3091</v>
      </c>
      <c r="T189" s="2" t="s">
        <v>3091</v>
      </c>
      <c r="U189" s="2" t="s">
        <v>3090</v>
      </c>
      <c r="V189" s="2" t="s">
        <v>3090</v>
      </c>
      <c r="W189" s="2" t="s">
        <v>3091</v>
      </c>
      <c r="X189" s="2" t="s">
        <v>3091</v>
      </c>
      <c r="Y189" s="2" t="s">
        <v>3090</v>
      </c>
      <c r="Z189" s="2" t="s">
        <v>3091</v>
      </c>
      <c r="AA189" s="3" t="s">
        <v>3091</v>
      </c>
      <c r="AB189" s="3" t="s">
        <v>3090</v>
      </c>
      <c r="AC189" s="3" t="s">
        <v>3090</v>
      </c>
      <c r="AD189" s="3" t="s">
        <v>3090</v>
      </c>
      <c r="AE189" s="3" t="s">
        <v>3090</v>
      </c>
      <c r="AF189" s="3"/>
      <c r="AG189" s="3"/>
      <c r="AH189" s="3"/>
      <c r="AI189" s="3"/>
      <c r="AJ189" s="3"/>
      <c r="AK189" s="3"/>
    </row>
    <row r="190" spans="1:37" ht="15.75" customHeight="1">
      <c r="A190" s="2" t="s">
        <v>2902</v>
      </c>
      <c r="B190" s="2" t="s">
        <v>2732</v>
      </c>
      <c r="C190" s="3">
        <v>634</v>
      </c>
      <c r="D190" s="2" t="s">
        <v>267</v>
      </c>
      <c r="E190" s="2">
        <f t="shared" si="8"/>
        <v>5</v>
      </c>
      <c r="F190" s="2">
        <f t="shared" si="9"/>
        <v>18</v>
      </c>
      <c r="G190" s="2">
        <f t="shared" si="10"/>
        <v>23</v>
      </c>
      <c r="H190" s="6">
        <f t="shared" si="11"/>
        <v>1</v>
      </c>
      <c r="I190" s="2" t="s">
        <v>3090</v>
      </c>
      <c r="J190" s="2" t="s">
        <v>3091</v>
      </c>
      <c r="K190" s="2" t="s">
        <v>3091</v>
      </c>
      <c r="L190" s="2" t="s">
        <v>3091</v>
      </c>
      <c r="M190" s="2" t="s">
        <v>3091</v>
      </c>
      <c r="N190" s="2" t="s">
        <v>3090</v>
      </c>
      <c r="O190" s="2" t="s">
        <v>3091</v>
      </c>
      <c r="P190" s="2" t="s">
        <v>3091</v>
      </c>
      <c r="Q190" s="2" t="s">
        <v>3090</v>
      </c>
      <c r="R190" s="2" t="s">
        <v>3090</v>
      </c>
      <c r="S190" s="2" t="s">
        <v>3091</v>
      </c>
      <c r="T190" s="2" t="s">
        <v>3091</v>
      </c>
      <c r="U190" s="2" t="s">
        <v>3091</v>
      </c>
      <c r="V190" s="2" t="s">
        <v>3091</v>
      </c>
      <c r="W190" s="2" t="s">
        <v>3091</v>
      </c>
      <c r="X190" s="2" t="s">
        <v>3091</v>
      </c>
      <c r="Y190" s="2" t="s">
        <v>3091</v>
      </c>
      <c r="Z190" s="2" t="s">
        <v>3091</v>
      </c>
      <c r="AA190" s="3" t="s">
        <v>3091</v>
      </c>
      <c r="AB190" s="3" t="s">
        <v>3091</v>
      </c>
      <c r="AC190" s="3" t="s">
        <v>3091</v>
      </c>
      <c r="AD190" s="3" t="s">
        <v>3090</v>
      </c>
      <c r="AE190" s="3" t="s">
        <v>3091</v>
      </c>
      <c r="AF190" s="3"/>
      <c r="AG190" s="3"/>
      <c r="AH190" s="3"/>
      <c r="AI190" s="3"/>
      <c r="AJ190" s="3"/>
      <c r="AK190" s="3"/>
    </row>
    <row r="191" spans="1:37" ht="15.75" customHeight="1">
      <c r="A191" s="2" t="s">
        <v>2903</v>
      </c>
      <c r="B191" s="2" t="s">
        <v>2813</v>
      </c>
      <c r="C191" s="3">
        <v>304</v>
      </c>
      <c r="D191" s="2" t="s">
        <v>437</v>
      </c>
      <c r="E191" s="2">
        <f t="shared" si="8"/>
        <v>12</v>
      </c>
      <c r="F191" s="2">
        <f t="shared" si="9"/>
        <v>11</v>
      </c>
      <c r="G191" s="2">
        <f t="shared" si="10"/>
        <v>23</v>
      </c>
      <c r="H191" s="6">
        <f t="shared" si="11"/>
        <v>1</v>
      </c>
      <c r="I191" s="2" t="s">
        <v>3090</v>
      </c>
      <c r="J191" s="2" t="s">
        <v>3091</v>
      </c>
      <c r="K191" s="2" t="s">
        <v>3091</v>
      </c>
      <c r="L191" s="2" t="s">
        <v>3090</v>
      </c>
      <c r="M191" s="2" t="s">
        <v>3090</v>
      </c>
      <c r="N191" s="2" t="s">
        <v>3090</v>
      </c>
      <c r="O191" s="2" t="s">
        <v>3091</v>
      </c>
      <c r="P191" s="2" t="s">
        <v>3091</v>
      </c>
      <c r="Q191" s="2" t="s">
        <v>3091</v>
      </c>
      <c r="R191" s="2" t="s">
        <v>3091</v>
      </c>
      <c r="S191" s="2" t="s">
        <v>3091</v>
      </c>
      <c r="T191" s="2" t="s">
        <v>3091</v>
      </c>
      <c r="U191" s="2" t="s">
        <v>3090</v>
      </c>
      <c r="V191" s="2" t="s">
        <v>3090</v>
      </c>
      <c r="W191" s="2" t="s">
        <v>3091</v>
      </c>
      <c r="X191" s="2" t="s">
        <v>3091</v>
      </c>
      <c r="Y191" s="2" t="s">
        <v>3090</v>
      </c>
      <c r="Z191" s="2" t="s">
        <v>3090</v>
      </c>
      <c r="AA191" s="3" t="s">
        <v>3091</v>
      </c>
      <c r="AB191" s="3" t="s">
        <v>3090</v>
      </c>
      <c r="AC191" s="3" t="s">
        <v>3090</v>
      </c>
      <c r="AD191" s="3" t="s">
        <v>3090</v>
      </c>
      <c r="AE191" s="3" t="s">
        <v>3090</v>
      </c>
      <c r="AF191" s="3"/>
      <c r="AG191" s="3"/>
      <c r="AH191" s="3"/>
      <c r="AI191" s="3"/>
      <c r="AJ191" s="3"/>
      <c r="AK191" s="3"/>
    </row>
    <row r="192" spans="1:37" ht="15.75" customHeight="1">
      <c r="A192" s="2" t="s">
        <v>2904</v>
      </c>
      <c r="B192" s="2" t="s">
        <v>2896</v>
      </c>
      <c r="C192" s="3">
        <v>707</v>
      </c>
      <c r="D192" s="2" t="s">
        <v>368</v>
      </c>
      <c r="E192" s="2">
        <f t="shared" si="8"/>
        <v>15</v>
      </c>
      <c r="F192" s="2">
        <f t="shared" si="9"/>
        <v>8</v>
      </c>
      <c r="G192" s="2">
        <f t="shared" si="10"/>
        <v>23</v>
      </c>
      <c r="H192" s="6">
        <f t="shared" si="11"/>
        <v>1</v>
      </c>
      <c r="I192" s="2" t="s">
        <v>3090</v>
      </c>
      <c r="J192" s="2" t="s">
        <v>3090</v>
      </c>
      <c r="K192" s="2" t="s">
        <v>3090</v>
      </c>
      <c r="L192" s="2" t="s">
        <v>3090</v>
      </c>
      <c r="M192" s="2" t="s">
        <v>3090</v>
      </c>
      <c r="N192" s="2" t="s">
        <v>3090</v>
      </c>
      <c r="O192" s="2" t="s">
        <v>3091</v>
      </c>
      <c r="P192" s="2" t="s">
        <v>3091</v>
      </c>
      <c r="Q192" s="2" t="s">
        <v>3090</v>
      </c>
      <c r="R192" s="2" t="s">
        <v>3090</v>
      </c>
      <c r="S192" s="2" t="s">
        <v>3090</v>
      </c>
      <c r="T192" s="2" t="s">
        <v>3091</v>
      </c>
      <c r="U192" s="2" t="s">
        <v>3090</v>
      </c>
      <c r="V192" s="2" t="s">
        <v>3090</v>
      </c>
      <c r="W192" s="2" t="s">
        <v>3091</v>
      </c>
      <c r="X192" s="2" t="s">
        <v>3091</v>
      </c>
      <c r="Y192" s="2" t="s">
        <v>3090</v>
      </c>
      <c r="Z192" s="2" t="s">
        <v>3090</v>
      </c>
      <c r="AA192" s="3" t="s">
        <v>3091</v>
      </c>
      <c r="AB192" s="3" t="s">
        <v>3090</v>
      </c>
      <c r="AC192" s="3" t="s">
        <v>3090</v>
      </c>
      <c r="AD192" s="3" t="s">
        <v>3091</v>
      </c>
      <c r="AE192" s="3" t="s">
        <v>3091</v>
      </c>
      <c r="AF192" s="3"/>
      <c r="AG192" s="3"/>
      <c r="AH192" s="3"/>
      <c r="AI192" s="3"/>
      <c r="AJ192" s="3"/>
      <c r="AK192" s="3"/>
    </row>
    <row r="193" spans="1:37" ht="15.75" customHeight="1">
      <c r="A193" s="2" t="s">
        <v>2905</v>
      </c>
      <c r="B193" s="2" t="s">
        <v>2804</v>
      </c>
      <c r="C193" s="3">
        <v>371</v>
      </c>
      <c r="D193" s="2" t="s">
        <v>599</v>
      </c>
      <c r="E193" s="2">
        <f t="shared" si="8"/>
        <v>3</v>
      </c>
      <c r="F193" s="2">
        <f t="shared" si="9"/>
        <v>20</v>
      </c>
      <c r="G193" s="2">
        <f t="shared" si="10"/>
        <v>23</v>
      </c>
      <c r="H193" s="6">
        <f t="shared" si="11"/>
        <v>1</v>
      </c>
      <c r="I193" s="2" t="s">
        <v>3091</v>
      </c>
      <c r="J193" s="2" t="s">
        <v>3091</v>
      </c>
      <c r="K193" s="2" t="s">
        <v>3091</v>
      </c>
      <c r="L193" s="2" t="s">
        <v>3091</v>
      </c>
      <c r="M193" s="2" t="s">
        <v>3091</v>
      </c>
      <c r="N193" s="2" t="s">
        <v>3091</v>
      </c>
      <c r="O193" s="2" t="s">
        <v>3091</v>
      </c>
      <c r="P193" s="2" t="s">
        <v>3091</v>
      </c>
      <c r="Q193" s="2" t="s">
        <v>3091</v>
      </c>
      <c r="R193" s="2" t="s">
        <v>3091</v>
      </c>
      <c r="S193" s="2" t="s">
        <v>3091</v>
      </c>
      <c r="T193" s="2" t="s">
        <v>3091</v>
      </c>
      <c r="U193" s="2" t="s">
        <v>3091</v>
      </c>
      <c r="V193" s="2" t="s">
        <v>3091</v>
      </c>
      <c r="W193" s="2" t="s">
        <v>3091</v>
      </c>
      <c r="X193" s="2" t="s">
        <v>3091</v>
      </c>
      <c r="Y193" s="2" t="s">
        <v>3090</v>
      </c>
      <c r="Z193" s="2" t="s">
        <v>3091</v>
      </c>
      <c r="AA193" s="3" t="s">
        <v>3091</v>
      </c>
      <c r="AB193" s="3" t="s">
        <v>3090</v>
      </c>
      <c r="AC193" s="3" t="s">
        <v>3090</v>
      </c>
      <c r="AD193" s="3" t="s">
        <v>3091</v>
      </c>
      <c r="AE193" s="3" t="s">
        <v>3091</v>
      </c>
      <c r="AF193" s="3"/>
      <c r="AG193" s="3"/>
      <c r="AH193" s="3"/>
      <c r="AI193" s="3"/>
      <c r="AJ193" s="3"/>
      <c r="AK193" s="3"/>
    </row>
    <row r="194" spans="1:37" ht="15.75" customHeight="1">
      <c r="A194" s="2" t="s">
        <v>2906</v>
      </c>
      <c r="B194" s="2" t="s">
        <v>2682</v>
      </c>
      <c r="C194" s="3">
        <v>361</v>
      </c>
      <c r="D194" s="2" t="s">
        <v>220</v>
      </c>
      <c r="E194" s="2">
        <f t="shared" ref="E194:E257" si="12">COUNTIF(I194:AK194,"L (1/1)")</f>
        <v>0</v>
      </c>
      <c r="F194" s="2">
        <f t="shared" ref="F194:F257" si="13">COUNTIF(I194:AK194,"R (1/1)")</f>
        <v>23</v>
      </c>
      <c r="G194" s="2">
        <f t="shared" ref="G194:G257" si="14">E194+F194</f>
        <v>23</v>
      </c>
      <c r="H194" s="6">
        <f t="shared" ref="H194:H257" si="15">G194/23</f>
        <v>1</v>
      </c>
      <c r="I194" s="2" t="s">
        <v>3091</v>
      </c>
      <c r="J194" s="2" t="s">
        <v>3091</v>
      </c>
      <c r="K194" s="2" t="s">
        <v>3091</v>
      </c>
      <c r="L194" s="2" t="s">
        <v>3091</v>
      </c>
      <c r="M194" s="2" t="s">
        <v>3091</v>
      </c>
      <c r="N194" s="2" t="s">
        <v>3091</v>
      </c>
      <c r="O194" s="2" t="s">
        <v>3091</v>
      </c>
      <c r="P194" s="2" t="s">
        <v>3091</v>
      </c>
      <c r="Q194" s="2" t="s">
        <v>3091</v>
      </c>
      <c r="R194" s="2" t="s">
        <v>3091</v>
      </c>
      <c r="S194" s="2" t="s">
        <v>3091</v>
      </c>
      <c r="T194" s="2" t="s">
        <v>3091</v>
      </c>
      <c r="U194" s="2" t="s">
        <v>3091</v>
      </c>
      <c r="V194" s="2" t="s">
        <v>3091</v>
      </c>
      <c r="W194" s="2" t="s">
        <v>3091</v>
      </c>
      <c r="X194" s="2" t="s">
        <v>3091</v>
      </c>
      <c r="Y194" s="2" t="s">
        <v>3091</v>
      </c>
      <c r="Z194" s="2" t="s">
        <v>3091</v>
      </c>
      <c r="AA194" s="3" t="s">
        <v>3091</v>
      </c>
      <c r="AB194" s="3" t="s">
        <v>3091</v>
      </c>
      <c r="AC194" s="3" t="s">
        <v>3091</v>
      </c>
      <c r="AD194" s="3" t="s">
        <v>3091</v>
      </c>
      <c r="AE194" s="3" t="s">
        <v>3091</v>
      </c>
      <c r="AF194" s="3"/>
      <c r="AG194" s="3"/>
      <c r="AH194" s="3"/>
      <c r="AI194" s="3"/>
      <c r="AJ194" s="3"/>
      <c r="AK194" s="3"/>
    </row>
    <row r="195" spans="1:37" ht="15.75" customHeight="1">
      <c r="A195" s="2" t="s">
        <v>2907</v>
      </c>
      <c r="B195" s="2" t="s">
        <v>2813</v>
      </c>
      <c r="C195" s="3">
        <v>698</v>
      </c>
      <c r="D195" s="2" t="s">
        <v>439</v>
      </c>
      <c r="E195" s="2">
        <f t="shared" si="12"/>
        <v>9</v>
      </c>
      <c r="F195" s="2">
        <f t="shared" si="13"/>
        <v>12</v>
      </c>
      <c r="G195" s="2">
        <f t="shared" si="14"/>
        <v>21</v>
      </c>
      <c r="H195" s="6">
        <f t="shared" si="15"/>
        <v>0.91304347826086996</v>
      </c>
      <c r="I195" s="2" t="s">
        <v>3090</v>
      </c>
      <c r="J195" s="2" t="s">
        <v>3090</v>
      </c>
      <c r="K195" s="2" t="s">
        <v>3090</v>
      </c>
      <c r="L195" s="2" t="s">
        <v>3090</v>
      </c>
      <c r="M195" s="2" t="s">
        <v>3090</v>
      </c>
      <c r="N195" s="2" t="s">
        <v>3090</v>
      </c>
      <c r="O195" s="2" t="s">
        <v>3091</v>
      </c>
      <c r="P195" s="2" t="s">
        <v>3091</v>
      </c>
      <c r="Q195" s="2" t="s">
        <v>3091</v>
      </c>
      <c r="R195" s="2" t="s">
        <v>3091</v>
      </c>
      <c r="S195" s="2" t="s">
        <v>3091</v>
      </c>
      <c r="T195" s="2" t="s">
        <v>3091</v>
      </c>
      <c r="U195" s="2" t="s">
        <v>3091</v>
      </c>
      <c r="V195" s="2" t="s">
        <v>3091</v>
      </c>
      <c r="W195" s="2" t="s">
        <v>3091</v>
      </c>
      <c r="X195" s="2" t="s">
        <v>3091</v>
      </c>
      <c r="Y195" s="2" t="s">
        <v>3091</v>
      </c>
      <c r="Z195" s="2" t="s">
        <v>3090</v>
      </c>
      <c r="AA195" s="3" t="s">
        <v>3092</v>
      </c>
      <c r="AB195" s="3" t="s">
        <v>3091</v>
      </c>
      <c r="AC195" s="3" t="s">
        <v>3092</v>
      </c>
      <c r="AD195" s="3" t="s">
        <v>3090</v>
      </c>
      <c r="AE195" s="3" t="s">
        <v>3090</v>
      </c>
      <c r="AF195" s="3"/>
      <c r="AG195" s="3"/>
      <c r="AH195" s="3"/>
      <c r="AI195" s="3"/>
      <c r="AJ195" s="3"/>
      <c r="AK195" s="3"/>
    </row>
    <row r="196" spans="1:37" ht="15.75" customHeight="1">
      <c r="A196" s="2" t="s">
        <v>2908</v>
      </c>
      <c r="B196" s="2" t="s">
        <v>2682</v>
      </c>
      <c r="C196" s="3">
        <v>620</v>
      </c>
      <c r="D196" s="2" t="s">
        <v>566</v>
      </c>
      <c r="E196" s="2">
        <f t="shared" si="12"/>
        <v>9</v>
      </c>
      <c r="F196" s="2">
        <f t="shared" si="13"/>
        <v>14</v>
      </c>
      <c r="G196" s="2">
        <f t="shared" si="14"/>
        <v>23</v>
      </c>
      <c r="H196" s="6">
        <f t="shared" si="15"/>
        <v>1</v>
      </c>
      <c r="I196" s="2" t="s">
        <v>3091</v>
      </c>
      <c r="J196" s="2" t="s">
        <v>3090</v>
      </c>
      <c r="K196" s="2" t="s">
        <v>3090</v>
      </c>
      <c r="L196" s="2" t="s">
        <v>3090</v>
      </c>
      <c r="M196" s="2" t="s">
        <v>3090</v>
      </c>
      <c r="N196" s="2" t="s">
        <v>3090</v>
      </c>
      <c r="O196" s="2" t="s">
        <v>3091</v>
      </c>
      <c r="P196" s="2" t="s">
        <v>3091</v>
      </c>
      <c r="Q196" s="2" t="s">
        <v>3090</v>
      </c>
      <c r="R196" s="2" t="s">
        <v>3090</v>
      </c>
      <c r="S196" s="2" t="s">
        <v>3091</v>
      </c>
      <c r="T196" s="2" t="s">
        <v>3091</v>
      </c>
      <c r="U196" s="2" t="s">
        <v>3091</v>
      </c>
      <c r="V196" s="2" t="s">
        <v>3091</v>
      </c>
      <c r="W196" s="2" t="s">
        <v>3091</v>
      </c>
      <c r="X196" s="2" t="s">
        <v>3091</v>
      </c>
      <c r="Y196" s="2" t="s">
        <v>3091</v>
      </c>
      <c r="Z196" s="2" t="s">
        <v>3091</v>
      </c>
      <c r="AA196" s="3" t="s">
        <v>3091</v>
      </c>
      <c r="AB196" s="3" t="s">
        <v>3090</v>
      </c>
      <c r="AC196" s="3" t="s">
        <v>3091</v>
      </c>
      <c r="AD196" s="3" t="s">
        <v>3091</v>
      </c>
      <c r="AE196" s="3" t="s">
        <v>3090</v>
      </c>
      <c r="AF196" s="3"/>
      <c r="AG196" s="3"/>
      <c r="AH196" s="3"/>
      <c r="AI196" s="3"/>
      <c r="AJ196" s="3"/>
      <c r="AK196" s="3"/>
    </row>
    <row r="197" spans="1:37" ht="15.75" customHeight="1">
      <c r="A197" s="2" t="s">
        <v>2909</v>
      </c>
      <c r="B197" s="2" t="s">
        <v>2833</v>
      </c>
      <c r="C197" s="3">
        <v>479</v>
      </c>
      <c r="D197" s="2" t="s">
        <v>531</v>
      </c>
      <c r="E197" s="2">
        <f t="shared" si="12"/>
        <v>2</v>
      </c>
      <c r="F197" s="2">
        <f t="shared" si="13"/>
        <v>19</v>
      </c>
      <c r="G197" s="2">
        <f t="shared" si="14"/>
        <v>21</v>
      </c>
      <c r="H197" s="6">
        <f t="shared" si="15"/>
        <v>0.91304347826086996</v>
      </c>
      <c r="I197" s="2" t="s">
        <v>3091</v>
      </c>
      <c r="J197" s="2" t="s">
        <v>3092</v>
      </c>
      <c r="K197" s="2" t="s">
        <v>3091</v>
      </c>
      <c r="L197" s="2" t="s">
        <v>3090</v>
      </c>
      <c r="M197" s="2" t="s">
        <v>3091</v>
      </c>
      <c r="N197" s="2" t="s">
        <v>3091</v>
      </c>
      <c r="O197" s="2" t="s">
        <v>3092</v>
      </c>
      <c r="P197" s="2" t="s">
        <v>3091</v>
      </c>
      <c r="Q197" s="2" t="s">
        <v>3091</v>
      </c>
      <c r="R197" s="2" t="s">
        <v>3091</v>
      </c>
      <c r="S197" s="2" t="s">
        <v>3091</v>
      </c>
      <c r="T197" s="2" t="s">
        <v>3091</v>
      </c>
      <c r="U197" s="2" t="s">
        <v>3090</v>
      </c>
      <c r="V197" s="2" t="s">
        <v>3091</v>
      </c>
      <c r="W197" s="2" t="s">
        <v>3091</v>
      </c>
      <c r="X197" s="2" t="s">
        <v>3091</v>
      </c>
      <c r="Y197" s="2" t="s">
        <v>3091</v>
      </c>
      <c r="Z197" s="2" t="s">
        <v>3091</v>
      </c>
      <c r="AA197" s="3" t="s">
        <v>3091</v>
      </c>
      <c r="AB197" s="3" t="s">
        <v>3091</v>
      </c>
      <c r="AC197" s="3" t="s">
        <v>3091</v>
      </c>
      <c r="AD197" s="3" t="s">
        <v>3091</v>
      </c>
      <c r="AE197" s="3" t="s">
        <v>3091</v>
      </c>
      <c r="AF197" s="3"/>
      <c r="AG197" s="3"/>
      <c r="AH197" s="3"/>
      <c r="AI197" s="3"/>
      <c r="AJ197" s="3"/>
      <c r="AK197" s="3"/>
    </row>
    <row r="198" spans="1:37" ht="15.75" customHeight="1">
      <c r="A198" s="2" t="s">
        <v>2775</v>
      </c>
      <c r="B198" s="2" t="s">
        <v>2910</v>
      </c>
      <c r="C198" s="3">
        <v>630</v>
      </c>
      <c r="D198" s="2" t="s">
        <v>278</v>
      </c>
      <c r="E198" s="2">
        <f t="shared" si="12"/>
        <v>8</v>
      </c>
      <c r="F198" s="2">
        <f t="shared" si="13"/>
        <v>10</v>
      </c>
      <c r="G198" s="2">
        <f t="shared" si="14"/>
        <v>18</v>
      </c>
      <c r="H198" s="6">
        <f t="shared" si="15"/>
        <v>0.78260869565217395</v>
      </c>
      <c r="I198" s="2" t="s">
        <v>3090</v>
      </c>
      <c r="J198" s="2" t="s">
        <v>3090</v>
      </c>
      <c r="K198" s="2" t="s">
        <v>3090</v>
      </c>
      <c r="L198" s="2" t="s">
        <v>3090</v>
      </c>
      <c r="M198" s="2" t="s">
        <v>3090</v>
      </c>
      <c r="N198" s="2" t="s">
        <v>3091</v>
      </c>
      <c r="O198" s="2" t="s">
        <v>3091</v>
      </c>
      <c r="P198" s="2" t="s">
        <v>3091</v>
      </c>
      <c r="Q198" s="2" t="s">
        <v>3090</v>
      </c>
      <c r="R198" s="2" t="s">
        <v>3090</v>
      </c>
      <c r="S198" s="2" t="s">
        <v>3091</v>
      </c>
      <c r="T198" s="2" t="s">
        <v>3091</v>
      </c>
      <c r="U198" s="2" t="s">
        <v>3091</v>
      </c>
      <c r="V198" s="2" t="s">
        <v>3091</v>
      </c>
      <c r="W198" s="2" t="s">
        <v>3091</v>
      </c>
      <c r="X198" s="2" t="s">
        <v>3091</v>
      </c>
      <c r="Y198" s="2" t="s">
        <v>3090</v>
      </c>
      <c r="Z198" s="2" t="s">
        <v>3091</v>
      </c>
      <c r="AA198" s="3" t="s">
        <v>3092</v>
      </c>
      <c r="AB198" s="3" t="s">
        <v>3092</v>
      </c>
      <c r="AC198" s="3" t="s">
        <v>3092</v>
      </c>
      <c r="AD198" s="3" t="s">
        <v>3092</v>
      </c>
      <c r="AE198" s="3" t="s">
        <v>3092</v>
      </c>
      <c r="AF198" s="3"/>
      <c r="AG198" s="3"/>
      <c r="AH198" s="3"/>
      <c r="AI198" s="3"/>
      <c r="AJ198" s="3"/>
      <c r="AK198" s="3"/>
    </row>
    <row r="199" spans="1:37" ht="15.75" customHeight="1">
      <c r="A199" s="2" t="s">
        <v>2911</v>
      </c>
      <c r="B199" s="2" t="s">
        <v>2912</v>
      </c>
      <c r="C199" s="3">
        <v>685</v>
      </c>
      <c r="D199" s="2" t="s">
        <v>601</v>
      </c>
      <c r="E199" s="2">
        <f t="shared" si="12"/>
        <v>16</v>
      </c>
      <c r="F199" s="2">
        <f t="shared" si="13"/>
        <v>7</v>
      </c>
      <c r="G199" s="2">
        <f t="shared" si="14"/>
        <v>23</v>
      </c>
      <c r="H199" s="6">
        <f t="shared" si="15"/>
        <v>1</v>
      </c>
      <c r="I199" s="2" t="s">
        <v>3090</v>
      </c>
      <c r="J199" s="2" t="s">
        <v>3090</v>
      </c>
      <c r="K199" s="2" t="s">
        <v>3090</v>
      </c>
      <c r="L199" s="2" t="s">
        <v>3090</v>
      </c>
      <c r="M199" s="2" t="s">
        <v>3090</v>
      </c>
      <c r="N199" s="2" t="s">
        <v>3090</v>
      </c>
      <c r="O199" s="2" t="s">
        <v>3091</v>
      </c>
      <c r="P199" s="2" t="s">
        <v>3091</v>
      </c>
      <c r="Q199" s="2" t="s">
        <v>3090</v>
      </c>
      <c r="R199" s="2" t="s">
        <v>3090</v>
      </c>
      <c r="S199" s="2" t="s">
        <v>3090</v>
      </c>
      <c r="T199" s="2" t="s">
        <v>3091</v>
      </c>
      <c r="U199" s="2" t="s">
        <v>3090</v>
      </c>
      <c r="V199" s="2" t="s">
        <v>3091</v>
      </c>
      <c r="W199" s="2" t="s">
        <v>3091</v>
      </c>
      <c r="X199" s="2" t="s">
        <v>3091</v>
      </c>
      <c r="Y199" s="2" t="s">
        <v>3090</v>
      </c>
      <c r="Z199" s="2" t="s">
        <v>3090</v>
      </c>
      <c r="AA199" s="3" t="s">
        <v>3091</v>
      </c>
      <c r="AB199" s="3" t="s">
        <v>3090</v>
      </c>
      <c r="AC199" s="3" t="s">
        <v>3090</v>
      </c>
      <c r="AD199" s="3" t="s">
        <v>3090</v>
      </c>
      <c r="AE199" s="3" t="s">
        <v>3090</v>
      </c>
      <c r="AF199" s="3"/>
      <c r="AG199" s="3"/>
      <c r="AH199" s="3"/>
      <c r="AI199" s="3"/>
      <c r="AJ199" s="3"/>
      <c r="AK199" s="3"/>
    </row>
    <row r="200" spans="1:37" ht="15.75" customHeight="1">
      <c r="A200" s="2" t="s">
        <v>2911</v>
      </c>
      <c r="B200" s="2" t="s">
        <v>2678</v>
      </c>
      <c r="C200" s="3">
        <v>492</v>
      </c>
      <c r="D200" s="2" t="s">
        <v>311</v>
      </c>
      <c r="E200" s="2">
        <f t="shared" si="12"/>
        <v>0</v>
      </c>
      <c r="F200" s="2">
        <f t="shared" si="13"/>
        <v>23</v>
      </c>
      <c r="G200" s="2">
        <f t="shared" si="14"/>
        <v>23</v>
      </c>
      <c r="H200" s="6">
        <f t="shared" si="15"/>
        <v>1</v>
      </c>
      <c r="I200" s="2" t="s">
        <v>3091</v>
      </c>
      <c r="J200" s="2" t="s">
        <v>3091</v>
      </c>
      <c r="K200" s="2" t="s">
        <v>3091</v>
      </c>
      <c r="L200" s="2" t="s">
        <v>3091</v>
      </c>
      <c r="M200" s="2" t="s">
        <v>3091</v>
      </c>
      <c r="N200" s="2" t="s">
        <v>3091</v>
      </c>
      <c r="O200" s="2" t="s">
        <v>3091</v>
      </c>
      <c r="P200" s="2" t="s">
        <v>3091</v>
      </c>
      <c r="Q200" s="2" t="s">
        <v>3091</v>
      </c>
      <c r="R200" s="2" t="s">
        <v>3091</v>
      </c>
      <c r="S200" s="2" t="s">
        <v>3091</v>
      </c>
      <c r="T200" s="2" t="s">
        <v>3091</v>
      </c>
      <c r="U200" s="2" t="s">
        <v>3091</v>
      </c>
      <c r="V200" s="2" t="s">
        <v>3091</v>
      </c>
      <c r="W200" s="2" t="s">
        <v>3091</v>
      </c>
      <c r="X200" s="2" t="s">
        <v>3091</v>
      </c>
      <c r="Y200" s="2" t="s">
        <v>3091</v>
      </c>
      <c r="Z200" s="2" t="s">
        <v>3091</v>
      </c>
      <c r="AA200" s="3" t="s">
        <v>3091</v>
      </c>
      <c r="AB200" s="3" t="s">
        <v>3091</v>
      </c>
      <c r="AC200" s="3" t="s">
        <v>3091</v>
      </c>
      <c r="AD200" s="3" t="s">
        <v>3091</v>
      </c>
      <c r="AE200" s="3" t="s">
        <v>3091</v>
      </c>
      <c r="AF200" s="3"/>
      <c r="AG200" s="3"/>
      <c r="AH200" s="3"/>
      <c r="AI200" s="3"/>
      <c r="AJ200" s="3"/>
      <c r="AK200" s="3"/>
    </row>
    <row r="201" spans="1:37" ht="15.75" customHeight="1">
      <c r="A201" s="2" t="s">
        <v>2913</v>
      </c>
      <c r="B201" s="2" t="s">
        <v>2693</v>
      </c>
      <c r="C201" s="3">
        <v>444</v>
      </c>
      <c r="D201" s="2" t="s">
        <v>534</v>
      </c>
      <c r="E201" s="2">
        <f t="shared" si="12"/>
        <v>4</v>
      </c>
      <c r="F201" s="2">
        <f t="shared" si="13"/>
        <v>19</v>
      </c>
      <c r="G201" s="2">
        <f t="shared" si="14"/>
        <v>23</v>
      </c>
      <c r="H201" s="6">
        <f t="shared" si="15"/>
        <v>1</v>
      </c>
      <c r="I201" s="2" t="s">
        <v>3090</v>
      </c>
      <c r="J201" s="2" t="s">
        <v>3091</v>
      </c>
      <c r="K201" s="2" t="s">
        <v>3091</v>
      </c>
      <c r="L201" s="2" t="s">
        <v>3091</v>
      </c>
      <c r="M201" s="2" t="s">
        <v>3091</v>
      </c>
      <c r="N201" s="2" t="s">
        <v>3090</v>
      </c>
      <c r="O201" s="2" t="s">
        <v>3091</v>
      </c>
      <c r="P201" s="2" t="s">
        <v>3091</v>
      </c>
      <c r="Q201" s="2" t="s">
        <v>3090</v>
      </c>
      <c r="R201" s="2" t="s">
        <v>3091</v>
      </c>
      <c r="S201" s="2" t="s">
        <v>3091</v>
      </c>
      <c r="T201" s="2" t="s">
        <v>3091</v>
      </c>
      <c r="U201" s="2" t="s">
        <v>3091</v>
      </c>
      <c r="V201" s="2" t="s">
        <v>3091</v>
      </c>
      <c r="W201" s="2" t="s">
        <v>3091</v>
      </c>
      <c r="X201" s="2" t="s">
        <v>3091</v>
      </c>
      <c r="Y201" s="2" t="s">
        <v>3091</v>
      </c>
      <c r="Z201" s="2" t="s">
        <v>3091</v>
      </c>
      <c r="AA201" s="3" t="s">
        <v>3091</v>
      </c>
      <c r="AB201" s="3" t="s">
        <v>3091</v>
      </c>
      <c r="AC201" s="3" t="s">
        <v>3091</v>
      </c>
      <c r="AD201" s="3" t="s">
        <v>3091</v>
      </c>
      <c r="AE201" s="3" t="s">
        <v>3090</v>
      </c>
      <c r="AF201" s="3"/>
      <c r="AG201" s="3"/>
      <c r="AH201" s="3"/>
      <c r="AI201" s="3"/>
      <c r="AJ201" s="3"/>
      <c r="AK201" s="3"/>
    </row>
    <row r="202" spans="1:37" ht="15.75" customHeight="1">
      <c r="A202" s="2" t="s">
        <v>2914</v>
      </c>
      <c r="B202" s="2" t="s">
        <v>2669</v>
      </c>
      <c r="C202" s="3">
        <v>662</v>
      </c>
      <c r="D202" s="2" t="s">
        <v>127</v>
      </c>
      <c r="E202" s="2">
        <f t="shared" si="12"/>
        <v>7</v>
      </c>
      <c r="F202" s="2">
        <f t="shared" si="13"/>
        <v>11</v>
      </c>
      <c r="G202" s="2">
        <f t="shared" si="14"/>
        <v>18</v>
      </c>
      <c r="H202" s="6">
        <f t="shared" si="15"/>
        <v>0.78260869565217395</v>
      </c>
      <c r="I202" s="2" t="s">
        <v>3090</v>
      </c>
      <c r="J202" s="2" t="s">
        <v>3090</v>
      </c>
      <c r="K202" s="2" t="s">
        <v>3090</v>
      </c>
      <c r="L202" s="2" t="s">
        <v>3090</v>
      </c>
      <c r="M202" s="2" t="s">
        <v>3090</v>
      </c>
      <c r="N202" s="2" t="s">
        <v>3090</v>
      </c>
      <c r="O202" s="2" t="s">
        <v>3091</v>
      </c>
      <c r="P202" s="2" t="s">
        <v>3091</v>
      </c>
      <c r="Q202" s="2" t="s">
        <v>3091</v>
      </c>
      <c r="R202" s="2" t="s">
        <v>3091</v>
      </c>
      <c r="S202" s="2" t="s">
        <v>3091</v>
      </c>
      <c r="T202" s="2" t="s">
        <v>3091</v>
      </c>
      <c r="U202" s="2" t="s">
        <v>3091</v>
      </c>
      <c r="V202" s="2" t="s">
        <v>3091</v>
      </c>
      <c r="W202" s="2" t="s">
        <v>3091</v>
      </c>
      <c r="X202" s="2" t="s">
        <v>3091</v>
      </c>
      <c r="Y202" s="2" t="s">
        <v>3090</v>
      </c>
      <c r="Z202" s="2" t="s">
        <v>3092</v>
      </c>
      <c r="AA202" s="3" t="s">
        <v>3091</v>
      </c>
      <c r="AB202" s="3" t="s">
        <v>3092</v>
      </c>
      <c r="AC202" s="3" t="s">
        <v>3092</v>
      </c>
      <c r="AD202" s="3" t="s">
        <v>3092</v>
      </c>
      <c r="AE202" s="3" t="s">
        <v>3092</v>
      </c>
      <c r="AF202" s="3"/>
      <c r="AG202" s="3"/>
      <c r="AH202" s="3"/>
      <c r="AI202" s="3"/>
      <c r="AJ202" s="3"/>
      <c r="AK202" s="3"/>
    </row>
    <row r="203" spans="1:37" ht="15.75" customHeight="1">
      <c r="A203" s="2" t="s">
        <v>2915</v>
      </c>
      <c r="B203" s="2" t="s">
        <v>2710</v>
      </c>
      <c r="C203" s="3">
        <v>697</v>
      </c>
      <c r="D203" s="2" t="s">
        <v>761</v>
      </c>
      <c r="E203" s="2">
        <f t="shared" si="12"/>
        <v>8</v>
      </c>
      <c r="F203" s="2">
        <f t="shared" si="13"/>
        <v>15</v>
      </c>
      <c r="G203" s="2">
        <f t="shared" si="14"/>
        <v>23</v>
      </c>
      <c r="H203" s="6">
        <f t="shared" si="15"/>
        <v>1</v>
      </c>
      <c r="I203" s="2" t="s">
        <v>3090</v>
      </c>
      <c r="J203" s="2" t="s">
        <v>3090</v>
      </c>
      <c r="K203" s="2" t="s">
        <v>3091</v>
      </c>
      <c r="L203" s="2" t="s">
        <v>3090</v>
      </c>
      <c r="M203" s="2" t="s">
        <v>3091</v>
      </c>
      <c r="N203" s="2" t="s">
        <v>3091</v>
      </c>
      <c r="O203" s="2" t="s">
        <v>3091</v>
      </c>
      <c r="P203" s="2" t="s">
        <v>3091</v>
      </c>
      <c r="Q203" s="2" t="s">
        <v>3090</v>
      </c>
      <c r="R203" s="2" t="s">
        <v>3090</v>
      </c>
      <c r="S203" s="2" t="s">
        <v>3090</v>
      </c>
      <c r="T203" s="2" t="s">
        <v>3091</v>
      </c>
      <c r="U203" s="2" t="s">
        <v>3091</v>
      </c>
      <c r="V203" s="2" t="s">
        <v>3091</v>
      </c>
      <c r="W203" s="2" t="s">
        <v>3091</v>
      </c>
      <c r="X203" s="2" t="s">
        <v>3091</v>
      </c>
      <c r="Y203" s="2" t="s">
        <v>3091</v>
      </c>
      <c r="Z203" s="2" t="s">
        <v>3091</v>
      </c>
      <c r="AA203" s="3" t="s">
        <v>3091</v>
      </c>
      <c r="AB203" s="3" t="s">
        <v>3090</v>
      </c>
      <c r="AC203" s="3" t="s">
        <v>3090</v>
      </c>
      <c r="AD203" s="3" t="s">
        <v>3091</v>
      </c>
      <c r="AE203" s="3" t="s">
        <v>3091</v>
      </c>
      <c r="AF203" s="3"/>
      <c r="AG203" s="3"/>
      <c r="AH203" s="3"/>
      <c r="AI203" s="3"/>
      <c r="AJ203" s="3"/>
      <c r="AK203" s="3"/>
    </row>
    <row r="204" spans="1:37" ht="15.75" customHeight="1">
      <c r="A204" s="2" t="s">
        <v>2916</v>
      </c>
      <c r="B204" s="2" t="s">
        <v>2917</v>
      </c>
      <c r="C204" s="3">
        <v>721</v>
      </c>
      <c r="D204" s="2" t="s">
        <v>692</v>
      </c>
      <c r="E204" s="2">
        <f t="shared" si="12"/>
        <v>12</v>
      </c>
      <c r="F204" s="2">
        <f t="shared" si="13"/>
        <v>0</v>
      </c>
      <c r="G204" s="2">
        <f t="shared" si="14"/>
        <v>12</v>
      </c>
      <c r="H204" s="6">
        <f t="shared" si="15"/>
        <v>0.52173913043478304</v>
      </c>
      <c r="I204" s="2" t="s">
        <v>3090</v>
      </c>
      <c r="J204" s="2" t="s">
        <v>3090</v>
      </c>
      <c r="K204" s="2" t="s">
        <v>3090</v>
      </c>
      <c r="L204" s="2" t="s">
        <v>3090</v>
      </c>
      <c r="M204" s="2" t="s">
        <v>3090</v>
      </c>
      <c r="N204" s="2" t="s">
        <v>3090</v>
      </c>
      <c r="O204" s="2" t="s">
        <v>3092</v>
      </c>
      <c r="P204" s="2" t="s">
        <v>3092</v>
      </c>
      <c r="Q204" s="2" t="s">
        <v>3090</v>
      </c>
      <c r="R204" s="2" t="s">
        <v>3092</v>
      </c>
      <c r="S204" s="2" t="s">
        <v>3090</v>
      </c>
      <c r="T204" s="2" t="s">
        <v>3092</v>
      </c>
      <c r="U204" s="2" t="s">
        <v>3090</v>
      </c>
      <c r="V204" s="2" t="s">
        <v>3090</v>
      </c>
      <c r="W204" s="2" t="s">
        <v>3092</v>
      </c>
      <c r="X204" s="2" t="s">
        <v>3092</v>
      </c>
      <c r="Y204" s="2" t="s">
        <v>3090</v>
      </c>
      <c r="Z204" s="2" t="s">
        <v>3092</v>
      </c>
      <c r="AA204" s="3" t="s">
        <v>3092</v>
      </c>
      <c r="AB204" s="3" t="s">
        <v>3092</v>
      </c>
      <c r="AC204" s="3" t="s">
        <v>3092</v>
      </c>
      <c r="AD204" s="3" t="s">
        <v>3092</v>
      </c>
      <c r="AE204" s="3" t="s">
        <v>3090</v>
      </c>
      <c r="AF204" s="3"/>
      <c r="AG204" s="3"/>
      <c r="AH204" s="3"/>
      <c r="AI204" s="3"/>
      <c r="AJ204" s="3"/>
      <c r="AK204" s="3"/>
    </row>
    <row r="205" spans="1:37" ht="15.75" customHeight="1">
      <c r="A205" s="2" t="s">
        <v>2918</v>
      </c>
      <c r="B205" s="2" t="s">
        <v>2682</v>
      </c>
      <c r="C205" s="3">
        <v>812</v>
      </c>
      <c r="D205" s="2" t="s">
        <v>314</v>
      </c>
      <c r="E205" s="2">
        <f t="shared" si="12"/>
        <v>0</v>
      </c>
      <c r="F205" s="2">
        <f t="shared" si="13"/>
        <v>15</v>
      </c>
      <c r="G205" s="2">
        <f t="shared" si="14"/>
        <v>15</v>
      </c>
      <c r="H205" s="6">
        <f t="shared" si="15"/>
        <v>0.65217391304347805</v>
      </c>
      <c r="I205" s="2" t="s">
        <v>3091</v>
      </c>
      <c r="J205" s="2" t="s">
        <v>3091</v>
      </c>
      <c r="K205" s="2" t="s">
        <v>3091</v>
      </c>
      <c r="L205" s="2" t="s">
        <v>3091</v>
      </c>
      <c r="M205" s="2" t="s">
        <v>3091</v>
      </c>
      <c r="N205" s="2" t="s">
        <v>3091</v>
      </c>
      <c r="O205" s="2" t="s">
        <v>3091</v>
      </c>
      <c r="P205" s="2" t="s">
        <v>3091</v>
      </c>
      <c r="Q205" s="2" t="s">
        <v>3091</v>
      </c>
      <c r="R205" s="2" t="s">
        <v>3091</v>
      </c>
      <c r="S205" s="2" t="s">
        <v>3091</v>
      </c>
      <c r="T205" s="2" t="s">
        <v>3091</v>
      </c>
      <c r="U205" s="2" t="s">
        <v>3091</v>
      </c>
      <c r="V205" s="2" t="s">
        <v>3091</v>
      </c>
      <c r="W205" s="2" t="s">
        <v>3091</v>
      </c>
      <c r="X205" s="2" t="s">
        <v>3092</v>
      </c>
      <c r="Y205" s="2" t="s">
        <v>3092</v>
      </c>
      <c r="Z205" s="2" t="s">
        <v>3092</v>
      </c>
      <c r="AA205" s="3" t="s">
        <v>3092</v>
      </c>
      <c r="AB205" s="3" t="s">
        <v>3092</v>
      </c>
      <c r="AC205" s="3" t="s">
        <v>3092</v>
      </c>
      <c r="AD205" s="3" t="s">
        <v>3092</v>
      </c>
      <c r="AE205" s="3" t="s">
        <v>3092</v>
      </c>
      <c r="AF205" s="3"/>
      <c r="AG205" s="3"/>
      <c r="AH205" s="3"/>
      <c r="AI205" s="3"/>
      <c r="AJ205" s="3"/>
      <c r="AK205" s="3"/>
    </row>
    <row r="206" spans="1:37" ht="15.75" customHeight="1">
      <c r="A206" s="2" t="s">
        <v>2846</v>
      </c>
      <c r="B206" s="2" t="s">
        <v>2919</v>
      </c>
      <c r="C206" s="3">
        <v>711</v>
      </c>
      <c r="D206" s="2" t="s">
        <v>284</v>
      </c>
      <c r="E206" s="2">
        <f t="shared" si="12"/>
        <v>10</v>
      </c>
      <c r="F206" s="2">
        <f t="shared" si="13"/>
        <v>13</v>
      </c>
      <c r="G206" s="2">
        <f t="shared" si="14"/>
        <v>23</v>
      </c>
      <c r="H206" s="6">
        <f t="shared" si="15"/>
        <v>1</v>
      </c>
      <c r="I206" s="2" t="s">
        <v>3090</v>
      </c>
      <c r="J206" s="2" t="s">
        <v>3091</v>
      </c>
      <c r="K206" s="2" t="s">
        <v>3091</v>
      </c>
      <c r="L206" s="2" t="s">
        <v>3090</v>
      </c>
      <c r="M206" s="2" t="s">
        <v>3090</v>
      </c>
      <c r="N206" s="2" t="s">
        <v>3090</v>
      </c>
      <c r="O206" s="2" t="s">
        <v>3091</v>
      </c>
      <c r="P206" s="2" t="s">
        <v>3091</v>
      </c>
      <c r="Q206" s="2" t="s">
        <v>3090</v>
      </c>
      <c r="R206" s="2" t="s">
        <v>3090</v>
      </c>
      <c r="S206" s="2" t="s">
        <v>3091</v>
      </c>
      <c r="T206" s="2" t="s">
        <v>3091</v>
      </c>
      <c r="U206" s="2" t="s">
        <v>3091</v>
      </c>
      <c r="V206" s="2" t="s">
        <v>3090</v>
      </c>
      <c r="W206" s="2" t="s">
        <v>3091</v>
      </c>
      <c r="X206" s="2" t="s">
        <v>3091</v>
      </c>
      <c r="Y206" s="2" t="s">
        <v>3090</v>
      </c>
      <c r="Z206" s="2" t="s">
        <v>3090</v>
      </c>
      <c r="AA206" s="3" t="s">
        <v>3091</v>
      </c>
      <c r="AB206" s="3" t="s">
        <v>3091</v>
      </c>
      <c r="AC206" s="3" t="s">
        <v>3091</v>
      </c>
      <c r="AD206" s="3" t="s">
        <v>3090</v>
      </c>
      <c r="AE206" s="3" t="s">
        <v>3091</v>
      </c>
      <c r="AF206" s="3"/>
      <c r="AG206" s="3"/>
      <c r="AH206" s="3"/>
      <c r="AI206" s="3"/>
      <c r="AJ206" s="3"/>
      <c r="AK206" s="3"/>
    </row>
    <row r="207" spans="1:37" ht="15.75" customHeight="1">
      <c r="A207" s="2" t="s">
        <v>2920</v>
      </c>
      <c r="B207" s="2" t="s">
        <v>2726</v>
      </c>
      <c r="C207" s="3">
        <v>477</v>
      </c>
      <c r="D207" s="2" t="s">
        <v>26</v>
      </c>
      <c r="E207" s="2">
        <f t="shared" si="12"/>
        <v>1</v>
      </c>
      <c r="F207" s="2">
        <f t="shared" si="13"/>
        <v>21</v>
      </c>
      <c r="G207" s="2">
        <f t="shared" si="14"/>
        <v>22</v>
      </c>
      <c r="H207" s="6">
        <f t="shared" si="15"/>
        <v>0.95652173913043503</v>
      </c>
      <c r="I207" s="2" t="s">
        <v>3090</v>
      </c>
      <c r="J207" s="2" t="s">
        <v>3091</v>
      </c>
      <c r="K207" s="2" t="s">
        <v>3091</v>
      </c>
      <c r="L207" s="2" t="s">
        <v>3091</v>
      </c>
      <c r="M207" s="2" t="s">
        <v>3091</v>
      </c>
      <c r="N207" s="2" t="s">
        <v>3091</v>
      </c>
      <c r="O207" s="2" t="s">
        <v>3091</v>
      </c>
      <c r="P207" s="2" t="s">
        <v>3091</v>
      </c>
      <c r="Q207" s="2" t="s">
        <v>3091</v>
      </c>
      <c r="R207" s="2" t="s">
        <v>3091</v>
      </c>
      <c r="S207" s="2" t="s">
        <v>3091</v>
      </c>
      <c r="T207" s="2" t="s">
        <v>3091</v>
      </c>
      <c r="U207" s="2" t="s">
        <v>3091</v>
      </c>
      <c r="V207" s="2" t="s">
        <v>3091</v>
      </c>
      <c r="W207" s="2" t="s">
        <v>3091</v>
      </c>
      <c r="X207" s="2" t="s">
        <v>3091</v>
      </c>
      <c r="Y207" s="2" t="s">
        <v>3091</v>
      </c>
      <c r="Z207" s="2" t="s">
        <v>3091</v>
      </c>
      <c r="AA207" s="3" t="s">
        <v>3091</v>
      </c>
      <c r="AB207" s="3" t="s">
        <v>3091</v>
      </c>
      <c r="AC207" s="3" t="s">
        <v>3091</v>
      </c>
      <c r="AD207" s="3" t="s">
        <v>3091</v>
      </c>
      <c r="AE207" s="3" t="s">
        <v>3092</v>
      </c>
      <c r="AF207" s="3"/>
      <c r="AG207" s="3"/>
      <c r="AH207" s="3"/>
      <c r="AI207" s="3"/>
      <c r="AJ207" s="3"/>
      <c r="AK207" s="3"/>
    </row>
    <row r="208" spans="1:37" ht="15.75" customHeight="1">
      <c r="A208" s="2" t="s">
        <v>2921</v>
      </c>
      <c r="B208" s="2" t="s">
        <v>2775</v>
      </c>
      <c r="C208" s="3">
        <v>631</v>
      </c>
      <c r="D208" s="2" t="s">
        <v>442</v>
      </c>
      <c r="E208" s="2">
        <f t="shared" si="12"/>
        <v>5</v>
      </c>
      <c r="F208" s="2">
        <f t="shared" si="13"/>
        <v>14</v>
      </c>
      <c r="G208" s="2">
        <f t="shared" si="14"/>
        <v>19</v>
      </c>
      <c r="H208" s="6">
        <f t="shared" si="15"/>
        <v>0.82608695652173902</v>
      </c>
      <c r="I208" s="2" t="s">
        <v>3090</v>
      </c>
      <c r="J208" s="2" t="s">
        <v>3091</v>
      </c>
      <c r="K208" s="2" t="s">
        <v>3091</v>
      </c>
      <c r="L208" s="2" t="s">
        <v>3090</v>
      </c>
      <c r="M208" s="2" t="s">
        <v>3091</v>
      </c>
      <c r="N208" s="2" t="s">
        <v>3091</v>
      </c>
      <c r="O208" s="2" t="s">
        <v>3091</v>
      </c>
      <c r="P208" s="2" t="s">
        <v>3091</v>
      </c>
      <c r="Q208" s="2" t="s">
        <v>3091</v>
      </c>
      <c r="R208" s="2" t="s">
        <v>3091</v>
      </c>
      <c r="S208" s="2" t="s">
        <v>3091</v>
      </c>
      <c r="T208" s="2" t="s">
        <v>3091</v>
      </c>
      <c r="U208" s="2" t="s">
        <v>3091</v>
      </c>
      <c r="V208" s="2" t="s">
        <v>3091</v>
      </c>
      <c r="W208" s="2" t="s">
        <v>3091</v>
      </c>
      <c r="X208" s="2" t="s">
        <v>3092</v>
      </c>
      <c r="Y208" s="2" t="s">
        <v>3092</v>
      </c>
      <c r="Z208" s="2" t="s">
        <v>3092</v>
      </c>
      <c r="AA208" s="3" t="s">
        <v>3092</v>
      </c>
      <c r="AB208" s="3" t="s">
        <v>3090</v>
      </c>
      <c r="AC208" s="3" t="s">
        <v>3090</v>
      </c>
      <c r="AD208" s="3" t="s">
        <v>3091</v>
      </c>
      <c r="AE208" s="3" t="s">
        <v>3090</v>
      </c>
      <c r="AF208" s="3"/>
      <c r="AG208" s="3"/>
      <c r="AH208" s="3"/>
      <c r="AI208" s="3"/>
      <c r="AJ208" s="3"/>
      <c r="AK208" s="3"/>
    </row>
    <row r="209" spans="1:37" ht="15.75" customHeight="1">
      <c r="A209" s="2" t="s">
        <v>2922</v>
      </c>
      <c r="B209" s="2" t="s">
        <v>2761</v>
      </c>
      <c r="C209" s="3">
        <v>617</v>
      </c>
      <c r="D209" s="2" t="s">
        <v>370</v>
      </c>
      <c r="E209" s="2">
        <f t="shared" si="12"/>
        <v>13</v>
      </c>
      <c r="F209" s="2">
        <f t="shared" si="13"/>
        <v>10</v>
      </c>
      <c r="G209" s="2">
        <f t="shared" si="14"/>
        <v>23</v>
      </c>
      <c r="H209" s="6">
        <f t="shared" si="15"/>
        <v>1</v>
      </c>
      <c r="I209" s="2" t="s">
        <v>3090</v>
      </c>
      <c r="J209" s="2" t="s">
        <v>3090</v>
      </c>
      <c r="K209" s="2" t="s">
        <v>3090</v>
      </c>
      <c r="L209" s="2" t="s">
        <v>3090</v>
      </c>
      <c r="M209" s="2" t="s">
        <v>3090</v>
      </c>
      <c r="N209" s="2" t="s">
        <v>3090</v>
      </c>
      <c r="O209" s="2" t="s">
        <v>3091</v>
      </c>
      <c r="P209" s="2" t="s">
        <v>3091</v>
      </c>
      <c r="Q209" s="2" t="s">
        <v>3090</v>
      </c>
      <c r="R209" s="2" t="s">
        <v>3090</v>
      </c>
      <c r="S209" s="2" t="s">
        <v>3091</v>
      </c>
      <c r="T209" s="2" t="s">
        <v>3091</v>
      </c>
      <c r="U209" s="2" t="s">
        <v>3090</v>
      </c>
      <c r="V209" s="2" t="s">
        <v>3091</v>
      </c>
      <c r="W209" s="2" t="s">
        <v>3091</v>
      </c>
      <c r="X209" s="2" t="s">
        <v>3091</v>
      </c>
      <c r="Y209" s="2" t="s">
        <v>3090</v>
      </c>
      <c r="Z209" s="2" t="s">
        <v>3090</v>
      </c>
      <c r="AA209" s="3" t="s">
        <v>3091</v>
      </c>
      <c r="AB209" s="3" t="s">
        <v>3091</v>
      </c>
      <c r="AC209" s="3" t="s">
        <v>3090</v>
      </c>
      <c r="AD209" s="3" t="s">
        <v>3090</v>
      </c>
      <c r="AE209" s="3" t="s">
        <v>3091</v>
      </c>
      <c r="AF209" s="3"/>
      <c r="AG209" s="3"/>
      <c r="AH209" s="3"/>
      <c r="AI209" s="3"/>
      <c r="AJ209" s="3"/>
      <c r="AK209" s="3"/>
    </row>
    <row r="210" spans="1:37" ht="15.75" customHeight="1">
      <c r="A210" s="2" t="s">
        <v>2923</v>
      </c>
      <c r="B210" s="2" t="s">
        <v>2770</v>
      </c>
      <c r="C210" s="3">
        <v>222</v>
      </c>
      <c r="D210" s="2" t="s">
        <v>372</v>
      </c>
      <c r="E210" s="2">
        <f t="shared" si="12"/>
        <v>16</v>
      </c>
      <c r="F210" s="2">
        <f t="shared" si="13"/>
        <v>7</v>
      </c>
      <c r="G210" s="2">
        <f t="shared" si="14"/>
        <v>23</v>
      </c>
      <c r="H210" s="6">
        <f t="shared" si="15"/>
        <v>1</v>
      </c>
      <c r="I210" s="2" t="s">
        <v>3090</v>
      </c>
      <c r="J210" s="2" t="s">
        <v>3090</v>
      </c>
      <c r="K210" s="2" t="s">
        <v>3090</v>
      </c>
      <c r="L210" s="2" t="s">
        <v>3090</v>
      </c>
      <c r="M210" s="2" t="s">
        <v>3090</v>
      </c>
      <c r="N210" s="2" t="s">
        <v>3090</v>
      </c>
      <c r="O210" s="2" t="s">
        <v>3091</v>
      </c>
      <c r="P210" s="2" t="s">
        <v>3091</v>
      </c>
      <c r="Q210" s="2" t="s">
        <v>3091</v>
      </c>
      <c r="R210" s="2" t="s">
        <v>3090</v>
      </c>
      <c r="S210" s="2" t="s">
        <v>3090</v>
      </c>
      <c r="T210" s="2" t="s">
        <v>3091</v>
      </c>
      <c r="U210" s="2" t="s">
        <v>3090</v>
      </c>
      <c r="V210" s="2" t="s">
        <v>3090</v>
      </c>
      <c r="W210" s="2" t="s">
        <v>3091</v>
      </c>
      <c r="X210" s="2" t="s">
        <v>3091</v>
      </c>
      <c r="Y210" s="2" t="s">
        <v>3090</v>
      </c>
      <c r="Z210" s="2" t="s">
        <v>3090</v>
      </c>
      <c r="AA210" s="3" t="s">
        <v>3091</v>
      </c>
      <c r="AB210" s="3" t="s">
        <v>3090</v>
      </c>
      <c r="AC210" s="3" t="s">
        <v>3090</v>
      </c>
      <c r="AD210" s="3" t="s">
        <v>3090</v>
      </c>
      <c r="AE210" s="3" t="s">
        <v>3090</v>
      </c>
      <c r="AF210" s="3"/>
      <c r="AG210" s="3"/>
      <c r="AH210" s="3"/>
      <c r="AI210" s="3"/>
      <c r="AJ210" s="3"/>
      <c r="AK210" s="3"/>
    </row>
    <row r="211" spans="1:37" ht="15.75" customHeight="1">
      <c r="A211" s="2" t="s">
        <v>2924</v>
      </c>
      <c r="B211" s="2" t="s">
        <v>2757</v>
      </c>
      <c r="C211" s="3">
        <v>443</v>
      </c>
      <c r="D211" s="2" t="s">
        <v>482</v>
      </c>
      <c r="E211" s="2">
        <f t="shared" si="12"/>
        <v>0</v>
      </c>
      <c r="F211" s="2">
        <f t="shared" si="13"/>
        <v>23</v>
      </c>
      <c r="G211" s="2">
        <f t="shared" si="14"/>
        <v>23</v>
      </c>
      <c r="H211" s="6">
        <f t="shared" si="15"/>
        <v>1</v>
      </c>
      <c r="I211" s="2" t="s">
        <v>3091</v>
      </c>
      <c r="J211" s="2" t="s">
        <v>3091</v>
      </c>
      <c r="K211" s="2" t="s">
        <v>3091</v>
      </c>
      <c r="L211" s="2" t="s">
        <v>3091</v>
      </c>
      <c r="M211" s="2" t="s">
        <v>3091</v>
      </c>
      <c r="N211" s="2" t="s">
        <v>3091</v>
      </c>
      <c r="O211" s="2" t="s">
        <v>3091</v>
      </c>
      <c r="P211" s="2" t="s">
        <v>3091</v>
      </c>
      <c r="Q211" s="2" t="s">
        <v>3091</v>
      </c>
      <c r="R211" s="2" t="s">
        <v>3091</v>
      </c>
      <c r="S211" s="2" t="s">
        <v>3091</v>
      </c>
      <c r="T211" s="2" t="s">
        <v>3091</v>
      </c>
      <c r="U211" s="2" t="s">
        <v>3091</v>
      </c>
      <c r="V211" s="2" t="s">
        <v>3091</v>
      </c>
      <c r="W211" s="2" t="s">
        <v>3091</v>
      </c>
      <c r="X211" s="2" t="s">
        <v>3091</v>
      </c>
      <c r="Y211" s="2" t="s">
        <v>3091</v>
      </c>
      <c r="Z211" s="2" t="s">
        <v>3091</v>
      </c>
      <c r="AA211" s="3" t="s">
        <v>3091</v>
      </c>
      <c r="AB211" s="3" t="s">
        <v>3091</v>
      </c>
      <c r="AC211" s="3" t="s">
        <v>3091</v>
      </c>
      <c r="AD211" s="3" t="s">
        <v>3091</v>
      </c>
      <c r="AE211" s="3" t="s">
        <v>3091</v>
      </c>
      <c r="AF211" s="3"/>
      <c r="AG211" s="3"/>
      <c r="AH211" s="3"/>
      <c r="AI211" s="3"/>
      <c r="AJ211" s="3"/>
      <c r="AK211" s="3"/>
    </row>
    <row r="212" spans="1:37" ht="15.75" customHeight="1">
      <c r="A212" s="2" t="s">
        <v>2925</v>
      </c>
      <c r="B212" s="2" t="s">
        <v>2678</v>
      </c>
      <c r="C212" s="3">
        <v>639</v>
      </c>
      <c r="D212" s="2" t="s">
        <v>273</v>
      </c>
      <c r="E212" s="2">
        <f t="shared" si="12"/>
        <v>11</v>
      </c>
      <c r="F212" s="2">
        <f t="shared" si="13"/>
        <v>12</v>
      </c>
      <c r="G212" s="2">
        <f t="shared" si="14"/>
        <v>23</v>
      </c>
      <c r="H212" s="6">
        <f t="shared" si="15"/>
        <v>1</v>
      </c>
      <c r="I212" s="2" t="s">
        <v>3090</v>
      </c>
      <c r="J212" s="2" t="s">
        <v>3090</v>
      </c>
      <c r="K212" s="2" t="s">
        <v>3090</v>
      </c>
      <c r="L212" s="2" t="s">
        <v>3090</v>
      </c>
      <c r="M212" s="2" t="s">
        <v>3090</v>
      </c>
      <c r="N212" s="2" t="s">
        <v>3091</v>
      </c>
      <c r="O212" s="2" t="s">
        <v>3091</v>
      </c>
      <c r="P212" s="2" t="s">
        <v>3091</v>
      </c>
      <c r="Q212" s="2" t="s">
        <v>3090</v>
      </c>
      <c r="R212" s="2" t="s">
        <v>3090</v>
      </c>
      <c r="S212" s="2" t="s">
        <v>3090</v>
      </c>
      <c r="T212" s="2" t="s">
        <v>3091</v>
      </c>
      <c r="U212" s="2" t="s">
        <v>3090</v>
      </c>
      <c r="V212" s="2" t="s">
        <v>3090</v>
      </c>
      <c r="W212" s="2" t="s">
        <v>3091</v>
      </c>
      <c r="X212" s="2" t="s">
        <v>3091</v>
      </c>
      <c r="Y212" s="2" t="s">
        <v>3090</v>
      </c>
      <c r="Z212" s="2" t="s">
        <v>3091</v>
      </c>
      <c r="AA212" s="3" t="s">
        <v>3091</v>
      </c>
      <c r="AB212" s="3" t="s">
        <v>3091</v>
      </c>
      <c r="AC212" s="3" t="s">
        <v>3091</v>
      </c>
      <c r="AD212" s="3" t="s">
        <v>3091</v>
      </c>
      <c r="AE212" s="3" t="s">
        <v>3091</v>
      </c>
      <c r="AF212" s="3"/>
      <c r="AG212" s="3"/>
      <c r="AH212" s="3"/>
      <c r="AI212" s="3"/>
      <c r="AJ212" s="3"/>
      <c r="AK212" s="3"/>
    </row>
    <row r="213" spans="1:37" ht="15.75" customHeight="1">
      <c r="A213" s="2" t="s">
        <v>2926</v>
      </c>
      <c r="B213" s="2" t="s">
        <v>2813</v>
      </c>
      <c r="C213" s="3">
        <v>718</v>
      </c>
      <c r="D213" s="2" t="s">
        <v>399</v>
      </c>
      <c r="E213" s="2">
        <f t="shared" si="12"/>
        <v>4</v>
      </c>
      <c r="F213" s="2">
        <f t="shared" si="13"/>
        <v>19</v>
      </c>
      <c r="G213" s="2">
        <f t="shared" si="14"/>
        <v>23</v>
      </c>
      <c r="H213" s="6">
        <f t="shared" si="15"/>
        <v>1</v>
      </c>
      <c r="I213" s="2" t="s">
        <v>3091</v>
      </c>
      <c r="J213" s="2" t="s">
        <v>3091</v>
      </c>
      <c r="K213" s="2" t="s">
        <v>3091</v>
      </c>
      <c r="L213" s="2" t="s">
        <v>3091</v>
      </c>
      <c r="M213" s="2" t="s">
        <v>3091</v>
      </c>
      <c r="N213" s="2" t="s">
        <v>3091</v>
      </c>
      <c r="O213" s="2" t="s">
        <v>3091</v>
      </c>
      <c r="P213" s="2" t="s">
        <v>3091</v>
      </c>
      <c r="Q213" s="2" t="s">
        <v>3091</v>
      </c>
      <c r="R213" s="2" t="s">
        <v>3091</v>
      </c>
      <c r="S213" s="2" t="s">
        <v>3091</v>
      </c>
      <c r="T213" s="2" t="s">
        <v>3091</v>
      </c>
      <c r="U213" s="2" t="s">
        <v>3091</v>
      </c>
      <c r="V213" s="2" t="s">
        <v>3091</v>
      </c>
      <c r="W213" s="2" t="s">
        <v>3091</v>
      </c>
      <c r="X213" s="2" t="s">
        <v>3091</v>
      </c>
      <c r="Y213" s="2" t="s">
        <v>3091</v>
      </c>
      <c r="Z213" s="2" t="s">
        <v>3091</v>
      </c>
      <c r="AA213" s="3" t="s">
        <v>3091</v>
      </c>
      <c r="AB213" s="3" t="s">
        <v>3090</v>
      </c>
      <c r="AC213" s="3" t="s">
        <v>3090</v>
      </c>
      <c r="AD213" s="3" t="s">
        <v>3090</v>
      </c>
      <c r="AE213" s="3" t="s">
        <v>3090</v>
      </c>
      <c r="AF213" s="3"/>
      <c r="AG213" s="3"/>
      <c r="AH213" s="3"/>
      <c r="AI213" s="3"/>
      <c r="AJ213" s="3"/>
      <c r="AK213" s="3"/>
    </row>
    <row r="214" spans="1:37" ht="15.75" customHeight="1">
      <c r="A214" s="2" t="s">
        <v>2927</v>
      </c>
      <c r="B214" s="2" t="s">
        <v>851</v>
      </c>
      <c r="C214" s="3">
        <v>643</v>
      </c>
      <c r="D214" s="2" t="s">
        <v>638</v>
      </c>
      <c r="E214" s="2">
        <f t="shared" si="12"/>
        <v>3</v>
      </c>
      <c r="F214" s="2">
        <f t="shared" si="13"/>
        <v>17</v>
      </c>
      <c r="G214" s="2">
        <f t="shared" si="14"/>
        <v>20</v>
      </c>
      <c r="H214" s="6">
        <f t="shared" si="15"/>
        <v>0.86956521739130399</v>
      </c>
      <c r="I214" s="2" t="s">
        <v>3090</v>
      </c>
      <c r="J214" s="2" t="s">
        <v>3091</v>
      </c>
      <c r="K214" s="2" t="s">
        <v>3090</v>
      </c>
      <c r="L214" s="2" t="s">
        <v>3091</v>
      </c>
      <c r="M214" s="2" t="s">
        <v>3091</v>
      </c>
      <c r="N214" s="2" t="s">
        <v>3091</v>
      </c>
      <c r="O214" s="2" t="s">
        <v>3091</v>
      </c>
      <c r="P214" s="2" t="s">
        <v>3091</v>
      </c>
      <c r="Q214" s="2" t="s">
        <v>3091</v>
      </c>
      <c r="R214" s="2" t="s">
        <v>3091</v>
      </c>
      <c r="S214" s="2" t="s">
        <v>3091</v>
      </c>
      <c r="T214" s="2" t="s">
        <v>3092</v>
      </c>
      <c r="U214" s="2" t="s">
        <v>3091</v>
      </c>
      <c r="V214" s="2" t="s">
        <v>3092</v>
      </c>
      <c r="W214" s="2" t="s">
        <v>3091</v>
      </c>
      <c r="X214" s="2" t="s">
        <v>3091</v>
      </c>
      <c r="Y214" s="2" t="s">
        <v>3091</v>
      </c>
      <c r="Z214" s="2" t="s">
        <v>3091</v>
      </c>
      <c r="AA214" s="3" t="s">
        <v>3091</v>
      </c>
      <c r="AB214" s="3" t="s">
        <v>3091</v>
      </c>
      <c r="AC214" s="3" t="s">
        <v>3091</v>
      </c>
      <c r="AD214" s="3" t="s">
        <v>3090</v>
      </c>
      <c r="AE214" s="3" t="s">
        <v>3092</v>
      </c>
      <c r="AF214" s="3"/>
      <c r="AG214" s="3"/>
      <c r="AH214" s="3"/>
      <c r="AI214" s="3"/>
      <c r="AJ214" s="3"/>
      <c r="AK214" s="3"/>
    </row>
    <row r="215" spans="1:37" ht="15.75" customHeight="1">
      <c r="A215" s="2" t="s">
        <v>2928</v>
      </c>
      <c r="B215" s="2" t="s">
        <v>2929</v>
      </c>
      <c r="C215" s="3">
        <v>790</v>
      </c>
      <c r="D215" s="2" t="s">
        <v>764</v>
      </c>
      <c r="E215" s="2">
        <f t="shared" si="12"/>
        <v>9</v>
      </c>
      <c r="F215" s="2">
        <f t="shared" si="13"/>
        <v>12</v>
      </c>
      <c r="G215" s="2">
        <f t="shared" si="14"/>
        <v>21</v>
      </c>
      <c r="H215" s="6">
        <f t="shared" si="15"/>
        <v>0.91304347826086996</v>
      </c>
      <c r="I215" s="2" t="s">
        <v>3090</v>
      </c>
      <c r="J215" s="2" t="s">
        <v>3090</v>
      </c>
      <c r="K215" s="2" t="s">
        <v>3091</v>
      </c>
      <c r="L215" s="2" t="s">
        <v>3091</v>
      </c>
      <c r="M215" s="2" t="s">
        <v>3091</v>
      </c>
      <c r="N215" s="2" t="s">
        <v>3091</v>
      </c>
      <c r="O215" s="2" t="s">
        <v>3091</v>
      </c>
      <c r="P215" s="2" t="s">
        <v>3091</v>
      </c>
      <c r="Q215" s="2" t="s">
        <v>3090</v>
      </c>
      <c r="R215" s="2" t="s">
        <v>3090</v>
      </c>
      <c r="S215" s="2" t="s">
        <v>3090</v>
      </c>
      <c r="T215" s="2" t="s">
        <v>3091</v>
      </c>
      <c r="U215" s="2" t="s">
        <v>3090</v>
      </c>
      <c r="V215" s="2" t="s">
        <v>3091</v>
      </c>
      <c r="W215" s="2" t="s">
        <v>3091</v>
      </c>
      <c r="X215" s="2" t="s">
        <v>3091</v>
      </c>
      <c r="Y215" s="2" t="s">
        <v>3090</v>
      </c>
      <c r="Z215" s="2" t="s">
        <v>3091</v>
      </c>
      <c r="AA215" s="3" t="s">
        <v>3091</v>
      </c>
      <c r="AB215" s="3" t="s">
        <v>3090</v>
      </c>
      <c r="AC215" s="3" t="s">
        <v>3090</v>
      </c>
      <c r="AD215" s="3" t="s">
        <v>3092</v>
      </c>
      <c r="AE215" s="3" t="s">
        <v>3092</v>
      </c>
      <c r="AF215" s="3"/>
      <c r="AG215" s="3"/>
      <c r="AH215" s="3"/>
      <c r="AI215" s="3"/>
      <c r="AJ215" s="3"/>
      <c r="AK215" s="3"/>
    </row>
    <row r="216" spans="1:37" ht="15.75" customHeight="1">
      <c r="A216" s="2" t="s">
        <v>2930</v>
      </c>
      <c r="B216" s="2" t="s">
        <v>2931</v>
      </c>
      <c r="C216" s="3">
        <v>244</v>
      </c>
      <c r="D216" s="2" t="s">
        <v>444</v>
      </c>
      <c r="E216" s="2">
        <f t="shared" si="12"/>
        <v>15</v>
      </c>
      <c r="F216" s="2">
        <f t="shared" si="13"/>
        <v>8</v>
      </c>
      <c r="G216" s="2">
        <f t="shared" si="14"/>
        <v>23</v>
      </c>
      <c r="H216" s="6">
        <f t="shared" si="15"/>
        <v>1</v>
      </c>
      <c r="I216" s="2" t="s">
        <v>3090</v>
      </c>
      <c r="J216" s="2" t="s">
        <v>3090</v>
      </c>
      <c r="K216" s="2" t="s">
        <v>3090</v>
      </c>
      <c r="L216" s="2" t="s">
        <v>3090</v>
      </c>
      <c r="M216" s="2" t="s">
        <v>3090</v>
      </c>
      <c r="N216" s="2" t="s">
        <v>3090</v>
      </c>
      <c r="O216" s="2" t="s">
        <v>3091</v>
      </c>
      <c r="P216" s="2" t="s">
        <v>3091</v>
      </c>
      <c r="Q216" s="2" t="s">
        <v>3090</v>
      </c>
      <c r="R216" s="2" t="s">
        <v>3090</v>
      </c>
      <c r="S216" s="2" t="s">
        <v>3090</v>
      </c>
      <c r="T216" s="2" t="s">
        <v>3091</v>
      </c>
      <c r="U216" s="2" t="s">
        <v>3090</v>
      </c>
      <c r="V216" s="2" t="s">
        <v>3090</v>
      </c>
      <c r="W216" s="2" t="s">
        <v>3091</v>
      </c>
      <c r="X216" s="2" t="s">
        <v>3091</v>
      </c>
      <c r="Y216" s="2" t="s">
        <v>3090</v>
      </c>
      <c r="Z216" s="2" t="s">
        <v>3090</v>
      </c>
      <c r="AA216" s="3" t="s">
        <v>3091</v>
      </c>
      <c r="AB216" s="3" t="s">
        <v>3091</v>
      </c>
      <c r="AC216" s="3" t="s">
        <v>3091</v>
      </c>
      <c r="AD216" s="3" t="s">
        <v>3090</v>
      </c>
      <c r="AE216" s="3" t="s">
        <v>3090</v>
      </c>
      <c r="AF216" s="3"/>
      <c r="AG216" s="3"/>
      <c r="AH216" s="3"/>
      <c r="AI216" s="3"/>
      <c r="AJ216" s="3"/>
      <c r="AK216" s="3"/>
    </row>
    <row r="217" spans="1:37" ht="15.75" customHeight="1">
      <c r="A217" s="2" t="s">
        <v>2932</v>
      </c>
      <c r="B217" s="2" t="s">
        <v>2661</v>
      </c>
      <c r="C217" s="3">
        <v>787</v>
      </c>
      <c r="D217" s="2" t="s">
        <v>28</v>
      </c>
      <c r="E217" s="2">
        <f t="shared" si="12"/>
        <v>2</v>
      </c>
      <c r="F217" s="2">
        <f t="shared" si="13"/>
        <v>21</v>
      </c>
      <c r="G217" s="2">
        <f t="shared" si="14"/>
        <v>23</v>
      </c>
      <c r="H217" s="6">
        <f t="shared" si="15"/>
        <v>1</v>
      </c>
      <c r="I217" s="2" t="s">
        <v>3091</v>
      </c>
      <c r="J217" s="2" t="s">
        <v>3091</v>
      </c>
      <c r="K217" s="2" t="s">
        <v>3091</v>
      </c>
      <c r="L217" s="2" t="s">
        <v>3091</v>
      </c>
      <c r="M217" s="2" t="s">
        <v>3091</v>
      </c>
      <c r="N217" s="2" t="s">
        <v>3090</v>
      </c>
      <c r="O217" s="2" t="s">
        <v>3091</v>
      </c>
      <c r="P217" s="2" t="s">
        <v>3091</v>
      </c>
      <c r="Q217" s="2" t="s">
        <v>3091</v>
      </c>
      <c r="R217" s="2" t="s">
        <v>3091</v>
      </c>
      <c r="S217" s="2" t="s">
        <v>3090</v>
      </c>
      <c r="T217" s="2" t="s">
        <v>3091</v>
      </c>
      <c r="U217" s="2" t="s">
        <v>3091</v>
      </c>
      <c r="V217" s="2" t="s">
        <v>3091</v>
      </c>
      <c r="W217" s="2" t="s">
        <v>3091</v>
      </c>
      <c r="X217" s="2" t="s">
        <v>3091</v>
      </c>
      <c r="Y217" s="2" t="s">
        <v>3091</v>
      </c>
      <c r="Z217" s="2" t="s">
        <v>3091</v>
      </c>
      <c r="AA217" s="3" t="s">
        <v>3091</v>
      </c>
      <c r="AB217" s="3" t="s">
        <v>3091</v>
      </c>
      <c r="AC217" s="3" t="s">
        <v>3091</v>
      </c>
      <c r="AD217" s="3" t="s">
        <v>3091</v>
      </c>
      <c r="AE217" s="3" t="s">
        <v>3091</v>
      </c>
      <c r="AF217" s="3"/>
      <c r="AG217" s="3"/>
      <c r="AH217" s="3"/>
      <c r="AI217" s="3"/>
      <c r="AJ217" s="3"/>
      <c r="AK217" s="3"/>
    </row>
    <row r="218" spans="1:37" ht="15.75" customHeight="1">
      <c r="A218" s="2" t="s">
        <v>2933</v>
      </c>
      <c r="B218" s="2" t="s">
        <v>2682</v>
      </c>
      <c r="C218" s="3">
        <v>788</v>
      </c>
      <c r="D218" s="2" t="s">
        <v>401</v>
      </c>
      <c r="E218" s="2">
        <f t="shared" si="12"/>
        <v>1</v>
      </c>
      <c r="F218" s="2">
        <f t="shared" si="13"/>
        <v>7</v>
      </c>
      <c r="G218" s="2">
        <f t="shared" si="14"/>
        <v>8</v>
      </c>
      <c r="H218" s="6">
        <f t="shared" si="15"/>
        <v>0.34782608695652201</v>
      </c>
      <c r="I218" s="2" t="s">
        <v>3090</v>
      </c>
      <c r="J218" s="2" t="s">
        <v>3091</v>
      </c>
      <c r="K218" s="2" t="s">
        <v>3091</v>
      </c>
      <c r="L218" s="2" t="s">
        <v>3091</v>
      </c>
      <c r="M218" s="2" t="s">
        <v>3091</v>
      </c>
      <c r="N218" s="2" t="s">
        <v>3091</v>
      </c>
      <c r="O218" s="2" t="s">
        <v>3092</v>
      </c>
      <c r="P218" s="2" t="s">
        <v>3092</v>
      </c>
      <c r="Q218" s="2" t="s">
        <v>3092</v>
      </c>
      <c r="R218" s="2" t="s">
        <v>3092</v>
      </c>
      <c r="S218" s="2" t="s">
        <v>3092</v>
      </c>
      <c r="T218" s="2" t="s">
        <v>3092</v>
      </c>
      <c r="U218" s="2" t="s">
        <v>3092</v>
      </c>
      <c r="V218" s="2" t="s">
        <v>3092</v>
      </c>
      <c r="W218" s="2" t="s">
        <v>3092</v>
      </c>
      <c r="X218" s="2" t="s">
        <v>3092</v>
      </c>
      <c r="Y218" s="2" t="s">
        <v>3092</v>
      </c>
      <c r="Z218" s="2" t="s">
        <v>3092</v>
      </c>
      <c r="AA218" s="3" t="s">
        <v>3092</v>
      </c>
      <c r="AB218" s="3" t="s">
        <v>3092</v>
      </c>
      <c r="AC218" s="3" t="s">
        <v>3092</v>
      </c>
      <c r="AD218" s="3" t="s">
        <v>3091</v>
      </c>
      <c r="AE218" s="3" t="s">
        <v>3091</v>
      </c>
      <c r="AF218" s="3"/>
      <c r="AG218" s="3"/>
      <c r="AH218" s="3"/>
      <c r="AI218" s="3"/>
      <c r="AJ218" s="3"/>
      <c r="AK218" s="3"/>
    </row>
    <row r="219" spans="1:37" ht="15.75" customHeight="1">
      <c r="A219" s="2" t="s">
        <v>2934</v>
      </c>
      <c r="B219" s="2" t="s">
        <v>2717</v>
      </c>
      <c r="C219" s="3">
        <v>359</v>
      </c>
      <c r="D219" s="2" t="s">
        <v>403</v>
      </c>
      <c r="E219" s="2">
        <f t="shared" si="12"/>
        <v>11</v>
      </c>
      <c r="F219" s="2">
        <f t="shared" si="13"/>
        <v>12</v>
      </c>
      <c r="G219" s="2">
        <f t="shared" si="14"/>
        <v>23</v>
      </c>
      <c r="H219" s="6">
        <f t="shared" si="15"/>
        <v>1</v>
      </c>
      <c r="I219" s="2" t="s">
        <v>3091</v>
      </c>
      <c r="J219" s="2" t="s">
        <v>3091</v>
      </c>
      <c r="K219" s="2" t="s">
        <v>3091</v>
      </c>
      <c r="L219" s="2" t="s">
        <v>3090</v>
      </c>
      <c r="M219" s="2" t="s">
        <v>3090</v>
      </c>
      <c r="N219" s="2" t="s">
        <v>3091</v>
      </c>
      <c r="O219" s="2" t="s">
        <v>3091</v>
      </c>
      <c r="P219" s="2" t="s">
        <v>3091</v>
      </c>
      <c r="Q219" s="2" t="s">
        <v>3090</v>
      </c>
      <c r="R219" s="2" t="s">
        <v>3090</v>
      </c>
      <c r="S219" s="2" t="s">
        <v>3091</v>
      </c>
      <c r="T219" s="2" t="s">
        <v>3091</v>
      </c>
      <c r="U219" s="2" t="s">
        <v>3090</v>
      </c>
      <c r="V219" s="2" t="s">
        <v>3090</v>
      </c>
      <c r="W219" s="2" t="s">
        <v>3091</v>
      </c>
      <c r="X219" s="2" t="s">
        <v>3091</v>
      </c>
      <c r="Y219" s="2" t="s">
        <v>3091</v>
      </c>
      <c r="Z219" s="2" t="s">
        <v>3090</v>
      </c>
      <c r="AA219" s="3" t="s">
        <v>3091</v>
      </c>
      <c r="AB219" s="3" t="s">
        <v>3090</v>
      </c>
      <c r="AC219" s="3" t="s">
        <v>3090</v>
      </c>
      <c r="AD219" s="3" t="s">
        <v>3090</v>
      </c>
      <c r="AE219" s="3" t="s">
        <v>3090</v>
      </c>
      <c r="AF219" s="3"/>
      <c r="AG219" s="3"/>
      <c r="AH219" s="3"/>
      <c r="AI219" s="3"/>
      <c r="AJ219" s="3"/>
      <c r="AK219" s="3"/>
    </row>
    <row r="220" spans="1:37" ht="15.75" customHeight="1">
      <c r="A220" s="2" t="s">
        <v>2935</v>
      </c>
      <c r="B220" s="2" t="s">
        <v>2662</v>
      </c>
      <c r="C220" s="3">
        <v>613</v>
      </c>
      <c r="D220" s="2" t="s">
        <v>405</v>
      </c>
      <c r="E220" s="2">
        <f t="shared" si="12"/>
        <v>14</v>
      </c>
      <c r="F220" s="2">
        <f t="shared" si="13"/>
        <v>9</v>
      </c>
      <c r="G220" s="2">
        <f t="shared" si="14"/>
        <v>23</v>
      </c>
      <c r="H220" s="6">
        <f t="shared" si="15"/>
        <v>1</v>
      </c>
      <c r="I220" s="2" t="s">
        <v>3090</v>
      </c>
      <c r="J220" s="2" t="s">
        <v>3090</v>
      </c>
      <c r="K220" s="2" t="s">
        <v>3090</v>
      </c>
      <c r="L220" s="2" t="s">
        <v>3090</v>
      </c>
      <c r="M220" s="2" t="s">
        <v>3090</v>
      </c>
      <c r="N220" s="2" t="s">
        <v>3090</v>
      </c>
      <c r="O220" s="2" t="s">
        <v>3091</v>
      </c>
      <c r="P220" s="2" t="s">
        <v>3091</v>
      </c>
      <c r="Q220" s="2" t="s">
        <v>3090</v>
      </c>
      <c r="R220" s="2" t="s">
        <v>3090</v>
      </c>
      <c r="S220" s="2" t="s">
        <v>3090</v>
      </c>
      <c r="T220" s="2" t="s">
        <v>3091</v>
      </c>
      <c r="U220" s="2" t="s">
        <v>3090</v>
      </c>
      <c r="V220" s="2" t="s">
        <v>3090</v>
      </c>
      <c r="W220" s="2" t="s">
        <v>3091</v>
      </c>
      <c r="X220" s="2" t="s">
        <v>3091</v>
      </c>
      <c r="Y220" s="2" t="s">
        <v>3091</v>
      </c>
      <c r="Z220" s="2" t="s">
        <v>3091</v>
      </c>
      <c r="AA220" s="3" t="s">
        <v>3091</v>
      </c>
      <c r="AB220" s="3" t="s">
        <v>3090</v>
      </c>
      <c r="AC220" s="3" t="s">
        <v>3090</v>
      </c>
      <c r="AD220" s="3" t="s">
        <v>3090</v>
      </c>
      <c r="AE220" s="3" t="s">
        <v>3091</v>
      </c>
      <c r="AF220" s="3"/>
      <c r="AG220" s="3"/>
      <c r="AH220" s="3"/>
      <c r="AI220" s="3"/>
      <c r="AJ220" s="3"/>
      <c r="AK220" s="3"/>
    </row>
    <row r="221" spans="1:37" ht="15.75" customHeight="1">
      <c r="A221" s="2" t="s">
        <v>2936</v>
      </c>
      <c r="B221" s="2" t="s">
        <v>2662</v>
      </c>
      <c r="C221" s="3">
        <v>647</v>
      </c>
      <c r="D221" s="2" t="s">
        <v>407</v>
      </c>
      <c r="E221" s="2">
        <f t="shared" si="12"/>
        <v>15</v>
      </c>
      <c r="F221" s="2">
        <f t="shared" si="13"/>
        <v>8</v>
      </c>
      <c r="G221" s="2">
        <f t="shared" si="14"/>
        <v>23</v>
      </c>
      <c r="H221" s="6">
        <f t="shared" si="15"/>
        <v>1</v>
      </c>
      <c r="I221" s="2" t="s">
        <v>3090</v>
      </c>
      <c r="J221" s="2" t="s">
        <v>3091</v>
      </c>
      <c r="K221" s="2" t="s">
        <v>3090</v>
      </c>
      <c r="L221" s="2" t="s">
        <v>3090</v>
      </c>
      <c r="M221" s="2" t="s">
        <v>3090</v>
      </c>
      <c r="N221" s="2" t="s">
        <v>3090</v>
      </c>
      <c r="O221" s="2" t="s">
        <v>3091</v>
      </c>
      <c r="P221" s="2" t="s">
        <v>3091</v>
      </c>
      <c r="Q221" s="2" t="s">
        <v>3090</v>
      </c>
      <c r="R221" s="2" t="s">
        <v>3090</v>
      </c>
      <c r="S221" s="2" t="s">
        <v>3090</v>
      </c>
      <c r="T221" s="2" t="s">
        <v>3091</v>
      </c>
      <c r="U221" s="2" t="s">
        <v>3090</v>
      </c>
      <c r="V221" s="2" t="s">
        <v>3090</v>
      </c>
      <c r="W221" s="2" t="s">
        <v>3091</v>
      </c>
      <c r="X221" s="2" t="s">
        <v>3091</v>
      </c>
      <c r="Y221" s="2" t="s">
        <v>3090</v>
      </c>
      <c r="Z221" s="2" t="s">
        <v>3091</v>
      </c>
      <c r="AA221" s="3" t="s">
        <v>3091</v>
      </c>
      <c r="AB221" s="3" t="s">
        <v>3090</v>
      </c>
      <c r="AC221" s="3" t="s">
        <v>3090</v>
      </c>
      <c r="AD221" s="3" t="s">
        <v>3090</v>
      </c>
      <c r="AE221" s="3" t="s">
        <v>3090</v>
      </c>
      <c r="AF221" s="3"/>
      <c r="AG221" s="3"/>
      <c r="AH221" s="3"/>
      <c r="AI221" s="3"/>
      <c r="AJ221" s="3"/>
      <c r="AK221" s="3"/>
    </row>
    <row r="222" spans="1:37" ht="15.75" customHeight="1">
      <c r="A222" s="2" t="s">
        <v>2937</v>
      </c>
      <c r="B222" s="2" t="s">
        <v>2781</v>
      </c>
      <c r="C222" s="3">
        <v>741</v>
      </c>
      <c r="D222" s="2" t="s">
        <v>409</v>
      </c>
      <c r="E222" s="2">
        <f t="shared" si="12"/>
        <v>13</v>
      </c>
      <c r="F222" s="2">
        <f t="shared" si="13"/>
        <v>10</v>
      </c>
      <c r="G222" s="2">
        <f t="shared" si="14"/>
        <v>23</v>
      </c>
      <c r="H222" s="6">
        <f t="shared" si="15"/>
        <v>1</v>
      </c>
      <c r="I222" s="2" t="s">
        <v>3090</v>
      </c>
      <c r="J222" s="2" t="s">
        <v>3090</v>
      </c>
      <c r="K222" s="2" t="s">
        <v>3090</v>
      </c>
      <c r="L222" s="2" t="s">
        <v>3090</v>
      </c>
      <c r="M222" s="2" t="s">
        <v>3090</v>
      </c>
      <c r="N222" s="2" t="s">
        <v>3090</v>
      </c>
      <c r="O222" s="2" t="s">
        <v>3091</v>
      </c>
      <c r="P222" s="2" t="s">
        <v>3091</v>
      </c>
      <c r="Q222" s="2" t="s">
        <v>3091</v>
      </c>
      <c r="R222" s="2" t="s">
        <v>3090</v>
      </c>
      <c r="S222" s="2" t="s">
        <v>3090</v>
      </c>
      <c r="T222" s="2" t="s">
        <v>3091</v>
      </c>
      <c r="U222" s="2" t="s">
        <v>3091</v>
      </c>
      <c r="V222" s="2" t="s">
        <v>3090</v>
      </c>
      <c r="W222" s="2" t="s">
        <v>3091</v>
      </c>
      <c r="X222" s="2" t="s">
        <v>3091</v>
      </c>
      <c r="Y222" s="2" t="s">
        <v>3090</v>
      </c>
      <c r="Z222" s="2" t="s">
        <v>3091</v>
      </c>
      <c r="AA222" s="3" t="s">
        <v>3091</v>
      </c>
      <c r="AB222" s="3" t="s">
        <v>3091</v>
      </c>
      <c r="AC222" s="3" t="s">
        <v>3090</v>
      </c>
      <c r="AD222" s="3" t="s">
        <v>3090</v>
      </c>
      <c r="AE222" s="3" t="s">
        <v>3090</v>
      </c>
      <c r="AF222" s="3"/>
      <c r="AG222" s="3"/>
      <c r="AH222" s="3"/>
      <c r="AI222" s="3"/>
      <c r="AJ222" s="3"/>
      <c r="AK222" s="3"/>
    </row>
    <row r="223" spans="1:37" ht="15.75" customHeight="1">
      <c r="A223" s="2" t="s">
        <v>2938</v>
      </c>
      <c r="B223" s="2" t="s">
        <v>2939</v>
      </c>
      <c r="C223" s="3">
        <v>327</v>
      </c>
      <c r="D223" s="2" t="s">
        <v>30</v>
      </c>
      <c r="E223" s="2">
        <f t="shared" si="12"/>
        <v>9</v>
      </c>
      <c r="F223" s="2">
        <f t="shared" si="13"/>
        <v>14</v>
      </c>
      <c r="G223" s="2">
        <f t="shared" si="14"/>
        <v>23</v>
      </c>
      <c r="H223" s="6">
        <f t="shared" si="15"/>
        <v>1</v>
      </c>
      <c r="I223" s="2" t="s">
        <v>3090</v>
      </c>
      <c r="J223" s="2" t="s">
        <v>3090</v>
      </c>
      <c r="K223" s="2" t="s">
        <v>3090</v>
      </c>
      <c r="L223" s="2" t="s">
        <v>3090</v>
      </c>
      <c r="M223" s="2" t="s">
        <v>3090</v>
      </c>
      <c r="N223" s="2" t="s">
        <v>3090</v>
      </c>
      <c r="O223" s="2" t="s">
        <v>3091</v>
      </c>
      <c r="P223" s="2" t="s">
        <v>3091</v>
      </c>
      <c r="Q223" s="2" t="s">
        <v>3090</v>
      </c>
      <c r="R223" s="2" t="s">
        <v>3090</v>
      </c>
      <c r="S223" s="2" t="s">
        <v>3090</v>
      </c>
      <c r="T223" s="2" t="s">
        <v>3091</v>
      </c>
      <c r="U223" s="2" t="s">
        <v>3091</v>
      </c>
      <c r="V223" s="2" t="s">
        <v>3091</v>
      </c>
      <c r="W223" s="2" t="s">
        <v>3091</v>
      </c>
      <c r="X223" s="2" t="s">
        <v>3091</v>
      </c>
      <c r="Y223" s="2" t="s">
        <v>3091</v>
      </c>
      <c r="Z223" s="2" t="s">
        <v>3091</v>
      </c>
      <c r="AA223" s="3" t="s">
        <v>3091</v>
      </c>
      <c r="AB223" s="3" t="s">
        <v>3091</v>
      </c>
      <c r="AC223" s="3" t="s">
        <v>3091</v>
      </c>
      <c r="AD223" s="3" t="s">
        <v>3091</v>
      </c>
      <c r="AE223" s="3" t="s">
        <v>3091</v>
      </c>
      <c r="AF223" s="3"/>
      <c r="AG223" s="3"/>
      <c r="AH223" s="3"/>
      <c r="AI223" s="3"/>
      <c r="AJ223" s="3"/>
      <c r="AK223" s="3"/>
    </row>
    <row r="224" spans="1:37" ht="15.75" customHeight="1">
      <c r="A224" s="2" t="s">
        <v>2940</v>
      </c>
      <c r="B224" s="2" t="s">
        <v>2757</v>
      </c>
      <c r="C224" s="3">
        <v>632</v>
      </c>
      <c r="D224" s="2" t="s">
        <v>275</v>
      </c>
      <c r="E224" s="2">
        <f t="shared" si="12"/>
        <v>12</v>
      </c>
      <c r="F224" s="2">
        <f t="shared" si="13"/>
        <v>6</v>
      </c>
      <c r="G224" s="2">
        <f t="shared" si="14"/>
        <v>18</v>
      </c>
      <c r="H224" s="6">
        <f t="shared" si="15"/>
        <v>0.78260869565217395</v>
      </c>
      <c r="I224" s="2" t="s">
        <v>3090</v>
      </c>
      <c r="J224" s="2" t="s">
        <v>3090</v>
      </c>
      <c r="K224" s="2" t="s">
        <v>3090</v>
      </c>
      <c r="L224" s="2" t="s">
        <v>3090</v>
      </c>
      <c r="M224" s="2" t="s">
        <v>3090</v>
      </c>
      <c r="N224" s="2" t="s">
        <v>3090</v>
      </c>
      <c r="O224" s="2" t="s">
        <v>3091</v>
      </c>
      <c r="P224" s="2" t="s">
        <v>3091</v>
      </c>
      <c r="Q224" s="2" t="s">
        <v>3090</v>
      </c>
      <c r="R224" s="2" t="s">
        <v>3090</v>
      </c>
      <c r="S224" s="2" t="s">
        <v>3090</v>
      </c>
      <c r="T224" s="2" t="s">
        <v>3091</v>
      </c>
      <c r="U224" s="2" t="s">
        <v>3090</v>
      </c>
      <c r="V224" s="2" t="s">
        <v>3090</v>
      </c>
      <c r="W224" s="2" t="s">
        <v>3091</v>
      </c>
      <c r="X224" s="2" t="s">
        <v>3091</v>
      </c>
      <c r="Y224" s="2" t="s">
        <v>3090</v>
      </c>
      <c r="Z224" s="2" t="s">
        <v>3092</v>
      </c>
      <c r="AA224" s="3" t="s">
        <v>3091</v>
      </c>
      <c r="AB224" s="3" t="s">
        <v>3092</v>
      </c>
      <c r="AC224" s="3" t="s">
        <v>3092</v>
      </c>
      <c r="AD224" s="3" t="s">
        <v>3092</v>
      </c>
      <c r="AE224" s="3" t="s">
        <v>3092</v>
      </c>
      <c r="AF224" s="3"/>
      <c r="AG224" s="3"/>
      <c r="AH224" s="3"/>
      <c r="AI224" s="3"/>
      <c r="AJ224" s="3"/>
      <c r="AK224" s="3"/>
    </row>
    <row r="225" spans="1:37" ht="15.75" customHeight="1">
      <c r="A225" s="2" t="s">
        <v>2364</v>
      </c>
      <c r="B225" s="2" t="s">
        <v>2708</v>
      </c>
      <c r="C225" s="3">
        <v>279</v>
      </c>
      <c r="D225" s="2" t="s">
        <v>85</v>
      </c>
      <c r="E225" s="2">
        <f t="shared" si="12"/>
        <v>13</v>
      </c>
      <c r="F225" s="2">
        <f t="shared" si="13"/>
        <v>10</v>
      </c>
      <c r="G225" s="2">
        <f t="shared" si="14"/>
        <v>23</v>
      </c>
      <c r="H225" s="6">
        <f t="shared" si="15"/>
        <v>1</v>
      </c>
      <c r="I225" s="2" t="s">
        <v>3090</v>
      </c>
      <c r="J225" s="2" t="s">
        <v>3090</v>
      </c>
      <c r="K225" s="2" t="s">
        <v>3090</v>
      </c>
      <c r="L225" s="2" t="s">
        <v>3090</v>
      </c>
      <c r="M225" s="2" t="s">
        <v>3090</v>
      </c>
      <c r="N225" s="2" t="s">
        <v>3090</v>
      </c>
      <c r="O225" s="2" t="s">
        <v>3091</v>
      </c>
      <c r="P225" s="2" t="s">
        <v>3091</v>
      </c>
      <c r="Q225" s="2" t="s">
        <v>3090</v>
      </c>
      <c r="R225" s="2" t="s">
        <v>3090</v>
      </c>
      <c r="S225" s="2" t="s">
        <v>3090</v>
      </c>
      <c r="T225" s="2" t="s">
        <v>3091</v>
      </c>
      <c r="U225" s="2" t="s">
        <v>3090</v>
      </c>
      <c r="V225" s="2" t="s">
        <v>3091</v>
      </c>
      <c r="W225" s="2" t="s">
        <v>3091</v>
      </c>
      <c r="X225" s="2" t="s">
        <v>3091</v>
      </c>
      <c r="Y225" s="2" t="s">
        <v>3090</v>
      </c>
      <c r="Z225" s="2" t="s">
        <v>3090</v>
      </c>
      <c r="AA225" s="3" t="s">
        <v>3091</v>
      </c>
      <c r="AB225" s="3" t="s">
        <v>3091</v>
      </c>
      <c r="AC225" s="3" t="s">
        <v>3091</v>
      </c>
      <c r="AD225" s="3" t="s">
        <v>3091</v>
      </c>
      <c r="AE225" s="3" t="s">
        <v>3090</v>
      </c>
      <c r="AF225" s="3"/>
      <c r="AG225" s="3"/>
      <c r="AH225" s="3"/>
      <c r="AI225" s="3"/>
      <c r="AJ225" s="3"/>
      <c r="AK225" s="3"/>
    </row>
    <row r="226" spans="1:37" ht="15.75" customHeight="1">
      <c r="A226" s="2" t="s">
        <v>2941</v>
      </c>
      <c r="B226" s="2" t="s">
        <v>2942</v>
      </c>
      <c r="C226" s="3">
        <v>422</v>
      </c>
      <c r="D226" s="2" t="s">
        <v>32</v>
      </c>
      <c r="E226" s="2">
        <f t="shared" si="12"/>
        <v>17</v>
      </c>
      <c r="F226" s="2">
        <f t="shared" si="13"/>
        <v>6</v>
      </c>
      <c r="G226" s="2">
        <f t="shared" si="14"/>
        <v>23</v>
      </c>
      <c r="H226" s="6">
        <f t="shared" si="15"/>
        <v>1</v>
      </c>
      <c r="I226" s="2" t="s">
        <v>3090</v>
      </c>
      <c r="J226" s="2" t="s">
        <v>3090</v>
      </c>
      <c r="K226" s="2" t="s">
        <v>3090</v>
      </c>
      <c r="L226" s="2" t="s">
        <v>3090</v>
      </c>
      <c r="M226" s="2" t="s">
        <v>3090</v>
      </c>
      <c r="N226" s="2" t="s">
        <v>3090</v>
      </c>
      <c r="O226" s="2" t="s">
        <v>3091</v>
      </c>
      <c r="P226" s="2" t="s">
        <v>3091</v>
      </c>
      <c r="Q226" s="2" t="s">
        <v>3090</v>
      </c>
      <c r="R226" s="2" t="s">
        <v>3090</v>
      </c>
      <c r="S226" s="2" t="s">
        <v>3090</v>
      </c>
      <c r="T226" s="2" t="s">
        <v>3091</v>
      </c>
      <c r="U226" s="2" t="s">
        <v>3090</v>
      </c>
      <c r="V226" s="2" t="s">
        <v>3090</v>
      </c>
      <c r="W226" s="2" t="s">
        <v>3091</v>
      </c>
      <c r="X226" s="2" t="s">
        <v>3091</v>
      </c>
      <c r="Y226" s="2" t="s">
        <v>3090</v>
      </c>
      <c r="Z226" s="2" t="s">
        <v>3090</v>
      </c>
      <c r="AA226" s="3" t="s">
        <v>3091</v>
      </c>
      <c r="AB226" s="3" t="s">
        <v>3090</v>
      </c>
      <c r="AC226" s="3" t="s">
        <v>3090</v>
      </c>
      <c r="AD226" s="3" t="s">
        <v>3090</v>
      </c>
      <c r="AE226" s="3" t="s">
        <v>3090</v>
      </c>
      <c r="AF226" s="3"/>
      <c r="AG226" s="3"/>
      <c r="AH226" s="3"/>
      <c r="AI226" s="3"/>
      <c r="AJ226" s="3"/>
      <c r="AK226" s="3"/>
    </row>
    <row r="227" spans="1:37" ht="15.75" customHeight="1">
      <c r="A227" s="2" t="s">
        <v>2943</v>
      </c>
      <c r="B227" s="2" t="s">
        <v>2790</v>
      </c>
      <c r="C227" s="3">
        <v>391</v>
      </c>
      <c r="D227" s="2" t="s">
        <v>88</v>
      </c>
      <c r="E227" s="2">
        <f t="shared" si="12"/>
        <v>13</v>
      </c>
      <c r="F227" s="2">
        <f t="shared" si="13"/>
        <v>10</v>
      </c>
      <c r="G227" s="2">
        <f t="shared" si="14"/>
        <v>23</v>
      </c>
      <c r="H227" s="6">
        <f t="shared" si="15"/>
        <v>1</v>
      </c>
      <c r="I227" s="2" t="s">
        <v>3090</v>
      </c>
      <c r="J227" s="2" t="s">
        <v>3090</v>
      </c>
      <c r="K227" s="2" t="s">
        <v>3090</v>
      </c>
      <c r="L227" s="2" t="s">
        <v>3090</v>
      </c>
      <c r="M227" s="2" t="s">
        <v>3090</v>
      </c>
      <c r="N227" s="2" t="s">
        <v>3090</v>
      </c>
      <c r="O227" s="2" t="s">
        <v>3091</v>
      </c>
      <c r="P227" s="2" t="s">
        <v>3091</v>
      </c>
      <c r="Q227" s="2" t="s">
        <v>3090</v>
      </c>
      <c r="R227" s="2" t="s">
        <v>3090</v>
      </c>
      <c r="S227" s="2" t="s">
        <v>3090</v>
      </c>
      <c r="T227" s="2" t="s">
        <v>3091</v>
      </c>
      <c r="U227" s="2" t="s">
        <v>3090</v>
      </c>
      <c r="V227" s="2" t="s">
        <v>3090</v>
      </c>
      <c r="W227" s="2" t="s">
        <v>3091</v>
      </c>
      <c r="X227" s="2" t="s">
        <v>3091</v>
      </c>
      <c r="Y227" s="2" t="s">
        <v>3090</v>
      </c>
      <c r="Z227" s="2" t="s">
        <v>3091</v>
      </c>
      <c r="AA227" s="3" t="s">
        <v>3091</v>
      </c>
      <c r="AB227" s="3" t="s">
        <v>3091</v>
      </c>
      <c r="AC227" s="3" t="s">
        <v>3091</v>
      </c>
      <c r="AD227" s="3" t="s">
        <v>3090</v>
      </c>
      <c r="AE227" s="3" t="s">
        <v>3091</v>
      </c>
      <c r="AF227" s="3"/>
      <c r="AG227" s="3"/>
      <c r="AH227" s="3"/>
      <c r="AI227" s="3"/>
      <c r="AJ227" s="3"/>
      <c r="AK227" s="3"/>
    </row>
    <row r="228" spans="1:37" ht="15.75" customHeight="1">
      <c r="A228" s="2" t="s">
        <v>2944</v>
      </c>
      <c r="B228" s="2" t="s">
        <v>2732</v>
      </c>
      <c r="C228" s="3">
        <v>384</v>
      </c>
      <c r="D228" s="2" t="s">
        <v>640</v>
      </c>
      <c r="E228" s="2">
        <f t="shared" si="12"/>
        <v>14</v>
      </c>
      <c r="F228" s="2">
        <f t="shared" si="13"/>
        <v>9</v>
      </c>
      <c r="G228" s="2">
        <f t="shared" si="14"/>
        <v>23</v>
      </c>
      <c r="H228" s="6">
        <f t="shared" si="15"/>
        <v>1</v>
      </c>
      <c r="I228" s="2" t="s">
        <v>3091</v>
      </c>
      <c r="J228" s="2" t="s">
        <v>3090</v>
      </c>
      <c r="K228" s="2" t="s">
        <v>3091</v>
      </c>
      <c r="L228" s="2" t="s">
        <v>3090</v>
      </c>
      <c r="M228" s="2" t="s">
        <v>3090</v>
      </c>
      <c r="N228" s="2" t="s">
        <v>3090</v>
      </c>
      <c r="O228" s="2" t="s">
        <v>3091</v>
      </c>
      <c r="P228" s="2" t="s">
        <v>3091</v>
      </c>
      <c r="Q228" s="2" t="s">
        <v>3090</v>
      </c>
      <c r="R228" s="2" t="s">
        <v>3090</v>
      </c>
      <c r="S228" s="2" t="s">
        <v>3090</v>
      </c>
      <c r="T228" s="2" t="s">
        <v>3091</v>
      </c>
      <c r="U228" s="2" t="s">
        <v>3090</v>
      </c>
      <c r="V228" s="2" t="s">
        <v>3090</v>
      </c>
      <c r="W228" s="2" t="s">
        <v>3091</v>
      </c>
      <c r="X228" s="2" t="s">
        <v>3091</v>
      </c>
      <c r="Y228" s="2" t="s">
        <v>3090</v>
      </c>
      <c r="Z228" s="2" t="s">
        <v>3091</v>
      </c>
      <c r="AA228" s="3" t="s">
        <v>3091</v>
      </c>
      <c r="AB228" s="3" t="s">
        <v>3090</v>
      </c>
      <c r="AC228" s="3" t="s">
        <v>3090</v>
      </c>
      <c r="AD228" s="3" t="s">
        <v>3090</v>
      </c>
      <c r="AE228" s="3" t="s">
        <v>3090</v>
      </c>
      <c r="AF228" s="3"/>
      <c r="AG228" s="3"/>
      <c r="AH228" s="3"/>
      <c r="AI228" s="3"/>
      <c r="AJ228" s="3"/>
      <c r="AK228" s="3"/>
    </row>
    <row r="229" spans="1:37" ht="15.75" customHeight="1">
      <c r="A229" s="2" t="s">
        <v>2945</v>
      </c>
      <c r="B229" s="2" t="s">
        <v>2662</v>
      </c>
      <c r="C229" s="3">
        <v>696</v>
      </c>
      <c r="D229" s="2" t="s">
        <v>413</v>
      </c>
      <c r="E229" s="2">
        <f t="shared" si="12"/>
        <v>13</v>
      </c>
      <c r="F229" s="2">
        <f t="shared" si="13"/>
        <v>10</v>
      </c>
      <c r="G229" s="2">
        <f t="shared" si="14"/>
        <v>23</v>
      </c>
      <c r="H229" s="6">
        <f t="shared" si="15"/>
        <v>1</v>
      </c>
      <c r="I229" s="2" t="s">
        <v>3090</v>
      </c>
      <c r="J229" s="2" t="s">
        <v>3090</v>
      </c>
      <c r="K229" s="2" t="s">
        <v>3090</v>
      </c>
      <c r="L229" s="2" t="s">
        <v>3090</v>
      </c>
      <c r="M229" s="2" t="s">
        <v>3090</v>
      </c>
      <c r="N229" s="2" t="s">
        <v>3090</v>
      </c>
      <c r="O229" s="2" t="s">
        <v>3091</v>
      </c>
      <c r="P229" s="2" t="s">
        <v>3091</v>
      </c>
      <c r="Q229" s="2" t="s">
        <v>3090</v>
      </c>
      <c r="R229" s="2" t="s">
        <v>3090</v>
      </c>
      <c r="S229" s="2" t="s">
        <v>3090</v>
      </c>
      <c r="T229" s="2" t="s">
        <v>3091</v>
      </c>
      <c r="U229" s="2" t="s">
        <v>3090</v>
      </c>
      <c r="V229" s="2" t="s">
        <v>3090</v>
      </c>
      <c r="W229" s="2" t="s">
        <v>3091</v>
      </c>
      <c r="X229" s="2" t="s">
        <v>3091</v>
      </c>
      <c r="Y229" s="2" t="s">
        <v>3090</v>
      </c>
      <c r="Z229" s="2" t="s">
        <v>3090</v>
      </c>
      <c r="AA229" s="3" t="s">
        <v>3091</v>
      </c>
      <c r="AB229" s="3" t="s">
        <v>3091</v>
      </c>
      <c r="AC229" s="3" t="s">
        <v>3091</v>
      </c>
      <c r="AD229" s="3" t="s">
        <v>3091</v>
      </c>
      <c r="AE229" s="3" t="s">
        <v>3091</v>
      </c>
      <c r="AF229" s="3"/>
      <c r="AG229" s="3"/>
      <c r="AH229" s="3"/>
      <c r="AI229" s="3"/>
      <c r="AJ229" s="3"/>
      <c r="AK229" s="3"/>
    </row>
    <row r="230" spans="1:37" ht="15.75" customHeight="1">
      <c r="A230" s="2" t="s">
        <v>2946</v>
      </c>
      <c r="B230" s="2" t="s">
        <v>2659</v>
      </c>
      <c r="C230" s="3">
        <v>354</v>
      </c>
      <c r="D230" s="2" t="s">
        <v>804</v>
      </c>
      <c r="E230" s="2">
        <f t="shared" si="12"/>
        <v>15</v>
      </c>
      <c r="F230" s="2">
        <f t="shared" si="13"/>
        <v>8</v>
      </c>
      <c r="G230" s="2">
        <f t="shared" si="14"/>
        <v>23</v>
      </c>
      <c r="H230" s="6">
        <f t="shared" si="15"/>
        <v>1</v>
      </c>
      <c r="I230" s="2" t="s">
        <v>3090</v>
      </c>
      <c r="J230" s="2" t="s">
        <v>3090</v>
      </c>
      <c r="K230" s="2" t="s">
        <v>3090</v>
      </c>
      <c r="L230" s="2" t="s">
        <v>3090</v>
      </c>
      <c r="M230" s="2" t="s">
        <v>3090</v>
      </c>
      <c r="N230" s="2" t="s">
        <v>3090</v>
      </c>
      <c r="O230" s="2" t="s">
        <v>3091</v>
      </c>
      <c r="P230" s="2" t="s">
        <v>3091</v>
      </c>
      <c r="Q230" s="2" t="s">
        <v>3090</v>
      </c>
      <c r="R230" s="2" t="s">
        <v>3090</v>
      </c>
      <c r="S230" s="2" t="s">
        <v>3090</v>
      </c>
      <c r="T230" s="2" t="s">
        <v>3091</v>
      </c>
      <c r="U230" s="2" t="s">
        <v>3090</v>
      </c>
      <c r="V230" s="2" t="s">
        <v>3090</v>
      </c>
      <c r="W230" s="2" t="s">
        <v>3091</v>
      </c>
      <c r="X230" s="2" t="s">
        <v>3091</v>
      </c>
      <c r="Y230" s="2" t="s">
        <v>3090</v>
      </c>
      <c r="Z230" s="2" t="s">
        <v>3091</v>
      </c>
      <c r="AA230" s="3" t="s">
        <v>3091</v>
      </c>
      <c r="AB230" s="3" t="s">
        <v>3090</v>
      </c>
      <c r="AC230" s="3" t="s">
        <v>3091</v>
      </c>
      <c r="AD230" s="3" t="s">
        <v>3090</v>
      </c>
      <c r="AE230" s="3" t="s">
        <v>3090</v>
      </c>
      <c r="AF230" s="3"/>
      <c r="AG230" s="3"/>
      <c r="AH230" s="3"/>
      <c r="AI230" s="3"/>
      <c r="AJ230" s="3"/>
      <c r="AK230" s="3"/>
    </row>
    <row r="231" spans="1:37" ht="15.75" customHeight="1">
      <c r="A231" s="2" t="s">
        <v>2947</v>
      </c>
      <c r="B231" s="2" t="s">
        <v>2948</v>
      </c>
      <c r="C231" s="3">
        <v>619</v>
      </c>
      <c r="D231" s="2" t="s">
        <v>91</v>
      </c>
      <c r="E231" s="2">
        <f t="shared" si="12"/>
        <v>7</v>
      </c>
      <c r="F231" s="2">
        <f t="shared" si="13"/>
        <v>15</v>
      </c>
      <c r="G231" s="2">
        <f t="shared" si="14"/>
        <v>22</v>
      </c>
      <c r="H231" s="6">
        <f t="shared" si="15"/>
        <v>0.95652173913043503</v>
      </c>
      <c r="I231" s="2" t="s">
        <v>3090</v>
      </c>
      <c r="J231" s="2" t="s">
        <v>3090</v>
      </c>
      <c r="K231" s="2" t="s">
        <v>3090</v>
      </c>
      <c r="L231" s="2" t="s">
        <v>3090</v>
      </c>
      <c r="M231" s="2" t="s">
        <v>3090</v>
      </c>
      <c r="N231" s="2" t="s">
        <v>3091</v>
      </c>
      <c r="O231" s="2" t="s">
        <v>3091</v>
      </c>
      <c r="P231" s="2" t="s">
        <v>3091</v>
      </c>
      <c r="Q231" s="2" t="s">
        <v>3091</v>
      </c>
      <c r="R231" s="2" t="s">
        <v>3091</v>
      </c>
      <c r="S231" s="2" t="s">
        <v>3090</v>
      </c>
      <c r="T231" s="2" t="s">
        <v>3091</v>
      </c>
      <c r="U231" s="2" t="s">
        <v>3091</v>
      </c>
      <c r="V231" s="2" t="s">
        <v>3091</v>
      </c>
      <c r="W231" s="2" t="s">
        <v>3091</v>
      </c>
      <c r="X231" s="2" t="s">
        <v>3091</v>
      </c>
      <c r="Y231" s="2" t="s">
        <v>3091</v>
      </c>
      <c r="Z231" s="2" t="s">
        <v>3091</v>
      </c>
      <c r="AA231" s="3" t="s">
        <v>3091</v>
      </c>
      <c r="AB231" s="3" t="s">
        <v>3091</v>
      </c>
      <c r="AC231" s="3" t="s">
        <v>3091</v>
      </c>
      <c r="AD231" s="3" t="s">
        <v>3090</v>
      </c>
      <c r="AE231" s="3" t="s">
        <v>3092</v>
      </c>
      <c r="AF231" s="3"/>
      <c r="AG231" s="3"/>
      <c r="AH231" s="3"/>
      <c r="AI231" s="3"/>
      <c r="AJ231" s="3"/>
      <c r="AK231" s="3"/>
    </row>
    <row r="232" spans="1:37" ht="15.75" customHeight="1">
      <c r="A232" s="2" t="s">
        <v>2949</v>
      </c>
      <c r="B232" s="2" t="s">
        <v>2929</v>
      </c>
      <c r="C232" s="3">
        <v>688</v>
      </c>
      <c r="D232" s="2" t="s">
        <v>317</v>
      </c>
      <c r="E232" s="2">
        <f t="shared" si="12"/>
        <v>10</v>
      </c>
      <c r="F232" s="2">
        <f t="shared" si="13"/>
        <v>6</v>
      </c>
      <c r="G232" s="2">
        <f t="shared" si="14"/>
        <v>16</v>
      </c>
      <c r="H232" s="6">
        <f t="shared" si="15"/>
        <v>0.69565217391304301</v>
      </c>
      <c r="I232" s="2" t="s">
        <v>3090</v>
      </c>
      <c r="J232" s="2" t="s">
        <v>3090</v>
      </c>
      <c r="K232" s="2" t="s">
        <v>3090</v>
      </c>
      <c r="L232" s="2" t="s">
        <v>3090</v>
      </c>
      <c r="M232" s="2" t="s">
        <v>3090</v>
      </c>
      <c r="N232" s="2" t="s">
        <v>3090</v>
      </c>
      <c r="O232" s="2" t="s">
        <v>3091</v>
      </c>
      <c r="P232" s="2" t="s">
        <v>3091</v>
      </c>
      <c r="Q232" s="2" t="s">
        <v>3090</v>
      </c>
      <c r="R232" s="2" t="s">
        <v>3090</v>
      </c>
      <c r="S232" s="2" t="s">
        <v>3091</v>
      </c>
      <c r="T232" s="2" t="s">
        <v>3091</v>
      </c>
      <c r="U232" s="2" t="s">
        <v>3091</v>
      </c>
      <c r="V232" s="2" t="s">
        <v>3091</v>
      </c>
      <c r="W232" s="2" t="s">
        <v>3092</v>
      </c>
      <c r="X232" s="2" t="s">
        <v>3092</v>
      </c>
      <c r="Y232" s="2" t="s">
        <v>3090</v>
      </c>
      <c r="Z232" s="2" t="s">
        <v>3092</v>
      </c>
      <c r="AA232" s="3" t="s">
        <v>3092</v>
      </c>
      <c r="AB232" s="3" t="s">
        <v>3090</v>
      </c>
      <c r="AC232" s="3" t="s">
        <v>3092</v>
      </c>
      <c r="AD232" s="3" t="s">
        <v>3092</v>
      </c>
      <c r="AE232" s="3" t="s">
        <v>3092</v>
      </c>
      <c r="AF232" s="3"/>
      <c r="AG232" s="3"/>
      <c r="AH232" s="3"/>
      <c r="AI232" s="3"/>
      <c r="AJ232" s="3"/>
      <c r="AK232" s="3"/>
    </row>
    <row r="233" spans="1:37" ht="15.75" customHeight="1">
      <c r="A233" s="2" t="s">
        <v>2950</v>
      </c>
      <c r="B233" s="2" t="s">
        <v>2951</v>
      </c>
      <c r="C233" s="3">
        <v>667</v>
      </c>
      <c r="D233" s="2" t="s">
        <v>484</v>
      </c>
      <c r="E233" s="2">
        <f t="shared" si="12"/>
        <v>16</v>
      </c>
      <c r="F233" s="2">
        <f t="shared" si="13"/>
        <v>7</v>
      </c>
      <c r="G233" s="2">
        <f t="shared" si="14"/>
        <v>23</v>
      </c>
      <c r="H233" s="6">
        <f t="shared" si="15"/>
        <v>1</v>
      </c>
      <c r="I233" s="2" t="s">
        <v>3090</v>
      </c>
      <c r="J233" s="2" t="s">
        <v>3090</v>
      </c>
      <c r="K233" s="2" t="s">
        <v>3090</v>
      </c>
      <c r="L233" s="2" t="s">
        <v>3090</v>
      </c>
      <c r="M233" s="2" t="s">
        <v>3090</v>
      </c>
      <c r="N233" s="2" t="s">
        <v>3090</v>
      </c>
      <c r="O233" s="2" t="s">
        <v>3091</v>
      </c>
      <c r="P233" s="2" t="s">
        <v>3091</v>
      </c>
      <c r="Q233" s="2" t="s">
        <v>3090</v>
      </c>
      <c r="R233" s="2" t="s">
        <v>3090</v>
      </c>
      <c r="S233" s="2" t="s">
        <v>3091</v>
      </c>
      <c r="T233" s="2" t="s">
        <v>3091</v>
      </c>
      <c r="U233" s="2" t="s">
        <v>3090</v>
      </c>
      <c r="V233" s="2" t="s">
        <v>3090</v>
      </c>
      <c r="W233" s="2" t="s">
        <v>3091</v>
      </c>
      <c r="X233" s="2" t="s">
        <v>3091</v>
      </c>
      <c r="Y233" s="2" t="s">
        <v>3090</v>
      </c>
      <c r="Z233" s="2" t="s">
        <v>3090</v>
      </c>
      <c r="AA233" s="3" t="s">
        <v>3091</v>
      </c>
      <c r="AB233" s="3" t="s">
        <v>3090</v>
      </c>
      <c r="AC233" s="3" t="s">
        <v>3090</v>
      </c>
      <c r="AD233" s="3" t="s">
        <v>3090</v>
      </c>
      <c r="AE233" s="3" t="s">
        <v>3090</v>
      </c>
      <c r="AF233" s="3"/>
      <c r="AG233" s="3"/>
      <c r="AH233" s="3"/>
      <c r="AI233" s="3"/>
      <c r="AJ233" s="3"/>
      <c r="AK233" s="3"/>
    </row>
    <row r="234" spans="1:37" ht="15.75" customHeight="1">
      <c r="A234" s="2" t="s">
        <v>2952</v>
      </c>
      <c r="B234" s="2" t="s">
        <v>2953</v>
      </c>
      <c r="C234" s="3">
        <v>591</v>
      </c>
      <c r="D234" s="2" t="s">
        <v>767</v>
      </c>
      <c r="E234" s="2">
        <f t="shared" si="12"/>
        <v>16</v>
      </c>
      <c r="F234" s="2">
        <f t="shared" si="13"/>
        <v>7</v>
      </c>
      <c r="G234" s="2">
        <f t="shared" si="14"/>
        <v>23</v>
      </c>
      <c r="H234" s="6">
        <f t="shared" si="15"/>
        <v>1</v>
      </c>
      <c r="I234" s="2" t="s">
        <v>3090</v>
      </c>
      <c r="J234" s="2" t="s">
        <v>3090</v>
      </c>
      <c r="K234" s="2" t="s">
        <v>3090</v>
      </c>
      <c r="L234" s="2" t="s">
        <v>3090</v>
      </c>
      <c r="M234" s="2" t="s">
        <v>3090</v>
      </c>
      <c r="N234" s="2" t="s">
        <v>3090</v>
      </c>
      <c r="O234" s="2" t="s">
        <v>3091</v>
      </c>
      <c r="P234" s="2" t="s">
        <v>3091</v>
      </c>
      <c r="Q234" s="2" t="s">
        <v>3090</v>
      </c>
      <c r="R234" s="2" t="s">
        <v>3090</v>
      </c>
      <c r="S234" s="2" t="s">
        <v>3090</v>
      </c>
      <c r="T234" s="2" t="s">
        <v>3091</v>
      </c>
      <c r="U234" s="2" t="s">
        <v>3090</v>
      </c>
      <c r="V234" s="2" t="s">
        <v>3090</v>
      </c>
      <c r="W234" s="2" t="s">
        <v>3091</v>
      </c>
      <c r="X234" s="2" t="s">
        <v>3091</v>
      </c>
      <c r="Y234" s="2" t="s">
        <v>3090</v>
      </c>
      <c r="Z234" s="2" t="s">
        <v>3091</v>
      </c>
      <c r="AA234" s="3" t="s">
        <v>3091</v>
      </c>
      <c r="AB234" s="3" t="s">
        <v>3090</v>
      </c>
      <c r="AC234" s="3" t="s">
        <v>3090</v>
      </c>
      <c r="AD234" s="3" t="s">
        <v>3090</v>
      </c>
      <c r="AE234" s="3" t="s">
        <v>3090</v>
      </c>
      <c r="AF234" s="3"/>
      <c r="AG234" s="3"/>
      <c r="AH234" s="3"/>
      <c r="AI234" s="3"/>
      <c r="AJ234" s="3"/>
      <c r="AK234" s="3"/>
    </row>
    <row r="235" spans="1:37" ht="15.75" customHeight="1">
      <c r="A235" s="2" t="s">
        <v>2954</v>
      </c>
      <c r="B235" s="2" t="s">
        <v>2781</v>
      </c>
      <c r="C235" s="3">
        <v>234</v>
      </c>
      <c r="D235" s="2" t="s">
        <v>642</v>
      </c>
      <c r="E235" s="2">
        <f t="shared" si="12"/>
        <v>15</v>
      </c>
      <c r="F235" s="2">
        <f t="shared" si="13"/>
        <v>8</v>
      </c>
      <c r="G235" s="2">
        <f t="shared" si="14"/>
        <v>23</v>
      </c>
      <c r="H235" s="6">
        <f t="shared" si="15"/>
        <v>1</v>
      </c>
      <c r="I235" s="2" t="s">
        <v>3090</v>
      </c>
      <c r="J235" s="2" t="s">
        <v>3090</v>
      </c>
      <c r="K235" s="2" t="s">
        <v>3090</v>
      </c>
      <c r="L235" s="2" t="s">
        <v>3090</v>
      </c>
      <c r="M235" s="2" t="s">
        <v>3090</v>
      </c>
      <c r="N235" s="2" t="s">
        <v>3090</v>
      </c>
      <c r="O235" s="2" t="s">
        <v>3091</v>
      </c>
      <c r="P235" s="2" t="s">
        <v>3091</v>
      </c>
      <c r="Q235" s="2" t="s">
        <v>3090</v>
      </c>
      <c r="R235" s="2" t="s">
        <v>3090</v>
      </c>
      <c r="S235" s="2" t="s">
        <v>3090</v>
      </c>
      <c r="T235" s="2" t="s">
        <v>3091</v>
      </c>
      <c r="U235" s="2" t="s">
        <v>3090</v>
      </c>
      <c r="V235" s="2" t="s">
        <v>3090</v>
      </c>
      <c r="W235" s="2" t="s">
        <v>3091</v>
      </c>
      <c r="X235" s="2" t="s">
        <v>3091</v>
      </c>
      <c r="Y235" s="2" t="s">
        <v>3090</v>
      </c>
      <c r="Z235" s="2" t="s">
        <v>3090</v>
      </c>
      <c r="AA235" s="3" t="s">
        <v>3091</v>
      </c>
      <c r="AB235" s="3" t="s">
        <v>3090</v>
      </c>
      <c r="AC235" s="3" t="s">
        <v>3090</v>
      </c>
      <c r="AD235" s="3" t="s">
        <v>3091</v>
      </c>
      <c r="AE235" s="3" t="s">
        <v>3091</v>
      </c>
      <c r="AF235" s="3"/>
      <c r="AG235" s="3"/>
      <c r="AH235" s="3"/>
      <c r="AI235" s="3"/>
      <c r="AJ235" s="3"/>
      <c r="AK235" s="3"/>
    </row>
    <row r="236" spans="1:37" ht="15.75" customHeight="1">
      <c r="A236" s="2" t="s">
        <v>2955</v>
      </c>
      <c r="B236" s="2" t="s">
        <v>2813</v>
      </c>
      <c r="C236" s="3">
        <v>318</v>
      </c>
      <c r="D236" s="2" t="s">
        <v>694</v>
      </c>
      <c r="E236" s="2">
        <f t="shared" si="12"/>
        <v>1</v>
      </c>
      <c r="F236" s="2">
        <f t="shared" si="13"/>
        <v>22</v>
      </c>
      <c r="G236" s="2">
        <f t="shared" si="14"/>
        <v>23</v>
      </c>
      <c r="H236" s="6">
        <f t="shared" si="15"/>
        <v>1</v>
      </c>
      <c r="I236" s="2" t="s">
        <v>3091</v>
      </c>
      <c r="J236" s="2" t="s">
        <v>3091</v>
      </c>
      <c r="K236" s="2" t="s">
        <v>3091</v>
      </c>
      <c r="L236" s="2" t="s">
        <v>3091</v>
      </c>
      <c r="M236" s="2" t="s">
        <v>3091</v>
      </c>
      <c r="N236" s="2" t="s">
        <v>3091</v>
      </c>
      <c r="O236" s="2" t="s">
        <v>3091</v>
      </c>
      <c r="P236" s="2" t="s">
        <v>3091</v>
      </c>
      <c r="Q236" s="2" t="s">
        <v>3091</v>
      </c>
      <c r="R236" s="2" t="s">
        <v>3091</v>
      </c>
      <c r="S236" s="2" t="s">
        <v>3091</v>
      </c>
      <c r="T236" s="2" t="s">
        <v>3091</v>
      </c>
      <c r="U236" s="2" t="s">
        <v>3091</v>
      </c>
      <c r="V236" s="2" t="s">
        <v>3091</v>
      </c>
      <c r="W236" s="2" t="s">
        <v>3091</v>
      </c>
      <c r="X236" s="2" t="s">
        <v>3091</v>
      </c>
      <c r="Y236" s="2" t="s">
        <v>3091</v>
      </c>
      <c r="Z236" s="2" t="s">
        <v>3091</v>
      </c>
      <c r="AA236" s="3" t="s">
        <v>3091</v>
      </c>
      <c r="AB236" s="3" t="s">
        <v>3091</v>
      </c>
      <c r="AC236" s="3" t="s">
        <v>3091</v>
      </c>
      <c r="AD236" s="3" t="s">
        <v>3090</v>
      </c>
      <c r="AE236" s="3" t="s">
        <v>3091</v>
      </c>
      <c r="AF236" s="3"/>
      <c r="AG236" s="3"/>
      <c r="AH236" s="3"/>
      <c r="AI236" s="3"/>
      <c r="AJ236" s="3"/>
      <c r="AK236" s="3"/>
    </row>
    <row r="237" spans="1:37" ht="15.75" customHeight="1">
      <c r="A237" s="2" t="s">
        <v>2956</v>
      </c>
      <c r="B237" s="2" t="s">
        <v>2746</v>
      </c>
      <c r="C237" s="3">
        <v>482</v>
      </c>
      <c r="D237" s="2" t="s">
        <v>320</v>
      </c>
      <c r="E237" s="2">
        <f t="shared" si="12"/>
        <v>1</v>
      </c>
      <c r="F237" s="2">
        <f t="shared" si="13"/>
        <v>2</v>
      </c>
      <c r="G237" s="2">
        <f t="shared" si="14"/>
        <v>3</v>
      </c>
      <c r="H237" s="6">
        <f t="shared" si="15"/>
        <v>0.13043478260869601</v>
      </c>
      <c r="I237" s="2" t="s">
        <v>3090</v>
      </c>
      <c r="J237" s="2" t="s">
        <v>3091</v>
      </c>
      <c r="K237" s="2" t="s">
        <v>3091</v>
      </c>
      <c r="L237" s="2" t="s">
        <v>3092</v>
      </c>
      <c r="M237" s="2" t="s">
        <v>3092</v>
      </c>
      <c r="N237" s="2" t="s">
        <v>3092</v>
      </c>
      <c r="O237" s="2" t="s">
        <v>3092</v>
      </c>
      <c r="P237" s="2" t="s">
        <v>3092</v>
      </c>
      <c r="Q237" s="2" t="s">
        <v>3092</v>
      </c>
      <c r="R237" s="2" t="s">
        <v>3092</v>
      </c>
      <c r="S237" s="2" t="s">
        <v>3092</v>
      </c>
      <c r="T237" s="2" t="s">
        <v>3092</v>
      </c>
      <c r="U237" s="2" t="s">
        <v>3092</v>
      </c>
      <c r="V237" s="2" t="s">
        <v>3092</v>
      </c>
      <c r="W237" s="2" t="s">
        <v>3092</v>
      </c>
      <c r="X237" s="2" t="s">
        <v>3092</v>
      </c>
      <c r="Y237" s="2" t="s">
        <v>3092</v>
      </c>
      <c r="Z237" s="2" t="s">
        <v>3092</v>
      </c>
      <c r="AA237" s="3" t="s">
        <v>3092</v>
      </c>
      <c r="AB237" s="3" t="s">
        <v>3092</v>
      </c>
      <c r="AC237" s="3" t="s">
        <v>3092</v>
      </c>
      <c r="AD237" s="3" t="s">
        <v>3092</v>
      </c>
      <c r="AE237" s="3" t="s">
        <v>3092</v>
      </c>
      <c r="AF237" s="3"/>
      <c r="AG237" s="3"/>
      <c r="AH237" s="3"/>
      <c r="AI237" s="3"/>
      <c r="AJ237" s="3"/>
      <c r="AK237" s="3"/>
    </row>
    <row r="238" spans="1:37" ht="15.75" customHeight="1">
      <c r="A238" s="2" t="s">
        <v>2957</v>
      </c>
      <c r="B238" s="2" t="s">
        <v>2693</v>
      </c>
      <c r="C238" s="3">
        <v>722</v>
      </c>
      <c r="D238" s="2" t="s">
        <v>130</v>
      </c>
      <c r="E238" s="2">
        <f t="shared" si="12"/>
        <v>12</v>
      </c>
      <c r="F238" s="2">
        <f t="shared" si="13"/>
        <v>3</v>
      </c>
      <c r="G238" s="2">
        <f t="shared" si="14"/>
        <v>15</v>
      </c>
      <c r="H238" s="6">
        <f t="shared" si="15"/>
        <v>0.65217391304347805</v>
      </c>
      <c r="I238" s="2" t="s">
        <v>3090</v>
      </c>
      <c r="J238" s="2" t="s">
        <v>3090</v>
      </c>
      <c r="K238" s="2" t="s">
        <v>3090</v>
      </c>
      <c r="L238" s="2" t="s">
        <v>3090</v>
      </c>
      <c r="M238" s="2" t="s">
        <v>3090</v>
      </c>
      <c r="N238" s="2" t="s">
        <v>3090</v>
      </c>
      <c r="O238" s="2" t="s">
        <v>3092</v>
      </c>
      <c r="P238" s="2" t="s">
        <v>3092</v>
      </c>
      <c r="Q238" s="2" t="s">
        <v>3090</v>
      </c>
      <c r="R238" s="2" t="s">
        <v>3090</v>
      </c>
      <c r="S238" s="2" t="s">
        <v>3090</v>
      </c>
      <c r="T238" s="2" t="s">
        <v>3092</v>
      </c>
      <c r="U238" s="2" t="s">
        <v>3092</v>
      </c>
      <c r="V238" s="2" t="s">
        <v>3092</v>
      </c>
      <c r="W238" s="2" t="s">
        <v>3092</v>
      </c>
      <c r="X238" s="2" t="s">
        <v>3092</v>
      </c>
      <c r="Y238" s="2" t="s">
        <v>3091</v>
      </c>
      <c r="Z238" s="2" t="s">
        <v>3091</v>
      </c>
      <c r="AA238" s="3" t="s">
        <v>3091</v>
      </c>
      <c r="AB238" s="3" t="s">
        <v>3090</v>
      </c>
      <c r="AC238" s="3" t="s">
        <v>3090</v>
      </c>
      <c r="AD238" s="3" t="s">
        <v>3090</v>
      </c>
      <c r="AE238" s="3" t="s">
        <v>3092</v>
      </c>
      <c r="AF238" s="3"/>
      <c r="AG238" s="3"/>
      <c r="AH238" s="3"/>
      <c r="AI238" s="3"/>
      <c r="AJ238" s="3"/>
      <c r="AK238" s="3"/>
    </row>
    <row r="239" spans="1:37" ht="15.75" customHeight="1">
      <c r="A239" s="2" t="s">
        <v>2958</v>
      </c>
      <c r="B239" s="2" t="s">
        <v>2732</v>
      </c>
      <c r="C239" s="3">
        <v>672</v>
      </c>
      <c r="D239" s="2" t="s">
        <v>696</v>
      </c>
      <c r="E239" s="2">
        <f t="shared" si="12"/>
        <v>9</v>
      </c>
      <c r="F239" s="2">
        <f t="shared" si="13"/>
        <v>4</v>
      </c>
      <c r="G239" s="2">
        <f t="shared" si="14"/>
        <v>13</v>
      </c>
      <c r="H239" s="6">
        <f t="shared" si="15"/>
        <v>0.565217391304348</v>
      </c>
      <c r="I239" s="2" t="s">
        <v>3090</v>
      </c>
      <c r="J239" s="2" t="s">
        <v>3091</v>
      </c>
      <c r="K239" s="2" t="s">
        <v>3091</v>
      </c>
      <c r="L239" s="2" t="s">
        <v>3090</v>
      </c>
      <c r="M239" s="2" t="s">
        <v>3090</v>
      </c>
      <c r="N239" s="2" t="s">
        <v>3090</v>
      </c>
      <c r="O239" s="2" t="s">
        <v>3091</v>
      </c>
      <c r="P239" s="2" t="s">
        <v>3091</v>
      </c>
      <c r="Q239" s="2" t="s">
        <v>3090</v>
      </c>
      <c r="R239" s="2" t="s">
        <v>3090</v>
      </c>
      <c r="S239" s="2" t="s">
        <v>3090</v>
      </c>
      <c r="T239" s="2" t="s">
        <v>3092</v>
      </c>
      <c r="U239" s="2" t="s">
        <v>3090</v>
      </c>
      <c r="V239" s="2" t="s">
        <v>3090</v>
      </c>
      <c r="W239" s="2" t="s">
        <v>3092</v>
      </c>
      <c r="X239" s="2" t="s">
        <v>3092</v>
      </c>
      <c r="Y239" s="2" t="s">
        <v>3092</v>
      </c>
      <c r="Z239" s="2" t="s">
        <v>3092</v>
      </c>
      <c r="AA239" s="3" t="s">
        <v>3092</v>
      </c>
      <c r="AB239" s="3" t="s">
        <v>3092</v>
      </c>
      <c r="AC239" s="3" t="s">
        <v>3092</v>
      </c>
      <c r="AD239" s="3" t="s">
        <v>3092</v>
      </c>
      <c r="AE239" s="3" t="s">
        <v>3092</v>
      </c>
      <c r="AF239" s="3"/>
      <c r="AG239" s="3"/>
      <c r="AH239" s="3"/>
      <c r="AI239" s="3"/>
      <c r="AJ239" s="3"/>
      <c r="AK239" s="3"/>
    </row>
    <row r="240" spans="1:37" ht="15.75" customHeight="1">
      <c r="A240" s="2" t="s">
        <v>2959</v>
      </c>
      <c r="B240" s="2" t="s">
        <v>2960</v>
      </c>
      <c r="C240" s="3">
        <v>651</v>
      </c>
      <c r="D240" s="2" t="s">
        <v>323</v>
      </c>
      <c r="E240" s="2">
        <f t="shared" si="12"/>
        <v>4</v>
      </c>
      <c r="F240" s="2">
        <f t="shared" si="13"/>
        <v>19</v>
      </c>
      <c r="G240" s="2">
        <f t="shared" si="14"/>
        <v>23</v>
      </c>
      <c r="H240" s="6">
        <f t="shared" si="15"/>
        <v>1</v>
      </c>
      <c r="I240" s="2" t="s">
        <v>3091</v>
      </c>
      <c r="J240" s="2" t="s">
        <v>3090</v>
      </c>
      <c r="K240" s="2" t="s">
        <v>3090</v>
      </c>
      <c r="L240" s="2" t="s">
        <v>3091</v>
      </c>
      <c r="M240" s="2" t="s">
        <v>3091</v>
      </c>
      <c r="N240" s="2" t="s">
        <v>3091</v>
      </c>
      <c r="O240" s="2" t="s">
        <v>3091</v>
      </c>
      <c r="P240" s="2" t="s">
        <v>3091</v>
      </c>
      <c r="Q240" s="2" t="s">
        <v>3091</v>
      </c>
      <c r="R240" s="2" t="s">
        <v>3091</v>
      </c>
      <c r="S240" s="2" t="s">
        <v>3091</v>
      </c>
      <c r="T240" s="2" t="s">
        <v>3091</v>
      </c>
      <c r="U240" s="2" t="s">
        <v>3090</v>
      </c>
      <c r="V240" s="2" t="s">
        <v>3091</v>
      </c>
      <c r="W240" s="2" t="s">
        <v>3091</v>
      </c>
      <c r="X240" s="2" t="s">
        <v>3091</v>
      </c>
      <c r="Y240" s="2" t="s">
        <v>3091</v>
      </c>
      <c r="Z240" s="2" t="s">
        <v>3091</v>
      </c>
      <c r="AA240" s="3" t="s">
        <v>3091</v>
      </c>
      <c r="AB240" s="3" t="s">
        <v>3091</v>
      </c>
      <c r="AC240" s="3" t="s">
        <v>3091</v>
      </c>
      <c r="AD240" s="3" t="s">
        <v>3091</v>
      </c>
      <c r="AE240" s="3" t="s">
        <v>3090</v>
      </c>
      <c r="AF240" s="3"/>
      <c r="AG240" s="3"/>
      <c r="AH240" s="3"/>
      <c r="AI240" s="3"/>
      <c r="AJ240" s="3"/>
      <c r="AK240" s="3"/>
    </row>
    <row r="241" spans="1:37" ht="15.75" customHeight="1">
      <c r="A241" s="2" t="s">
        <v>2961</v>
      </c>
      <c r="B241" s="2" t="s">
        <v>2846</v>
      </c>
      <c r="C241" s="3">
        <v>610</v>
      </c>
      <c r="D241" s="2" t="s">
        <v>698</v>
      </c>
      <c r="E241" s="2">
        <f t="shared" si="12"/>
        <v>16</v>
      </c>
      <c r="F241" s="2">
        <f t="shared" si="13"/>
        <v>7</v>
      </c>
      <c r="G241" s="2">
        <f t="shared" si="14"/>
        <v>23</v>
      </c>
      <c r="H241" s="6">
        <f t="shared" si="15"/>
        <v>1</v>
      </c>
      <c r="I241" s="2" t="s">
        <v>3090</v>
      </c>
      <c r="J241" s="2" t="s">
        <v>3090</v>
      </c>
      <c r="K241" s="2" t="s">
        <v>3090</v>
      </c>
      <c r="L241" s="2" t="s">
        <v>3090</v>
      </c>
      <c r="M241" s="2" t="s">
        <v>3090</v>
      </c>
      <c r="N241" s="2" t="s">
        <v>3090</v>
      </c>
      <c r="O241" s="2" t="s">
        <v>3091</v>
      </c>
      <c r="P241" s="2" t="s">
        <v>3091</v>
      </c>
      <c r="Q241" s="2" t="s">
        <v>3090</v>
      </c>
      <c r="R241" s="2" t="s">
        <v>3090</v>
      </c>
      <c r="S241" s="2" t="s">
        <v>3090</v>
      </c>
      <c r="T241" s="2" t="s">
        <v>3091</v>
      </c>
      <c r="U241" s="2" t="s">
        <v>3090</v>
      </c>
      <c r="V241" s="2" t="s">
        <v>3090</v>
      </c>
      <c r="W241" s="2" t="s">
        <v>3091</v>
      </c>
      <c r="X241" s="2" t="s">
        <v>3091</v>
      </c>
      <c r="Y241" s="2" t="s">
        <v>3090</v>
      </c>
      <c r="Z241" s="2" t="s">
        <v>3090</v>
      </c>
      <c r="AA241" s="3" t="s">
        <v>3091</v>
      </c>
      <c r="AB241" s="3" t="s">
        <v>3090</v>
      </c>
      <c r="AC241" s="3" t="s">
        <v>3090</v>
      </c>
      <c r="AD241" s="3" t="s">
        <v>3091</v>
      </c>
      <c r="AE241" s="3" t="s">
        <v>3090</v>
      </c>
      <c r="AF241" s="3"/>
      <c r="AG241" s="3"/>
      <c r="AH241" s="3"/>
      <c r="AI241" s="3"/>
      <c r="AJ241" s="3"/>
      <c r="AK241" s="3"/>
    </row>
    <row r="242" spans="1:37" ht="15.75" customHeight="1">
      <c r="A242" s="2" t="s">
        <v>2962</v>
      </c>
      <c r="B242" s="2" t="s">
        <v>2682</v>
      </c>
      <c r="C242" s="3">
        <v>674</v>
      </c>
      <c r="D242" s="2" t="s">
        <v>222</v>
      </c>
      <c r="E242" s="2">
        <f t="shared" si="12"/>
        <v>16</v>
      </c>
      <c r="F242" s="2">
        <f t="shared" si="13"/>
        <v>7</v>
      </c>
      <c r="G242" s="2">
        <f t="shared" si="14"/>
        <v>23</v>
      </c>
      <c r="H242" s="6">
        <f t="shared" si="15"/>
        <v>1</v>
      </c>
      <c r="I242" s="2" t="s">
        <v>3090</v>
      </c>
      <c r="J242" s="2" t="s">
        <v>3090</v>
      </c>
      <c r="K242" s="2" t="s">
        <v>3090</v>
      </c>
      <c r="L242" s="2" t="s">
        <v>3090</v>
      </c>
      <c r="M242" s="2" t="s">
        <v>3090</v>
      </c>
      <c r="N242" s="2" t="s">
        <v>3090</v>
      </c>
      <c r="O242" s="2" t="s">
        <v>3091</v>
      </c>
      <c r="P242" s="2" t="s">
        <v>3091</v>
      </c>
      <c r="Q242" s="2" t="s">
        <v>3090</v>
      </c>
      <c r="R242" s="2" t="s">
        <v>3090</v>
      </c>
      <c r="S242" s="2" t="s">
        <v>3091</v>
      </c>
      <c r="T242" s="2" t="s">
        <v>3091</v>
      </c>
      <c r="U242" s="2" t="s">
        <v>3090</v>
      </c>
      <c r="V242" s="2" t="s">
        <v>3090</v>
      </c>
      <c r="W242" s="2" t="s">
        <v>3091</v>
      </c>
      <c r="X242" s="2" t="s">
        <v>3091</v>
      </c>
      <c r="Y242" s="2" t="s">
        <v>3090</v>
      </c>
      <c r="Z242" s="2" t="s">
        <v>3090</v>
      </c>
      <c r="AA242" s="3" t="s">
        <v>3091</v>
      </c>
      <c r="AB242" s="3" t="s">
        <v>3090</v>
      </c>
      <c r="AC242" s="3" t="s">
        <v>3090</v>
      </c>
      <c r="AD242" s="3" t="s">
        <v>3090</v>
      </c>
      <c r="AE242" s="3" t="s">
        <v>3090</v>
      </c>
      <c r="AF242" s="3"/>
      <c r="AG242" s="3"/>
      <c r="AH242" s="3"/>
      <c r="AI242" s="3"/>
      <c r="AJ242" s="3"/>
      <c r="AK242" s="3"/>
    </row>
    <row r="243" spans="1:37" ht="15.75" customHeight="1">
      <c r="A243" s="2" t="s">
        <v>2963</v>
      </c>
      <c r="B243" s="2" t="s">
        <v>2781</v>
      </c>
      <c r="C243" s="3">
        <v>755</v>
      </c>
      <c r="D243" s="2" t="s">
        <v>486</v>
      </c>
      <c r="E243" s="2">
        <f t="shared" si="12"/>
        <v>10</v>
      </c>
      <c r="F243" s="2">
        <f t="shared" si="13"/>
        <v>13</v>
      </c>
      <c r="G243" s="2">
        <f t="shared" si="14"/>
        <v>23</v>
      </c>
      <c r="H243" s="6">
        <f t="shared" si="15"/>
        <v>1</v>
      </c>
      <c r="I243" s="2" t="s">
        <v>3090</v>
      </c>
      <c r="J243" s="2" t="s">
        <v>3090</v>
      </c>
      <c r="K243" s="2" t="s">
        <v>3090</v>
      </c>
      <c r="L243" s="2" t="s">
        <v>3090</v>
      </c>
      <c r="M243" s="2" t="s">
        <v>3090</v>
      </c>
      <c r="N243" s="2" t="s">
        <v>3091</v>
      </c>
      <c r="O243" s="2" t="s">
        <v>3091</v>
      </c>
      <c r="P243" s="2" t="s">
        <v>3091</v>
      </c>
      <c r="Q243" s="2" t="s">
        <v>3090</v>
      </c>
      <c r="R243" s="2" t="s">
        <v>3090</v>
      </c>
      <c r="S243" s="2" t="s">
        <v>3090</v>
      </c>
      <c r="T243" s="2" t="s">
        <v>3091</v>
      </c>
      <c r="U243" s="2" t="s">
        <v>3091</v>
      </c>
      <c r="V243" s="2" t="s">
        <v>3091</v>
      </c>
      <c r="W243" s="2" t="s">
        <v>3091</v>
      </c>
      <c r="X243" s="2" t="s">
        <v>3091</v>
      </c>
      <c r="Y243" s="2" t="s">
        <v>3090</v>
      </c>
      <c r="Z243" s="2" t="s">
        <v>3090</v>
      </c>
      <c r="AA243" s="3" t="s">
        <v>3091</v>
      </c>
      <c r="AB243" s="3" t="s">
        <v>3091</v>
      </c>
      <c r="AC243" s="3" t="s">
        <v>3091</v>
      </c>
      <c r="AD243" s="3" t="s">
        <v>3091</v>
      </c>
      <c r="AE243" s="3" t="s">
        <v>3091</v>
      </c>
      <c r="AF243" s="3"/>
      <c r="AG243" s="3"/>
      <c r="AH243" s="3"/>
      <c r="AI243" s="3"/>
      <c r="AJ243" s="3"/>
      <c r="AK243" s="3"/>
    </row>
    <row r="244" spans="1:37" ht="15.75" customHeight="1">
      <c r="A244" s="2" t="s">
        <v>2964</v>
      </c>
      <c r="B244" s="2" t="s">
        <v>2761</v>
      </c>
      <c r="C244" s="3">
        <v>644</v>
      </c>
      <c r="D244" s="2" t="s">
        <v>807</v>
      </c>
      <c r="E244" s="2">
        <f t="shared" si="12"/>
        <v>17</v>
      </c>
      <c r="F244" s="2">
        <f t="shared" si="13"/>
        <v>6</v>
      </c>
      <c r="G244" s="2">
        <f t="shared" si="14"/>
        <v>23</v>
      </c>
      <c r="H244" s="6">
        <f t="shared" si="15"/>
        <v>1</v>
      </c>
      <c r="I244" s="2" t="s">
        <v>3090</v>
      </c>
      <c r="J244" s="2" t="s">
        <v>3090</v>
      </c>
      <c r="K244" s="2" t="s">
        <v>3090</v>
      </c>
      <c r="L244" s="2" t="s">
        <v>3090</v>
      </c>
      <c r="M244" s="2" t="s">
        <v>3090</v>
      </c>
      <c r="N244" s="2" t="s">
        <v>3090</v>
      </c>
      <c r="O244" s="2" t="s">
        <v>3091</v>
      </c>
      <c r="P244" s="2" t="s">
        <v>3091</v>
      </c>
      <c r="Q244" s="2" t="s">
        <v>3090</v>
      </c>
      <c r="R244" s="2" t="s">
        <v>3090</v>
      </c>
      <c r="S244" s="2" t="s">
        <v>3090</v>
      </c>
      <c r="T244" s="2" t="s">
        <v>3091</v>
      </c>
      <c r="U244" s="2" t="s">
        <v>3090</v>
      </c>
      <c r="V244" s="2" t="s">
        <v>3090</v>
      </c>
      <c r="W244" s="2" t="s">
        <v>3091</v>
      </c>
      <c r="X244" s="2" t="s">
        <v>3091</v>
      </c>
      <c r="Y244" s="2" t="s">
        <v>3090</v>
      </c>
      <c r="Z244" s="2" t="s">
        <v>3090</v>
      </c>
      <c r="AA244" s="3" t="s">
        <v>3091</v>
      </c>
      <c r="AB244" s="3" t="s">
        <v>3090</v>
      </c>
      <c r="AC244" s="3" t="s">
        <v>3090</v>
      </c>
      <c r="AD244" s="3" t="s">
        <v>3090</v>
      </c>
      <c r="AE244" s="3" t="s">
        <v>3090</v>
      </c>
      <c r="AF244" s="3"/>
      <c r="AG244" s="3"/>
      <c r="AH244" s="3"/>
      <c r="AI244" s="3"/>
      <c r="AJ244" s="3"/>
      <c r="AK244" s="3"/>
    </row>
    <row r="245" spans="1:37" ht="15.75" customHeight="1">
      <c r="A245" s="2" t="s">
        <v>2965</v>
      </c>
      <c r="B245" s="2" t="s">
        <v>2662</v>
      </c>
      <c r="C245" s="3">
        <v>600</v>
      </c>
      <c r="D245" s="2" t="s">
        <v>224</v>
      </c>
      <c r="E245" s="2">
        <f t="shared" si="12"/>
        <v>16</v>
      </c>
      <c r="F245" s="2">
        <f t="shared" si="13"/>
        <v>6</v>
      </c>
      <c r="G245" s="2">
        <f t="shared" si="14"/>
        <v>22</v>
      </c>
      <c r="H245" s="6">
        <f t="shared" si="15"/>
        <v>0.95652173913043503</v>
      </c>
      <c r="I245" s="2" t="s">
        <v>3092</v>
      </c>
      <c r="J245" s="2" t="s">
        <v>3090</v>
      </c>
      <c r="K245" s="2" t="s">
        <v>3090</v>
      </c>
      <c r="L245" s="2" t="s">
        <v>3090</v>
      </c>
      <c r="M245" s="2" t="s">
        <v>3090</v>
      </c>
      <c r="N245" s="2" t="s">
        <v>3090</v>
      </c>
      <c r="O245" s="2" t="s">
        <v>3091</v>
      </c>
      <c r="P245" s="2" t="s">
        <v>3091</v>
      </c>
      <c r="Q245" s="2" t="s">
        <v>3090</v>
      </c>
      <c r="R245" s="2" t="s">
        <v>3090</v>
      </c>
      <c r="S245" s="2" t="s">
        <v>3090</v>
      </c>
      <c r="T245" s="2" t="s">
        <v>3091</v>
      </c>
      <c r="U245" s="2" t="s">
        <v>3090</v>
      </c>
      <c r="V245" s="2" t="s">
        <v>3090</v>
      </c>
      <c r="W245" s="2" t="s">
        <v>3091</v>
      </c>
      <c r="X245" s="2" t="s">
        <v>3091</v>
      </c>
      <c r="Y245" s="2" t="s">
        <v>3090</v>
      </c>
      <c r="Z245" s="2" t="s">
        <v>3090</v>
      </c>
      <c r="AA245" s="3" t="s">
        <v>3091</v>
      </c>
      <c r="AB245" s="3" t="s">
        <v>3090</v>
      </c>
      <c r="AC245" s="3" t="s">
        <v>3090</v>
      </c>
      <c r="AD245" s="3" t="s">
        <v>3090</v>
      </c>
      <c r="AE245" s="3" t="s">
        <v>3090</v>
      </c>
      <c r="AF245" s="3"/>
      <c r="AG245" s="3"/>
      <c r="AH245" s="3"/>
      <c r="AI245" s="3"/>
      <c r="AJ245" s="3"/>
      <c r="AK245" s="3"/>
    </row>
    <row r="246" spans="1:37" ht="15.75" customHeight="1">
      <c r="A246" s="2" t="s">
        <v>2966</v>
      </c>
      <c r="B246" s="2" t="s">
        <v>2746</v>
      </c>
      <c r="C246" s="3">
        <v>749</v>
      </c>
      <c r="D246" s="2" t="s">
        <v>94</v>
      </c>
      <c r="E246" s="2">
        <f t="shared" si="12"/>
        <v>15</v>
      </c>
      <c r="F246" s="2">
        <f t="shared" si="13"/>
        <v>0</v>
      </c>
      <c r="G246" s="2">
        <f t="shared" si="14"/>
        <v>15</v>
      </c>
      <c r="H246" s="6">
        <f t="shared" si="15"/>
        <v>0.65217391304347805</v>
      </c>
      <c r="I246" s="2" t="s">
        <v>3090</v>
      </c>
      <c r="J246" s="2" t="s">
        <v>3090</v>
      </c>
      <c r="K246" s="2" t="s">
        <v>3090</v>
      </c>
      <c r="L246" s="2" t="s">
        <v>3090</v>
      </c>
      <c r="M246" s="2" t="s">
        <v>3090</v>
      </c>
      <c r="N246" s="2" t="s">
        <v>3090</v>
      </c>
      <c r="O246" s="2" t="s">
        <v>3092</v>
      </c>
      <c r="P246" s="2" t="s">
        <v>3092</v>
      </c>
      <c r="Q246" s="2" t="s">
        <v>3090</v>
      </c>
      <c r="R246" s="2" t="s">
        <v>3090</v>
      </c>
      <c r="S246" s="2" t="s">
        <v>3090</v>
      </c>
      <c r="T246" s="2" t="s">
        <v>3092</v>
      </c>
      <c r="U246" s="2" t="s">
        <v>3092</v>
      </c>
      <c r="V246" s="2" t="s">
        <v>3092</v>
      </c>
      <c r="W246" s="2" t="s">
        <v>3092</v>
      </c>
      <c r="X246" s="2" t="s">
        <v>3092</v>
      </c>
      <c r="Y246" s="2" t="s">
        <v>3090</v>
      </c>
      <c r="Z246" s="2" t="s">
        <v>3090</v>
      </c>
      <c r="AA246" s="3" t="s">
        <v>3092</v>
      </c>
      <c r="AB246" s="3" t="s">
        <v>3090</v>
      </c>
      <c r="AC246" s="3" t="s">
        <v>3090</v>
      </c>
      <c r="AD246" s="3" t="s">
        <v>3090</v>
      </c>
      <c r="AE246" s="3" t="s">
        <v>3090</v>
      </c>
      <c r="AF246" s="3"/>
      <c r="AG246" s="3"/>
      <c r="AH246" s="3"/>
      <c r="AI246" s="3"/>
      <c r="AJ246" s="3"/>
      <c r="AK246" s="3"/>
    </row>
    <row r="247" spans="1:37" ht="15.75" customHeight="1">
      <c r="A247" s="2" t="s">
        <v>2967</v>
      </c>
      <c r="B247" s="2" t="s">
        <v>2682</v>
      </c>
      <c r="C247" s="3">
        <v>404</v>
      </c>
      <c r="D247" s="2" t="s">
        <v>809</v>
      </c>
      <c r="E247" s="2">
        <f t="shared" si="12"/>
        <v>7</v>
      </c>
      <c r="F247" s="2">
        <f t="shared" si="13"/>
        <v>16</v>
      </c>
      <c r="G247" s="2">
        <f t="shared" si="14"/>
        <v>23</v>
      </c>
      <c r="H247" s="6">
        <f t="shared" si="15"/>
        <v>1</v>
      </c>
      <c r="I247" s="2" t="s">
        <v>3090</v>
      </c>
      <c r="J247" s="2" t="s">
        <v>3090</v>
      </c>
      <c r="K247" s="2" t="s">
        <v>3091</v>
      </c>
      <c r="L247" s="2" t="s">
        <v>3090</v>
      </c>
      <c r="M247" s="2" t="s">
        <v>3091</v>
      </c>
      <c r="N247" s="2" t="s">
        <v>3090</v>
      </c>
      <c r="O247" s="2" t="s">
        <v>3091</v>
      </c>
      <c r="P247" s="2" t="s">
        <v>3091</v>
      </c>
      <c r="Q247" s="2" t="s">
        <v>3091</v>
      </c>
      <c r="R247" s="2" t="s">
        <v>3090</v>
      </c>
      <c r="S247" s="2" t="s">
        <v>3091</v>
      </c>
      <c r="T247" s="2" t="s">
        <v>3091</v>
      </c>
      <c r="U247" s="2" t="s">
        <v>3091</v>
      </c>
      <c r="V247" s="2" t="s">
        <v>3090</v>
      </c>
      <c r="W247" s="2" t="s">
        <v>3091</v>
      </c>
      <c r="X247" s="2" t="s">
        <v>3091</v>
      </c>
      <c r="Y247" s="2" t="s">
        <v>3090</v>
      </c>
      <c r="Z247" s="2" t="s">
        <v>3091</v>
      </c>
      <c r="AA247" s="3" t="s">
        <v>3091</v>
      </c>
      <c r="AB247" s="3" t="s">
        <v>3091</v>
      </c>
      <c r="AC247" s="3" t="s">
        <v>3091</v>
      </c>
      <c r="AD247" s="3" t="s">
        <v>3091</v>
      </c>
      <c r="AE247" s="3" t="s">
        <v>3091</v>
      </c>
      <c r="AF247" s="3"/>
      <c r="AG247" s="3"/>
      <c r="AH247" s="3"/>
      <c r="AI247" s="3"/>
      <c r="AJ247" s="3"/>
      <c r="AK247" s="3"/>
    </row>
    <row r="248" spans="1:37" ht="15.75" customHeight="1">
      <c r="A248" s="2" t="s">
        <v>2968</v>
      </c>
      <c r="B248" s="2" t="s">
        <v>2969</v>
      </c>
      <c r="C248" s="3">
        <v>706</v>
      </c>
      <c r="D248" s="2" t="s">
        <v>568</v>
      </c>
      <c r="E248" s="2">
        <f t="shared" si="12"/>
        <v>1</v>
      </c>
      <c r="F248" s="2">
        <f t="shared" si="13"/>
        <v>22</v>
      </c>
      <c r="G248" s="2">
        <f t="shared" si="14"/>
        <v>23</v>
      </c>
      <c r="H248" s="6">
        <f t="shared" si="15"/>
        <v>1</v>
      </c>
      <c r="I248" s="2" t="s">
        <v>3090</v>
      </c>
      <c r="J248" s="2" t="s">
        <v>3091</v>
      </c>
      <c r="K248" s="2" t="s">
        <v>3091</v>
      </c>
      <c r="L248" s="2" t="s">
        <v>3091</v>
      </c>
      <c r="M248" s="2" t="s">
        <v>3091</v>
      </c>
      <c r="N248" s="2" t="s">
        <v>3091</v>
      </c>
      <c r="O248" s="2" t="s">
        <v>3091</v>
      </c>
      <c r="P248" s="2" t="s">
        <v>3091</v>
      </c>
      <c r="Q248" s="2" t="s">
        <v>3091</v>
      </c>
      <c r="R248" s="2" t="s">
        <v>3091</v>
      </c>
      <c r="S248" s="2" t="s">
        <v>3091</v>
      </c>
      <c r="T248" s="2" t="s">
        <v>3091</v>
      </c>
      <c r="U248" s="2" t="s">
        <v>3091</v>
      </c>
      <c r="V248" s="2" t="s">
        <v>3091</v>
      </c>
      <c r="W248" s="2" t="s">
        <v>3091</v>
      </c>
      <c r="X248" s="2" t="s">
        <v>3091</v>
      </c>
      <c r="Y248" s="2" t="s">
        <v>3091</v>
      </c>
      <c r="Z248" s="2" t="s">
        <v>3091</v>
      </c>
      <c r="AA248" s="3" t="s">
        <v>3091</v>
      </c>
      <c r="AB248" s="3" t="s">
        <v>3091</v>
      </c>
      <c r="AC248" s="3" t="s">
        <v>3091</v>
      </c>
      <c r="AD248" s="3" t="s">
        <v>3091</v>
      </c>
      <c r="AE248" s="3" t="s">
        <v>3091</v>
      </c>
      <c r="AF248" s="3"/>
      <c r="AG248" s="3"/>
      <c r="AH248" s="3"/>
      <c r="AI248" s="3"/>
      <c r="AJ248" s="3"/>
      <c r="AK248" s="3"/>
    </row>
    <row r="249" spans="1:37" ht="15.75" customHeight="1">
      <c r="A249" s="2" t="s">
        <v>2970</v>
      </c>
      <c r="B249" s="2" t="s">
        <v>2671</v>
      </c>
      <c r="C249" s="3">
        <v>813</v>
      </c>
      <c r="D249" s="2" t="s">
        <v>38</v>
      </c>
      <c r="E249" s="2">
        <f t="shared" si="12"/>
        <v>0</v>
      </c>
      <c r="F249" s="2">
        <f t="shared" si="13"/>
        <v>22</v>
      </c>
      <c r="G249" s="2">
        <f t="shared" si="14"/>
        <v>22</v>
      </c>
      <c r="H249" s="6">
        <f t="shared" si="15"/>
        <v>0.95652173913043503</v>
      </c>
      <c r="I249" s="2" t="s">
        <v>3091</v>
      </c>
      <c r="J249" s="2" t="s">
        <v>3091</v>
      </c>
      <c r="K249" s="2" t="s">
        <v>3091</v>
      </c>
      <c r="L249" s="2" t="s">
        <v>3091</v>
      </c>
      <c r="M249" s="2" t="s">
        <v>3091</v>
      </c>
      <c r="N249" s="2" t="s">
        <v>3091</v>
      </c>
      <c r="O249" s="2" t="s">
        <v>3091</v>
      </c>
      <c r="P249" s="2" t="s">
        <v>3091</v>
      </c>
      <c r="Q249" s="2" t="s">
        <v>3091</v>
      </c>
      <c r="R249" s="2" t="s">
        <v>3091</v>
      </c>
      <c r="S249" s="2" t="s">
        <v>3091</v>
      </c>
      <c r="T249" s="2" t="s">
        <v>3091</v>
      </c>
      <c r="U249" s="2" t="s">
        <v>3091</v>
      </c>
      <c r="V249" s="2" t="s">
        <v>3091</v>
      </c>
      <c r="W249" s="2" t="s">
        <v>3091</v>
      </c>
      <c r="X249" s="2" t="s">
        <v>3091</v>
      </c>
      <c r="Y249" s="2" t="s">
        <v>3091</v>
      </c>
      <c r="Z249" s="2" t="s">
        <v>3091</v>
      </c>
      <c r="AA249" s="3" t="s">
        <v>3091</v>
      </c>
      <c r="AB249" s="3" t="s">
        <v>3091</v>
      </c>
      <c r="AC249" s="3" t="s">
        <v>3091</v>
      </c>
      <c r="AD249" s="3" t="s">
        <v>3091</v>
      </c>
      <c r="AE249" s="3" t="s">
        <v>3092</v>
      </c>
      <c r="AF249" s="3"/>
      <c r="AG249" s="3"/>
      <c r="AH249" s="3"/>
      <c r="AI249" s="3"/>
      <c r="AJ249" s="3"/>
      <c r="AK249" s="3"/>
    </row>
    <row r="250" spans="1:37" ht="15.75" customHeight="1">
      <c r="A250" s="2" t="s">
        <v>2971</v>
      </c>
      <c r="B250" s="2" t="s">
        <v>2828</v>
      </c>
      <c r="C250" s="3">
        <v>716</v>
      </c>
      <c r="D250" s="2" t="s">
        <v>644</v>
      </c>
      <c r="E250" s="2">
        <f t="shared" si="12"/>
        <v>5</v>
      </c>
      <c r="F250" s="2">
        <f t="shared" si="13"/>
        <v>17</v>
      </c>
      <c r="G250" s="2">
        <f t="shared" si="14"/>
        <v>22</v>
      </c>
      <c r="H250" s="6">
        <f t="shared" si="15"/>
        <v>0.95652173913043503</v>
      </c>
      <c r="I250" s="2" t="s">
        <v>3090</v>
      </c>
      <c r="J250" s="2" t="s">
        <v>3090</v>
      </c>
      <c r="K250" s="2" t="s">
        <v>3090</v>
      </c>
      <c r="L250" s="2" t="s">
        <v>3090</v>
      </c>
      <c r="M250" s="2" t="s">
        <v>3091</v>
      </c>
      <c r="N250" s="2" t="s">
        <v>3090</v>
      </c>
      <c r="O250" s="2" t="s">
        <v>3091</v>
      </c>
      <c r="P250" s="2" t="s">
        <v>3091</v>
      </c>
      <c r="Q250" s="2" t="s">
        <v>3091</v>
      </c>
      <c r="R250" s="2" t="s">
        <v>3091</v>
      </c>
      <c r="S250" s="2" t="s">
        <v>3091</v>
      </c>
      <c r="T250" s="2" t="s">
        <v>3091</v>
      </c>
      <c r="U250" s="2" t="s">
        <v>3091</v>
      </c>
      <c r="V250" s="2" t="s">
        <v>3091</v>
      </c>
      <c r="W250" s="2" t="s">
        <v>3091</v>
      </c>
      <c r="X250" s="2" t="s">
        <v>3091</v>
      </c>
      <c r="Y250" s="2" t="s">
        <v>3091</v>
      </c>
      <c r="Z250" s="2" t="s">
        <v>3091</v>
      </c>
      <c r="AA250" s="3" t="s">
        <v>3091</v>
      </c>
      <c r="AB250" s="3" t="s">
        <v>3091</v>
      </c>
      <c r="AC250" s="3" t="s">
        <v>3091</v>
      </c>
      <c r="AD250" s="3" t="s">
        <v>3092</v>
      </c>
      <c r="AE250" s="3" t="s">
        <v>3091</v>
      </c>
      <c r="AF250" s="3"/>
      <c r="AG250" s="3"/>
      <c r="AH250" s="3"/>
      <c r="AI250" s="3"/>
      <c r="AJ250" s="3"/>
      <c r="AK250" s="3"/>
    </row>
    <row r="251" spans="1:37" ht="15.75" customHeight="1">
      <c r="A251" s="2" t="s">
        <v>2701</v>
      </c>
      <c r="B251" s="2" t="s">
        <v>2972</v>
      </c>
      <c r="C251" s="3">
        <v>676</v>
      </c>
      <c r="D251" s="2" t="s">
        <v>308</v>
      </c>
      <c r="E251" s="2">
        <f t="shared" si="12"/>
        <v>8</v>
      </c>
      <c r="F251" s="2">
        <f t="shared" si="13"/>
        <v>15</v>
      </c>
      <c r="G251" s="2">
        <f t="shared" si="14"/>
        <v>23</v>
      </c>
      <c r="H251" s="6">
        <f t="shared" si="15"/>
        <v>1</v>
      </c>
      <c r="I251" s="2" t="s">
        <v>3090</v>
      </c>
      <c r="J251" s="2" t="s">
        <v>3090</v>
      </c>
      <c r="K251" s="2" t="s">
        <v>3090</v>
      </c>
      <c r="L251" s="2" t="s">
        <v>3090</v>
      </c>
      <c r="M251" s="2" t="s">
        <v>3090</v>
      </c>
      <c r="N251" s="2" t="s">
        <v>3090</v>
      </c>
      <c r="O251" s="2" t="s">
        <v>3091</v>
      </c>
      <c r="P251" s="2" t="s">
        <v>3091</v>
      </c>
      <c r="Q251" s="2" t="s">
        <v>3090</v>
      </c>
      <c r="R251" s="2" t="s">
        <v>3090</v>
      </c>
      <c r="S251" s="2" t="s">
        <v>3091</v>
      </c>
      <c r="T251" s="2" t="s">
        <v>3091</v>
      </c>
      <c r="U251" s="2" t="s">
        <v>3091</v>
      </c>
      <c r="V251" s="2" t="s">
        <v>3091</v>
      </c>
      <c r="W251" s="2" t="s">
        <v>3091</v>
      </c>
      <c r="X251" s="2" t="s">
        <v>3091</v>
      </c>
      <c r="Y251" s="2" t="s">
        <v>3091</v>
      </c>
      <c r="Z251" s="2" t="s">
        <v>3091</v>
      </c>
      <c r="AA251" s="3" t="s">
        <v>3091</v>
      </c>
      <c r="AB251" s="3" t="s">
        <v>3091</v>
      </c>
      <c r="AC251" s="3" t="s">
        <v>3091</v>
      </c>
      <c r="AD251" s="3" t="s">
        <v>3091</v>
      </c>
      <c r="AE251" s="3" t="s">
        <v>3091</v>
      </c>
      <c r="AF251" s="3"/>
      <c r="AG251" s="3"/>
      <c r="AH251" s="3"/>
      <c r="AI251" s="3"/>
      <c r="AJ251" s="3"/>
      <c r="AK251" s="3"/>
    </row>
    <row r="252" spans="1:37" ht="15.75" customHeight="1">
      <c r="A252" s="2" t="s">
        <v>2973</v>
      </c>
      <c r="B252" s="2" t="s">
        <v>2974</v>
      </c>
      <c r="C252" s="3">
        <v>744</v>
      </c>
      <c r="D252" s="2" t="s">
        <v>226</v>
      </c>
      <c r="E252" s="2">
        <f t="shared" si="12"/>
        <v>1</v>
      </c>
      <c r="F252" s="2">
        <f t="shared" si="13"/>
        <v>18</v>
      </c>
      <c r="G252" s="2">
        <f t="shared" si="14"/>
        <v>19</v>
      </c>
      <c r="H252" s="6">
        <f t="shared" si="15"/>
        <v>0.82608695652173902</v>
      </c>
      <c r="I252" s="2" t="s">
        <v>3091</v>
      </c>
      <c r="J252" s="2" t="s">
        <v>3091</v>
      </c>
      <c r="K252" s="2" t="s">
        <v>3091</v>
      </c>
      <c r="L252" s="2" t="s">
        <v>3091</v>
      </c>
      <c r="M252" s="2" t="s">
        <v>3091</v>
      </c>
      <c r="N252" s="2" t="s">
        <v>3091</v>
      </c>
      <c r="O252" s="2" t="s">
        <v>3091</v>
      </c>
      <c r="P252" s="2" t="s">
        <v>3091</v>
      </c>
      <c r="Q252" s="2" t="s">
        <v>3091</v>
      </c>
      <c r="R252" s="2" t="s">
        <v>3090</v>
      </c>
      <c r="S252" s="2" t="s">
        <v>3091</v>
      </c>
      <c r="T252" s="2" t="s">
        <v>3091</v>
      </c>
      <c r="U252" s="2" t="s">
        <v>3092</v>
      </c>
      <c r="V252" s="2" t="s">
        <v>3092</v>
      </c>
      <c r="W252" s="2" t="s">
        <v>3091</v>
      </c>
      <c r="X252" s="2" t="s">
        <v>3091</v>
      </c>
      <c r="Y252" s="2" t="s">
        <v>3091</v>
      </c>
      <c r="Z252" s="2" t="s">
        <v>3091</v>
      </c>
      <c r="AA252" s="3" t="s">
        <v>3091</v>
      </c>
      <c r="AB252" s="3" t="s">
        <v>3091</v>
      </c>
      <c r="AC252" s="3" t="s">
        <v>3091</v>
      </c>
      <c r="AD252" s="3" t="s">
        <v>3092</v>
      </c>
      <c r="AE252" s="3" t="s">
        <v>3092</v>
      </c>
      <c r="AF252" s="3"/>
      <c r="AG252" s="3"/>
      <c r="AH252" s="3"/>
      <c r="AI252" s="3"/>
      <c r="AJ252" s="3"/>
      <c r="AK252" s="3"/>
    </row>
    <row r="253" spans="1:37" ht="15.75" customHeight="1">
      <c r="A253" s="2" t="s">
        <v>2975</v>
      </c>
      <c r="B253" s="2" t="s">
        <v>2668</v>
      </c>
      <c r="C253" s="3">
        <v>592</v>
      </c>
      <c r="D253" s="2" t="s">
        <v>415</v>
      </c>
      <c r="E253" s="2">
        <f t="shared" si="12"/>
        <v>17</v>
      </c>
      <c r="F253" s="2">
        <f t="shared" si="13"/>
        <v>6</v>
      </c>
      <c r="G253" s="2">
        <f t="shared" si="14"/>
        <v>23</v>
      </c>
      <c r="H253" s="6">
        <f t="shared" si="15"/>
        <v>1</v>
      </c>
      <c r="I253" s="2" t="s">
        <v>3090</v>
      </c>
      <c r="J253" s="2" t="s">
        <v>3090</v>
      </c>
      <c r="K253" s="2" t="s">
        <v>3090</v>
      </c>
      <c r="L253" s="2" t="s">
        <v>3090</v>
      </c>
      <c r="M253" s="2" t="s">
        <v>3090</v>
      </c>
      <c r="N253" s="2" t="s">
        <v>3090</v>
      </c>
      <c r="O253" s="2" t="s">
        <v>3091</v>
      </c>
      <c r="P253" s="2" t="s">
        <v>3091</v>
      </c>
      <c r="Q253" s="2" t="s">
        <v>3090</v>
      </c>
      <c r="R253" s="2" t="s">
        <v>3090</v>
      </c>
      <c r="S253" s="2" t="s">
        <v>3090</v>
      </c>
      <c r="T253" s="2" t="s">
        <v>3091</v>
      </c>
      <c r="U253" s="2" t="s">
        <v>3090</v>
      </c>
      <c r="V253" s="2" t="s">
        <v>3090</v>
      </c>
      <c r="W253" s="2" t="s">
        <v>3091</v>
      </c>
      <c r="X253" s="2" t="s">
        <v>3091</v>
      </c>
      <c r="Y253" s="2" t="s">
        <v>3090</v>
      </c>
      <c r="Z253" s="2" t="s">
        <v>3090</v>
      </c>
      <c r="AA253" s="3" t="s">
        <v>3091</v>
      </c>
      <c r="AB253" s="3" t="s">
        <v>3090</v>
      </c>
      <c r="AC253" s="3" t="s">
        <v>3090</v>
      </c>
      <c r="AD253" s="3" t="s">
        <v>3090</v>
      </c>
      <c r="AE253" s="3" t="s">
        <v>3090</v>
      </c>
      <c r="AF253" s="3"/>
      <c r="AG253" s="3"/>
      <c r="AH253" s="3"/>
      <c r="AI253" s="3"/>
      <c r="AJ253" s="3"/>
      <c r="AK253" s="3"/>
    </row>
    <row r="254" spans="1:37" ht="15.75" customHeight="1">
      <c r="A254" s="2" t="s">
        <v>2976</v>
      </c>
      <c r="B254" s="2" t="s">
        <v>2701</v>
      </c>
      <c r="C254" s="3">
        <v>283</v>
      </c>
      <c r="D254" s="2" t="s">
        <v>40</v>
      </c>
      <c r="E254" s="2">
        <f t="shared" si="12"/>
        <v>0</v>
      </c>
      <c r="F254" s="2">
        <f t="shared" si="13"/>
        <v>23</v>
      </c>
      <c r="G254" s="2">
        <f t="shared" si="14"/>
        <v>23</v>
      </c>
      <c r="H254" s="6">
        <f t="shared" si="15"/>
        <v>1</v>
      </c>
      <c r="I254" s="2" t="s">
        <v>3091</v>
      </c>
      <c r="J254" s="2" t="s">
        <v>3091</v>
      </c>
      <c r="K254" s="2" t="s">
        <v>3091</v>
      </c>
      <c r="L254" s="2" t="s">
        <v>3091</v>
      </c>
      <c r="M254" s="2" t="s">
        <v>3091</v>
      </c>
      <c r="N254" s="2" t="s">
        <v>3091</v>
      </c>
      <c r="O254" s="2" t="s">
        <v>3091</v>
      </c>
      <c r="P254" s="2" t="s">
        <v>3091</v>
      </c>
      <c r="Q254" s="2" t="s">
        <v>3091</v>
      </c>
      <c r="R254" s="2" t="s">
        <v>3091</v>
      </c>
      <c r="S254" s="2" t="s">
        <v>3091</v>
      </c>
      <c r="T254" s="2" t="s">
        <v>3091</v>
      </c>
      <c r="U254" s="2" t="s">
        <v>3091</v>
      </c>
      <c r="V254" s="2" t="s">
        <v>3091</v>
      </c>
      <c r="W254" s="2" t="s">
        <v>3091</v>
      </c>
      <c r="X254" s="2" t="s">
        <v>3091</v>
      </c>
      <c r="Y254" s="2" t="s">
        <v>3091</v>
      </c>
      <c r="Z254" s="2" t="s">
        <v>3091</v>
      </c>
      <c r="AA254" s="3" t="s">
        <v>3091</v>
      </c>
      <c r="AB254" s="3" t="s">
        <v>3091</v>
      </c>
      <c r="AC254" s="3" t="s">
        <v>3091</v>
      </c>
      <c r="AD254" s="3" t="s">
        <v>3091</v>
      </c>
      <c r="AE254" s="3" t="s">
        <v>3091</v>
      </c>
      <c r="AF254" s="3"/>
      <c r="AG254" s="3"/>
      <c r="AH254" s="3"/>
      <c r="AI254" s="3"/>
      <c r="AJ254" s="3"/>
      <c r="AK254" s="3"/>
    </row>
    <row r="255" spans="1:37" ht="15.75" customHeight="1">
      <c r="A255" s="2" t="s">
        <v>2977</v>
      </c>
      <c r="B255" s="2" t="s">
        <v>2811</v>
      </c>
      <c r="C255" s="3">
        <v>677</v>
      </c>
      <c r="D255" s="2" t="s">
        <v>228</v>
      </c>
      <c r="E255" s="2">
        <f t="shared" si="12"/>
        <v>11</v>
      </c>
      <c r="F255" s="2">
        <f t="shared" si="13"/>
        <v>11</v>
      </c>
      <c r="G255" s="2">
        <f t="shared" si="14"/>
        <v>22</v>
      </c>
      <c r="H255" s="6">
        <f t="shared" si="15"/>
        <v>0.95652173913043503</v>
      </c>
      <c r="I255" s="2" t="s">
        <v>3090</v>
      </c>
      <c r="J255" s="2" t="s">
        <v>3091</v>
      </c>
      <c r="K255" s="2" t="s">
        <v>3090</v>
      </c>
      <c r="L255" s="2" t="s">
        <v>3090</v>
      </c>
      <c r="M255" s="2" t="s">
        <v>3090</v>
      </c>
      <c r="N255" s="2" t="s">
        <v>3090</v>
      </c>
      <c r="O255" s="2" t="s">
        <v>3091</v>
      </c>
      <c r="P255" s="2" t="s">
        <v>3091</v>
      </c>
      <c r="Q255" s="2" t="s">
        <v>3090</v>
      </c>
      <c r="R255" s="2" t="s">
        <v>3090</v>
      </c>
      <c r="S255" s="2" t="s">
        <v>3091</v>
      </c>
      <c r="T255" s="2" t="s">
        <v>3091</v>
      </c>
      <c r="U255" s="2" t="s">
        <v>3092</v>
      </c>
      <c r="V255" s="2" t="s">
        <v>3090</v>
      </c>
      <c r="W255" s="2" t="s">
        <v>3091</v>
      </c>
      <c r="X255" s="2" t="s">
        <v>3091</v>
      </c>
      <c r="Y255" s="2" t="s">
        <v>3091</v>
      </c>
      <c r="Z255" s="2" t="s">
        <v>3090</v>
      </c>
      <c r="AA255" s="3" t="s">
        <v>3091</v>
      </c>
      <c r="AB255" s="3" t="s">
        <v>3090</v>
      </c>
      <c r="AC255" s="3" t="s">
        <v>3091</v>
      </c>
      <c r="AD255" s="3" t="s">
        <v>3091</v>
      </c>
      <c r="AE255" s="3" t="s">
        <v>3090</v>
      </c>
      <c r="AF255" s="3"/>
      <c r="AG255" s="3"/>
      <c r="AH255" s="3"/>
      <c r="AI255" s="3"/>
      <c r="AJ255" s="3"/>
      <c r="AK255" s="3"/>
    </row>
    <row r="256" spans="1:37" ht="15.75" customHeight="1">
      <c r="A256" s="2" t="s">
        <v>2978</v>
      </c>
      <c r="B256" s="2" t="s">
        <v>2701</v>
      </c>
      <c r="C256" s="3">
        <v>393</v>
      </c>
      <c r="D256" s="2" t="s">
        <v>417</v>
      </c>
      <c r="E256" s="2">
        <f t="shared" si="12"/>
        <v>1</v>
      </c>
      <c r="F256" s="2">
        <f t="shared" si="13"/>
        <v>2</v>
      </c>
      <c r="G256" s="2">
        <f t="shared" si="14"/>
        <v>3</v>
      </c>
      <c r="H256" s="6">
        <f t="shared" si="15"/>
        <v>0.13043478260869601</v>
      </c>
      <c r="I256" s="2" t="s">
        <v>3092</v>
      </c>
      <c r="J256" s="2" t="s">
        <v>3091</v>
      </c>
      <c r="K256" s="2" t="s">
        <v>3092</v>
      </c>
      <c r="L256" s="2" t="s">
        <v>3092</v>
      </c>
      <c r="M256" s="2" t="s">
        <v>3092</v>
      </c>
      <c r="N256" s="2" t="s">
        <v>3092</v>
      </c>
      <c r="O256" s="2" t="s">
        <v>3092</v>
      </c>
      <c r="P256" s="2" t="s">
        <v>3092</v>
      </c>
      <c r="Q256" s="2" t="s">
        <v>3092</v>
      </c>
      <c r="R256" s="2" t="s">
        <v>3092</v>
      </c>
      <c r="S256" s="2" t="s">
        <v>3092</v>
      </c>
      <c r="T256" s="2" t="s">
        <v>3092</v>
      </c>
      <c r="U256" s="2" t="s">
        <v>3092</v>
      </c>
      <c r="V256" s="2" t="s">
        <v>3092</v>
      </c>
      <c r="W256" s="2" t="s">
        <v>3092</v>
      </c>
      <c r="X256" s="2" t="s">
        <v>3091</v>
      </c>
      <c r="Y256" s="2" t="s">
        <v>3092</v>
      </c>
      <c r="Z256" s="2" t="s">
        <v>3092</v>
      </c>
      <c r="AA256" s="3" t="s">
        <v>3092</v>
      </c>
      <c r="AB256" s="3" t="s">
        <v>3092</v>
      </c>
      <c r="AC256" s="3" t="s">
        <v>3090</v>
      </c>
      <c r="AD256" s="3" t="s">
        <v>3092</v>
      </c>
      <c r="AE256" s="3" t="s">
        <v>3092</v>
      </c>
      <c r="AF256" s="3"/>
      <c r="AG256" s="3"/>
      <c r="AH256" s="3"/>
      <c r="AI256" s="3"/>
      <c r="AJ256" s="3"/>
      <c r="AK256" s="3"/>
    </row>
    <row r="257" spans="1:37" ht="15.75" customHeight="1">
      <c r="A257" s="2" t="s">
        <v>2979</v>
      </c>
      <c r="B257" s="2" t="s">
        <v>2732</v>
      </c>
      <c r="C257" s="3">
        <v>427</v>
      </c>
      <c r="D257" s="2" t="s">
        <v>489</v>
      </c>
      <c r="E257" s="2">
        <f t="shared" si="12"/>
        <v>16</v>
      </c>
      <c r="F257" s="2">
        <f t="shared" si="13"/>
        <v>6</v>
      </c>
      <c r="G257" s="2">
        <f t="shared" si="14"/>
        <v>22</v>
      </c>
      <c r="H257" s="6">
        <f t="shared" si="15"/>
        <v>0.95652173913043503</v>
      </c>
      <c r="I257" s="2" t="s">
        <v>3090</v>
      </c>
      <c r="J257" s="2" t="s">
        <v>3090</v>
      </c>
      <c r="K257" s="2" t="s">
        <v>3090</v>
      </c>
      <c r="L257" s="2" t="s">
        <v>3090</v>
      </c>
      <c r="M257" s="2" t="s">
        <v>3090</v>
      </c>
      <c r="N257" s="2" t="s">
        <v>3090</v>
      </c>
      <c r="O257" s="2" t="s">
        <v>3091</v>
      </c>
      <c r="P257" s="2" t="s">
        <v>3091</v>
      </c>
      <c r="Q257" s="2" t="s">
        <v>3090</v>
      </c>
      <c r="R257" s="2" t="s">
        <v>3090</v>
      </c>
      <c r="S257" s="2" t="s">
        <v>3090</v>
      </c>
      <c r="T257" s="2" t="s">
        <v>3091</v>
      </c>
      <c r="U257" s="2" t="s">
        <v>3090</v>
      </c>
      <c r="V257" s="2" t="s">
        <v>3090</v>
      </c>
      <c r="W257" s="2" t="s">
        <v>3091</v>
      </c>
      <c r="X257" s="2" t="s">
        <v>3091</v>
      </c>
      <c r="Y257" s="2" t="s">
        <v>3090</v>
      </c>
      <c r="Z257" s="2" t="s">
        <v>3092</v>
      </c>
      <c r="AA257" s="3" t="s">
        <v>3091</v>
      </c>
      <c r="AB257" s="3" t="s">
        <v>3090</v>
      </c>
      <c r="AC257" s="3" t="s">
        <v>3090</v>
      </c>
      <c r="AD257" s="3" t="s">
        <v>3090</v>
      </c>
      <c r="AE257" s="3" t="s">
        <v>3090</v>
      </c>
      <c r="AF257" s="3"/>
      <c r="AG257" s="3"/>
      <c r="AH257" s="3"/>
      <c r="AI257" s="3"/>
      <c r="AJ257" s="3"/>
      <c r="AK257" s="3"/>
    </row>
    <row r="258" spans="1:37" ht="15.75" customHeight="1">
      <c r="A258" s="2" t="s">
        <v>2980</v>
      </c>
      <c r="B258" s="2" t="s">
        <v>2811</v>
      </c>
      <c r="C258" s="3">
        <v>763</v>
      </c>
      <c r="D258" s="2" t="s">
        <v>170</v>
      </c>
      <c r="E258" s="2">
        <f t="shared" ref="E258:E321" si="16">COUNTIF(I258:AK258,"L (1/1)")</f>
        <v>17</v>
      </c>
      <c r="F258" s="2">
        <f t="shared" ref="F258:F321" si="17">COUNTIF(I258:AK258,"R (1/1)")</f>
        <v>6</v>
      </c>
      <c r="G258" s="2">
        <f t="shared" ref="G258:G321" si="18">E258+F258</f>
        <v>23</v>
      </c>
      <c r="H258" s="6">
        <f t="shared" ref="H258:H321" si="19">G258/23</f>
        <v>1</v>
      </c>
      <c r="I258" s="2" t="s">
        <v>3090</v>
      </c>
      <c r="J258" s="2" t="s">
        <v>3090</v>
      </c>
      <c r="K258" s="2" t="s">
        <v>3090</v>
      </c>
      <c r="L258" s="2" t="s">
        <v>3090</v>
      </c>
      <c r="M258" s="2" t="s">
        <v>3090</v>
      </c>
      <c r="N258" s="2" t="s">
        <v>3090</v>
      </c>
      <c r="O258" s="2" t="s">
        <v>3091</v>
      </c>
      <c r="P258" s="2" t="s">
        <v>3091</v>
      </c>
      <c r="Q258" s="2" t="s">
        <v>3090</v>
      </c>
      <c r="R258" s="2" t="s">
        <v>3090</v>
      </c>
      <c r="S258" s="2" t="s">
        <v>3090</v>
      </c>
      <c r="T258" s="2" t="s">
        <v>3091</v>
      </c>
      <c r="U258" s="2" t="s">
        <v>3090</v>
      </c>
      <c r="V258" s="2" t="s">
        <v>3090</v>
      </c>
      <c r="W258" s="2" t="s">
        <v>3091</v>
      </c>
      <c r="X258" s="2" t="s">
        <v>3091</v>
      </c>
      <c r="Y258" s="2" t="s">
        <v>3090</v>
      </c>
      <c r="Z258" s="2" t="s">
        <v>3090</v>
      </c>
      <c r="AA258" s="3" t="s">
        <v>3091</v>
      </c>
      <c r="AB258" s="3" t="s">
        <v>3090</v>
      </c>
      <c r="AC258" s="3" t="s">
        <v>3090</v>
      </c>
      <c r="AD258" s="3" t="s">
        <v>3090</v>
      </c>
      <c r="AE258" s="3" t="s">
        <v>3090</v>
      </c>
      <c r="AF258" s="3"/>
      <c r="AG258" s="3"/>
      <c r="AH258" s="3"/>
      <c r="AI258" s="3"/>
      <c r="AJ258" s="3"/>
      <c r="AK258" s="3"/>
    </row>
    <row r="259" spans="1:37" ht="15.75" customHeight="1">
      <c r="A259" s="2" t="s">
        <v>2981</v>
      </c>
      <c r="B259" s="2" t="s">
        <v>2732</v>
      </c>
      <c r="C259" s="3">
        <v>682</v>
      </c>
      <c r="D259" s="2" t="s">
        <v>133</v>
      </c>
      <c r="E259" s="2">
        <f t="shared" si="16"/>
        <v>13</v>
      </c>
      <c r="F259" s="2">
        <f t="shared" si="17"/>
        <v>6</v>
      </c>
      <c r="G259" s="2">
        <f t="shared" si="18"/>
        <v>19</v>
      </c>
      <c r="H259" s="6">
        <f t="shared" si="19"/>
        <v>0.82608695652173902</v>
      </c>
      <c r="I259" s="2" t="s">
        <v>3090</v>
      </c>
      <c r="J259" s="2" t="s">
        <v>3090</v>
      </c>
      <c r="K259" s="2" t="s">
        <v>3090</v>
      </c>
      <c r="L259" s="2" t="s">
        <v>3090</v>
      </c>
      <c r="M259" s="2" t="s">
        <v>3090</v>
      </c>
      <c r="N259" s="2" t="s">
        <v>3090</v>
      </c>
      <c r="O259" s="2" t="s">
        <v>3091</v>
      </c>
      <c r="P259" s="2" t="s">
        <v>3091</v>
      </c>
      <c r="Q259" s="2" t="s">
        <v>3090</v>
      </c>
      <c r="R259" s="2" t="s">
        <v>3091</v>
      </c>
      <c r="S259" s="2" t="s">
        <v>3090</v>
      </c>
      <c r="T259" s="2" t="s">
        <v>3091</v>
      </c>
      <c r="U259" s="2" t="s">
        <v>3090</v>
      </c>
      <c r="V259" s="2" t="s">
        <v>3090</v>
      </c>
      <c r="W259" s="2" t="s">
        <v>3091</v>
      </c>
      <c r="X259" s="2" t="s">
        <v>3092</v>
      </c>
      <c r="Y259" s="2" t="s">
        <v>3091</v>
      </c>
      <c r="Z259" s="2" t="s">
        <v>3092</v>
      </c>
      <c r="AA259" s="3" t="s">
        <v>3092</v>
      </c>
      <c r="AB259" s="3" t="s">
        <v>3090</v>
      </c>
      <c r="AC259" s="3" t="s">
        <v>3090</v>
      </c>
      <c r="AD259" s="3" t="s">
        <v>3090</v>
      </c>
      <c r="AE259" s="3" t="s">
        <v>3092</v>
      </c>
      <c r="AF259" s="3"/>
      <c r="AG259" s="3"/>
      <c r="AH259" s="3"/>
      <c r="AI259" s="3"/>
      <c r="AJ259" s="3"/>
      <c r="AK259" s="3"/>
    </row>
    <row r="260" spans="1:37" ht="15.75" customHeight="1">
      <c r="A260" s="2" t="s">
        <v>2982</v>
      </c>
      <c r="B260" s="2" t="s">
        <v>2678</v>
      </c>
      <c r="C260" s="3">
        <v>687</v>
      </c>
      <c r="D260" s="2" t="s">
        <v>173</v>
      </c>
      <c r="E260" s="2">
        <f t="shared" si="16"/>
        <v>17</v>
      </c>
      <c r="F260" s="2">
        <f t="shared" si="17"/>
        <v>6</v>
      </c>
      <c r="G260" s="2">
        <f t="shared" si="18"/>
        <v>23</v>
      </c>
      <c r="H260" s="6">
        <f t="shared" si="19"/>
        <v>1</v>
      </c>
      <c r="I260" s="2" t="s">
        <v>3090</v>
      </c>
      <c r="J260" s="2" t="s">
        <v>3090</v>
      </c>
      <c r="K260" s="2" t="s">
        <v>3090</v>
      </c>
      <c r="L260" s="2" t="s">
        <v>3090</v>
      </c>
      <c r="M260" s="2" t="s">
        <v>3090</v>
      </c>
      <c r="N260" s="2" t="s">
        <v>3090</v>
      </c>
      <c r="O260" s="2" t="s">
        <v>3091</v>
      </c>
      <c r="P260" s="2" t="s">
        <v>3091</v>
      </c>
      <c r="Q260" s="2" t="s">
        <v>3090</v>
      </c>
      <c r="R260" s="2" t="s">
        <v>3090</v>
      </c>
      <c r="S260" s="2" t="s">
        <v>3090</v>
      </c>
      <c r="T260" s="2" t="s">
        <v>3091</v>
      </c>
      <c r="U260" s="2" t="s">
        <v>3090</v>
      </c>
      <c r="V260" s="2" t="s">
        <v>3090</v>
      </c>
      <c r="W260" s="2" t="s">
        <v>3091</v>
      </c>
      <c r="X260" s="2" t="s">
        <v>3091</v>
      </c>
      <c r="Y260" s="2" t="s">
        <v>3090</v>
      </c>
      <c r="Z260" s="2" t="s">
        <v>3090</v>
      </c>
      <c r="AA260" s="3" t="s">
        <v>3091</v>
      </c>
      <c r="AB260" s="3" t="s">
        <v>3090</v>
      </c>
      <c r="AC260" s="3" t="s">
        <v>3090</v>
      </c>
      <c r="AD260" s="3" t="s">
        <v>3090</v>
      </c>
      <c r="AE260" s="3" t="s">
        <v>3090</v>
      </c>
      <c r="AF260" s="3"/>
      <c r="AG260" s="3"/>
      <c r="AH260" s="3"/>
      <c r="AI260" s="3"/>
      <c r="AJ260" s="3"/>
      <c r="AK260" s="3"/>
    </row>
    <row r="261" spans="1:37" ht="15.75" customHeight="1">
      <c r="A261" s="2" t="s">
        <v>2983</v>
      </c>
      <c r="B261" s="2" t="s">
        <v>2682</v>
      </c>
      <c r="C261" s="3">
        <v>811</v>
      </c>
      <c r="D261" s="2" t="s">
        <v>491</v>
      </c>
      <c r="E261" s="2">
        <f t="shared" si="16"/>
        <v>0</v>
      </c>
      <c r="F261" s="2">
        <f t="shared" si="17"/>
        <v>23</v>
      </c>
      <c r="G261" s="2">
        <f t="shared" si="18"/>
        <v>23</v>
      </c>
      <c r="H261" s="6">
        <f t="shared" si="19"/>
        <v>1</v>
      </c>
      <c r="I261" s="2" t="s">
        <v>3091</v>
      </c>
      <c r="J261" s="2" t="s">
        <v>3091</v>
      </c>
      <c r="K261" s="2" t="s">
        <v>3091</v>
      </c>
      <c r="L261" s="2" t="s">
        <v>3091</v>
      </c>
      <c r="M261" s="2" t="s">
        <v>3091</v>
      </c>
      <c r="N261" s="2" t="s">
        <v>3091</v>
      </c>
      <c r="O261" s="2" t="s">
        <v>3091</v>
      </c>
      <c r="P261" s="2" t="s">
        <v>3091</v>
      </c>
      <c r="Q261" s="2" t="s">
        <v>3091</v>
      </c>
      <c r="R261" s="2" t="s">
        <v>3091</v>
      </c>
      <c r="S261" s="2" t="s">
        <v>3091</v>
      </c>
      <c r="T261" s="2" t="s">
        <v>3091</v>
      </c>
      <c r="U261" s="2" t="s">
        <v>3091</v>
      </c>
      <c r="V261" s="2" t="s">
        <v>3091</v>
      </c>
      <c r="W261" s="2" t="s">
        <v>3091</v>
      </c>
      <c r="X261" s="2" t="s">
        <v>3091</v>
      </c>
      <c r="Y261" s="2" t="s">
        <v>3091</v>
      </c>
      <c r="Z261" s="2" t="s">
        <v>3091</v>
      </c>
      <c r="AA261" s="3" t="s">
        <v>3091</v>
      </c>
      <c r="AB261" s="3" t="s">
        <v>3091</v>
      </c>
      <c r="AC261" s="3" t="s">
        <v>3091</v>
      </c>
      <c r="AD261" s="3" t="s">
        <v>3091</v>
      </c>
      <c r="AE261" s="3" t="s">
        <v>3091</v>
      </c>
      <c r="AF261" s="3"/>
      <c r="AG261" s="3"/>
      <c r="AH261" s="3"/>
      <c r="AI261" s="3"/>
      <c r="AJ261" s="3"/>
      <c r="AK261" s="3"/>
    </row>
    <row r="262" spans="1:37" ht="15.75" customHeight="1">
      <c r="A262" s="2" t="s">
        <v>2984</v>
      </c>
      <c r="B262" s="2" t="s">
        <v>2657</v>
      </c>
      <c r="C262" s="3">
        <v>626</v>
      </c>
      <c r="D262" s="2" t="s">
        <v>647</v>
      </c>
      <c r="E262" s="2">
        <f t="shared" si="16"/>
        <v>16</v>
      </c>
      <c r="F262" s="2">
        <f t="shared" si="17"/>
        <v>7</v>
      </c>
      <c r="G262" s="2">
        <f t="shared" si="18"/>
        <v>23</v>
      </c>
      <c r="H262" s="6">
        <f t="shared" si="19"/>
        <v>1</v>
      </c>
      <c r="I262" s="2" t="s">
        <v>3090</v>
      </c>
      <c r="J262" s="2" t="s">
        <v>3090</v>
      </c>
      <c r="K262" s="2" t="s">
        <v>3090</v>
      </c>
      <c r="L262" s="2" t="s">
        <v>3090</v>
      </c>
      <c r="M262" s="2" t="s">
        <v>3090</v>
      </c>
      <c r="N262" s="2" t="s">
        <v>3090</v>
      </c>
      <c r="O262" s="2" t="s">
        <v>3091</v>
      </c>
      <c r="P262" s="2" t="s">
        <v>3091</v>
      </c>
      <c r="Q262" s="2" t="s">
        <v>3090</v>
      </c>
      <c r="R262" s="2" t="s">
        <v>3090</v>
      </c>
      <c r="S262" s="2" t="s">
        <v>3090</v>
      </c>
      <c r="T262" s="2" t="s">
        <v>3091</v>
      </c>
      <c r="U262" s="2" t="s">
        <v>3090</v>
      </c>
      <c r="V262" s="2" t="s">
        <v>3090</v>
      </c>
      <c r="W262" s="2" t="s">
        <v>3091</v>
      </c>
      <c r="X262" s="2" t="s">
        <v>3091</v>
      </c>
      <c r="Y262" s="2" t="s">
        <v>3090</v>
      </c>
      <c r="Z262" s="2" t="s">
        <v>3091</v>
      </c>
      <c r="AA262" s="3" t="s">
        <v>3091</v>
      </c>
      <c r="AB262" s="3" t="s">
        <v>3090</v>
      </c>
      <c r="AC262" s="3" t="s">
        <v>3090</v>
      </c>
      <c r="AD262" s="3" t="s">
        <v>3090</v>
      </c>
      <c r="AE262" s="3" t="s">
        <v>3090</v>
      </c>
      <c r="AF262" s="3"/>
      <c r="AG262" s="3"/>
      <c r="AH262" s="3"/>
      <c r="AI262" s="3"/>
      <c r="AJ262" s="3"/>
      <c r="AK262" s="3"/>
    </row>
    <row r="263" spans="1:37" ht="15.75" customHeight="1">
      <c r="A263" s="2" t="s">
        <v>2984</v>
      </c>
      <c r="B263" s="2" t="s">
        <v>2699</v>
      </c>
      <c r="C263" s="3">
        <v>356</v>
      </c>
      <c r="D263" s="2" t="s">
        <v>603</v>
      </c>
      <c r="E263" s="2">
        <f t="shared" si="16"/>
        <v>17</v>
      </c>
      <c r="F263" s="2">
        <f t="shared" si="17"/>
        <v>0</v>
      </c>
      <c r="G263" s="2">
        <f t="shared" si="18"/>
        <v>17</v>
      </c>
      <c r="H263" s="6">
        <f t="shared" si="19"/>
        <v>0.73913043478260898</v>
      </c>
      <c r="I263" s="2" t="s">
        <v>3090</v>
      </c>
      <c r="J263" s="2" t="s">
        <v>3090</v>
      </c>
      <c r="K263" s="2" t="s">
        <v>3090</v>
      </c>
      <c r="L263" s="2" t="s">
        <v>3090</v>
      </c>
      <c r="M263" s="2" t="s">
        <v>3090</v>
      </c>
      <c r="N263" s="2" t="s">
        <v>3090</v>
      </c>
      <c r="O263" s="2" t="s">
        <v>3092</v>
      </c>
      <c r="P263" s="2" t="s">
        <v>3092</v>
      </c>
      <c r="Q263" s="2" t="s">
        <v>3090</v>
      </c>
      <c r="R263" s="2" t="s">
        <v>3090</v>
      </c>
      <c r="S263" s="2" t="s">
        <v>3090</v>
      </c>
      <c r="T263" s="2" t="s">
        <v>3092</v>
      </c>
      <c r="U263" s="2" t="s">
        <v>3090</v>
      </c>
      <c r="V263" s="2" t="s">
        <v>3090</v>
      </c>
      <c r="W263" s="2" t="s">
        <v>3092</v>
      </c>
      <c r="X263" s="2" t="s">
        <v>3092</v>
      </c>
      <c r="Y263" s="2" t="s">
        <v>3090</v>
      </c>
      <c r="Z263" s="2" t="s">
        <v>3090</v>
      </c>
      <c r="AA263" s="3" t="s">
        <v>3092</v>
      </c>
      <c r="AB263" s="3" t="s">
        <v>3090</v>
      </c>
      <c r="AC263" s="3" t="s">
        <v>3090</v>
      </c>
      <c r="AD263" s="3" t="s">
        <v>3090</v>
      </c>
      <c r="AE263" s="3" t="s">
        <v>3090</v>
      </c>
      <c r="AF263" s="3"/>
      <c r="AG263" s="3"/>
      <c r="AH263" s="3"/>
      <c r="AI263" s="3"/>
      <c r="AJ263" s="3"/>
      <c r="AK263" s="3"/>
    </row>
    <row r="264" spans="1:37" ht="15.75" customHeight="1">
      <c r="A264" s="2" t="s">
        <v>2985</v>
      </c>
      <c r="B264" s="2" t="s">
        <v>2986</v>
      </c>
      <c r="C264" s="3">
        <v>432</v>
      </c>
      <c r="D264" s="2" t="s">
        <v>326</v>
      </c>
      <c r="E264" s="2">
        <f t="shared" si="16"/>
        <v>2</v>
      </c>
      <c r="F264" s="2">
        <f t="shared" si="17"/>
        <v>19</v>
      </c>
      <c r="G264" s="2">
        <f t="shared" si="18"/>
        <v>21</v>
      </c>
      <c r="H264" s="6">
        <f t="shared" si="19"/>
        <v>0.91304347826086996</v>
      </c>
      <c r="I264" s="2" t="s">
        <v>3090</v>
      </c>
      <c r="J264" s="2" t="s">
        <v>3091</v>
      </c>
      <c r="K264" s="2" t="s">
        <v>3091</v>
      </c>
      <c r="L264" s="2" t="s">
        <v>3091</v>
      </c>
      <c r="M264" s="2" t="s">
        <v>3091</v>
      </c>
      <c r="N264" s="2" t="s">
        <v>3091</v>
      </c>
      <c r="O264" s="2" t="s">
        <v>3091</v>
      </c>
      <c r="P264" s="2" t="s">
        <v>3091</v>
      </c>
      <c r="Q264" s="2" t="s">
        <v>3091</v>
      </c>
      <c r="R264" s="2" t="s">
        <v>3091</v>
      </c>
      <c r="S264" s="2" t="s">
        <v>3090</v>
      </c>
      <c r="T264" s="2" t="s">
        <v>3091</v>
      </c>
      <c r="U264" s="2" t="s">
        <v>3091</v>
      </c>
      <c r="V264" s="2" t="s">
        <v>3091</v>
      </c>
      <c r="W264" s="2" t="s">
        <v>3091</v>
      </c>
      <c r="X264" s="2" t="s">
        <v>3091</v>
      </c>
      <c r="Y264" s="2" t="s">
        <v>3091</v>
      </c>
      <c r="Z264" s="2" t="s">
        <v>3091</v>
      </c>
      <c r="AA264" s="3" t="s">
        <v>3091</v>
      </c>
      <c r="AB264" s="3" t="s">
        <v>3091</v>
      </c>
      <c r="AC264" s="3" t="s">
        <v>3091</v>
      </c>
      <c r="AD264" s="3" t="s">
        <v>3092</v>
      </c>
      <c r="AE264" s="3" t="s">
        <v>3092</v>
      </c>
      <c r="AF264" s="3"/>
      <c r="AG264" s="3"/>
      <c r="AH264" s="3"/>
      <c r="AI264" s="3"/>
      <c r="AJ264" s="3"/>
      <c r="AK264" s="3"/>
    </row>
    <row r="265" spans="1:37" ht="15.75" customHeight="1">
      <c r="A265" s="2" t="s">
        <v>2987</v>
      </c>
      <c r="B265" s="2" t="s">
        <v>2671</v>
      </c>
      <c r="C265" s="3">
        <v>773</v>
      </c>
      <c r="D265" s="2" t="s">
        <v>43</v>
      </c>
      <c r="E265" s="2">
        <f t="shared" si="16"/>
        <v>2</v>
      </c>
      <c r="F265" s="2">
        <f t="shared" si="17"/>
        <v>20</v>
      </c>
      <c r="G265" s="2">
        <f t="shared" si="18"/>
        <v>22</v>
      </c>
      <c r="H265" s="6">
        <f t="shared" si="19"/>
        <v>0.95652173913043503</v>
      </c>
      <c r="I265" s="2" t="s">
        <v>3090</v>
      </c>
      <c r="J265" s="2" t="s">
        <v>3091</v>
      </c>
      <c r="K265" s="2" t="s">
        <v>3090</v>
      </c>
      <c r="L265" s="2" t="s">
        <v>3091</v>
      </c>
      <c r="M265" s="2" t="s">
        <v>3091</v>
      </c>
      <c r="N265" s="2" t="s">
        <v>3091</v>
      </c>
      <c r="O265" s="2" t="s">
        <v>3091</v>
      </c>
      <c r="P265" s="2" t="s">
        <v>3091</v>
      </c>
      <c r="Q265" s="2" t="s">
        <v>3091</v>
      </c>
      <c r="R265" s="2" t="s">
        <v>3091</v>
      </c>
      <c r="S265" s="2" t="s">
        <v>3091</v>
      </c>
      <c r="T265" s="2" t="s">
        <v>3091</v>
      </c>
      <c r="U265" s="2" t="s">
        <v>3091</v>
      </c>
      <c r="V265" s="2" t="s">
        <v>3091</v>
      </c>
      <c r="W265" s="2" t="s">
        <v>3091</v>
      </c>
      <c r="X265" s="2" t="s">
        <v>3091</v>
      </c>
      <c r="Y265" s="2" t="s">
        <v>3091</v>
      </c>
      <c r="Z265" s="2" t="s">
        <v>3091</v>
      </c>
      <c r="AA265" s="3" t="s">
        <v>3091</v>
      </c>
      <c r="AB265" s="3" t="s">
        <v>3091</v>
      </c>
      <c r="AC265" s="3" t="s">
        <v>3091</v>
      </c>
      <c r="AD265" s="3" t="s">
        <v>3091</v>
      </c>
      <c r="AE265" s="3" t="s">
        <v>3092</v>
      </c>
      <c r="AF265" s="3"/>
      <c r="AG265" s="3"/>
      <c r="AH265" s="3"/>
      <c r="AI265" s="3"/>
      <c r="AJ265" s="3"/>
      <c r="AK265" s="3"/>
    </row>
    <row r="266" spans="1:37" ht="15.75" customHeight="1">
      <c r="A266" s="2" t="s">
        <v>2988</v>
      </c>
      <c r="B266" s="2" t="s">
        <v>2726</v>
      </c>
      <c r="C266" s="3">
        <v>699</v>
      </c>
      <c r="D266" s="2" t="s">
        <v>136</v>
      </c>
      <c r="E266" s="2">
        <f t="shared" si="16"/>
        <v>7</v>
      </c>
      <c r="F266" s="2">
        <f t="shared" si="17"/>
        <v>13</v>
      </c>
      <c r="G266" s="2">
        <f t="shared" si="18"/>
        <v>20</v>
      </c>
      <c r="H266" s="6">
        <f t="shared" si="19"/>
        <v>0.86956521739130399</v>
      </c>
      <c r="I266" s="2" t="s">
        <v>3090</v>
      </c>
      <c r="J266" s="2" t="s">
        <v>3091</v>
      </c>
      <c r="K266" s="2" t="s">
        <v>3091</v>
      </c>
      <c r="L266" s="2" t="s">
        <v>3090</v>
      </c>
      <c r="M266" s="2" t="s">
        <v>3090</v>
      </c>
      <c r="N266" s="2" t="s">
        <v>3090</v>
      </c>
      <c r="O266" s="2" t="s">
        <v>3091</v>
      </c>
      <c r="P266" s="2" t="s">
        <v>3091</v>
      </c>
      <c r="Q266" s="2" t="s">
        <v>3091</v>
      </c>
      <c r="R266" s="2" t="s">
        <v>3090</v>
      </c>
      <c r="S266" s="2" t="s">
        <v>3090</v>
      </c>
      <c r="T266" s="2" t="s">
        <v>3091</v>
      </c>
      <c r="U266" s="2" t="s">
        <v>3091</v>
      </c>
      <c r="V266" s="2" t="s">
        <v>3091</v>
      </c>
      <c r="W266" s="2" t="s">
        <v>3092</v>
      </c>
      <c r="X266" s="2" t="s">
        <v>3091</v>
      </c>
      <c r="Y266" s="2" t="s">
        <v>3091</v>
      </c>
      <c r="Z266" s="2" t="s">
        <v>3090</v>
      </c>
      <c r="AA266" s="3" t="s">
        <v>3091</v>
      </c>
      <c r="AB266" s="3" t="s">
        <v>3091</v>
      </c>
      <c r="AC266" s="3" t="s">
        <v>3091</v>
      </c>
      <c r="AD266" s="3" t="s">
        <v>3092</v>
      </c>
      <c r="AE266" s="3" t="s">
        <v>3092</v>
      </c>
      <c r="AF266" s="3"/>
      <c r="AG266" s="3"/>
      <c r="AH266" s="3"/>
      <c r="AI266" s="3"/>
      <c r="AJ266" s="3"/>
      <c r="AK266" s="3"/>
    </row>
    <row r="267" spans="1:37" ht="15.75" customHeight="1">
      <c r="A267" s="2" t="s">
        <v>2989</v>
      </c>
      <c r="B267" s="2" t="s">
        <v>2726</v>
      </c>
      <c r="C267" s="3">
        <v>783</v>
      </c>
      <c r="D267" s="2" t="s">
        <v>329</v>
      </c>
      <c r="E267" s="2">
        <f t="shared" si="16"/>
        <v>0</v>
      </c>
      <c r="F267" s="2">
        <f t="shared" si="17"/>
        <v>23</v>
      </c>
      <c r="G267" s="2">
        <f t="shared" si="18"/>
        <v>23</v>
      </c>
      <c r="H267" s="6">
        <f t="shared" si="19"/>
        <v>1</v>
      </c>
      <c r="I267" s="2" t="s">
        <v>3091</v>
      </c>
      <c r="J267" s="2" t="s">
        <v>3091</v>
      </c>
      <c r="K267" s="2" t="s">
        <v>3091</v>
      </c>
      <c r="L267" s="2" t="s">
        <v>3091</v>
      </c>
      <c r="M267" s="2" t="s">
        <v>3091</v>
      </c>
      <c r="N267" s="2" t="s">
        <v>3091</v>
      </c>
      <c r="O267" s="2" t="s">
        <v>3091</v>
      </c>
      <c r="P267" s="2" t="s">
        <v>3091</v>
      </c>
      <c r="Q267" s="2" t="s">
        <v>3091</v>
      </c>
      <c r="R267" s="2" t="s">
        <v>3091</v>
      </c>
      <c r="S267" s="2" t="s">
        <v>3091</v>
      </c>
      <c r="T267" s="2" t="s">
        <v>3091</v>
      </c>
      <c r="U267" s="2" t="s">
        <v>3091</v>
      </c>
      <c r="V267" s="2" t="s">
        <v>3091</v>
      </c>
      <c r="W267" s="2" t="s">
        <v>3091</v>
      </c>
      <c r="X267" s="2" t="s">
        <v>3091</v>
      </c>
      <c r="Y267" s="2" t="s">
        <v>3091</v>
      </c>
      <c r="Z267" s="2" t="s">
        <v>3091</v>
      </c>
      <c r="AA267" s="3" t="s">
        <v>3091</v>
      </c>
      <c r="AB267" s="3" t="s">
        <v>3091</v>
      </c>
      <c r="AC267" s="3" t="s">
        <v>3091</v>
      </c>
      <c r="AD267" s="3" t="s">
        <v>3091</v>
      </c>
      <c r="AE267" s="3" t="s">
        <v>3091</v>
      </c>
      <c r="AF267" s="3"/>
      <c r="AG267" s="3"/>
      <c r="AH267" s="3"/>
      <c r="AI267" s="3"/>
      <c r="AJ267" s="3"/>
      <c r="AK267" s="3"/>
    </row>
    <row r="268" spans="1:37" ht="15.75" customHeight="1">
      <c r="A268" s="2" t="s">
        <v>2990</v>
      </c>
      <c r="B268" s="2" t="s">
        <v>2790</v>
      </c>
      <c r="C268" s="3">
        <v>673</v>
      </c>
      <c r="D268" s="2" t="s">
        <v>231</v>
      </c>
      <c r="E268" s="2">
        <f t="shared" si="16"/>
        <v>1</v>
      </c>
      <c r="F268" s="2">
        <f t="shared" si="17"/>
        <v>18</v>
      </c>
      <c r="G268" s="2">
        <f t="shared" si="18"/>
        <v>19</v>
      </c>
      <c r="H268" s="6">
        <f t="shared" si="19"/>
        <v>0.82608695652173902</v>
      </c>
      <c r="I268" s="2" t="s">
        <v>3090</v>
      </c>
      <c r="J268" s="2" t="s">
        <v>3091</v>
      </c>
      <c r="K268" s="2" t="s">
        <v>3091</v>
      </c>
      <c r="L268" s="2" t="s">
        <v>3091</v>
      </c>
      <c r="M268" s="2" t="s">
        <v>3091</v>
      </c>
      <c r="N268" s="2" t="s">
        <v>3091</v>
      </c>
      <c r="O268" s="2" t="s">
        <v>3091</v>
      </c>
      <c r="P268" s="2" t="s">
        <v>3091</v>
      </c>
      <c r="Q268" s="2" t="s">
        <v>3091</v>
      </c>
      <c r="R268" s="2" t="s">
        <v>3091</v>
      </c>
      <c r="S268" s="2" t="s">
        <v>3091</v>
      </c>
      <c r="T268" s="2" t="s">
        <v>3091</v>
      </c>
      <c r="U268" s="2" t="s">
        <v>3091</v>
      </c>
      <c r="V268" s="2" t="s">
        <v>3091</v>
      </c>
      <c r="W268" s="2" t="s">
        <v>3091</v>
      </c>
      <c r="X268" s="2" t="s">
        <v>3091</v>
      </c>
      <c r="Y268" s="2" t="s">
        <v>3091</v>
      </c>
      <c r="Z268" s="2" t="s">
        <v>3091</v>
      </c>
      <c r="AA268" s="3" t="s">
        <v>3091</v>
      </c>
      <c r="AB268" s="3" t="s">
        <v>3092</v>
      </c>
      <c r="AC268" s="3" t="s">
        <v>3092</v>
      </c>
      <c r="AD268" s="3" t="s">
        <v>3092</v>
      </c>
      <c r="AE268" s="3" t="s">
        <v>3092</v>
      </c>
      <c r="AF268" s="3"/>
      <c r="AG268" s="3"/>
      <c r="AH268" s="3"/>
      <c r="AI268" s="3"/>
      <c r="AJ268" s="3"/>
      <c r="AK268" s="3"/>
    </row>
    <row r="269" spans="1:37" ht="15.75" customHeight="1">
      <c r="A269" s="2" t="s">
        <v>2991</v>
      </c>
      <c r="B269" s="2" t="s">
        <v>2992</v>
      </c>
      <c r="C269" s="3">
        <v>734</v>
      </c>
      <c r="D269" s="2" t="s">
        <v>701</v>
      </c>
      <c r="E269" s="2">
        <f t="shared" si="16"/>
        <v>16</v>
      </c>
      <c r="F269" s="2">
        <f t="shared" si="17"/>
        <v>0</v>
      </c>
      <c r="G269" s="2">
        <f t="shared" si="18"/>
        <v>16</v>
      </c>
      <c r="H269" s="6">
        <f t="shared" si="19"/>
        <v>0.69565217391304301</v>
      </c>
      <c r="I269" s="2" t="s">
        <v>3090</v>
      </c>
      <c r="J269" s="2" t="s">
        <v>3090</v>
      </c>
      <c r="K269" s="2" t="s">
        <v>3090</v>
      </c>
      <c r="L269" s="2" t="s">
        <v>3090</v>
      </c>
      <c r="M269" s="2" t="s">
        <v>3092</v>
      </c>
      <c r="N269" s="2" t="s">
        <v>3090</v>
      </c>
      <c r="O269" s="2" t="s">
        <v>3092</v>
      </c>
      <c r="P269" s="2" t="s">
        <v>3092</v>
      </c>
      <c r="Q269" s="2" t="s">
        <v>3090</v>
      </c>
      <c r="R269" s="2" t="s">
        <v>3090</v>
      </c>
      <c r="S269" s="2" t="s">
        <v>3090</v>
      </c>
      <c r="T269" s="2" t="s">
        <v>3092</v>
      </c>
      <c r="U269" s="2" t="s">
        <v>3090</v>
      </c>
      <c r="V269" s="2" t="s">
        <v>3090</v>
      </c>
      <c r="W269" s="2" t="s">
        <v>3092</v>
      </c>
      <c r="X269" s="2" t="s">
        <v>3092</v>
      </c>
      <c r="Y269" s="2" t="s">
        <v>3090</v>
      </c>
      <c r="Z269" s="2" t="s">
        <v>3090</v>
      </c>
      <c r="AA269" s="3" t="s">
        <v>3092</v>
      </c>
      <c r="AB269" s="3" t="s">
        <v>3090</v>
      </c>
      <c r="AC269" s="3" t="s">
        <v>3090</v>
      </c>
      <c r="AD269" s="3" t="s">
        <v>3090</v>
      </c>
      <c r="AE269" s="3" t="s">
        <v>3090</v>
      </c>
      <c r="AF269" s="3"/>
      <c r="AG269" s="3"/>
      <c r="AH269" s="3"/>
      <c r="AI269" s="3"/>
      <c r="AJ269" s="3"/>
      <c r="AK269" s="3"/>
    </row>
    <row r="270" spans="1:37" ht="15.75" customHeight="1">
      <c r="A270" s="2" t="s">
        <v>2993</v>
      </c>
      <c r="B270" s="2" t="s">
        <v>2994</v>
      </c>
      <c r="C270" s="3">
        <v>650</v>
      </c>
      <c r="D270" s="2" t="s">
        <v>419</v>
      </c>
      <c r="E270" s="2">
        <f t="shared" si="16"/>
        <v>12</v>
      </c>
      <c r="F270" s="2">
        <f t="shared" si="17"/>
        <v>6</v>
      </c>
      <c r="G270" s="2">
        <f t="shared" si="18"/>
        <v>18</v>
      </c>
      <c r="H270" s="6">
        <f t="shared" si="19"/>
        <v>0.78260869565217395</v>
      </c>
      <c r="I270" s="2" t="s">
        <v>3090</v>
      </c>
      <c r="J270" s="2" t="s">
        <v>3090</v>
      </c>
      <c r="K270" s="2" t="s">
        <v>3090</v>
      </c>
      <c r="L270" s="2" t="s">
        <v>3090</v>
      </c>
      <c r="M270" s="2" t="s">
        <v>3090</v>
      </c>
      <c r="N270" s="2" t="s">
        <v>3090</v>
      </c>
      <c r="O270" s="2" t="s">
        <v>3092</v>
      </c>
      <c r="P270" s="2" t="s">
        <v>3092</v>
      </c>
      <c r="Q270" s="2" t="s">
        <v>3090</v>
      </c>
      <c r="R270" s="2" t="s">
        <v>3091</v>
      </c>
      <c r="S270" s="2" t="s">
        <v>3090</v>
      </c>
      <c r="T270" s="2" t="s">
        <v>3092</v>
      </c>
      <c r="U270" s="2" t="s">
        <v>3090</v>
      </c>
      <c r="V270" s="2" t="s">
        <v>3090</v>
      </c>
      <c r="W270" s="2" t="s">
        <v>3091</v>
      </c>
      <c r="X270" s="2" t="s">
        <v>3092</v>
      </c>
      <c r="Y270" s="2" t="s">
        <v>3090</v>
      </c>
      <c r="Z270" s="2" t="s">
        <v>3091</v>
      </c>
      <c r="AA270" s="3" t="s">
        <v>3092</v>
      </c>
      <c r="AB270" s="3" t="s">
        <v>3091</v>
      </c>
      <c r="AC270" s="3" t="s">
        <v>3091</v>
      </c>
      <c r="AD270" s="3" t="s">
        <v>3091</v>
      </c>
      <c r="AE270" s="3" t="s">
        <v>3090</v>
      </c>
      <c r="AF270" s="3"/>
      <c r="AG270" s="3"/>
      <c r="AH270" s="3"/>
      <c r="AI270" s="3"/>
      <c r="AJ270" s="3"/>
      <c r="AK270" s="3"/>
    </row>
    <row r="271" spans="1:37" ht="15.75" customHeight="1">
      <c r="A271" s="2" t="s">
        <v>2995</v>
      </c>
      <c r="B271" s="2" t="s">
        <v>2996</v>
      </c>
      <c r="C271" s="3">
        <v>780</v>
      </c>
      <c r="D271" s="2" t="s">
        <v>769</v>
      </c>
      <c r="E271" s="2">
        <f t="shared" si="16"/>
        <v>14</v>
      </c>
      <c r="F271" s="2">
        <f t="shared" si="17"/>
        <v>9</v>
      </c>
      <c r="G271" s="2">
        <f t="shared" si="18"/>
        <v>23</v>
      </c>
      <c r="H271" s="6">
        <f t="shared" si="19"/>
        <v>1</v>
      </c>
      <c r="I271" s="2" t="s">
        <v>3090</v>
      </c>
      <c r="J271" s="2" t="s">
        <v>3090</v>
      </c>
      <c r="K271" s="2" t="s">
        <v>3090</v>
      </c>
      <c r="L271" s="2" t="s">
        <v>3090</v>
      </c>
      <c r="M271" s="2" t="s">
        <v>3090</v>
      </c>
      <c r="N271" s="2" t="s">
        <v>3090</v>
      </c>
      <c r="O271" s="2" t="s">
        <v>3091</v>
      </c>
      <c r="P271" s="2" t="s">
        <v>3091</v>
      </c>
      <c r="Q271" s="2" t="s">
        <v>3090</v>
      </c>
      <c r="R271" s="2" t="s">
        <v>3090</v>
      </c>
      <c r="S271" s="2" t="s">
        <v>3090</v>
      </c>
      <c r="T271" s="2" t="s">
        <v>3091</v>
      </c>
      <c r="U271" s="2" t="s">
        <v>3091</v>
      </c>
      <c r="V271" s="2" t="s">
        <v>3091</v>
      </c>
      <c r="W271" s="2" t="s">
        <v>3091</v>
      </c>
      <c r="X271" s="2" t="s">
        <v>3091</v>
      </c>
      <c r="Y271" s="2" t="s">
        <v>3090</v>
      </c>
      <c r="Z271" s="2" t="s">
        <v>3090</v>
      </c>
      <c r="AA271" s="3" t="s">
        <v>3091</v>
      </c>
      <c r="AB271" s="3" t="s">
        <v>3090</v>
      </c>
      <c r="AC271" s="3" t="s">
        <v>3090</v>
      </c>
      <c r="AD271" s="3" t="s">
        <v>3090</v>
      </c>
      <c r="AE271" s="3" t="s">
        <v>3091</v>
      </c>
      <c r="AF271" s="3"/>
      <c r="AG271" s="3"/>
      <c r="AH271" s="3"/>
      <c r="AI271" s="3"/>
      <c r="AJ271" s="3"/>
      <c r="AK271" s="3"/>
    </row>
    <row r="272" spans="1:37" ht="15.75" customHeight="1">
      <c r="A272" s="2" t="s">
        <v>2997</v>
      </c>
      <c r="B272" s="2" t="s">
        <v>2693</v>
      </c>
      <c r="C272" s="3">
        <v>362</v>
      </c>
      <c r="D272" s="2" t="s">
        <v>375</v>
      </c>
      <c r="E272" s="2">
        <f t="shared" si="16"/>
        <v>13</v>
      </c>
      <c r="F272" s="2">
        <f t="shared" si="17"/>
        <v>9</v>
      </c>
      <c r="G272" s="2">
        <f t="shared" si="18"/>
        <v>22</v>
      </c>
      <c r="H272" s="6">
        <f t="shared" si="19"/>
        <v>0.95652173913043503</v>
      </c>
      <c r="I272" s="2" t="s">
        <v>3090</v>
      </c>
      <c r="J272" s="2" t="s">
        <v>3090</v>
      </c>
      <c r="K272" s="2" t="s">
        <v>3090</v>
      </c>
      <c r="L272" s="2" t="s">
        <v>3090</v>
      </c>
      <c r="M272" s="2" t="s">
        <v>3090</v>
      </c>
      <c r="N272" s="2" t="s">
        <v>3090</v>
      </c>
      <c r="O272" s="2" t="s">
        <v>3091</v>
      </c>
      <c r="P272" s="2" t="s">
        <v>3091</v>
      </c>
      <c r="Q272" s="2" t="s">
        <v>3091</v>
      </c>
      <c r="R272" s="2" t="s">
        <v>3090</v>
      </c>
      <c r="S272" s="2" t="s">
        <v>3090</v>
      </c>
      <c r="T272" s="2" t="s">
        <v>3091</v>
      </c>
      <c r="U272" s="2" t="s">
        <v>3090</v>
      </c>
      <c r="V272" s="2" t="s">
        <v>3090</v>
      </c>
      <c r="W272" s="2" t="s">
        <v>3091</v>
      </c>
      <c r="X272" s="2" t="s">
        <v>3091</v>
      </c>
      <c r="Y272" s="2" t="s">
        <v>3091</v>
      </c>
      <c r="Z272" s="2" t="s">
        <v>3090</v>
      </c>
      <c r="AA272" s="3" t="s">
        <v>3091</v>
      </c>
      <c r="AB272" s="3" t="s">
        <v>3090</v>
      </c>
      <c r="AC272" s="3" t="s">
        <v>3091</v>
      </c>
      <c r="AD272" s="3" t="s">
        <v>3090</v>
      </c>
      <c r="AE272" s="3" t="s">
        <v>3092</v>
      </c>
      <c r="AF272" s="3"/>
      <c r="AG272" s="3"/>
      <c r="AH272" s="3"/>
      <c r="AI272" s="3"/>
      <c r="AJ272" s="3"/>
      <c r="AK272" s="3"/>
    </row>
    <row r="273" spans="1:37" ht="15.75" customHeight="1">
      <c r="A273" s="2" t="s">
        <v>2998</v>
      </c>
      <c r="B273" s="2" t="s">
        <v>2999</v>
      </c>
      <c r="C273" s="3">
        <v>598</v>
      </c>
      <c r="D273" s="2" t="s">
        <v>377</v>
      </c>
      <c r="E273" s="2">
        <f t="shared" si="16"/>
        <v>14</v>
      </c>
      <c r="F273" s="2">
        <f t="shared" si="17"/>
        <v>9</v>
      </c>
      <c r="G273" s="2">
        <f t="shared" si="18"/>
        <v>23</v>
      </c>
      <c r="H273" s="6">
        <f t="shared" si="19"/>
        <v>1</v>
      </c>
      <c r="I273" s="2" t="s">
        <v>3090</v>
      </c>
      <c r="J273" s="2" t="s">
        <v>3090</v>
      </c>
      <c r="K273" s="2" t="s">
        <v>3090</v>
      </c>
      <c r="L273" s="2" t="s">
        <v>3090</v>
      </c>
      <c r="M273" s="2" t="s">
        <v>3090</v>
      </c>
      <c r="N273" s="2" t="s">
        <v>3090</v>
      </c>
      <c r="O273" s="2" t="s">
        <v>3091</v>
      </c>
      <c r="P273" s="2" t="s">
        <v>3091</v>
      </c>
      <c r="Q273" s="2" t="s">
        <v>3090</v>
      </c>
      <c r="R273" s="2" t="s">
        <v>3090</v>
      </c>
      <c r="S273" s="2" t="s">
        <v>3090</v>
      </c>
      <c r="T273" s="2" t="s">
        <v>3091</v>
      </c>
      <c r="U273" s="2" t="s">
        <v>3090</v>
      </c>
      <c r="V273" s="2" t="s">
        <v>3091</v>
      </c>
      <c r="W273" s="2" t="s">
        <v>3091</v>
      </c>
      <c r="X273" s="2" t="s">
        <v>3091</v>
      </c>
      <c r="Y273" s="2" t="s">
        <v>3090</v>
      </c>
      <c r="Z273" s="2" t="s">
        <v>3090</v>
      </c>
      <c r="AA273" s="3" t="s">
        <v>3091</v>
      </c>
      <c r="AB273" s="3" t="s">
        <v>3090</v>
      </c>
      <c r="AC273" s="3" t="s">
        <v>3091</v>
      </c>
      <c r="AD273" s="3" t="s">
        <v>3090</v>
      </c>
      <c r="AE273" s="3" t="s">
        <v>3091</v>
      </c>
      <c r="AF273" s="3"/>
      <c r="AG273" s="3"/>
      <c r="AH273" s="3"/>
      <c r="AI273" s="3"/>
      <c r="AJ273" s="3"/>
      <c r="AK273" s="3"/>
    </row>
    <row r="274" spans="1:37" ht="15.75" customHeight="1">
      <c r="A274" s="2" t="s">
        <v>3000</v>
      </c>
      <c r="B274" s="2" t="s">
        <v>2746</v>
      </c>
      <c r="C274" s="3">
        <v>603</v>
      </c>
      <c r="D274" s="2" t="s">
        <v>379</v>
      </c>
      <c r="E274" s="2">
        <f t="shared" si="16"/>
        <v>17</v>
      </c>
      <c r="F274" s="2">
        <f t="shared" si="17"/>
        <v>4</v>
      </c>
      <c r="G274" s="2">
        <f t="shared" si="18"/>
        <v>21</v>
      </c>
      <c r="H274" s="6">
        <f t="shared" si="19"/>
        <v>0.91304347826086996</v>
      </c>
      <c r="I274" s="2" t="s">
        <v>3090</v>
      </c>
      <c r="J274" s="2" t="s">
        <v>3090</v>
      </c>
      <c r="K274" s="2" t="s">
        <v>3090</v>
      </c>
      <c r="L274" s="2" t="s">
        <v>3090</v>
      </c>
      <c r="M274" s="2" t="s">
        <v>3090</v>
      </c>
      <c r="N274" s="2" t="s">
        <v>3090</v>
      </c>
      <c r="O274" s="2" t="s">
        <v>3091</v>
      </c>
      <c r="P274" s="2" t="s">
        <v>3091</v>
      </c>
      <c r="Q274" s="2" t="s">
        <v>3090</v>
      </c>
      <c r="R274" s="2" t="s">
        <v>3090</v>
      </c>
      <c r="S274" s="2" t="s">
        <v>3090</v>
      </c>
      <c r="T274" s="2" t="s">
        <v>3092</v>
      </c>
      <c r="U274" s="2" t="s">
        <v>3090</v>
      </c>
      <c r="V274" s="2" t="s">
        <v>3090</v>
      </c>
      <c r="W274" s="2" t="s">
        <v>3092</v>
      </c>
      <c r="X274" s="2" t="s">
        <v>3091</v>
      </c>
      <c r="Y274" s="2" t="s">
        <v>3090</v>
      </c>
      <c r="Z274" s="2" t="s">
        <v>3090</v>
      </c>
      <c r="AA274" s="3" t="s">
        <v>3091</v>
      </c>
      <c r="AB274" s="3" t="s">
        <v>3090</v>
      </c>
      <c r="AC274" s="3" t="s">
        <v>3090</v>
      </c>
      <c r="AD274" s="3" t="s">
        <v>3090</v>
      </c>
      <c r="AE274" s="3" t="s">
        <v>3090</v>
      </c>
      <c r="AF274" s="3"/>
      <c r="AG274" s="3"/>
      <c r="AH274" s="3"/>
      <c r="AI274" s="3"/>
      <c r="AJ274" s="3"/>
      <c r="AK274" s="3"/>
    </row>
    <row r="275" spans="1:37" ht="15.75" customHeight="1">
      <c r="A275" s="2" t="s">
        <v>3001</v>
      </c>
      <c r="B275" s="2" t="s">
        <v>2929</v>
      </c>
      <c r="C275" s="3">
        <v>288</v>
      </c>
      <c r="D275" s="2" t="s">
        <v>493</v>
      </c>
      <c r="E275" s="2">
        <f t="shared" si="16"/>
        <v>15</v>
      </c>
      <c r="F275" s="2">
        <f t="shared" si="17"/>
        <v>8</v>
      </c>
      <c r="G275" s="2">
        <f t="shared" si="18"/>
        <v>23</v>
      </c>
      <c r="H275" s="6">
        <f t="shared" si="19"/>
        <v>1</v>
      </c>
      <c r="I275" s="2" t="s">
        <v>3091</v>
      </c>
      <c r="J275" s="2" t="s">
        <v>3090</v>
      </c>
      <c r="K275" s="2" t="s">
        <v>3090</v>
      </c>
      <c r="L275" s="2" t="s">
        <v>3090</v>
      </c>
      <c r="M275" s="2" t="s">
        <v>3090</v>
      </c>
      <c r="N275" s="2" t="s">
        <v>3090</v>
      </c>
      <c r="O275" s="2" t="s">
        <v>3091</v>
      </c>
      <c r="P275" s="2" t="s">
        <v>3091</v>
      </c>
      <c r="Q275" s="2" t="s">
        <v>3090</v>
      </c>
      <c r="R275" s="2" t="s">
        <v>3090</v>
      </c>
      <c r="S275" s="2" t="s">
        <v>3091</v>
      </c>
      <c r="T275" s="2" t="s">
        <v>3091</v>
      </c>
      <c r="U275" s="2" t="s">
        <v>3090</v>
      </c>
      <c r="V275" s="2" t="s">
        <v>3090</v>
      </c>
      <c r="W275" s="2" t="s">
        <v>3091</v>
      </c>
      <c r="X275" s="2" t="s">
        <v>3091</v>
      </c>
      <c r="Y275" s="2" t="s">
        <v>3090</v>
      </c>
      <c r="Z275" s="2" t="s">
        <v>3090</v>
      </c>
      <c r="AA275" s="3" t="s">
        <v>3091</v>
      </c>
      <c r="AB275" s="3" t="s">
        <v>3090</v>
      </c>
      <c r="AC275" s="3" t="s">
        <v>3090</v>
      </c>
      <c r="AD275" s="3" t="s">
        <v>3090</v>
      </c>
      <c r="AE275" s="3" t="s">
        <v>3090</v>
      </c>
      <c r="AF275" s="3"/>
      <c r="AG275" s="3"/>
      <c r="AH275" s="3"/>
      <c r="AI275" s="3"/>
      <c r="AJ275" s="3"/>
      <c r="AK275" s="3"/>
    </row>
    <row r="276" spans="1:37" ht="15.75" customHeight="1">
      <c r="A276" s="2" t="s">
        <v>3002</v>
      </c>
      <c r="B276" s="2" t="s">
        <v>3003</v>
      </c>
      <c r="C276" s="3">
        <v>588</v>
      </c>
      <c r="D276" s="2" t="s">
        <v>96</v>
      </c>
      <c r="E276" s="2">
        <f t="shared" si="16"/>
        <v>8</v>
      </c>
      <c r="F276" s="2">
        <f t="shared" si="17"/>
        <v>14</v>
      </c>
      <c r="G276" s="2">
        <f t="shared" si="18"/>
        <v>22</v>
      </c>
      <c r="H276" s="6">
        <f t="shared" si="19"/>
        <v>0.95652173913043503</v>
      </c>
      <c r="I276" s="2" t="s">
        <v>3090</v>
      </c>
      <c r="J276" s="2" t="s">
        <v>3090</v>
      </c>
      <c r="K276" s="2" t="s">
        <v>3090</v>
      </c>
      <c r="L276" s="2" t="s">
        <v>3090</v>
      </c>
      <c r="M276" s="2" t="s">
        <v>3090</v>
      </c>
      <c r="N276" s="2" t="s">
        <v>3090</v>
      </c>
      <c r="O276" s="2" t="s">
        <v>3091</v>
      </c>
      <c r="P276" s="2" t="s">
        <v>3091</v>
      </c>
      <c r="Q276" s="2" t="s">
        <v>3091</v>
      </c>
      <c r="R276" s="2" t="s">
        <v>3091</v>
      </c>
      <c r="S276" s="2" t="s">
        <v>3091</v>
      </c>
      <c r="T276" s="2" t="s">
        <v>3091</v>
      </c>
      <c r="U276" s="2" t="s">
        <v>3091</v>
      </c>
      <c r="V276" s="2" t="s">
        <v>3091</v>
      </c>
      <c r="W276" s="2" t="s">
        <v>3091</v>
      </c>
      <c r="X276" s="2" t="s">
        <v>3091</v>
      </c>
      <c r="Y276" s="2" t="s">
        <v>3091</v>
      </c>
      <c r="Z276" s="2" t="s">
        <v>3091</v>
      </c>
      <c r="AA276" s="3" t="s">
        <v>3091</v>
      </c>
      <c r="AB276" s="3" t="s">
        <v>3090</v>
      </c>
      <c r="AC276" s="3" t="s">
        <v>3090</v>
      </c>
      <c r="AD276" s="3" t="s">
        <v>3091</v>
      </c>
      <c r="AE276" s="3" t="s">
        <v>3092</v>
      </c>
      <c r="AF276" s="3"/>
      <c r="AG276" s="3"/>
      <c r="AH276" s="3"/>
      <c r="AI276" s="3"/>
      <c r="AJ276" s="3"/>
      <c r="AK276" s="3"/>
    </row>
    <row r="277" spans="1:37" ht="15.75" customHeight="1">
      <c r="A277" s="2" t="s">
        <v>3004</v>
      </c>
      <c r="B277" s="2" t="s">
        <v>2779</v>
      </c>
      <c r="C277" s="3">
        <v>724</v>
      </c>
      <c r="D277" s="2" t="s">
        <v>537</v>
      </c>
      <c r="E277" s="2">
        <f t="shared" si="16"/>
        <v>4</v>
      </c>
      <c r="F277" s="2">
        <f t="shared" si="17"/>
        <v>18</v>
      </c>
      <c r="G277" s="2">
        <f t="shared" si="18"/>
        <v>22</v>
      </c>
      <c r="H277" s="6">
        <f t="shared" si="19"/>
        <v>0.95652173913043503</v>
      </c>
      <c r="I277" s="2" t="s">
        <v>3090</v>
      </c>
      <c r="J277" s="2" t="s">
        <v>3090</v>
      </c>
      <c r="K277" s="2" t="s">
        <v>3091</v>
      </c>
      <c r="L277" s="2" t="s">
        <v>3091</v>
      </c>
      <c r="M277" s="2" t="s">
        <v>3091</v>
      </c>
      <c r="N277" s="2" t="s">
        <v>3091</v>
      </c>
      <c r="O277" s="2" t="s">
        <v>3091</v>
      </c>
      <c r="P277" s="2" t="s">
        <v>3091</v>
      </c>
      <c r="Q277" s="2" t="s">
        <v>3091</v>
      </c>
      <c r="R277" s="2" t="s">
        <v>3091</v>
      </c>
      <c r="S277" s="2" t="s">
        <v>3091</v>
      </c>
      <c r="T277" s="2" t="s">
        <v>3091</v>
      </c>
      <c r="U277" s="2" t="s">
        <v>3091</v>
      </c>
      <c r="V277" s="2" t="s">
        <v>3091</v>
      </c>
      <c r="W277" s="2" t="s">
        <v>3091</v>
      </c>
      <c r="X277" s="2" t="s">
        <v>3092</v>
      </c>
      <c r="Y277" s="2" t="s">
        <v>3090</v>
      </c>
      <c r="Z277" s="2" t="s">
        <v>3091</v>
      </c>
      <c r="AA277" s="3" t="s">
        <v>3091</v>
      </c>
      <c r="AB277" s="3" t="s">
        <v>3091</v>
      </c>
      <c r="AC277" s="3" t="s">
        <v>3091</v>
      </c>
      <c r="AD277" s="3" t="s">
        <v>3091</v>
      </c>
      <c r="AE277" s="3" t="s">
        <v>3090</v>
      </c>
      <c r="AF277" s="3"/>
      <c r="AG277" s="3"/>
      <c r="AH277" s="3"/>
      <c r="AI277" s="3"/>
      <c r="AJ277" s="3"/>
      <c r="AK277" s="3"/>
    </row>
    <row r="278" spans="1:37" ht="15.75" customHeight="1">
      <c r="A278" s="2" t="s">
        <v>3005</v>
      </c>
      <c r="B278" s="2" t="s">
        <v>2671</v>
      </c>
      <c r="C278" s="3">
        <v>253</v>
      </c>
      <c r="D278" s="2" t="s">
        <v>605</v>
      </c>
      <c r="E278" s="2">
        <f t="shared" si="16"/>
        <v>3</v>
      </c>
      <c r="F278" s="2">
        <f t="shared" si="17"/>
        <v>9</v>
      </c>
      <c r="G278" s="2">
        <f t="shared" si="18"/>
        <v>12</v>
      </c>
      <c r="H278" s="6">
        <f t="shared" si="19"/>
        <v>0.52173913043478304</v>
      </c>
      <c r="I278" s="2" t="s">
        <v>3091</v>
      </c>
      <c r="J278" s="2" t="s">
        <v>3091</v>
      </c>
      <c r="K278" s="2" t="s">
        <v>3091</v>
      </c>
      <c r="L278" s="2" t="s">
        <v>3091</v>
      </c>
      <c r="M278" s="2" t="s">
        <v>3091</v>
      </c>
      <c r="N278" s="2" t="s">
        <v>3091</v>
      </c>
      <c r="O278" s="2" t="s">
        <v>3091</v>
      </c>
      <c r="P278" s="2" t="s">
        <v>3091</v>
      </c>
      <c r="Q278" s="2" t="s">
        <v>3090</v>
      </c>
      <c r="R278" s="2" t="s">
        <v>3091</v>
      </c>
      <c r="S278" s="2" t="s">
        <v>3092</v>
      </c>
      <c r="T278" s="2" t="s">
        <v>3092</v>
      </c>
      <c r="U278" s="2" t="s">
        <v>3092</v>
      </c>
      <c r="V278" s="2" t="s">
        <v>3092</v>
      </c>
      <c r="W278" s="2" t="s">
        <v>3092</v>
      </c>
      <c r="X278" s="2" t="s">
        <v>3092</v>
      </c>
      <c r="Y278" s="2" t="s">
        <v>3092</v>
      </c>
      <c r="Z278" s="2" t="s">
        <v>3092</v>
      </c>
      <c r="AA278" s="3" t="s">
        <v>3092</v>
      </c>
      <c r="AB278" s="3" t="s">
        <v>3092</v>
      </c>
      <c r="AC278" s="3" t="s">
        <v>3092</v>
      </c>
      <c r="AD278" s="3" t="s">
        <v>3090</v>
      </c>
      <c r="AE278" s="3" t="s">
        <v>3090</v>
      </c>
      <c r="AF278" s="3"/>
      <c r="AG278" s="3"/>
      <c r="AH278" s="3"/>
      <c r="AI278" s="3"/>
      <c r="AJ278" s="3"/>
      <c r="AK278" s="3"/>
    </row>
    <row r="279" spans="1:37" ht="15.75" customHeight="1">
      <c r="A279" s="2" t="s">
        <v>3005</v>
      </c>
      <c r="B279" s="2" t="s">
        <v>2732</v>
      </c>
      <c r="C279" s="3">
        <v>291</v>
      </c>
      <c r="D279" s="2" t="s">
        <v>332</v>
      </c>
      <c r="E279" s="2">
        <f t="shared" si="16"/>
        <v>11</v>
      </c>
      <c r="F279" s="2">
        <f t="shared" si="17"/>
        <v>12</v>
      </c>
      <c r="G279" s="2">
        <f t="shared" si="18"/>
        <v>23</v>
      </c>
      <c r="H279" s="6">
        <f t="shared" si="19"/>
        <v>1</v>
      </c>
      <c r="I279" s="2" t="s">
        <v>3090</v>
      </c>
      <c r="J279" s="2" t="s">
        <v>3090</v>
      </c>
      <c r="K279" s="2" t="s">
        <v>3090</v>
      </c>
      <c r="L279" s="2" t="s">
        <v>3090</v>
      </c>
      <c r="M279" s="2" t="s">
        <v>3090</v>
      </c>
      <c r="N279" s="2" t="s">
        <v>3090</v>
      </c>
      <c r="O279" s="2" t="s">
        <v>3091</v>
      </c>
      <c r="P279" s="2" t="s">
        <v>3091</v>
      </c>
      <c r="Q279" s="2" t="s">
        <v>3090</v>
      </c>
      <c r="R279" s="2" t="s">
        <v>3090</v>
      </c>
      <c r="S279" s="2" t="s">
        <v>3090</v>
      </c>
      <c r="T279" s="2" t="s">
        <v>3091</v>
      </c>
      <c r="U279" s="2" t="s">
        <v>3091</v>
      </c>
      <c r="V279" s="2" t="s">
        <v>3090</v>
      </c>
      <c r="W279" s="2" t="s">
        <v>3091</v>
      </c>
      <c r="X279" s="2" t="s">
        <v>3091</v>
      </c>
      <c r="Y279" s="2" t="s">
        <v>3090</v>
      </c>
      <c r="Z279" s="2" t="s">
        <v>3091</v>
      </c>
      <c r="AA279" s="3" t="s">
        <v>3091</v>
      </c>
      <c r="AB279" s="3" t="s">
        <v>3091</v>
      </c>
      <c r="AC279" s="3" t="s">
        <v>3091</v>
      </c>
      <c r="AD279" s="3" t="s">
        <v>3091</v>
      </c>
      <c r="AE279" s="3" t="s">
        <v>3091</v>
      </c>
      <c r="AF279" s="3"/>
      <c r="AG279" s="3"/>
      <c r="AH279" s="3"/>
      <c r="AI279" s="3"/>
      <c r="AJ279" s="3"/>
      <c r="AK279" s="3"/>
    </row>
    <row r="280" spans="1:37" ht="15.75" customHeight="1">
      <c r="A280" s="2" t="s">
        <v>2811</v>
      </c>
      <c r="B280" s="2" t="s">
        <v>3006</v>
      </c>
      <c r="C280" s="3">
        <v>679</v>
      </c>
      <c r="D280" s="2" t="s">
        <v>411</v>
      </c>
      <c r="E280" s="2">
        <f t="shared" si="16"/>
        <v>17</v>
      </c>
      <c r="F280" s="2">
        <f t="shared" si="17"/>
        <v>6</v>
      </c>
      <c r="G280" s="2">
        <f t="shared" si="18"/>
        <v>23</v>
      </c>
      <c r="H280" s="6">
        <f t="shared" si="19"/>
        <v>1</v>
      </c>
      <c r="I280" s="2" t="s">
        <v>3090</v>
      </c>
      <c r="J280" s="2" t="s">
        <v>3090</v>
      </c>
      <c r="K280" s="2" t="s">
        <v>3090</v>
      </c>
      <c r="L280" s="2" t="s">
        <v>3090</v>
      </c>
      <c r="M280" s="2" t="s">
        <v>3090</v>
      </c>
      <c r="N280" s="2" t="s">
        <v>3090</v>
      </c>
      <c r="O280" s="2" t="s">
        <v>3091</v>
      </c>
      <c r="P280" s="2" t="s">
        <v>3091</v>
      </c>
      <c r="Q280" s="2" t="s">
        <v>3090</v>
      </c>
      <c r="R280" s="2" t="s">
        <v>3090</v>
      </c>
      <c r="S280" s="2" t="s">
        <v>3090</v>
      </c>
      <c r="T280" s="2" t="s">
        <v>3091</v>
      </c>
      <c r="U280" s="2" t="s">
        <v>3090</v>
      </c>
      <c r="V280" s="2" t="s">
        <v>3090</v>
      </c>
      <c r="W280" s="2" t="s">
        <v>3091</v>
      </c>
      <c r="X280" s="2" t="s">
        <v>3091</v>
      </c>
      <c r="Y280" s="2" t="s">
        <v>3090</v>
      </c>
      <c r="Z280" s="2" t="s">
        <v>3090</v>
      </c>
      <c r="AA280" s="3" t="s">
        <v>3091</v>
      </c>
      <c r="AB280" s="3" t="s">
        <v>3090</v>
      </c>
      <c r="AC280" s="3" t="s">
        <v>3090</v>
      </c>
      <c r="AD280" s="3" t="s">
        <v>3090</v>
      </c>
      <c r="AE280" s="3" t="s">
        <v>3090</v>
      </c>
      <c r="AF280" s="3"/>
      <c r="AG280" s="3"/>
      <c r="AH280" s="3"/>
      <c r="AI280" s="3"/>
      <c r="AJ280" s="3"/>
      <c r="AK280" s="3"/>
    </row>
    <row r="281" spans="1:37" ht="15.75" customHeight="1">
      <c r="A281" s="2" t="s">
        <v>2942</v>
      </c>
      <c r="B281" s="2" t="s">
        <v>3007</v>
      </c>
      <c r="C281" s="3">
        <v>395</v>
      </c>
      <c r="D281" s="2" t="s">
        <v>446</v>
      </c>
      <c r="E281" s="2">
        <f t="shared" si="16"/>
        <v>6</v>
      </c>
      <c r="F281" s="2">
        <f t="shared" si="17"/>
        <v>17</v>
      </c>
      <c r="G281" s="2">
        <f t="shared" si="18"/>
        <v>23</v>
      </c>
      <c r="H281" s="6">
        <f t="shared" si="19"/>
        <v>1</v>
      </c>
      <c r="I281" s="2" t="s">
        <v>3091</v>
      </c>
      <c r="J281" s="2" t="s">
        <v>3091</v>
      </c>
      <c r="K281" s="2" t="s">
        <v>3091</v>
      </c>
      <c r="L281" s="2" t="s">
        <v>3091</v>
      </c>
      <c r="M281" s="2" t="s">
        <v>3091</v>
      </c>
      <c r="N281" s="2" t="s">
        <v>3091</v>
      </c>
      <c r="O281" s="2" t="s">
        <v>3091</v>
      </c>
      <c r="P281" s="2" t="s">
        <v>3091</v>
      </c>
      <c r="Q281" s="2" t="s">
        <v>3091</v>
      </c>
      <c r="R281" s="2" t="s">
        <v>3091</v>
      </c>
      <c r="S281" s="2" t="s">
        <v>3091</v>
      </c>
      <c r="T281" s="2" t="s">
        <v>3091</v>
      </c>
      <c r="U281" s="2" t="s">
        <v>3091</v>
      </c>
      <c r="V281" s="2" t="s">
        <v>3091</v>
      </c>
      <c r="W281" s="2" t="s">
        <v>3091</v>
      </c>
      <c r="X281" s="2" t="s">
        <v>3091</v>
      </c>
      <c r="Y281" s="2" t="s">
        <v>3090</v>
      </c>
      <c r="Z281" s="2" t="s">
        <v>3090</v>
      </c>
      <c r="AA281" s="3" t="s">
        <v>3091</v>
      </c>
      <c r="AB281" s="3" t="s">
        <v>3090</v>
      </c>
      <c r="AC281" s="3" t="s">
        <v>3090</v>
      </c>
      <c r="AD281" s="3" t="s">
        <v>3090</v>
      </c>
      <c r="AE281" s="3" t="s">
        <v>3090</v>
      </c>
      <c r="AF281" s="3"/>
      <c r="AG281" s="3"/>
      <c r="AH281" s="3"/>
      <c r="AI281" s="3"/>
      <c r="AJ281" s="3"/>
      <c r="AK281" s="3"/>
    </row>
    <row r="282" spans="1:37" ht="15.75" customHeight="1">
      <c r="A282" s="2" t="s">
        <v>3008</v>
      </c>
      <c r="B282" s="2" t="s">
        <v>2726</v>
      </c>
      <c r="C282" s="3">
        <v>646</v>
      </c>
      <c r="D282" s="2" t="s">
        <v>570</v>
      </c>
      <c r="E282" s="2">
        <f t="shared" si="16"/>
        <v>11</v>
      </c>
      <c r="F282" s="2">
        <f t="shared" si="17"/>
        <v>12</v>
      </c>
      <c r="G282" s="2">
        <f t="shared" si="18"/>
        <v>23</v>
      </c>
      <c r="H282" s="6">
        <f t="shared" si="19"/>
        <v>1</v>
      </c>
      <c r="I282" s="2" t="s">
        <v>3090</v>
      </c>
      <c r="J282" s="2" t="s">
        <v>3090</v>
      </c>
      <c r="K282" s="2" t="s">
        <v>3090</v>
      </c>
      <c r="L282" s="2" t="s">
        <v>3090</v>
      </c>
      <c r="M282" s="2" t="s">
        <v>3090</v>
      </c>
      <c r="N282" s="2" t="s">
        <v>3091</v>
      </c>
      <c r="O282" s="2" t="s">
        <v>3091</v>
      </c>
      <c r="P282" s="2" t="s">
        <v>3091</v>
      </c>
      <c r="Q282" s="2" t="s">
        <v>3091</v>
      </c>
      <c r="R282" s="2" t="s">
        <v>3091</v>
      </c>
      <c r="S282" s="2" t="s">
        <v>3091</v>
      </c>
      <c r="T282" s="2" t="s">
        <v>3091</v>
      </c>
      <c r="U282" s="2" t="s">
        <v>3091</v>
      </c>
      <c r="V282" s="2" t="s">
        <v>3091</v>
      </c>
      <c r="W282" s="2" t="s">
        <v>3091</v>
      </c>
      <c r="X282" s="2" t="s">
        <v>3091</v>
      </c>
      <c r="Y282" s="2" t="s">
        <v>3090</v>
      </c>
      <c r="Z282" s="2" t="s">
        <v>3090</v>
      </c>
      <c r="AA282" s="3" t="s">
        <v>3091</v>
      </c>
      <c r="AB282" s="3" t="s">
        <v>3090</v>
      </c>
      <c r="AC282" s="3" t="s">
        <v>3090</v>
      </c>
      <c r="AD282" s="3" t="s">
        <v>3090</v>
      </c>
      <c r="AE282" s="3" t="s">
        <v>3090</v>
      </c>
      <c r="AF282" s="3"/>
      <c r="AG282" s="3"/>
      <c r="AH282" s="3"/>
      <c r="AI282" s="3"/>
      <c r="AJ282" s="3"/>
      <c r="AK282" s="3"/>
    </row>
    <row r="283" spans="1:37" ht="15.75" customHeight="1">
      <c r="A283" s="2" t="s">
        <v>3009</v>
      </c>
      <c r="B283" s="2" t="s">
        <v>2863</v>
      </c>
      <c r="C283" s="3">
        <v>642</v>
      </c>
      <c r="D283" s="2" t="s">
        <v>572</v>
      </c>
      <c r="E283" s="2">
        <f t="shared" si="16"/>
        <v>11</v>
      </c>
      <c r="F283" s="2">
        <f t="shared" si="17"/>
        <v>12</v>
      </c>
      <c r="G283" s="2">
        <f t="shared" si="18"/>
        <v>23</v>
      </c>
      <c r="H283" s="6">
        <f t="shared" si="19"/>
        <v>1</v>
      </c>
      <c r="I283" s="2" t="s">
        <v>3090</v>
      </c>
      <c r="J283" s="2" t="s">
        <v>3090</v>
      </c>
      <c r="K283" s="2" t="s">
        <v>3090</v>
      </c>
      <c r="L283" s="2" t="s">
        <v>3090</v>
      </c>
      <c r="M283" s="2" t="s">
        <v>3090</v>
      </c>
      <c r="N283" s="2" t="s">
        <v>3091</v>
      </c>
      <c r="O283" s="2" t="s">
        <v>3091</v>
      </c>
      <c r="P283" s="2" t="s">
        <v>3091</v>
      </c>
      <c r="Q283" s="2" t="s">
        <v>3091</v>
      </c>
      <c r="R283" s="2" t="s">
        <v>3091</v>
      </c>
      <c r="S283" s="2" t="s">
        <v>3091</v>
      </c>
      <c r="T283" s="2" t="s">
        <v>3091</v>
      </c>
      <c r="U283" s="2" t="s">
        <v>3091</v>
      </c>
      <c r="V283" s="2" t="s">
        <v>3091</v>
      </c>
      <c r="W283" s="2" t="s">
        <v>3091</v>
      </c>
      <c r="X283" s="2" t="s">
        <v>3091</v>
      </c>
      <c r="Y283" s="2" t="s">
        <v>3090</v>
      </c>
      <c r="Z283" s="2" t="s">
        <v>3090</v>
      </c>
      <c r="AA283" s="3" t="s">
        <v>3091</v>
      </c>
      <c r="AB283" s="3" t="s">
        <v>3090</v>
      </c>
      <c r="AC283" s="3" t="s">
        <v>3090</v>
      </c>
      <c r="AD283" s="3" t="s">
        <v>3090</v>
      </c>
      <c r="AE283" s="3" t="s">
        <v>3090</v>
      </c>
      <c r="AF283" s="3"/>
      <c r="AG283" s="3"/>
      <c r="AH283" s="3"/>
      <c r="AI283" s="3"/>
      <c r="AJ283" s="3"/>
      <c r="AK283" s="3"/>
    </row>
    <row r="284" spans="1:37" ht="15.75" customHeight="1">
      <c r="A284" s="2" t="s">
        <v>3010</v>
      </c>
      <c r="B284" s="2" t="s">
        <v>2701</v>
      </c>
      <c r="C284" s="3">
        <v>762</v>
      </c>
      <c r="D284" s="2" t="s">
        <v>448</v>
      </c>
      <c r="E284" s="2">
        <f t="shared" si="16"/>
        <v>3</v>
      </c>
      <c r="F284" s="2">
        <f t="shared" si="17"/>
        <v>20</v>
      </c>
      <c r="G284" s="2">
        <f t="shared" si="18"/>
        <v>23</v>
      </c>
      <c r="H284" s="6">
        <f t="shared" si="19"/>
        <v>1</v>
      </c>
      <c r="I284" s="2" t="s">
        <v>3090</v>
      </c>
      <c r="J284" s="2" t="s">
        <v>3091</v>
      </c>
      <c r="K284" s="2" t="s">
        <v>3091</v>
      </c>
      <c r="L284" s="2" t="s">
        <v>3091</v>
      </c>
      <c r="M284" s="2" t="s">
        <v>3091</v>
      </c>
      <c r="N284" s="2" t="s">
        <v>3091</v>
      </c>
      <c r="O284" s="2" t="s">
        <v>3091</v>
      </c>
      <c r="P284" s="2" t="s">
        <v>3091</v>
      </c>
      <c r="Q284" s="2" t="s">
        <v>3091</v>
      </c>
      <c r="R284" s="2" t="s">
        <v>3091</v>
      </c>
      <c r="S284" s="2" t="s">
        <v>3091</v>
      </c>
      <c r="T284" s="2" t="s">
        <v>3091</v>
      </c>
      <c r="U284" s="2" t="s">
        <v>3091</v>
      </c>
      <c r="V284" s="2" t="s">
        <v>3091</v>
      </c>
      <c r="W284" s="2" t="s">
        <v>3091</v>
      </c>
      <c r="X284" s="2" t="s">
        <v>3091</v>
      </c>
      <c r="Y284" s="2" t="s">
        <v>3090</v>
      </c>
      <c r="Z284" s="2" t="s">
        <v>3091</v>
      </c>
      <c r="AA284" s="3" t="s">
        <v>3091</v>
      </c>
      <c r="AB284" s="3" t="s">
        <v>3091</v>
      </c>
      <c r="AC284" s="3" t="s">
        <v>3091</v>
      </c>
      <c r="AD284" s="3" t="s">
        <v>3090</v>
      </c>
      <c r="AE284" s="3" t="s">
        <v>3091</v>
      </c>
      <c r="AF284" s="3"/>
      <c r="AG284" s="3"/>
      <c r="AH284" s="3"/>
      <c r="AI284" s="3"/>
      <c r="AJ284" s="3"/>
      <c r="AK284" s="3"/>
    </row>
    <row r="285" spans="1:37" ht="15.75" customHeight="1">
      <c r="A285" s="2" t="s">
        <v>3011</v>
      </c>
      <c r="B285" s="2" t="s">
        <v>2770</v>
      </c>
      <c r="C285" s="3">
        <v>661</v>
      </c>
      <c r="D285" s="2" t="s">
        <v>236</v>
      </c>
      <c r="E285" s="2">
        <f t="shared" si="16"/>
        <v>17</v>
      </c>
      <c r="F285" s="2">
        <f t="shared" si="17"/>
        <v>6</v>
      </c>
      <c r="G285" s="2">
        <f t="shared" si="18"/>
        <v>23</v>
      </c>
      <c r="H285" s="6">
        <f t="shared" si="19"/>
        <v>1</v>
      </c>
      <c r="I285" s="2" t="s">
        <v>3090</v>
      </c>
      <c r="J285" s="2" t="s">
        <v>3090</v>
      </c>
      <c r="K285" s="2" t="s">
        <v>3090</v>
      </c>
      <c r="L285" s="2" t="s">
        <v>3090</v>
      </c>
      <c r="M285" s="2" t="s">
        <v>3090</v>
      </c>
      <c r="N285" s="2" t="s">
        <v>3090</v>
      </c>
      <c r="O285" s="2" t="s">
        <v>3091</v>
      </c>
      <c r="P285" s="2" t="s">
        <v>3091</v>
      </c>
      <c r="Q285" s="2" t="s">
        <v>3090</v>
      </c>
      <c r="R285" s="2" t="s">
        <v>3090</v>
      </c>
      <c r="S285" s="2" t="s">
        <v>3090</v>
      </c>
      <c r="T285" s="2" t="s">
        <v>3091</v>
      </c>
      <c r="U285" s="2" t="s">
        <v>3090</v>
      </c>
      <c r="V285" s="2" t="s">
        <v>3090</v>
      </c>
      <c r="W285" s="2" t="s">
        <v>3091</v>
      </c>
      <c r="X285" s="2" t="s">
        <v>3091</v>
      </c>
      <c r="Y285" s="2" t="s">
        <v>3090</v>
      </c>
      <c r="Z285" s="2" t="s">
        <v>3090</v>
      </c>
      <c r="AA285" s="3" t="s">
        <v>3091</v>
      </c>
      <c r="AB285" s="3" t="s">
        <v>3090</v>
      </c>
      <c r="AC285" s="3" t="s">
        <v>3090</v>
      </c>
      <c r="AD285" s="3" t="s">
        <v>3090</v>
      </c>
      <c r="AE285" s="3" t="s">
        <v>3090</v>
      </c>
      <c r="AF285" s="3"/>
      <c r="AG285" s="3"/>
      <c r="AH285" s="3"/>
      <c r="AI285" s="3"/>
      <c r="AJ285" s="3"/>
      <c r="AK285" s="3"/>
    </row>
    <row r="286" spans="1:37" ht="15.75" customHeight="1">
      <c r="A286" s="2" t="s">
        <v>2367</v>
      </c>
      <c r="B286" s="2" t="s">
        <v>2682</v>
      </c>
      <c r="C286" s="3">
        <v>376</v>
      </c>
      <c r="D286" s="2" t="s">
        <v>99</v>
      </c>
      <c r="E286" s="2">
        <f t="shared" si="16"/>
        <v>16</v>
      </c>
      <c r="F286" s="2">
        <f t="shared" si="17"/>
        <v>7</v>
      </c>
      <c r="G286" s="2">
        <f t="shared" si="18"/>
        <v>23</v>
      </c>
      <c r="H286" s="6">
        <f t="shared" si="19"/>
        <v>1</v>
      </c>
      <c r="I286" s="2" t="s">
        <v>3090</v>
      </c>
      <c r="J286" s="2" t="s">
        <v>3090</v>
      </c>
      <c r="K286" s="2" t="s">
        <v>3090</v>
      </c>
      <c r="L286" s="2" t="s">
        <v>3090</v>
      </c>
      <c r="M286" s="2" t="s">
        <v>3090</v>
      </c>
      <c r="N286" s="2" t="s">
        <v>3090</v>
      </c>
      <c r="O286" s="2" t="s">
        <v>3091</v>
      </c>
      <c r="P286" s="2" t="s">
        <v>3091</v>
      </c>
      <c r="Q286" s="2" t="s">
        <v>3090</v>
      </c>
      <c r="R286" s="2" t="s">
        <v>3090</v>
      </c>
      <c r="S286" s="2" t="s">
        <v>3090</v>
      </c>
      <c r="T286" s="2" t="s">
        <v>3091</v>
      </c>
      <c r="U286" s="2" t="s">
        <v>3090</v>
      </c>
      <c r="V286" s="2" t="s">
        <v>3090</v>
      </c>
      <c r="W286" s="2" t="s">
        <v>3091</v>
      </c>
      <c r="X286" s="2" t="s">
        <v>3091</v>
      </c>
      <c r="Y286" s="2" t="s">
        <v>3090</v>
      </c>
      <c r="Z286" s="2" t="s">
        <v>3090</v>
      </c>
      <c r="AA286" s="3" t="s">
        <v>3091</v>
      </c>
      <c r="AB286" s="3" t="s">
        <v>3090</v>
      </c>
      <c r="AC286" s="3" t="s">
        <v>3090</v>
      </c>
      <c r="AD286" s="3" t="s">
        <v>3090</v>
      </c>
      <c r="AE286" s="3" t="s">
        <v>3091</v>
      </c>
      <c r="AF286" s="3"/>
      <c r="AG286" s="3"/>
      <c r="AH286" s="3"/>
      <c r="AI286" s="3"/>
      <c r="AJ286" s="3"/>
      <c r="AK286" s="3"/>
    </row>
    <row r="287" spans="1:37" ht="15.75" customHeight="1">
      <c r="A287" s="2" t="s">
        <v>3012</v>
      </c>
      <c r="B287" s="2" t="s">
        <v>2682</v>
      </c>
      <c r="C287" s="3">
        <v>595</v>
      </c>
      <c r="D287" s="2" t="s">
        <v>139</v>
      </c>
      <c r="E287" s="2">
        <f t="shared" si="16"/>
        <v>9</v>
      </c>
      <c r="F287" s="2">
        <f t="shared" si="17"/>
        <v>11</v>
      </c>
      <c r="G287" s="2">
        <f t="shared" si="18"/>
        <v>20</v>
      </c>
      <c r="H287" s="6">
        <f t="shared" si="19"/>
        <v>0.86956521739130399</v>
      </c>
      <c r="I287" s="2" t="s">
        <v>3090</v>
      </c>
      <c r="J287" s="2" t="s">
        <v>3091</v>
      </c>
      <c r="K287" s="2" t="s">
        <v>3090</v>
      </c>
      <c r="L287" s="2" t="s">
        <v>3091</v>
      </c>
      <c r="M287" s="2" t="s">
        <v>3090</v>
      </c>
      <c r="N287" s="2" t="s">
        <v>3090</v>
      </c>
      <c r="O287" s="2" t="s">
        <v>3091</v>
      </c>
      <c r="P287" s="2" t="s">
        <v>3091</v>
      </c>
      <c r="Q287" s="2" t="s">
        <v>3091</v>
      </c>
      <c r="R287" s="2" t="s">
        <v>3090</v>
      </c>
      <c r="S287" s="2" t="s">
        <v>3091</v>
      </c>
      <c r="T287" s="2" t="s">
        <v>3091</v>
      </c>
      <c r="U287" s="2" t="s">
        <v>3091</v>
      </c>
      <c r="V287" s="2" t="s">
        <v>3090</v>
      </c>
      <c r="W287" s="2" t="s">
        <v>3091</v>
      </c>
      <c r="X287" s="2" t="s">
        <v>3091</v>
      </c>
      <c r="Y287" s="2" t="s">
        <v>3091</v>
      </c>
      <c r="Z287" s="2" t="s">
        <v>3090</v>
      </c>
      <c r="AA287" s="3" t="s">
        <v>3092</v>
      </c>
      <c r="AB287" s="3" t="s">
        <v>3092</v>
      </c>
      <c r="AC287" s="3" t="s">
        <v>3090</v>
      </c>
      <c r="AD287" s="3" t="s">
        <v>3092</v>
      </c>
      <c r="AE287" s="3" t="s">
        <v>3090</v>
      </c>
      <c r="AF287" s="3"/>
      <c r="AG287" s="3"/>
      <c r="AH287" s="3"/>
      <c r="AI287" s="3"/>
      <c r="AJ287" s="3"/>
      <c r="AK287" s="3"/>
    </row>
    <row r="288" spans="1:37" ht="15.75" customHeight="1">
      <c r="A288" s="2" t="s">
        <v>3013</v>
      </c>
      <c r="B288" s="2" t="s">
        <v>2833</v>
      </c>
      <c r="C288" s="3">
        <v>655</v>
      </c>
      <c r="D288" s="2" t="s">
        <v>649</v>
      </c>
      <c r="E288" s="2">
        <f t="shared" si="16"/>
        <v>14</v>
      </c>
      <c r="F288" s="2">
        <f t="shared" si="17"/>
        <v>9</v>
      </c>
      <c r="G288" s="2">
        <f t="shared" si="18"/>
        <v>23</v>
      </c>
      <c r="H288" s="6">
        <f t="shared" si="19"/>
        <v>1</v>
      </c>
      <c r="I288" s="2" t="s">
        <v>3090</v>
      </c>
      <c r="J288" s="2" t="s">
        <v>3090</v>
      </c>
      <c r="K288" s="2" t="s">
        <v>3090</v>
      </c>
      <c r="L288" s="2" t="s">
        <v>3090</v>
      </c>
      <c r="M288" s="2" t="s">
        <v>3090</v>
      </c>
      <c r="N288" s="2" t="s">
        <v>3090</v>
      </c>
      <c r="O288" s="2" t="s">
        <v>3091</v>
      </c>
      <c r="P288" s="2" t="s">
        <v>3091</v>
      </c>
      <c r="Q288" s="2" t="s">
        <v>3090</v>
      </c>
      <c r="R288" s="2" t="s">
        <v>3090</v>
      </c>
      <c r="S288" s="2" t="s">
        <v>3090</v>
      </c>
      <c r="T288" s="2" t="s">
        <v>3091</v>
      </c>
      <c r="U288" s="2" t="s">
        <v>3090</v>
      </c>
      <c r="V288" s="2" t="s">
        <v>3090</v>
      </c>
      <c r="W288" s="2" t="s">
        <v>3091</v>
      </c>
      <c r="X288" s="2" t="s">
        <v>3091</v>
      </c>
      <c r="Y288" s="2" t="s">
        <v>3091</v>
      </c>
      <c r="Z288" s="2" t="s">
        <v>3091</v>
      </c>
      <c r="AA288" s="3" t="s">
        <v>3091</v>
      </c>
      <c r="AB288" s="3" t="s">
        <v>3091</v>
      </c>
      <c r="AC288" s="3" t="s">
        <v>3090</v>
      </c>
      <c r="AD288" s="3" t="s">
        <v>3090</v>
      </c>
      <c r="AE288" s="3" t="s">
        <v>3090</v>
      </c>
      <c r="AF288" s="3"/>
      <c r="AG288" s="3"/>
      <c r="AH288" s="3"/>
      <c r="AI288" s="3"/>
      <c r="AJ288" s="3"/>
      <c r="AK288" s="3"/>
    </row>
    <row r="289" spans="1:37" ht="15.75" customHeight="1">
      <c r="A289" s="2" t="s">
        <v>3014</v>
      </c>
      <c r="B289" s="2" t="s">
        <v>2668</v>
      </c>
      <c r="C289" s="3">
        <v>609</v>
      </c>
      <c r="D289" s="2" t="s">
        <v>381</v>
      </c>
      <c r="E289" s="2">
        <f t="shared" si="16"/>
        <v>16</v>
      </c>
      <c r="F289" s="2">
        <f t="shared" si="17"/>
        <v>2</v>
      </c>
      <c r="G289" s="2">
        <f t="shared" si="18"/>
        <v>18</v>
      </c>
      <c r="H289" s="6">
        <f t="shared" si="19"/>
        <v>0.78260869565217395</v>
      </c>
      <c r="I289" s="2" t="s">
        <v>3090</v>
      </c>
      <c r="J289" s="2" t="s">
        <v>3090</v>
      </c>
      <c r="K289" s="2" t="s">
        <v>3090</v>
      </c>
      <c r="L289" s="2" t="s">
        <v>3090</v>
      </c>
      <c r="M289" s="2" t="s">
        <v>3090</v>
      </c>
      <c r="N289" s="2" t="s">
        <v>3090</v>
      </c>
      <c r="O289" s="2" t="s">
        <v>3091</v>
      </c>
      <c r="P289" s="2" t="s">
        <v>3092</v>
      </c>
      <c r="Q289" s="2" t="s">
        <v>3090</v>
      </c>
      <c r="R289" s="2" t="s">
        <v>3090</v>
      </c>
      <c r="S289" s="2" t="s">
        <v>3090</v>
      </c>
      <c r="T289" s="2" t="s">
        <v>3092</v>
      </c>
      <c r="U289" s="2" t="s">
        <v>3090</v>
      </c>
      <c r="V289" s="2" t="s">
        <v>3090</v>
      </c>
      <c r="W289" s="2" t="s">
        <v>3092</v>
      </c>
      <c r="X289" s="2" t="s">
        <v>3092</v>
      </c>
      <c r="Y289" s="2" t="s">
        <v>3090</v>
      </c>
      <c r="Z289" s="2" t="s">
        <v>3090</v>
      </c>
      <c r="AA289" s="3" t="s">
        <v>3092</v>
      </c>
      <c r="AB289" s="3" t="s">
        <v>3090</v>
      </c>
      <c r="AC289" s="3" t="s">
        <v>3091</v>
      </c>
      <c r="AD289" s="3" t="s">
        <v>3090</v>
      </c>
      <c r="AE289" s="3" t="s">
        <v>3090</v>
      </c>
      <c r="AF289" s="3"/>
      <c r="AG289" s="3"/>
      <c r="AH289" s="3"/>
      <c r="AI289" s="3"/>
      <c r="AJ289" s="3"/>
      <c r="AK289" s="3"/>
    </row>
    <row r="290" spans="1:37" ht="15.75" customHeight="1">
      <c r="A290" s="2" t="s">
        <v>3015</v>
      </c>
      <c r="B290" s="2" t="s">
        <v>2761</v>
      </c>
      <c r="C290" s="3">
        <v>628</v>
      </c>
      <c r="D290" s="2" t="s">
        <v>704</v>
      </c>
      <c r="E290" s="2">
        <f t="shared" si="16"/>
        <v>1</v>
      </c>
      <c r="F290" s="2">
        <f t="shared" si="17"/>
        <v>13</v>
      </c>
      <c r="G290" s="2">
        <f t="shared" si="18"/>
        <v>14</v>
      </c>
      <c r="H290" s="6">
        <f t="shared" si="19"/>
        <v>0.60869565217391297</v>
      </c>
      <c r="I290" s="2" t="s">
        <v>3090</v>
      </c>
      <c r="J290" s="2" t="s">
        <v>3091</v>
      </c>
      <c r="K290" s="2" t="s">
        <v>3091</v>
      </c>
      <c r="L290" s="2" t="s">
        <v>3091</v>
      </c>
      <c r="M290" s="2" t="s">
        <v>3091</v>
      </c>
      <c r="N290" s="2" t="s">
        <v>3091</v>
      </c>
      <c r="O290" s="2" t="s">
        <v>3092</v>
      </c>
      <c r="P290" s="2" t="s">
        <v>3092</v>
      </c>
      <c r="Q290" s="2" t="s">
        <v>3091</v>
      </c>
      <c r="R290" s="2" t="s">
        <v>3092</v>
      </c>
      <c r="S290" s="2" t="s">
        <v>3092</v>
      </c>
      <c r="T290" s="2" t="s">
        <v>3091</v>
      </c>
      <c r="U290" s="2" t="s">
        <v>3091</v>
      </c>
      <c r="V290" s="2" t="s">
        <v>3091</v>
      </c>
      <c r="W290" s="2" t="s">
        <v>3092</v>
      </c>
      <c r="X290" s="2" t="s">
        <v>3092</v>
      </c>
      <c r="Y290" s="2" t="s">
        <v>3091</v>
      </c>
      <c r="Z290" s="2" t="s">
        <v>3092</v>
      </c>
      <c r="AA290" s="3" t="s">
        <v>3092</v>
      </c>
      <c r="AB290" s="3" t="s">
        <v>3092</v>
      </c>
      <c r="AC290" s="3" t="s">
        <v>3091</v>
      </c>
      <c r="AD290" s="3" t="s">
        <v>3091</v>
      </c>
      <c r="AE290" s="3" t="s">
        <v>3091</v>
      </c>
      <c r="AF290" s="3"/>
      <c r="AG290" s="3"/>
      <c r="AH290" s="3"/>
      <c r="AI290" s="3"/>
      <c r="AJ290" s="3"/>
      <c r="AK290" s="3"/>
    </row>
    <row r="291" spans="1:37" ht="15.75" customHeight="1">
      <c r="A291" s="2" t="s">
        <v>3016</v>
      </c>
      <c r="B291" s="2" t="s">
        <v>2657</v>
      </c>
      <c r="C291" s="3">
        <v>715</v>
      </c>
      <c r="D291" s="2" t="s">
        <v>574</v>
      </c>
      <c r="E291" s="2">
        <f t="shared" si="16"/>
        <v>7</v>
      </c>
      <c r="F291" s="2">
        <f t="shared" si="17"/>
        <v>16</v>
      </c>
      <c r="G291" s="2">
        <f t="shared" si="18"/>
        <v>23</v>
      </c>
      <c r="H291" s="6">
        <f t="shared" si="19"/>
        <v>1</v>
      </c>
      <c r="I291" s="2" t="s">
        <v>3090</v>
      </c>
      <c r="J291" s="2" t="s">
        <v>3090</v>
      </c>
      <c r="K291" s="2" t="s">
        <v>3090</v>
      </c>
      <c r="L291" s="2" t="s">
        <v>3090</v>
      </c>
      <c r="M291" s="2" t="s">
        <v>3090</v>
      </c>
      <c r="N291" s="2" t="s">
        <v>3090</v>
      </c>
      <c r="O291" s="2" t="s">
        <v>3091</v>
      </c>
      <c r="P291" s="2" t="s">
        <v>3091</v>
      </c>
      <c r="Q291" s="2" t="s">
        <v>3091</v>
      </c>
      <c r="R291" s="2" t="s">
        <v>3090</v>
      </c>
      <c r="S291" s="2" t="s">
        <v>3091</v>
      </c>
      <c r="T291" s="2" t="s">
        <v>3091</v>
      </c>
      <c r="U291" s="2" t="s">
        <v>3091</v>
      </c>
      <c r="V291" s="2" t="s">
        <v>3091</v>
      </c>
      <c r="W291" s="2" t="s">
        <v>3091</v>
      </c>
      <c r="X291" s="2" t="s">
        <v>3091</v>
      </c>
      <c r="Y291" s="2" t="s">
        <v>3091</v>
      </c>
      <c r="Z291" s="2" t="s">
        <v>3091</v>
      </c>
      <c r="AA291" s="3" t="s">
        <v>3091</v>
      </c>
      <c r="AB291" s="3" t="s">
        <v>3091</v>
      </c>
      <c r="AC291" s="3" t="s">
        <v>3091</v>
      </c>
      <c r="AD291" s="3" t="s">
        <v>3091</v>
      </c>
      <c r="AE291" s="3" t="s">
        <v>3091</v>
      </c>
      <c r="AF291" s="3"/>
      <c r="AG291" s="3"/>
      <c r="AH291" s="3"/>
      <c r="AI291" s="3"/>
      <c r="AJ291" s="3"/>
      <c r="AK291" s="3"/>
    </row>
    <row r="292" spans="1:37" ht="15.75" customHeight="1">
      <c r="A292" s="2" t="s">
        <v>3017</v>
      </c>
      <c r="B292" s="2" t="s">
        <v>2811</v>
      </c>
      <c r="C292" s="3">
        <v>408</v>
      </c>
      <c r="D292" s="2" t="s">
        <v>540</v>
      </c>
      <c r="E292" s="2">
        <f t="shared" si="16"/>
        <v>12</v>
      </c>
      <c r="F292" s="2">
        <f t="shared" si="17"/>
        <v>11</v>
      </c>
      <c r="G292" s="2">
        <f t="shared" si="18"/>
        <v>23</v>
      </c>
      <c r="H292" s="6">
        <f t="shared" si="19"/>
        <v>1</v>
      </c>
      <c r="I292" s="2" t="s">
        <v>3090</v>
      </c>
      <c r="J292" s="2" t="s">
        <v>3091</v>
      </c>
      <c r="K292" s="2" t="s">
        <v>3091</v>
      </c>
      <c r="L292" s="2" t="s">
        <v>3091</v>
      </c>
      <c r="M292" s="2" t="s">
        <v>3091</v>
      </c>
      <c r="N292" s="2" t="s">
        <v>3090</v>
      </c>
      <c r="O292" s="2" t="s">
        <v>3091</v>
      </c>
      <c r="P292" s="2" t="s">
        <v>3091</v>
      </c>
      <c r="Q292" s="2" t="s">
        <v>3090</v>
      </c>
      <c r="R292" s="2" t="s">
        <v>3090</v>
      </c>
      <c r="S292" s="2" t="s">
        <v>3090</v>
      </c>
      <c r="T292" s="2" t="s">
        <v>3091</v>
      </c>
      <c r="U292" s="2" t="s">
        <v>3090</v>
      </c>
      <c r="V292" s="2" t="s">
        <v>3090</v>
      </c>
      <c r="W292" s="2" t="s">
        <v>3091</v>
      </c>
      <c r="X292" s="2" t="s">
        <v>3091</v>
      </c>
      <c r="Y292" s="2" t="s">
        <v>3090</v>
      </c>
      <c r="Z292" s="2" t="s">
        <v>3090</v>
      </c>
      <c r="AA292" s="3" t="s">
        <v>3091</v>
      </c>
      <c r="AB292" s="3" t="s">
        <v>3090</v>
      </c>
      <c r="AC292" s="3" t="s">
        <v>3090</v>
      </c>
      <c r="AD292" s="3" t="s">
        <v>3090</v>
      </c>
      <c r="AE292" s="3" t="s">
        <v>3091</v>
      </c>
      <c r="AF292" s="3"/>
      <c r="AG292" s="3"/>
      <c r="AH292" s="3"/>
      <c r="AI292" s="3"/>
      <c r="AJ292" s="3"/>
      <c r="AK292" s="3"/>
    </row>
    <row r="293" spans="1:37" ht="15.75" customHeight="1">
      <c r="A293" s="2" t="s">
        <v>3018</v>
      </c>
      <c r="B293" s="2" t="s">
        <v>2770</v>
      </c>
      <c r="C293" s="3">
        <v>658</v>
      </c>
      <c r="D293" s="2" t="s">
        <v>774</v>
      </c>
      <c r="E293" s="2">
        <f t="shared" si="16"/>
        <v>8</v>
      </c>
      <c r="F293" s="2">
        <f t="shared" si="17"/>
        <v>14</v>
      </c>
      <c r="G293" s="2">
        <f t="shared" si="18"/>
        <v>22</v>
      </c>
      <c r="H293" s="6">
        <f t="shared" si="19"/>
        <v>0.95652173913043503</v>
      </c>
      <c r="I293" s="2" t="s">
        <v>3090</v>
      </c>
      <c r="J293" s="2" t="s">
        <v>3090</v>
      </c>
      <c r="K293" s="2" t="s">
        <v>3090</v>
      </c>
      <c r="L293" s="2" t="s">
        <v>3090</v>
      </c>
      <c r="M293" s="2" t="s">
        <v>3090</v>
      </c>
      <c r="N293" s="2" t="s">
        <v>3090</v>
      </c>
      <c r="O293" s="2" t="s">
        <v>3091</v>
      </c>
      <c r="P293" s="2" t="s">
        <v>3091</v>
      </c>
      <c r="Q293" s="2" t="s">
        <v>3090</v>
      </c>
      <c r="R293" s="2" t="s">
        <v>3090</v>
      </c>
      <c r="S293" s="2" t="s">
        <v>3091</v>
      </c>
      <c r="T293" s="2" t="s">
        <v>3091</v>
      </c>
      <c r="U293" s="2" t="s">
        <v>3091</v>
      </c>
      <c r="V293" s="2" t="s">
        <v>3091</v>
      </c>
      <c r="W293" s="2" t="s">
        <v>3091</v>
      </c>
      <c r="X293" s="2" t="s">
        <v>3091</v>
      </c>
      <c r="Y293" s="2" t="s">
        <v>3091</v>
      </c>
      <c r="Z293" s="2" t="s">
        <v>3091</v>
      </c>
      <c r="AA293" s="3" t="s">
        <v>3091</v>
      </c>
      <c r="AB293" s="3" t="s">
        <v>3091</v>
      </c>
      <c r="AC293" s="3" t="s">
        <v>3091</v>
      </c>
      <c r="AD293" s="3" t="s">
        <v>3091</v>
      </c>
      <c r="AE293" s="3" t="s">
        <v>3092</v>
      </c>
      <c r="AF293" s="3"/>
      <c r="AG293" s="3"/>
      <c r="AH293" s="3"/>
      <c r="AI293" s="3"/>
      <c r="AJ293" s="3"/>
      <c r="AK293" s="3"/>
    </row>
    <row r="294" spans="1:37" ht="15.75" customHeight="1">
      <c r="A294" s="2" t="s">
        <v>3019</v>
      </c>
      <c r="B294" s="2" t="s">
        <v>2746</v>
      </c>
      <c r="C294" s="3">
        <v>623</v>
      </c>
      <c r="D294" s="2" t="s">
        <v>238</v>
      </c>
      <c r="E294" s="2">
        <f t="shared" si="16"/>
        <v>17</v>
      </c>
      <c r="F294" s="2">
        <f t="shared" si="17"/>
        <v>6</v>
      </c>
      <c r="G294" s="2">
        <f t="shared" si="18"/>
        <v>23</v>
      </c>
      <c r="H294" s="6">
        <f t="shared" si="19"/>
        <v>1</v>
      </c>
      <c r="I294" s="2" t="s">
        <v>3090</v>
      </c>
      <c r="J294" s="2" t="s">
        <v>3090</v>
      </c>
      <c r="K294" s="2" t="s">
        <v>3090</v>
      </c>
      <c r="L294" s="2" t="s">
        <v>3090</v>
      </c>
      <c r="M294" s="2" t="s">
        <v>3090</v>
      </c>
      <c r="N294" s="2" t="s">
        <v>3090</v>
      </c>
      <c r="O294" s="2" t="s">
        <v>3091</v>
      </c>
      <c r="P294" s="2" t="s">
        <v>3091</v>
      </c>
      <c r="Q294" s="2" t="s">
        <v>3090</v>
      </c>
      <c r="R294" s="2" t="s">
        <v>3090</v>
      </c>
      <c r="S294" s="2" t="s">
        <v>3090</v>
      </c>
      <c r="T294" s="2" t="s">
        <v>3091</v>
      </c>
      <c r="U294" s="2" t="s">
        <v>3090</v>
      </c>
      <c r="V294" s="2" t="s">
        <v>3090</v>
      </c>
      <c r="W294" s="2" t="s">
        <v>3091</v>
      </c>
      <c r="X294" s="2" t="s">
        <v>3091</v>
      </c>
      <c r="Y294" s="2" t="s">
        <v>3090</v>
      </c>
      <c r="Z294" s="2" t="s">
        <v>3090</v>
      </c>
      <c r="AA294" s="3" t="s">
        <v>3091</v>
      </c>
      <c r="AB294" s="3" t="s">
        <v>3090</v>
      </c>
      <c r="AC294" s="3" t="s">
        <v>3090</v>
      </c>
      <c r="AD294" s="3" t="s">
        <v>3090</v>
      </c>
      <c r="AE294" s="3" t="s">
        <v>3090</v>
      </c>
      <c r="AF294" s="3"/>
      <c r="AG294" s="3"/>
      <c r="AH294" s="3"/>
      <c r="AI294" s="3"/>
      <c r="AJ294" s="3"/>
      <c r="AK294" s="3"/>
    </row>
    <row r="295" spans="1:37" ht="15.75" customHeight="1">
      <c r="A295" s="2" t="s">
        <v>3020</v>
      </c>
      <c r="B295" s="2" t="s">
        <v>2671</v>
      </c>
      <c r="C295" s="3">
        <v>767</v>
      </c>
      <c r="D295" s="2" t="s">
        <v>734</v>
      </c>
      <c r="E295" s="2">
        <f t="shared" si="16"/>
        <v>1</v>
      </c>
      <c r="F295" s="2">
        <f t="shared" si="17"/>
        <v>22</v>
      </c>
      <c r="G295" s="2">
        <f t="shared" si="18"/>
        <v>23</v>
      </c>
      <c r="H295" s="6">
        <f t="shared" si="19"/>
        <v>1</v>
      </c>
      <c r="I295" s="2" t="s">
        <v>3090</v>
      </c>
      <c r="J295" s="2" t="s">
        <v>3091</v>
      </c>
      <c r="K295" s="2" t="s">
        <v>3091</v>
      </c>
      <c r="L295" s="2" t="s">
        <v>3091</v>
      </c>
      <c r="M295" s="2" t="s">
        <v>3091</v>
      </c>
      <c r="N295" s="2" t="s">
        <v>3091</v>
      </c>
      <c r="O295" s="2" t="s">
        <v>3091</v>
      </c>
      <c r="P295" s="2" t="s">
        <v>3091</v>
      </c>
      <c r="Q295" s="2" t="s">
        <v>3091</v>
      </c>
      <c r="R295" s="2" t="s">
        <v>3091</v>
      </c>
      <c r="S295" s="2" t="s">
        <v>3091</v>
      </c>
      <c r="T295" s="2" t="s">
        <v>3091</v>
      </c>
      <c r="U295" s="2" t="s">
        <v>3091</v>
      </c>
      <c r="V295" s="2" t="s">
        <v>3091</v>
      </c>
      <c r="W295" s="2" t="s">
        <v>3091</v>
      </c>
      <c r="X295" s="2" t="s">
        <v>3091</v>
      </c>
      <c r="Y295" s="2" t="s">
        <v>3091</v>
      </c>
      <c r="Z295" s="2" t="s">
        <v>3091</v>
      </c>
      <c r="AA295" s="3" t="s">
        <v>3091</v>
      </c>
      <c r="AB295" s="3" t="s">
        <v>3091</v>
      </c>
      <c r="AC295" s="3" t="s">
        <v>3091</v>
      </c>
      <c r="AD295" s="3" t="s">
        <v>3091</v>
      </c>
      <c r="AE295" s="3" t="s">
        <v>3091</v>
      </c>
      <c r="AF295" s="3"/>
      <c r="AG295" s="3"/>
      <c r="AH295" s="3"/>
      <c r="AI295" s="3"/>
      <c r="AJ295" s="3"/>
      <c r="AK295" s="3"/>
    </row>
    <row r="296" spans="1:37" ht="15.75" customHeight="1">
      <c r="A296" s="2" t="s">
        <v>3021</v>
      </c>
      <c r="B296" s="2" t="s">
        <v>2942</v>
      </c>
      <c r="C296" s="3">
        <v>683</v>
      </c>
      <c r="D296" s="2" t="s">
        <v>736</v>
      </c>
      <c r="E296" s="2">
        <f t="shared" si="16"/>
        <v>3</v>
      </c>
      <c r="F296" s="2">
        <f t="shared" si="17"/>
        <v>20</v>
      </c>
      <c r="G296" s="2">
        <f t="shared" si="18"/>
        <v>23</v>
      </c>
      <c r="H296" s="6">
        <f t="shared" si="19"/>
        <v>1</v>
      </c>
      <c r="I296" s="2" t="s">
        <v>3091</v>
      </c>
      <c r="J296" s="2" t="s">
        <v>3091</v>
      </c>
      <c r="K296" s="2" t="s">
        <v>3091</v>
      </c>
      <c r="L296" s="2" t="s">
        <v>3090</v>
      </c>
      <c r="M296" s="2" t="s">
        <v>3090</v>
      </c>
      <c r="N296" s="2" t="s">
        <v>3091</v>
      </c>
      <c r="O296" s="2" t="s">
        <v>3091</v>
      </c>
      <c r="P296" s="2" t="s">
        <v>3091</v>
      </c>
      <c r="Q296" s="2" t="s">
        <v>3091</v>
      </c>
      <c r="R296" s="2" t="s">
        <v>3091</v>
      </c>
      <c r="S296" s="2" t="s">
        <v>3091</v>
      </c>
      <c r="T296" s="2" t="s">
        <v>3091</v>
      </c>
      <c r="U296" s="2" t="s">
        <v>3091</v>
      </c>
      <c r="V296" s="2" t="s">
        <v>3091</v>
      </c>
      <c r="W296" s="2" t="s">
        <v>3091</v>
      </c>
      <c r="X296" s="2" t="s">
        <v>3091</v>
      </c>
      <c r="Y296" s="2" t="s">
        <v>3091</v>
      </c>
      <c r="Z296" s="2" t="s">
        <v>3091</v>
      </c>
      <c r="AA296" s="3" t="s">
        <v>3091</v>
      </c>
      <c r="AB296" s="3" t="s">
        <v>3091</v>
      </c>
      <c r="AC296" s="3" t="s">
        <v>3091</v>
      </c>
      <c r="AD296" s="3" t="s">
        <v>3091</v>
      </c>
      <c r="AE296" s="3" t="s">
        <v>3090</v>
      </c>
      <c r="AF296" s="3"/>
      <c r="AG296" s="3"/>
      <c r="AH296" s="3"/>
      <c r="AI296" s="3"/>
      <c r="AJ296" s="3"/>
      <c r="AK296" s="3"/>
    </row>
    <row r="297" spans="1:37" ht="15.75" customHeight="1">
      <c r="A297" s="2" t="s">
        <v>3022</v>
      </c>
      <c r="B297" s="2" t="s">
        <v>2770</v>
      </c>
      <c r="C297" s="3">
        <v>289</v>
      </c>
      <c r="D297" s="2" t="s">
        <v>651</v>
      </c>
      <c r="E297" s="2">
        <f t="shared" si="16"/>
        <v>12</v>
      </c>
      <c r="F297" s="2">
        <f t="shared" si="17"/>
        <v>10</v>
      </c>
      <c r="G297" s="2">
        <f t="shared" si="18"/>
        <v>22</v>
      </c>
      <c r="H297" s="6">
        <f t="shared" si="19"/>
        <v>0.95652173913043503</v>
      </c>
      <c r="I297" s="2" t="s">
        <v>3090</v>
      </c>
      <c r="J297" s="2" t="s">
        <v>3090</v>
      </c>
      <c r="K297" s="2" t="s">
        <v>3090</v>
      </c>
      <c r="L297" s="2" t="s">
        <v>3090</v>
      </c>
      <c r="M297" s="2" t="s">
        <v>3090</v>
      </c>
      <c r="N297" s="2" t="s">
        <v>3090</v>
      </c>
      <c r="O297" s="2" t="s">
        <v>3091</v>
      </c>
      <c r="P297" s="2" t="s">
        <v>3091</v>
      </c>
      <c r="Q297" s="2" t="s">
        <v>3090</v>
      </c>
      <c r="R297" s="2" t="s">
        <v>3090</v>
      </c>
      <c r="S297" s="2" t="s">
        <v>3091</v>
      </c>
      <c r="T297" s="2" t="s">
        <v>3091</v>
      </c>
      <c r="U297" s="2" t="s">
        <v>3090</v>
      </c>
      <c r="V297" s="2" t="s">
        <v>3090</v>
      </c>
      <c r="W297" s="2" t="s">
        <v>3091</v>
      </c>
      <c r="X297" s="2" t="s">
        <v>3091</v>
      </c>
      <c r="Y297" s="2" t="s">
        <v>3091</v>
      </c>
      <c r="Z297" s="2" t="s">
        <v>3090</v>
      </c>
      <c r="AA297" s="3" t="s">
        <v>3091</v>
      </c>
      <c r="AB297" s="3" t="s">
        <v>3091</v>
      </c>
      <c r="AC297" s="3" t="s">
        <v>3091</v>
      </c>
      <c r="AD297" s="3" t="s">
        <v>3092</v>
      </c>
      <c r="AE297" s="3" t="s">
        <v>3090</v>
      </c>
      <c r="AF297" s="3"/>
      <c r="AG297" s="3"/>
      <c r="AH297" s="3"/>
      <c r="AI297" s="3"/>
      <c r="AJ297" s="3"/>
      <c r="AK297" s="3"/>
    </row>
    <row r="298" spans="1:37" ht="15.75" customHeight="1">
      <c r="A298" s="2" t="s">
        <v>3023</v>
      </c>
      <c r="B298" s="2" t="s">
        <v>3024</v>
      </c>
      <c r="C298" s="3">
        <v>276</v>
      </c>
      <c r="D298" s="2" t="s">
        <v>45</v>
      </c>
      <c r="E298" s="2">
        <f t="shared" si="16"/>
        <v>9</v>
      </c>
      <c r="F298" s="2">
        <f t="shared" si="17"/>
        <v>14</v>
      </c>
      <c r="G298" s="2">
        <f t="shared" si="18"/>
        <v>23</v>
      </c>
      <c r="H298" s="6">
        <f t="shared" si="19"/>
        <v>1</v>
      </c>
      <c r="I298" s="2" t="s">
        <v>3090</v>
      </c>
      <c r="J298" s="2" t="s">
        <v>3090</v>
      </c>
      <c r="K298" s="2" t="s">
        <v>3090</v>
      </c>
      <c r="L298" s="2" t="s">
        <v>3091</v>
      </c>
      <c r="M298" s="2" t="s">
        <v>3091</v>
      </c>
      <c r="N298" s="2" t="s">
        <v>3090</v>
      </c>
      <c r="O298" s="2" t="s">
        <v>3091</v>
      </c>
      <c r="P298" s="2" t="s">
        <v>3091</v>
      </c>
      <c r="Q298" s="2" t="s">
        <v>3090</v>
      </c>
      <c r="R298" s="2" t="s">
        <v>3090</v>
      </c>
      <c r="S298" s="2" t="s">
        <v>3090</v>
      </c>
      <c r="T298" s="2" t="s">
        <v>3091</v>
      </c>
      <c r="U298" s="2" t="s">
        <v>3090</v>
      </c>
      <c r="V298" s="2" t="s">
        <v>3090</v>
      </c>
      <c r="W298" s="2" t="s">
        <v>3091</v>
      </c>
      <c r="X298" s="2" t="s">
        <v>3091</v>
      </c>
      <c r="Y298" s="2" t="s">
        <v>3091</v>
      </c>
      <c r="Z298" s="2" t="s">
        <v>3091</v>
      </c>
      <c r="AA298" s="3" t="s">
        <v>3091</v>
      </c>
      <c r="AB298" s="3" t="s">
        <v>3091</v>
      </c>
      <c r="AC298" s="3" t="s">
        <v>3091</v>
      </c>
      <c r="AD298" s="3" t="s">
        <v>3091</v>
      </c>
      <c r="AE298" s="3" t="s">
        <v>3091</v>
      </c>
      <c r="AF298" s="3"/>
      <c r="AG298" s="3"/>
      <c r="AH298" s="3"/>
      <c r="AI298" s="3"/>
      <c r="AJ298" s="3"/>
      <c r="AK298" s="3"/>
    </row>
    <row r="299" spans="1:37" ht="15.75" customHeight="1">
      <c r="A299" s="2" t="s">
        <v>3025</v>
      </c>
      <c r="B299" s="2" t="s">
        <v>2657</v>
      </c>
      <c r="C299" s="3">
        <v>340</v>
      </c>
      <c r="D299" s="2" t="s">
        <v>421</v>
      </c>
      <c r="E299" s="2">
        <f t="shared" si="16"/>
        <v>5</v>
      </c>
      <c r="F299" s="2">
        <f t="shared" si="17"/>
        <v>18</v>
      </c>
      <c r="G299" s="2">
        <f t="shared" si="18"/>
        <v>23</v>
      </c>
      <c r="H299" s="6">
        <f t="shared" si="19"/>
        <v>1</v>
      </c>
      <c r="I299" s="2" t="s">
        <v>3090</v>
      </c>
      <c r="J299" s="2" t="s">
        <v>3091</v>
      </c>
      <c r="K299" s="2" t="s">
        <v>3091</v>
      </c>
      <c r="L299" s="2" t="s">
        <v>3090</v>
      </c>
      <c r="M299" s="2" t="s">
        <v>3090</v>
      </c>
      <c r="N299" s="2" t="s">
        <v>3090</v>
      </c>
      <c r="O299" s="2" t="s">
        <v>3091</v>
      </c>
      <c r="P299" s="2" t="s">
        <v>3091</v>
      </c>
      <c r="Q299" s="2" t="s">
        <v>3091</v>
      </c>
      <c r="R299" s="2" t="s">
        <v>3091</v>
      </c>
      <c r="S299" s="2" t="s">
        <v>3090</v>
      </c>
      <c r="T299" s="2" t="s">
        <v>3091</v>
      </c>
      <c r="U299" s="2" t="s">
        <v>3091</v>
      </c>
      <c r="V299" s="2" t="s">
        <v>3091</v>
      </c>
      <c r="W299" s="2" t="s">
        <v>3091</v>
      </c>
      <c r="X299" s="2" t="s">
        <v>3091</v>
      </c>
      <c r="Y299" s="2" t="s">
        <v>3091</v>
      </c>
      <c r="Z299" s="2" t="s">
        <v>3091</v>
      </c>
      <c r="AA299" s="3" t="s">
        <v>3091</v>
      </c>
      <c r="AB299" s="3" t="s">
        <v>3091</v>
      </c>
      <c r="AC299" s="3" t="s">
        <v>3091</v>
      </c>
      <c r="AD299" s="3" t="s">
        <v>3091</v>
      </c>
      <c r="AE299" s="3" t="s">
        <v>3091</v>
      </c>
      <c r="AF299" s="3"/>
      <c r="AG299" s="3"/>
      <c r="AH299" s="3"/>
      <c r="AI299" s="3"/>
      <c r="AJ299" s="3"/>
      <c r="AK299" s="3"/>
    </row>
    <row r="300" spans="1:37" ht="15.75" customHeight="1">
      <c r="A300" s="2" t="s">
        <v>3026</v>
      </c>
      <c r="B300" s="2" t="s">
        <v>3027</v>
      </c>
      <c r="C300" s="3">
        <v>746</v>
      </c>
      <c r="D300" s="2" t="s">
        <v>738</v>
      </c>
      <c r="E300" s="2">
        <f t="shared" si="16"/>
        <v>1</v>
      </c>
      <c r="F300" s="2">
        <f t="shared" si="17"/>
        <v>22</v>
      </c>
      <c r="G300" s="2">
        <f t="shared" si="18"/>
        <v>23</v>
      </c>
      <c r="H300" s="6">
        <f t="shared" si="19"/>
        <v>1</v>
      </c>
      <c r="I300" s="2" t="s">
        <v>3090</v>
      </c>
      <c r="J300" s="2" t="s">
        <v>3091</v>
      </c>
      <c r="K300" s="2" t="s">
        <v>3091</v>
      </c>
      <c r="L300" s="2" t="s">
        <v>3091</v>
      </c>
      <c r="M300" s="2" t="s">
        <v>3091</v>
      </c>
      <c r="N300" s="2" t="s">
        <v>3091</v>
      </c>
      <c r="O300" s="2" t="s">
        <v>3091</v>
      </c>
      <c r="P300" s="2" t="s">
        <v>3091</v>
      </c>
      <c r="Q300" s="2" t="s">
        <v>3091</v>
      </c>
      <c r="R300" s="2" t="s">
        <v>3091</v>
      </c>
      <c r="S300" s="2" t="s">
        <v>3091</v>
      </c>
      <c r="T300" s="2" t="s">
        <v>3091</v>
      </c>
      <c r="U300" s="2" t="s">
        <v>3091</v>
      </c>
      <c r="V300" s="2" t="s">
        <v>3091</v>
      </c>
      <c r="W300" s="2" t="s">
        <v>3091</v>
      </c>
      <c r="X300" s="2" t="s">
        <v>3091</v>
      </c>
      <c r="Y300" s="2" t="s">
        <v>3091</v>
      </c>
      <c r="Z300" s="2" t="s">
        <v>3091</v>
      </c>
      <c r="AA300" s="3" t="s">
        <v>3091</v>
      </c>
      <c r="AB300" s="3" t="s">
        <v>3091</v>
      </c>
      <c r="AC300" s="3" t="s">
        <v>3091</v>
      </c>
      <c r="AD300" s="3" t="s">
        <v>3091</v>
      </c>
      <c r="AE300" s="3" t="s">
        <v>3091</v>
      </c>
      <c r="AF300" s="3"/>
      <c r="AG300" s="3"/>
      <c r="AH300" s="3"/>
      <c r="AI300" s="3"/>
      <c r="AJ300" s="3"/>
      <c r="AK300" s="3"/>
    </row>
    <row r="301" spans="1:37" ht="15.75" customHeight="1">
      <c r="A301" s="2" t="s">
        <v>3028</v>
      </c>
      <c r="B301" s="2" t="s">
        <v>3029</v>
      </c>
      <c r="C301" s="3">
        <v>751</v>
      </c>
      <c r="D301" s="2" t="s">
        <v>740</v>
      </c>
      <c r="E301" s="2">
        <f t="shared" si="16"/>
        <v>0</v>
      </c>
      <c r="F301" s="2">
        <f t="shared" si="17"/>
        <v>14</v>
      </c>
      <c r="G301" s="2">
        <f t="shared" si="18"/>
        <v>14</v>
      </c>
      <c r="H301" s="6">
        <f t="shared" si="19"/>
        <v>0.60869565217391297</v>
      </c>
      <c r="I301" s="2" t="s">
        <v>3091</v>
      </c>
      <c r="J301" s="2" t="s">
        <v>3091</v>
      </c>
      <c r="K301" s="2" t="s">
        <v>3091</v>
      </c>
      <c r="L301" s="2" t="s">
        <v>3091</v>
      </c>
      <c r="M301" s="2" t="s">
        <v>3091</v>
      </c>
      <c r="N301" s="2" t="s">
        <v>3091</v>
      </c>
      <c r="O301" s="2" t="s">
        <v>3091</v>
      </c>
      <c r="P301" s="2" t="s">
        <v>3091</v>
      </c>
      <c r="Q301" s="2" t="s">
        <v>3091</v>
      </c>
      <c r="R301" s="2" t="s">
        <v>3091</v>
      </c>
      <c r="S301" s="2" t="s">
        <v>3091</v>
      </c>
      <c r="T301" s="2" t="s">
        <v>3092</v>
      </c>
      <c r="U301" s="2" t="s">
        <v>3091</v>
      </c>
      <c r="V301" s="2" t="s">
        <v>3091</v>
      </c>
      <c r="W301" s="2" t="s">
        <v>3092</v>
      </c>
      <c r="X301" s="2" t="s">
        <v>3092</v>
      </c>
      <c r="Y301" s="2" t="s">
        <v>3092</v>
      </c>
      <c r="Z301" s="2" t="s">
        <v>3091</v>
      </c>
      <c r="AA301" s="3" t="s">
        <v>3092</v>
      </c>
      <c r="AB301" s="3" t="s">
        <v>3092</v>
      </c>
      <c r="AC301" s="3" t="s">
        <v>3092</v>
      </c>
      <c r="AD301" s="3" t="s">
        <v>3092</v>
      </c>
      <c r="AE301" s="3" t="s">
        <v>3092</v>
      </c>
      <c r="AF301" s="3"/>
      <c r="AG301" s="3"/>
      <c r="AH301" s="3"/>
      <c r="AI301" s="3"/>
      <c r="AJ301" s="3"/>
      <c r="AK301" s="3"/>
    </row>
    <row r="302" spans="1:37" ht="15.75" customHeight="1">
      <c r="A302" s="2" t="s">
        <v>3030</v>
      </c>
      <c r="B302" s="2" t="s">
        <v>2732</v>
      </c>
      <c r="C302" s="3">
        <v>392</v>
      </c>
      <c r="D302" s="2" t="s">
        <v>576</v>
      </c>
      <c r="E302" s="2">
        <f t="shared" si="16"/>
        <v>11</v>
      </c>
      <c r="F302" s="2">
        <f t="shared" si="17"/>
        <v>12</v>
      </c>
      <c r="G302" s="2">
        <f t="shared" si="18"/>
        <v>23</v>
      </c>
      <c r="H302" s="6">
        <f t="shared" si="19"/>
        <v>1</v>
      </c>
      <c r="I302" s="2" t="s">
        <v>3090</v>
      </c>
      <c r="J302" s="2" t="s">
        <v>3090</v>
      </c>
      <c r="K302" s="2" t="s">
        <v>3090</v>
      </c>
      <c r="L302" s="2" t="s">
        <v>3090</v>
      </c>
      <c r="M302" s="2" t="s">
        <v>3090</v>
      </c>
      <c r="N302" s="2" t="s">
        <v>3090</v>
      </c>
      <c r="O302" s="2" t="s">
        <v>3091</v>
      </c>
      <c r="P302" s="2" t="s">
        <v>3091</v>
      </c>
      <c r="Q302" s="2" t="s">
        <v>3090</v>
      </c>
      <c r="R302" s="2" t="s">
        <v>3090</v>
      </c>
      <c r="S302" s="2" t="s">
        <v>3090</v>
      </c>
      <c r="T302" s="2" t="s">
        <v>3091</v>
      </c>
      <c r="U302" s="2" t="s">
        <v>3091</v>
      </c>
      <c r="V302" s="2" t="s">
        <v>3091</v>
      </c>
      <c r="W302" s="2" t="s">
        <v>3091</v>
      </c>
      <c r="X302" s="2" t="s">
        <v>3091</v>
      </c>
      <c r="Y302" s="2" t="s">
        <v>3091</v>
      </c>
      <c r="Z302" s="2" t="s">
        <v>3091</v>
      </c>
      <c r="AA302" s="3" t="s">
        <v>3091</v>
      </c>
      <c r="AB302" s="3" t="s">
        <v>3091</v>
      </c>
      <c r="AC302" s="3" t="s">
        <v>3090</v>
      </c>
      <c r="AD302" s="3" t="s">
        <v>3090</v>
      </c>
      <c r="AE302" s="3" t="s">
        <v>3091</v>
      </c>
      <c r="AF302" s="3"/>
      <c r="AG302" s="3"/>
      <c r="AH302" s="3"/>
      <c r="AI302" s="3"/>
      <c r="AJ302" s="3"/>
      <c r="AK302" s="3"/>
    </row>
    <row r="303" spans="1:37" ht="15.75" customHeight="1">
      <c r="A303" s="2" t="s">
        <v>3031</v>
      </c>
      <c r="B303" s="2" t="s">
        <v>851</v>
      </c>
      <c r="C303" s="3">
        <v>772</v>
      </c>
      <c r="D303" s="2" t="s">
        <v>451</v>
      </c>
      <c r="E303" s="2">
        <f t="shared" si="16"/>
        <v>13</v>
      </c>
      <c r="F303" s="2">
        <f t="shared" si="17"/>
        <v>10</v>
      </c>
      <c r="G303" s="2">
        <f t="shared" si="18"/>
        <v>23</v>
      </c>
      <c r="H303" s="6">
        <f t="shared" si="19"/>
        <v>1</v>
      </c>
      <c r="I303" s="2" t="s">
        <v>3090</v>
      </c>
      <c r="J303" s="2" t="s">
        <v>3090</v>
      </c>
      <c r="K303" s="2" t="s">
        <v>3090</v>
      </c>
      <c r="L303" s="2" t="s">
        <v>3091</v>
      </c>
      <c r="M303" s="2" t="s">
        <v>3091</v>
      </c>
      <c r="N303" s="2" t="s">
        <v>3090</v>
      </c>
      <c r="O303" s="2" t="s">
        <v>3091</v>
      </c>
      <c r="P303" s="2" t="s">
        <v>3091</v>
      </c>
      <c r="Q303" s="2" t="s">
        <v>3090</v>
      </c>
      <c r="R303" s="2" t="s">
        <v>3090</v>
      </c>
      <c r="S303" s="2" t="s">
        <v>3090</v>
      </c>
      <c r="T303" s="2" t="s">
        <v>3091</v>
      </c>
      <c r="U303" s="2" t="s">
        <v>3090</v>
      </c>
      <c r="V303" s="2" t="s">
        <v>3090</v>
      </c>
      <c r="W303" s="2" t="s">
        <v>3091</v>
      </c>
      <c r="X303" s="2" t="s">
        <v>3091</v>
      </c>
      <c r="Y303" s="2" t="s">
        <v>3090</v>
      </c>
      <c r="Z303" s="2" t="s">
        <v>3091</v>
      </c>
      <c r="AA303" s="3" t="s">
        <v>3091</v>
      </c>
      <c r="AB303" s="3" t="s">
        <v>3090</v>
      </c>
      <c r="AC303" s="3" t="s">
        <v>3090</v>
      </c>
      <c r="AD303" s="3" t="s">
        <v>3091</v>
      </c>
      <c r="AE303" s="3" t="s">
        <v>3090</v>
      </c>
      <c r="AF303" s="3"/>
      <c r="AG303" s="3"/>
      <c r="AH303" s="3"/>
      <c r="AI303" s="3"/>
      <c r="AJ303" s="3"/>
      <c r="AK303" s="3"/>
    </row>
    <row r="304" spans="1:37" ht="15.75" customHeight="1">
      <c r="A304" s="2" t="s">
        <v>3032</v>
      </c>
      <c r="B304" s="2" t="s">
        <v>2715</v>
      </c>
      <c r="C304" s="3">
        <v>754</v>
      </c>
      <c r="D304" s="2" t="s">
        <v>176</v>
      </c>
      <c r="E304" s="2">
        <f t="shared" si="16"/>
        <v>1</v>
      </c>
      <c r="F304" s="2">
        <f t="shared" si="17"/>
        <v>22</v>
      </c>
      <c r="G304" s="2">
        <f t="shared" si="18"/>
        <v>23</v>
      </c>
      <c r="H304" s="6">
        <f t="shared" si="19"/>
        <v>1</v>
      </c>
      <c r="I304" s="2" t="s">
        <v>3090</v>
      </c>
      <c r="J304" s="2" t="s">
        <v>3091</v>
      </c>
      <c r="K304" s="2" t="s">
        <v>3091</v>
      </c>
      <c r="L304" s="2" t="s">
        <v>3091</v>
      </c>
      <c r="M304" s="2" t="s">
        <v>3091</v>
      </c>
      <c r="N304" s="2" t="s">
        <v>3091</v>
      </c>
      <c r="O304" s="2" t="s">
        <v>3091</v>
      </c>
      <c r="P304" s="2" t="s">
        <v>3091</v>
      </c>
      <c r="Q304" s="2" t="s">
        <v>3091</v>
      </c>
      <c r="R304" s="2" t="s">
        <v>3091</v>
      </c>
      <c r="S304" s="2" t="s">
        <v>3091</v>
      </c>
      <c r="T304" s="2" t="s">
        <v>3091</v>
      </c>
      <c r="U304" s="2" t="s">
        <v>3091</v>
      </c>
      <c r="V304" s="2" t="s">
        <v>3091</v>
      </c>
      <c r="W304" s="2" t="s">
        <v>3091</v>
      </c>
      <c r="X304" s="2" t="s">
        <v>3091</v>
      </c>
      <c r="Y304" s="2" t="s">
        <v>3091</v>
      </c>
      <c r="Z304" s="2" t="s">
        <v>3091</v>
      </c>
      <c r="AA304" s="3" t="s">
        <v>3091</v>
      </c>
      <c r="AB304" s="3" t="s">
        <v>3091</v>
      </c>
      <c r="AC304" s="3" t="s">
        <v>3091</v>
      </c>
      <c r="AD304" s="3" t="s">
        <v>3091</v>
      </c>
      <c r="AE304" s="3" t="s">
        <v>3091</v>
      </c>
      <c r="AF304" s="3"/>
      <c r="AG304" s="3"/>
      <c r="AH304" s="3"/>
      <c r="AI304" s="3"/>
      <c r="AJ304" s="3"/>
      <c r="AK304" s="3"/>
    </row>
    <row r="305" spans="1:37" ht="15.75" customHeight="1">
      <c r="A305" s="2" t="s">
        <v>3033</v>
      </c>
      <c r="B305" s="2" t="s">
        <v>2674</v>
      </c>
      <c r="C305" s="3">
        <v>737</v>
      </c>
      <c r="D305" s="2" t="s">
        <v>179</v>
      </c>
      <c r="E305" s="2">
        <f t="shared" si="16"/>
        <v>7</v>
      </c>
      <c r="F305" s="2">
        <f t="shared" si="17"/>
        <v>16</v>
      </c>
      <c r="G305" s="2">
        <f t="shared" si="18"/>
        <v>23</v>
      </c>
      <c r="H305" s="6">
        <f t="shared" si="19"/>
        <v>1</v>
      </c>
      <c r="I305" s="2" t="s">
        <v>3090</v>
      </c>
      <c r="J305" s="2" t="s">
        <v>3090</v>
      </c>
      <c r="K305" s="2" t="s">
        <v>3091</v>
      </c>
      <c r="L305" s="2" t="s">
        <v>3090</v>
      </c>
      <c r="M305" s="2" t="s">
        <v>3090</v>
      </c>
      <c r="N305" s="2" t="s">
        <v>3090</v>
      </c>
      <c r="O305" s="2" t="s">
        <v>3091</v>
      </c>
      <c r="P305" s="2" t="s">
        <v>3091</v>
      </c>
      <c r="Q305" s="2" t="s">
        <v>3090</v>
      </c>
      <c r="R305" s="2" t="s">
        <v>3090</v>
      </c>
      <c r="S305" s="2" t="s">
        <v>3091</v>
      </c>
      <c r="T305" s="2" t="s">
        <v>3091</v>
      </c>
      <c r="U305" s="2" t="s">
        <v>3091</v>
      </c>
      <c r="V305" s="2" t="s">
        <v>3091</v>
      </c>
      <c r="W305" s="2" t="s">
        <v>3091</v>
      </c>
      <c r="X305" s="2" t="s">
        <v>3091</v>
      </c>
      <c r="Y305" s="2" t="s">
        <v>3091</v>
      </c>
      <c r="Z305" s="2" t="s">
        <v>3091</v>
      </c>
      <c r="AA305" s="3" t="s">
        <v>3091</v>
      </c>
      <c r="AB305" s="3" t="s">
        <v>3091</v>
      </c>
      <c r="AC305" s="3" t="s">
        <v>3091</v>
      </c>
      <c r="AD305" s="3" t="s">
        <v>3091</v>
      </c>
      <c r="AE305" s="3" t="s">
        <v>3091</v>
      </c>
      <c r="AF305" s="3"/>
      <c r="AG305" s="3"/>
      <c r="AH305" s="3"/>
      <c r="AI305" s="3"/>
      <c r="AJ305" s="3"/>
      <c r="AK305" s="3"/>
    </row>
    <row r="306" spans="1:37" ht="15.75" customHeight="1">
      <c r="A306" s="2" t="s">
        <v>3034</v>
      </c>
      <c r="B306" s="2" t="s">
        <v>2775</v>
      </c>
      <c r="C306" s="3">
        <v>589</v>
      </c>
      <c r="D306" s="2" t="s">
        <v>454</v>
      </c>
      <c r="E306" s="2">
        <f t="shared" si="16"/>
        <v>0</v>
      </c>
      <c r="F306" s="2">
        <f t="shared" si="17"/>
        <v>23</v>
      </c>
      <c r="G306" s="2">
        <f t="shared" si="18"/>
        <v>23</v>
      </c>
      <c r="H306" s="6">
        <f t="shared" si="19"/>
        <v>1</v>
      </c>
      <c r="I306" s="2" t="s">
        <v>3091</v>
      </c>
      <c r="J306" s="2" t="s">
        <v>3091</v>
      </c>
      <c r="K306" s="2" t="s">
        <v>3091</v>
      </c>
      <c r="L306" s="2" t="s">
        <v>3091</v>
      </c>
      <c r="M306" s="2" t="s">
        <v>3091</v>
      </c>
      <c r="N306" s="2" t="s">
        <v>3091</v>
      </c>
      <c r="O306" s="2" t="s">
        <v>3091</v>
      </c>
      <c r="P306" s="2" t="s">
        <v>3091</v>
      </c>
      <c r="Q306" s="2" t="s">
        <v>3091</v>
      </c>
      <c r="R306" s="2" t="s">
        <v>3091</v>
      </c>
      <c r="S306" s="2" t="s">
        <v>3091</v>
      </c>
      <c r="T306" s="2" t="s">
        <v>3091</v>
      </c>
      <c r="U306" s="2" t="s">
        <v>3091</v>
      </c>
      <c r="V306" s="2" t="s">
        <v>3091</v>
      </c>
      <c r="W306" s="2" t="s">
        <v>3091</v>
      </c>
      <c r="X306" s="2" t="s">
        <v>3091</v>
      </c>
      <c r="Y306" s="2" t="s">
        <v>3091</v>
      </c>
      <c r="Z306" s="2" t="s">
        <v>3091</v>
      </c>
      <c r="AA306" s="3" t="s">
        <v>3091</v>
      </c>
      <c r="AB306" s="3" t="s">
        <v>3091</v>
      </c>
      <c r="AC306" s="3" t="s">
        <v>3091</v>
      </c>
      <c r="AD306" s="3" t="s">
        <v>3091</v>
      </c>
      <c r="AE306" s="3" t="s">
        <v>3091</v>
      </c>
      <c r="AF306" s="3"/>
      <c r="AG306" s="3"/>
      <c r="AH306" s="3"/>
      <c r="AI306" s="3"/>
      <c r="AJ306" s="3"/>
      <c r="AK306" s="3"/>
    </row>
    <row r="307" spans="1:37" ht="15.75" customHeight="1">
      <c r="A307" s="2" t="s">
        <v>3035</v>
      </c>
      <c r="B307" s="2" t="s">
        <v>2659</v>
      </c>
      <c r="C307" s="3">
        <v>262</v>
      </c>
      <c r="D307" s="2" t="s">
        <v>181</v>
      </c>
      <c r="E307" s="2">
        <f t="shared" si="16"/>
        <v>10</v>
      </c>
      <c r="F307" s="2">
        <f t="shared" si="17"/>
        <v>13</v>
      </c>
      <c r="G307" s="2">
        <f t="shared" si="18"/>
        <v>23</v>
      </c>
      <c r="H307" s="6">
        <f t="shared" si="19"/>
        <v>1</v>
      </c>
      <c r="I307" s="2" t="s">
        <v>3090</v>
      </c>
      <c r="J307" s="2" t="s">
        <v>3090</v>
      </c>
      <c r="K307" s="2" t="s">
        <v>3090</v>
      </c>
      <c r="L307" s="2" t="s">
        <v>3090</v>
      </c>
      <c r="M307" s="2" t="s">
        <v>3090</v>
      </c>
      <c r="N307" s="2" t="s">
        <v>3090</v>
      </c>
      <c r="O307" s="2" t="s">
        <v>3091</v>
      </c>
      <c r="P307" s="2" t="s">
        <v>3091</v>
      </c>
      <c r="Q307" s="2" t="s">
        <v>3090</v>
      </c>
      <c r="R307" s="2" t="s">
        <v>3090</v>
      </c>
      <c r="S307" s="2" t="s">
        <v>3091</v>
      </c>
      <c r="T307" s="2" t="s">
        <v>3091</v>
      </c>
      <c r="U307" s="2" t="s">
        <v>3090</v>
      </c>
      <c r="V307" s="2" t="s">
        <v>3090</v>
      </c>
      <c r="W307" s="2" t="s">
        <v>3091</v>
      </c>
      <c r="X307" s="2" t="s">
        <v>3091</v>
      </c>
      <c r="Y307" s="2" t="s">
        <v>3091</v>
      </c>
      <c r="Z307" s="2" t="s">
        <v>3091</v>
      </c>
      <c r="AA307" s="3" t="s">
        <v>3091</v>
      </c>
      <c r="AB307" s="3" t="s">
        <v>3091</v>
      </c>
      <c r="AC307" s="3" t="s">
        <v>3091</v>
      </c>
      <c r="AD307" s="3" t="s">
        <v>3091</v>
      </c>
      <c r="AE307" s="3" t="s">
        <v>3091</v>
      </c>
      <c r="AF307" s="3"/>
      <c r="AG307" s="3"/>
      <c r="AH307" s="3"/>
      <c r="AI307" s="3"/>
      <c r="AJ307" s="3"/>
      <c r="AK307" s="3"/>
    </row>
    <row r="308" spans="1:37" ht="15.75" customHeight="1">
      <c r="A308" s="2" t="s">
        <v>3036</v>
      </c>
      <c r="B308" s="2" t="s">
        <v>2808</v>
      </c>
      <c r="C308" s="3">
        <v>771</v>
      </c>
      <c r="D308" s="2" t="s">
        <v>338</v>
      </c>
      <c r="E308" s="2">
        <f t="shared" si="16"/>
        <v>6</v>
      </c>
      <c r="F308" s="2">
        <f t="shared" si="17"/>
        <v>12</v>
      </c>
      <c r="G308" s="2">
        <f t="shared" si="18"/>
        <v>18</v>
      </c>
      <c r="H308" s="6">
        <f t="shared" si="19"/>
        <v>0.78260869565217395</v>
      </c>
      <c r="I308" s="2" t="s">
        <v>3090</v>
      </c>
      <c r="J308" s="2" t="s">
        <v>3090</v>
      </c>
      <c r="K308" s="2" t="s">
        <v>3090</v>
      </c>
      <c r="L308" s="2" t="s">
        <v>3090</v>
      </c>
      <c r="M308" s="2" t="s">
        <v>3090</v>
      </c>
      <c r="N308" s="2" t="s">
        <v>3090</v>
      </c>
      <c r="O308" s="2" t="s">
        <v>3091</v>
      </c>
      <c r="P308" s="2" t="s">
        <v>3091</v>
      </c>
      <c r="Q308" s="2" t="s">
        <v>3091</v>
      </c>
      <c r="R308" s="2" t="s">
        <v>3091</v>
      </c>
      <c r="S308" s="2" t="s">
        <v>3091</v>
      </c>
      <c r="T308" s="2" t="s">
        <v>3091</v>
      </c>
      <c r="U308" s="2" t="s">
        <v>3091</v>
      </c>
      <c r="V308" s="2" t="s">
        <v>3091</v>
      </c>
      <c r="W308" s="2" t="s">
        <v>3091</v>
      </c>
      <c r="X308" s="2" t="s">
        <v>3092</v>
      </c>
      <c r="Y308" s="2" t="s">
        <v>3091</v>
      </c>
      <c r="Z308" s="2" t="s">
        <v>3092</v>
      </c>
      <c r="AA308" s="3" t="s">
        <v>3092</v>
      </c>
      <c r="AB308" s="3" t="s">
        <v>3091</v>
      </c>
      <c r="AC308" s="3" t="s">
        <v>3091</v>
      </c>
      <c r="AD308" s="3" t="s">
        <v>3092</v>
      </c>
      <c r="AE308" s="3" t="s">
        <v>3092</v>
      </c>
      <c r="AF308" s="3"/>
      <c r="AG308" s="3"/>
      <c r="AH308" s="3"/>
      <c r="AI308" s="3"/>
      <c r="AJ308" s="3"/>
      <c r="AK308" s="3"/>
    </row>
    <row r="309" spans="1:37" ht="15.75" customHeight="1">
      <c r="A309" s="2" t="s">
        <v>3037</v>
      </c>
      <c r="B309" s="2" t="s">
        <v>2755</v>
      </c>
      <c r="C309" s="3">
        <v>760</v>
      </c>
      <c r="D309" s="2" t="s">
        <v>184</v>
      </c>
      <c r="E309" s="2">
        <f t="shared" si="16"/>
        <v>7</v>
      </c>
      <c r="F309" s="2">
        <f t="shared" si="17"/>
        <v>16</v>
      </c>
      <c r="G309" s="2">
        <f t="shared" si="18"/>
        <v>23</v>
      </c>
      <c r="H309" s="6">
        <f t="shared" si="19"/>
        <v>1</v>
      </c>
      <c r="I309" s="2" t="s">
        <v>3090</v>
      </c>
      <c r="J309" s="2" t="s">
        <v>3090</v>
      </c>
      <c r="K309" s="2" t="s">
        <v>3091</v>
      </c>
      <c r="L309" s="2" t="s">
        <v>3090</v>
      </c>
      <c r="M309" s="2" t="s">
        <v>3090</v>
      </c>
      <c r="N309" s="2" t="s">
        <v>3090</v>
      </c>
      <c r="O309" s="2" t="s">
        <v>3091</v>
      </c>
      <c r="P309" s="2" t="s">
        <v>3091</v>
      </c>
      <c r="Q309" s="2" t="s">
        <v>3090</v>
      </c>
      <c r="R309" s="2" t="s">
        <v>3090</v>
      </c>
      <c r="S309" s="2" t="s">
        <v>3091</v>
      </c>
      <c r="T309" s="2" t="s">
        <v>3091</v>
      </c>
      <c r="U309" s="2" t="s">
        <v>3091</v>
      </c>
      <c r="V309" s="2" t="s">
        <v>3091</v>
      </c>
      <c r="W309" s="2" t="s">
        <v>3091</v>
      </c>
      <c r="X309" s="2" t="s">
        <v>3091</v>
      </c>
      <c r="Y309" s="2" t="s">
        <v>3091</v>
      </c>
      <c r="Z309" s="2" t="s">
        <v>3091</v>
      </c>
      <c r="AA309" s="3" t="s">
        <v>3091</v>
      </c>
      <c r="AB309" s="3" t="s">
        <v>3091</v>
      </c>
      <c r="AC309" s="3" t="s">
        <v>3091</v>
      </c>
      <c r="AD309" s="3" t="s">
        <v>3091</v>
      </c>
      <c r="AE309" s="3" t="s">
        <v>3091</v>
      </c>
      <c r="AF309" s="3"/>
      <c r="AG309" s="3"/>
      <c r="AH309" s="3"/>
      <c r="AI309" s="3"/>
      <c r="AJ309" s="3"/>
      <c r="AK309" s="3"/>
    </row>
    <row r="310" spans="1:37" ht="15.75" customHeight="1">
      <c r="A310" s="2" t="s">
        <v>3038</v>
      </c>
      <c r="B310" s="2" t="s">
        <v>2833</v>
      </c>
      <c r="C310" s="3">
        <v>221</v>
      </c>
      <c r="D310" s="2" t="s">
        <v>241</v>
      </c>
      <c r="E310" s="2">
        <f t="shared" si="16"/>
        <v>1</v>
      </c>
      <c r="F310" s="2">
        <f t="shared" si="17"/>
        <v>11</v>
      </c>
      <c r="G310" s="2">
        <f t="shared" si="18"/>
        <v>12</v>
      </c>
      <c r="H310" s="6">
        <f t="shared" si="19"/>
        <v>0.52173913043478304</v>
      </c>
      <c r="I310" s="2" t="s">
        <v>3090</v>
      </c>
      <c r="J310" s="2" t="s">
        <v>3091</v>
      </c>
      <c r="K310" s="2" t="s">
        <v>3091</v>
      </c>
      <c r="L310" s="2" t="s">
        <v>3091</v>
      </c>
      <c r="M310" s="2" t="s">
        <v>3091</v>
      </c>
      <c r="N310" s="2" t="s">
        <v>3091</v>
      </c>
      <c r="O310" s="2" t="s">
        <v>3092</v>
      </c>
      <c r="P310" s="2" t="s">
        <v>3092</v>
      </c>
      <c r="Q310" s="2" t="s">
        <v>3092</v>
      </c>
      <c r="R310" s="2" t="s">
        <v>3092</v>
      </c>
      <c r="S310" s="2" t="s">
        <v>3092</v>
      </c>
      <c r="T310" s="2" t="s">
        <v>3091</v>
      </c>
      <c r="U310" s="2" t="s">
        <v>3091</v>
      </c>
      <c r="V310" s="2" t="s">
        <v>3091</v>
      </c>
      <c r="W310" s="2" t="s">
        <v>3091</v>
      </c>
      <c r="X310" s="2" t="s">
        <v>3091</v>
      </c>
      <c r="Y310" s="2" t="s">
        <v>3092</v>
      </c>
      <c r="Z310" s="2" t="s">
        <v>3092</v>
      </c>
      <c r="AA310" s="3" t="s">
        <v>3091</v>
      </c>
      <c r="AB310" s="3" t="s">
        <v>3092</v>
      </c>
      <c r="AC310" s="3" t="s">
        <v>3092</v>
      </c>
      <c r="AD310" s="3" t="s">
        <v>3092</v>
      </c>
      <c r="AE310" s="3" t="s">
        <v>3092</v>
      </c>
      <c r="AF310" s="3"/>
      <c r="AG310" s="3"/>
      <c r="AH310" s="3"/>
      <c r="AI310" s="3"/>
      <c r="AJ310" s="3"/>
      <c r="AK310" s="3"/>
    </row>
    <row r="311" spans="1:37" ht="15.75" customHeight="1">
      <c r="A311" s="2" t="s">
        <v>3039</v>
      </c>
      <c r="B311" s="2" t="s">
        <v>3040</v>
      </c>
      <c r="C311" s="3">
        <v>233</v>
      </c>
      <c r="D311" s="2" t="s">
        <v>653</v>
      </c>
      <c r="E311" s="2">
        <f t="shared" si="16"/>
        <v>7</v>
      </c>
      <c r="F311" s="2">
        <f t="shared" si="17"/>
        <v>14</v>
      </c>
      <c r="G311" s="2">
        <f t="shared" si="18"/>
        <v>21</v>
      </c>
      <c r="H311" s="6">
        <f t="shared" si="19"/>
        <v>0.91304347826086996</v>
      </c>
      <c r="I311" s="2" t="s">
        <v>3090</v>
      </c>
      <c r="J311" s="2" t="s">
        <v>3090</v>
      </c>
      <c r="K311" s="2" t="s">
        <v>3091</v>
      </c>
      <c r="L311" s="2" t="s">
        <v>3091</v>
      </c>
      <c r="M311" s="2" t="s">
        <v>3091</v>
      </c>
      <c r="N311" s="2" t="s">
        <v>3091</v>
      </c>
      <c r="O311" s="2" t="s">
        <v>3091</v>
      </c>
      <c r="P311" s="2" t="s">
        <v>3091</v>
      </c>
      <c r="Q311" s="2" t="s">
        <v>3091</v>
      </c>
      <c r="R311" s="2" t="s">
        <v>3091</v>
      </c>
      <c r="S311" s="2" t="s">
        <v>3090</v>
      </c>
      <c r="T311" s="2" t="s">
        <v>3091</v>
      </c>
      <c r="U311" s="2" t="s">
        <v>3090</v>
      </c>
      <c r="V311" s="2" t="s">
        <v>3090</v>
      </c>
      <c r="W311" s="2" t="s">
        <v>3091</v>
      </c>
      <c r="X311" s="2" t="s">
        <v>3091</v>
      </c>
      <c r="Y311" s="2" t="s">
        <v>3091</v>
      </c>
      <c r="Z311" s="2" t="s">
        <v>3091</v>
      </c>
      <c r="AA311" s="3" t="s">
        <v>3091</v>
      </c>
      <c r="AB311" s="3" t="s">
        <v>3090</v>
      </c>
      <c r="AC311" s="3" t="s">
        <v>3090</v>
      </c>
      <c r="AD311" s="3" t="s">
        <v>3092</v>
      </c>
      <c r="AE311" s="3" t="s">
        <v>3092</v>
      </c>
      <c r="AF311" s="3"/>
      <c r="AG311" s="3"/>
      <c r="AH311" s="3"/>
      <c r="AI311" s="3"/>
      <c r="AJ311" s="3"/>
      <c r="AK311" s="3"/>
    </row>
    <row r="312" spans="1:37" ht="15.75" customHeight="1">
      <c r="A312" s="2" t="s">
        <v>3041</v>
      </c>
      <c r="B312" s="2" t="s">
        <v>2770</v>
      </c>
      <c r="C312" s="3">
        <v>320</v>
      </c>
      <c r="D312" s="2" t="s">
        <v>423</v>
      </c>
      <c r="E312" s="2">
        <f t="shared" si="16"/>
        <v>7</v>
      </c>
      <c r="F312" s="2">
        <f t="shared" si="17"/>
        <v>16</v>
      </c>
      <c r="G312" s="2">
        <f t="shared" si="18"/>
        <v>23</v>
      </c>
      <c r="H312" s="6">
        <f t="shared" si="19"/>
        <v>1</v>
      </c>
      <c r="I312" s="2" t="s">
        <v>3090</v>
      </c>
      <c r="J312" s="2" t="s">
        <v>3091</v>
      </c>
      <c r="K312" s="2" t="s">
        <v>3091</v>
      </c>
      <c r="L312" s="2" t="s">
        <v>3090</v>
      </c>
      <c r="M312" s="2" t="s">
        <v>3090</v>
      </c>
      <c r="N312" s="2" t="s">
        <v>3091</v>
      </c>
      <c r="O312" s="2" t="s">
        <v>3091</v>
      </c>
      <c r="P312" s="2" t="s">
        <v>3091</v>
      </c>
      <c r="Q312" s="2" t="s">
        <v>3090</v>
      </c>
      <c r="R312" s="2" t="s">
        <v>3090</v>
      </c>
      <c r="S312" s="2" t="s">
        <v>3091</v>
      </c>
      <c r="T312" s="2" t="s">
        <v>3091</v>
      </c>
      <c r="U312" s="2" t="s">
        <v>3091</v>
      </c>
      <c r="V312" s="2" t="s">
        <v>3090</v>
      </c>
      <c r="W312" s="2" t="s">
        <v>3091</v>
      </c>
      <c r="X312" s="2" t="s">
        <v>3091</v>
      </c>
      <c r="Y312" s="2" t="s">
        <v>3090</v>
      </c>
      <c r="Z312" s="2" t="s">
        <v>3091</v>
      </c>
      <c r="AA312" s="3" t="s">
        <v>3091</v>
      </c>
      <c r="AB312" s="3" t="s">
        <v>3091</v>
      </c>
      <c r="AC312" s="3" t="s">
        <v>3091</v>
      </c>
      <c r="AD312" s="3" t="s">
        <v>3091</v>
      </c>
      <c r="AE312" s="3" t="s">
        <v>3091</v>
      </c>
      <c r="AF312" s="3"/>
      <c r="AG312" s="3"/>
      <c r="AH312" s="3"/>
      <c r="AI312" s="3"/>
      <c r="AJ312" s="3"/>
      <c r="AK312" s="3"/>
    </row>
    <row r="313" spans="1:37" ht="15.75" customHeight="1">
      <c r="A313" s="2" t="s">
        <v>3042</v>
      </c>
      <c r="B313" s="2" t="s">
        <v>3043</v>
      </c>
      <c r="C313" s="3">
        <v>669</v>
      </c>
      <c r="D313" s="2" t="s">
        <v>707</v>
      </c>
      <c r="E313" s="2">
        <f t="shared" si="16"/>
        <v>14</v>
      </c>
      <c r="F313" s="2">
        <f t="shared" si="17"/>
        <v>9</v>
      </c>
      <c r="G313" s="2">
        <f t="shared" si="18"/>
        <v>23</v>
      </c>
      <c r="H313" s="6">
        <f t="shared" si="19"/>
        <v>1</v>
      </c>
      <c r="I313" s="2" t="s">
        <v>3090</v>
      </c>
      <c r="J313" s="2" t="s">
        <v>3090</v>
      </c>
      <c r="K313" s="2" t="s">
        <v>3090</v>
      </c>
      <c r="L313" s="2" t="s">
        <v>3090</v>
      </c>
      <c r="M313" s="2" t="s">
        <v>3090</v>
      </c>
      <c r="N313" s="2" t="s">
        <v>3090</v>
      </c>
      <c r="O313" s="2" t="s">
        <v>3091</v>
      </c>
      <c r="P313" s="2" t="s">
        <v>3091</v>
      </c>
      <c r="Q313" s="2" t="s">
        <v>3090</v>
      </c>
      <c r="R313" s="2" t="s">
        <v>3090</v>
      </c>
      <c r="S313" s="2" t="s">
        <v>3090</v>
      </c>
      <c r="T313" s="2" t="s">
        <v>3091</v>
      </c>
      <c r="U313" s="2" t="s">
        <v>3090</v>
      </c>
      <c r="V313" s="2" t="s">
        <v>3090</v>
      </c>
      <c r="W313" s="2" t="s">
        <v>3091</v>
      </c>
      <c r="X313" s="2" t="s">
        <v>3091</v>
      </c>
      <c r="Y313" s="2" t="s">
        <v>3091</v>
      </c>
      <c r="Z313" s="2" t="s">
        <v>3091</v>
      </c>
      <c r="AA313" s="3" t="s">
        <v>3091</v>
      </c>
      <c r="AB313" s="3" t="s">
        <v>3090</v>
      </c>
      <c r="AC313" s="3" t="s">
        <v>3090</v>
      </c>
      <c r="AD313" s="3" t="s">
        <v>3090</v>
      </c>
      <c r="AE313" s="3" t="s">
        <v>3091</v>
      </c>
      <c r="AF313" s="3"/>
      <c r="AG313" s="3"/>
      <c r="AH313" s="3"/>
      <c r="AI313" s="3"/>
      <c r="AJ313" s="3"/>
      <c r="AK313" s="3"/>
    </row>
    <row r="314" spans="1:37" ht="15.75" customHeight="1">
      <c r="A314" s="2" t="s">
        <v>3044</v>
      </c>
      <c r="B314" s="2" t="s">
        <v>2659</v>
      </c>
      <c r="C314" s="3">
        <v>602</v>
      </c>
      <c r="D314" s="2" t="s">
        <v>497</v>
      </c>
      <c r="E314" s="2">
        <f t="shared" si="16"/>
        <v>17</v>
      </c>
      <c r="F314" s="2">
        <f t="shared" si="17"/>
        <v>4</v>
      </c>
      <c r="G314" s="2">
        <f t="shared" si="18"/>
        <v>21</v>
      </c>
      <c r="H314" s="6">
        <f t="shared" si="19"/>
        <v>0.91304347826086996</v>
      </c>
      <c r="I314" s="2" t="s">
        <v>3090</v>
      </c>
      <c r="J314" s="2" t="s">
        <v>3090</v>
      </c>
      <c r="K314" s="2" t="s">
        <v>3090</v>
      </c>
      <c r="L314" s="2" t="s">
        <v>3090</v>
      </c>
      <c r="M314" s="2" t="s">
        <v>3090</v>
      </c>
      <c r="N314" s="2" t="s">
        <v>3090</v>
      </c>
      <c r="O314" s="2" t="s">
        <v>3091</v>
      </c>
      <c r="P314" s="2" t="s">
        <v>3091</v>
      </c>
      <c r="Q314" s="2" t="s">
        <v>3090</v>
      </c>
      <c r="R314" s="2" t="s">
        <v>3090</v>
      </c>
      <c r="S314" s="2" t="s">
        <v>3090</v>
      </c>
      <c r="T314" s="2" t="s">
        <v>3091</v>
      </c>
      <c r="U314" s="2" t="s">
        <v>3090</v>
      </c>
      <c r="V314" s="2" t="s">
        <v>3090</v>
      </c>
      <c r="W314" s="2" t="s">
        <v>3091</v>
      </c>
      <c r="X314" s="2" t="s">
        <v>3092</v>
      </c>
      <c r="Y314" s="2" t="s">
        <v>3090</v>
      </c>
      <c r="Z314" s="2" t="s">
        <v>3090</v>
      </c>
      <c r="AA314" s="3" t="s">
        <v>3092</v>
      </c>
      <c r="AB314" s="3" t="s">
        <v>3090</v>
      </c>
      <c r="AC314" s="3" t="s">
        <v>3090</v>
      </c>
      <c r="AD314" s="3" t="s">
        <v>3090</v>
      </c>
      <c r="AE314" s="3" t="s">
        <v>3090</v>
      </c>
      <c r="AF314" s="3"/>
      <c r="AG314" s="3"/>
      <c r="AH314" s="3"/>
      <c r="AI314" s="3"/>
      <c r="AJ314" s="3"/>
      <c r="AK314" s="3"/>
    </row>
    <row r="315" spans="1:37" ht="15.75" customHeight="1">
      <c r="A315" s="2" t="s">
        <v>3045</v>
      </c>
      <c r="B315" s="2" t="s">
        <v>2896</v>
      </c>
      <c r="C315" s="3">
        <v>675</v>
      </c>
      <c r="D315" s="2" t="s">
        <v>656</v>
      </c>
      <c r="E315" s="2">
        <f t="shared" si="16"/>
        <v>17</v>
      </c>
      <c r="F315" s="2">
        <f t="shared" si="17"/>
        <v>6</v>
      </c>
      <c r="G315" s="2">
        <f t="shared" si="18"/>
        <v>23</v>
      </c>
      <c r="H315" s="6">
        <f t="shared" si="19"/>
        <v>1</v>
      </c>
      <c r="I315" s="2" t="s">
        <v>3090</v>
      </c>
      <c r="J315" s="2" t="s">
        <v>3090</v>
      </c>
      <c r="K315" s="2" t="s">
        <v>3090</v>
      </c>
      <c r="L315" s="2" t="s">
        <v>3090</v>
      </c>
      <c r="M315" s="2" t="s">
        <v>3090</v>
      </c>
      <c r="N315" s="2" t="s">
        <v>3090</v>
      </c>
      <c r="O315" s="2" t="s">
        <v>3091</v>
      </c>
      <c r="P315" s="2" t="s">
        <v>3091</v>
      </c>
      <c r="Q315" s="2" t="s">
        <v>3090</v>
      </c>
      <c r="R315" s="2" t="s">
        <v>3090</v>
      </c>
      <c r="S315" s="2" t="s">
        <v>3090</v>
      </c>
      <c r="T315" s="2" t="s">
        <v>3091</v>
      </c>
      <c r="U315" s="2" t="s">
        <v>3090</v>
      </c>
      <c r="V315" s="2" t="s">
        <v>3090</v>
      </c>
      <c r="W315" s="2" t="s">
        <v>3091</v>
      </c>
      <c r="X315" s="2" t="s">
        <v>3091</v>
      </c>
      <c r="Y315" s="2" t="s">
        <v>3090</v>
      </c>
      <c r="Z315" s="2" t="s">
        <v>3090</v>
      </c>
      <c r="AA315" s="3" t="s">
        <v>3091</v>
      </c>
      <c r="AB315" s="3" t="s">
        <v>3090</v>
      </c>
      <c r="AC315" s="3" t="s">
        <v>3090</v>
      </c>
      <c r="AD315" s="3" t="s">
        <v>3090</v>
      </c>
      <c r="AE315" s="3" t="s">
        <v>3090</v>
      </c>
      <c r="AF315" s="3"/>
      <c r="AG315" s="3"/>
      <c r="AH315" s="3"/>
      <c r="AI315" s="3"/>
      <c r="AJ315" s="3"/>
      <c r="AK315" s="3"/>
    </row>
    <row r="316" spans="1:37" ht="15.75" customHeight="1">
      <c r="A316" s="2" t="s">
        <v>3046</v>
      </c>
      <c r="B316" s="2" t="s">
        <v>2687</v>
      </c>
      <c r="C316" s="3">
        <v>248</v>
      </c>
      <c r="D316" s="2" t="s">
        <v>186</v>
      </c>
      <c r="E316" s="2">
        <f t="shared" si="16"/>
        <v>12</v>
      </c>
      <c r="F316" s="2">
        <f t="shared" si="17"/>
        <v>9</v>
      </c>
      <c r="G316" s="2">
        <f t="shared" si="18"/>
        <v>21</v>
      </c>
      <c r="H316" s="6">
        <f t="shared" si="19"/>
        <v>0.91304347826086996</v>
      </c>
      <c r="I316" s="2" t="s">
        <v>3090</v>
      </c>
      <c r="J316" s="2" t="s">
        <v>3090</v>
      </c>
      <c r="K316" s="2" t="s">
        <v>3090</v>
      </c>
      <c r="L316" s="2" t="s">
        <v>3090</v>
      </c>
      <c r="M316" s="2" t="s">
        <v>3090</v>
      </c>
      <c r="N316" s="2" t="s">
        <v>3090</v>
      </c>
      <c r="O316" s="2" t="s">
        <v>3091</v>
      </c>
      <c r="P316" s="2" t="s">
        <v>3091</v>
      </c>
      <c r="Q316" s="2" t="s">
        <v>3090</v>
      </c>
      <c r="R316" s="2" t="s">
        <v>3090</v>
      </c>
      <c r="S316" s="2" t="s">
        <v>3090</v>
      </c>
      <c r="T316" s="2" t="s">
        <v>3091</v>
      </c>
      <c r="U316" s="2" t="s">
        <v>3091</v>
      </c>
      <c r="V316" s="2" t="s">
        <v>3091</v>
      </c>
      <c r="W316" s="2" t="s">
        <v>3091</v>
      </c>
      <c r="X316" s="2" t="s">
        <v>3091</v>
      </c>
      <c r="Y316" s="2" t="s">
        <v>3090</v>
      </c>
      <c r="Z316" s="2" t="s">
        <v>3090</v>
      </c>
      <c r="AA316" s="3" t="s">
        <v>3092</v>
      </c>
      <c r="AB316" s="3" t="s">
        <v>3091</v>
      </c>
      <c r="AC316" s="3" t="s">
        <v>3091</v>
      </c>
      <c r="AD316" s="3" t="s">
        <v>3090</v>
      </c>
      <c r="AE316" s="3" t="s">
        <v>3092</v>
      </c>
      <c r="AF316" s="3"/>
      <c r="AG316" s="3"/>
      <c r="AH316" s="3"/>
      <c r="AI316" s="3"/>
      <c r="AJ316" s="3"/>
      <c r="AK316" s="3"/>
    </row>
    <row r="317" spans="1:37" ht="15.75" customHeight="1">
      <c r="A317" s="2" t="s">
        <v>3047</v>
      </c>
      <c r="B317" s="2" t="s">
        <v>2671</v>
      </c>
      <c r="C317" s="3">
        <v>637</v>
      </c>
      <c r="D317" s="2" t="s">
        <v>341</v>
      </c>
      <c r="E317" s="2">
        <f t="shared" si="16"/>
        <v>2</v>
      </c>
      <c r="F317" s="2">
        <f t="shared" si="17"/>
        <v>21</v>
      </c>
      <c r="G317" s="2">
        <f t="shared" si="18"/>
        <v>23</v>
      </c>
      <c r="H317" s="6">
        <f t="shared" si="19"/>
        <v>1</v>
      </c>
      <c r="I317" s="2" t="s">
        <v>3090</v>
      </c>
      <c r="J317" s="2" t="s">
        <v>3091</v>
      </c>
      <c r="K317" s="2" t="s">
        <v>3091</v>
      </c>
      <c r="L317" s="2" t="s">
        <v>3091</v>
      </c>
      <c r="M317" s="2" t="s">
        <v>3091</v>
      </c>
      <c r="N317" s="2" t="s">
        <v>3091</v>
      </c>
      <c r="O317" s="2" t="s">
        <v>3091</v>
      </c>
      <c r="P317" s="2" t="s">
        <v>3091</v>
      </c>
      <c r="Q317" s="2" t="s">
        <v>3091</v>
      </c>
      <c r="R317" s="2" t="s">
        <v>3091</v>
      </c>
      <c r="S317" s="2" t="s">
        <v>3091</v>
      </c>
      <c r="T317" s="2" t="s">
        <v>3091</v>
      </c>
      <c r="U317" s="2" t="s">
        <v>3091</v>
      </c>
      <c r="V317" s="2" t="s">
        <v>3091</v>
      </c>
      <c r="W317" s="2" t="s">
        <v>3091</v>
      </c>
      <c r="X317" s="2" t="s">
        <v>3091</v>
      </c>
      <c r="Y317" s="2" t="s">
        <v>3090</v>
      </c>
      <c r="Z317" s="2" t="s">
        <v>3091</v>
      </c>
      <c r="AA317" s="3" t="s">
        <v>3091</v>
      </c>
      <c r="AB317" s="3" t="s">
        <v>3091</v>
      </c>
      <c r="AC317" s="3" t="s">
        <v>3091</v>
      </c>
      <c r="AD317" s="3" t="s">
        <v>3091</v>
      </c>
      <c r="AE317" s="3" t="s">
        <v>3091</v>
      </c>
      <c r="AF317" s="3"/>
      <c r="AG317" s="3"/>
      <c r="AH317" s="3"/>
      <c r="AI317" s="3"/>
      <c r="AJ317" s="3"/>
      <c r="AK317" s="3"/>
    </row>
    <row r="318" spans="1:37" ht="15.75" customHeight="1">
      <c r="A318" s="2" t="s">
        <v>3048</v>
      </c>
      <c r="B318" s="2" t="s">
        <v>2775</v>
      </c>
      <c r="C318" s="3">
        <v>692</v>
      </c>
      <c r="D318" s="2" t="s">
        <v>281</v>
      </c>
      <c r="E318" s="2">
        <f t="shared" si="16"/>
        <v>14</v>
      </c>
      <c r="F318" s="2">
        <f t="shared" si="17"/>
        <v>9</v>
      </c>
      <c r="G318" s="2">
        <f t="shared" si="18"/>
        <v>23</v>
      </c>
      <c r="H318" s="6">
        <f t="shared" si="19"/>
        <v>1</v>
      </c>
      <c r="I318" s="2" t="s">
        <v>3090</v>
      </c>
      <c r="J318" s="2" t="s">
        <v>3091</v>
      </c>
      <c r="K318" s="2" t="s">
        <v>3091</v>
      </c>
      <c r="L318" s="2" t="s">
        <v>3090</v>
      </c>
      <c r="M318" s="2" t="s">
        <v>3090</v>
      </c>
      <c r="N318" s="2" t="s">
        <v>3090</v>
      </c>
      <c r="O318" s="2" t="s">
        <v>3091</v>
      </c>
      <c r="P318" s="2" t="s">
        <v>3091</v>
      </c>
      <c r="Q318" s="2" t="s">
        <v>3090</v>
      </c>
      <c r="R318" s="2" t="s">
        <v>3090</v>
      </c>
      <c r="S318" s="2" t="s">
        <v>3090</v>
      </c>
      <c r="T318" s="2" t="s">
        <v>3091</v>
      </c>
      <c r="U318" s="2" t="s">
        <v>3090</v>
      </c>
      <c r="V318" s="2" t="s">
        <v>3090</v>
      </c>
      <c r="W318" s="2" t="s">
        <v>3091</v>
      </c>
      <c r="X318" s="2" t="s">
        <v>3091</v>
      </c>
      <c r="Y318" s="2" t="s">
        <v>3090</v>
      </c>
      <c r="Z318" s="2" t="s">
        <v>3090</v>
      </c>
      <c r="AA318" s="3" t="s">
        <v>3091</v>
      </c>
      <c r="AB318" s="3" t="s">
        <v>3090</v>
      </c>
      <c r="AC318" s="3" t="s">
        <v>3090</v>
      </c>
      <c r="AD318" s="3" t="s">
        <v>3090</v>
      </c>
      <c r="AE318" s="3" t="s">
        <v>3091</v>
      </c>
      <c r="AF318" s="3"/>
      <c r="AG318" s="3"/>
      <c r="AH318" s="3"/>
      <c r="AI318" s="3"/>
      <c r="AJ318" s="3"/>
      <c r="AK318" s="3"/>
    </row>
    <row r="319" spans="1:37" ht="15.75" customHeight="1">
      <c r="A319" s="2" t="s">
        <v>3049</v>
      </c>
      <c r="B319" s="2" t="s">
        <v>2682</v>
      </c>
      <c r="C319" s="3">
        <v>281</v>
      </c>
      <c r="D319" s="2" t="s">
        <v>47</v>
      </c>
      <c r="E319" s="2">
        <f t="shared" si="16"/>
        <v>10</v>
      </c>
      <c r="F319" s="2">
        <f t="shared" si="17"/>
        <v>13</v>
      </c>
      <c r="G319" s="2">
        <f t="shared" si="18"/>
        <v>23</v>
      </c>
      <c r="H319" s="6">
        <f t="shared" si="19"/>
        <v>1</v>
      </c>
      <c r="I319" s="2" t="s">
        <v>3090</v>
      </c>
      <c r="J319" s="2" t="s">
        <v>3091</v>
      </c>
      <c r="K319" s="2" t="s">
        <v>3090</v>
      </c>
      <c r="L319" s="2" t="s">
        <v>3090</v>
      </c>
      <c r="M319" s="2" t="s">
        <v>3091</v>
      </c>
      <c r="N319" s="2" t="s">
        <v>3090</v>
      </c>
      <c r="O319" s="2" t="s">
        <v>3091</v>
      </c>
      <c r="P319" s="2" t="s">
        <v>3091</v>
      </c>
      <c r="Q319" s="2" t="s">
        <v>3090</v>
      </c>
      <c r="R319" s="2" t="s">
        <v>3090</v>
      </c>
      <c r="S319" s="2" t="s">
        <v>3090</v>
      </c>
      <c r="T319" s="2" t="s">
        <v>3091</v>
      </c>
      <c r="U319" s="2" t="s">
        <v>3090</v>
      </c>
      <c r="V319" s="2" t="s">
        <v>3090</v>
      </c>
      <c r="W319" s="2" t="s">
        <v>3091</v>
      </c>
      <c r="X319" s="2" t="s">
        <v>3091</v>
      </c>
      <c r="Y319" s="2" t="s">
        <v>3091</v>
      </c>
      <c r="Z319" s="2" t="s">
        <v>3090</v>
      </c>
      <c r="AA319" s="3" t="s">
        <v>3091</v>
      </c>
      <c r="AB319" s="3" t="s">
        <v>3091</v>
      </c>
      <c r="AC319" s="3" t="s">
        <v>3091</v>
      </c>
      <c r="AD319" s="3" t="s">
        <v>3091</v>
      </c>
      <c r="AE319" s="3" t="s">
        <v>3091</v>
      </c>
      <c r="AF319" s="3"/>
      <c r="AG319" s="3"/>
      <c r="AH319" s="3"/>
      <c r="AI319" s="3"/>
      <c r="AJ319" s="3"/>
      <c r="AK319" s="3"/>
    </row>
    <row r="320" spans="1:37" ht="15.75" customHeight="1">
      <c r="A320" s="2" t="s">
        <v>3050</v>
      </c>
      <c r="B320" s="2" t="s">
        <v>2693</v>
      </c>
      <c r="C320" s="3">
        <v>418</v>
      </c>
      <c r="D320" s="2" t="s">
        <v>607</v>
      </c>
      <c r="E320" s="2">
        <f t="shared" si="16"/>
        <v>17</v>
      </c>
      <c r="F320" s="2">
        <f t="shared" si="17"/>
        <v>6</v>
      </c>
      <c r="G320" s="2">
        <f t="shared" si="18"/>
        <v>23</v>
      </c>
      <c r="H320" s="6">
        <f t="shared" si="19"/>
        <v>1</v>
      </c>
      <c r="I320" s="2" t="s">
        <v>3090</v>
      </c>
      <c r="J320" s="2" t="s">
        <v>3090</v>
      </c>
      <c r="K320" s="2" t="s">
        <v>3090</v>
      </c>
      <c r="L320" s="2" t="s">
        <v>3090</v>
      </c>
      <c r="M320" s="2" t="s">
        <v>3090</v>
      </c>
      <c r="N320" s="2" t="s">
        <v>3090</v>
      </c>
      <c r="O320" s="2" t="s">
        <v>3091</v>
      </c>
      <c r="P320" s="2" t="s">
        <v>3091</v>
      </c>
      <c r="Q320" s="2" t="s">
        <v>3090</v>
      </c>
      <c r="R320" s="2" t="s">
        <v>3090</v>
      </c>
      <c r="S320" s="2" t="s">
        <v>3090</v>
      </c>
      <c r="T320" s="2" t="s">
        <v>3091</v>
      </c>
      <c r="U320" s="2" t="s">
        <v>3090</v>
      </c>
      <c r="V320" s="2" t="s">
        <v>3090</v>
      </c>
      <c r="W320" s="2" t="s">
        <v>3091</v>
      </c>
      <c r="X320" s="2" t="s">
        <v>3091</v>
      </c>
      <c r="Y320" s="2" t="s">
        <v>3090</v>
      </c>
      <c r="Z320" s="2" t="s">
        <v>3090</v>
      </c>
      <c r="AA320" s="3" t="s">
        <v>3091</v>
      </c>
      <c r="AB320" s="3" t="s">
        <v>3090</v>
      </c>
      <c r="AC320" s="3" t="s">
        <v>3090</v>
      </c>
      <c r="AD320" s="3" t="s">
        <v>3090</v>
      </c>
      <c r="AE320" s="3" t="s">
        <v>3090</v>
      </c>
      <c r="AF320" s="3"/>
      <c r="AG320" s="3"/>
      <c r="AH320" s="3"/>
      <c r="AI320" s="3"/>
      <c r="AJ320" s="3"/>
      <c r="AK320" s="3"/>
    </row>
    <row r="321" spans="1:37" ht="15.75" customHeight="1">
      <c r="A321" s="2" t="s">
        <v>3051</v>
      </c>
      <c r="B321" s="2" t="s">
        <v>2722</v>
      </c>
      <c r="C321" s="3">
        <v>766</v>
      </c>
      <c r="D321" s="2" t="s">
        <v>142</v>
      </c>
      <c r="E321" s="2">
        <f t="shared" si="16"/>
        <v>14</v>
      </c>
      <c r="F321" s="2">
        <f t="shared" si="17"/>
        <v>1</v>
      </c>
      <c r="G321" s="2">
        <f t="shared" si="18"/>
        <v>15</v>
      </c>
      <c r="H321" s="6">
        <f t="shared" si="19"/>
        <v>0.65217391304347805</v>
      </c>
      <c r="I321" s="2" t="s">
        <v>3090</v>
      </c>
      <c r="J321" s="2" t="s">
        <v>3090</v>
      </c>
      <c r="K321" s="2" t="s">
        <v>3090</v>
      </c>
      <c r="L321" s="2" t="s">
        <v>3090</v>
      </c>
      <c r="M321" s="2" t="s">
        <v>3090</v>
      </c>
      <c r="N321" s="2" t="s">
        <v>3090</v>
      </c>
      <c r="O321" s="2" t="s">
        <v>3092</v>
      </c>
      <c r="P321" s="2" t="s">
        <v>3092</v>
      </c>
      <c r="Q321" s="2" t="s">
        <v>3090</v>
      </c>
      <c r="R321" s="2" t="s">
        <v>3090</v>
      </c>
      <c r="S321" s="2" t="s">
        <v>3090</v>
      </c>
      <c r="T321" s="2" t="s">
        <v>3092</v>
      </c>
      <c r="U321" s="2" t="s">
        <v>3090</v>
      </c>
      <c r="V321" s="2" t="s">
        <v>3090</v>
      </c>
      <c r="W321" s="2" t="s">
        <v>3092</v>
      </c>
      <c r="X321" s="2" t="s">
        <v>3092</v>
      </c>
      <c r="Y321" s="2" t="s">
        <v>3091</v>
      </c>
      <c r="Z321" s="2" t="s">
        <v>3092</v>
      </c>
      <c r="AA321" s="3" t="s">
        <v>3092</v>
      </c>
      <c r="AB321" s="3" t="s">
        <v>3090</v>
      </c>
      <c r="AC321" s="3" t="s">
        <v>3090</v>
      </c>
      <c r="AD321" s="3" t="s">
        <v>3092</v>
      </c>
      <c r="AE321" s="3" t="s">
        <v>3090</v>
      </c>
      <c r="AF321" s="3"/>
      <c r="AG321" s="3"/>
      <c r="AH321" s="3"/>
      <c r="AI321" s="3"/>
      <c r="AJ321" s="3"/>
      <c r="AK321" s="3"/>
    </row>
    <row r="322" spans="1:37" ht="15.75" customHeight="1">
      <c r="A322" s="2" t="s">
        <v>3052</v>
      </c>
      <c r="B322" s="2" t="s">
        <v>3053</v>
      </c>
      <c r="C322" s="3">
        <v>818</v>
      </c>
      <c r="D322" s="2" t="s">
        <v>344</v>
      </c>
      <c r="E322" s="2">
        <f t="shared" ref="E322:E331" si="20">COUNTIF(I322:AK322,"L (1/1)")</f>
        <v>11</v>
      </c>
      <c r="F322" s="2">
        <f t="shared" ref="F322:F331" si="21">COUNTIF(I322:AK322,"R (1/1)")</f>
        <v>12</v>
      </c>
      <c r="G322" s="2">
        <f t="shared" ref="G322:G331" si="22">E322+F322</f>
        <v>23</v>
      </c>
      <c r="H322" s="6">
        <f t="shared" ref="H322:H331" si="23">G322/23</f>
        <v>1</v>
      </c>
      <c r="I322" s="2" t="s">
        <v>3091</v>
      </c>
      <c r="J322" s="2" t="s">
        <v>3091</v>
      </c>
      <c r="K322" s="2" t="s">
        <v>3091</v>
      </c>
      <c r="L322" s="2" t="s">
        <v>3091</v>
      </c>
      <c r="M322" s="2" t="s">
        <v>3091</v>
      </c>
      <c r="N322" s="2" t="s">
        <v>3091</v>
      </c>
      <c r="O322" s="2" t="s">
        <v>3091</v>
      </c>
      <c r="P322" s="2" t="s">
        <v>3091</v>
      </c>
      <c r="Q322" s="2" t="s">
        <v>3090</v>
      </c>
      <c r="R322" s="2" t="s">
        <v>3090</v>
      </c>
      <c r="S322" s="2" t="s">
        <v>3090</v>
      </c>
      <c r="T322" s="2" t="s">
        <v>3091</v>
      </c>
      <c r="U322" s="2" t="s">
        <v>3090</v>
      </c>
      <c r="V322" s="2" t="s">
        <v>3090</v>
      </c>
      <c r="W322" s="2" t="s">
        <v>3091</v>
      </c>
      <c r="X322" s="2" t="s">
        <v>3091</v>
      </c>
      <c r="Y322" s="2" t="s">
        <v>3090</v>
      </c>
      <c r="Z322" s="2" t="s">
        <v>3090</v>
      </c>
      <c r="AA322" s="3" t="s">
        <v>3091</v>
      </c>
      <c r="AB322" s="3" t="s">
        <v>3090</v>
      </c>
      <c r="AC322" s="3" t="s">
        <v>3090</v>
      </c>
      <c r="AD322" s="3" t="s">
        <v>3090</v>
      </c>
      <c r="AE322" s="3" t="s">
        <v>3090</v>
      </c>
      <c r="AF322" s="3"/>
      <c r="AG322" s="3"/>
      <c r="AH322" s="3"/>
      <c r="AI322" s="3"/>
      <c r="AJ322" s="3"/>
      <c r="AK322" s="3"/>
    </row>
    <row r="323" spans="1:37" ht="15.75" customHeight="1">
      <c r="A323" s="2" t="s">
        <v>3054</v>
      </c>
      <c r="B323" s="2" t="s">
        <v>2722</v>
      </c>
      <c r="C323" s="3">
        <v>629</v>
      </c>
      <c r="D323" s="2" t="s">
        <v>50</v>
      </c>
      <c r="E323" s="2">
        <f t="shared" si="20"/>
        <v>9</v>
      </c>
      <c r="F323" s="2">
        <f t="shared" si="21"/>
        <v>14</v>
      </c>
      <c r="G323" s="2">
        <f t="shared" si="22"/>
        <v>23</v>
      </c>
      <c r="H323" s="6">
        <f t="shared" si="23"/>
        <v>1</v>
      </c>
      <c r="I323" s="2" t="s">
        <v>3090</v>
      </c>
      <c r="J323" s="2" t="s">
        <v>3091</v>
      </c>
      <c r="K323" s="2" t="s">
        <v>3091</v>
      </c>
      <c r="L323" s="2" t="s">
        <v>3091</v>
      </c>
      <c r="M323" s="2" t="s">
        <v>3091</v>
      </c>
      <c r="N323" s="2" t="s">
        <v>3090</v>
      </c>
      <c r="O323" s="2" t="s">
        <v>3091</v>
      </c>
      <c r="P323" s="2" t="s">
        <v>3091</v>
      </c>
      <c r="Q323" s="2" t="s">
        <v>3090</v>
      </c>
      <c r="R323" s="2" t="s">
        <v>3090</v>
      </c>
      <c r="S323" s="2" t="s">
        <v>3091</v>
      </c>
      <c r="T323" s="2" t="s">
        <v>3091</v>
      </c>
      <c r="U323" s="2" t="s">
        <v>3091</v>
      </c>
      <c r="V323" s="2" t="s">
        <v>3091</v>
      </c>
      <c r="W323" s="2" t="s">
        <v>3091</v>
      </c>
      <c r="X323" s="2" t="s">
        <v>3091</v>
      </c>
      <c r="Y323" s="2" t="s">
        <v>3090</v>
      </c>
      <c r="Z323" s="2" t="s">
        <v>3091</v>
      </c>
      <c r="AA323" s="3" t="s">
        <v>3091</v>
      </c>
      <c r="AB323" s="3" t="s">
        <v>3090</v>
      </c>
      <c r="AC323" s="3" t="s">
        <v>3090</v>
      </c>
      <c r="AD323" s="3" t="s">
        <v>3090</v>
      </c>
      <c r="AE323" s="3" t="s">
        <v>3090</v>
      </c>
      <c r="AF323" s="3"/>
      <c r="AG323" s="3"/>
      <c r="AH323" s="3"/>
      <c r="AI323" s="3"/>
      <c r="AJ323" s="3"/>
      <c r="AK323" s="3"/>
    </row>
    <row r="324" spans="1:37" ht="15.75" customHeight="1">
      <c r="A324" s="2" t="s">
        <v>3055</v>
      </c>
      <c r="B324" s="2" t="s">
        <v>2682</v>
      </c>
      <c r="C324" s="3">
        <v>739</v>
      </c>
      <c r="D324" s="2" t="s">
        <v>189</v>
      </c>
      <c r="E324" s="2">
        <f t="shared" si="20"/>
        <v>12</v>
      </c>
      <c r="F324" s="2">
        <f t="shared" si="21"/>
        <v>11</v>
      </c>
      <c r="G324" s="2">
        <f t="shared" si="22"/>
        <v>23</v>
      </c>
      <c r="H324" s="6">
        <f t="shared" si="23"/>
        <v>1</v>
      </c>
      <c r="I324" s="2" t="s">
        <v>3090</v>
      </c>
      <c r="J324" s="2" t="s">
        <v>3091</v>
      </c>
      <c r="K324" s="2" t="s">
        <v>3091</v>
      </c>
      <c r="L324" s="2" t="s">
        <v>3090</v>
      </c>
      <c r="M324" s="2" t="s">
        <v>3090</v>
      </c>
      <c r="N324" s="2" t="s">
        <v>3090</v>
      </c>
      <c r="O324" s="2" t="s">
        <v>3091</v>
      </c>
      <c r="P324" s="2" t="s">
        <v>3091</v>
      </c>
      <c r="Q324" s="2" t="s">
        <v>3090</v>
      </c>
      <c r="R324" s="2" t="s">
        <v>3090</v>
      </c>
      <c r="S324" s="2" t="s">
        <v>3090</v>
      </c>
      <c r="T324" s="2" t="s">
        <v>3091</v>
      </c>
      <c r="U324" s="2" t="s">
        <v>3090</v>
      </c>
      <c r="V324" s="2" t="s">
        <v>3090</v>
      </c>
      <c r="W324" s="2" t="s">
        <v>3091</v>
      </c>
      <c r="X324" s="2" t="s">
        <v>3091</v>
      </c>
      <c r="Y324" s="2" t="s">
        <v>3090</v>
      </c>
      <c r="Z324" s="2" t="s">
        <v>3091</v>
      </c>
      <c r="AA324" s="3" t="s">
        <v>3091</v>
      </c>
      <c r="AB324" s="3" t="s">
        <v>3090</v>
      </c>
      <c r="AC324" s="3" t="s">
        <v>3090</v>
      </c>
      <c r="AD324" s="3" t="s">
        <v>3091</v>
      </c>
      <c r="AE324" s="3" t="s">
        <v>3091</v>
      </c>
      <c r="AF324" s="3"/>
      <c r="AG324" s="3"/>
      <c r="AH324" s="3"/>
      <c r="AI324" s="3"/>
      <c r="AJ324" s="3"/>
      <c r="AK324" s="3"/>
    </row>
    <row r="325" spans="1:37" ht="15.75" customHeight="1">
      <c r="A325" s="2" t="s">
        <v>3056</v>
      </c>
      <c r="B325" s="2" t="s">
        <v>3057</v>
      </c>
      <c r="C325" s="3">
        <v>815</v>
      </c>
      <c r="D325" s="2" t="s">
        <v>812</v>
      </c>
      <c r="E325" s="2">
        <f t="shared" si="20"/>
        <v>13</v>
      </c>
      <c r="F325" s="2">
        <f t="shared" si="21"/>
        <v>9</v>
      </c>
      <c r="G325" s="2">
        <f t="shared" si="22"/>
        <v>22</v>
      </c>
      <c r="H325" s="6">
        <f t="shared" si="23"/>
        <v>0.95652173913043503</v>
      </c>
      <c r="I325" s="2" t="s">
        <v>3091</v>
      </c>
      <c r="J325" s="2" t="s">
        <v>3090</v>
      </c>
      <c r="K325" s="2" t="s">
        <v>3090</v>
      </c>
      <c r="L325" s="2" t="s">
        <v>3090</v>
      </c>
      <c r="M325" s="2" t="s">
        <v>3090</v>
      </c>
      <c r="N325" s="2" t="s">
        <v>3090</v>
      </c>
      <c r="O325" s="2" t="s">
        <v>3091</v>
      </c>
      <c r="P325" s="2" t="s">
        <v>3091</v>
      </c>
      <c r="Q325" s="2" t="s">
        <v>3090</v>
      </c>
      <c r="R325" s="2" t="s">
        <v>3090</v>
      </c>
      <c r="S325" s="2" t="s">
        <v>3090</v>
      </c>
      <c r="T325" s="2" t="s">
        <v>3091</v>
      </c>
      <c r="U325" s="2" t="s">
        <v>3090</v>
      </c>
      <c r="V325" s="2" t="s">
        <v>3091</v>
      </c>
      <c r="W325" s="2" t="s">
        <v>3092</v>
      </c>
      <c r="X325" s="2" t="s">
        <v>3091</v>
      </c>
      <c r="Y325" s="2" t="s">
        <v>3090</v>
      </c>
      <c r="Z325" s="2" t="s">
        <v>3090</v>
      </c>
      <c r="AA325" s="3" t="s">
        <v>3091</v>
      </c>
      <c r="AB325" s="3" t="s">
        <v>3091</v>
      </c>
      <c r="AC325" s="3" t="s">
        <v>3091</v>
      </c>
      <c r="AD325" s="3" t="s">
        <v>3090</v>
      </c>
      <c r="AE325" s="3" t="s">
        <v>3090</v>
      </c>
      <c r="AF325" s="3"/>
      <c r="AG325" s="3"/>
      <c r="AH325" s="3"/>
      <c r="AI325" s="3"/>
      <c r="AJ325" s="3"/>
      <c r="AK325" s="3"/>
    </row>
    <row r="326" spans="1:37" ht="15.75" customHeight="1">
      <c r="A326" s="2" t="s">
        <v>3058</v>
      </c>
      <c r="B326" s="2" t="s">
        <v>2761</v>
      </c>
      <c r="C326" s="3">
        <v>455</v>
      </c>
      <c r="D326" s="2" t="s">
        <v>192</v>
      </c>
      <c r="E326" s="2">
        <f t="shared" si="20"/>
        <v>17</v>
      </c>
      <c r="F326" s="2">
        <f t="shared" si="21"/>
        <v>6</v>
      </c>
      <c r="G326" s="2">
        <f t="shared" si="22"/>
        <v>23</v>
      </c>
      <c r="H326" s="6">
        <f t="shared" si="23"/>
        <v>1</v>
      </c>
      <c r="I326" s="2" t="s">
        <v>3090</v>
      </c>
      <c r="J326" s="2" t="s">
        <v>3090</v>
      </c>
      <c r="K326" s="2" t="s">
        <v>3090</v>
      </c>
      <c r="L326" s="2" t="s">
        <v>3090</v>
      </c>
      <c r="M326" s="2" t="s">
        <v>3090</v>
      </c>
      <c r="N326" s="2" t="s">
        <v>3090</v>
      </c>
      <c r="O326" s="2" t="s">
        <v>3091</v>
      </c>
      <c r="P326" s="2" t="s">
        <v>3091</v>
      </c>
      <c r="Q326" s="2" t="s">
        <v>3090</v>
      </c>
      <c r="R326" s="2" t="s">
        <v>3090</v>
      </c>
      <c r="S326" s="2" t="s">
        <v>3090</v>
      </c>
      <c r="T326" s="2" t="s">
        <v>3091</v>
      </c>
      <c r="U326" s="2" t="s">
        <v>3090</v>
      </c>
      <c r="V326" s="2" t="s">
        <v>3090</v>
      </c>
      <c r="W326" s="2" t="s">
        <v>3091</v>
      </c>
      <c r="X326" s="2" t="s">
        <v>3091</v>
      </c>
      <c r="Y326" s="2" t="s">
        <v>3090</v>
      </c>
      <c r="Z326" s="2" t="s">
        <v>3090</v>
      </c>
      <c r="AA326" s="3" t="s">
        <v>3091</v>
      </c>
      <c r="AB326" s="3" t="s">
        <v>3090</v>
      </c>
      <c r="AC326" s="3" t="s">
        <v>3090</v>
      </c>
      <c r="AD326" s="3" t="s">
        <v>3090</v>
      </c>
      <c r="AE326" s="3" t="s">
        <v>3090</v>
      </c>
      <c r="AF326" s="3"/>
      <c r="AG326" s="3"/>
      <c r="AH326" s="3"/>
      <c r="AI326" s="3"/>
      <c r="AJ326" s="3"/>
      <c r="AK326" s="3"/>
    </row>
    <row r="327" spans="1:37" ht="15.75" customHeight="1">
      <c r="A327" s="7" t="s">
        <v>3059</v>
      </c>
      <c r="B327" s="7" t="s">
        <v>3060</v>
      </c>
      <c r="C327" s="7">
        <v>660</v>
      </c>
      <c r="D327" s="7" t="s">
        <v>742</v>
      </c>
      <c r="E327" s="2">
        <f t="shared" si="20"/>
        <v>2</v>
      </c>
      <c r="F327" s="2">
        <f t="shared" si="21"/>
        <v>21</v>
      </c>
      <c r="G327" s="2">
        <f t="shared" si="22"/>
        <v>23</v>
      </c>
      <c r="H327" s="6">
        <f t="shared" si="23"/>
        <v>1</v>
      </c>
      <c r="I327" s="7" t="s">
        <v>3090</v>
      </c>
      <c r="J327" s="7" t="s">
        <v>3091</v>
      </c>
      <c r="K327" s="7" t="s">
        <v>3091</v>
      </c>
      <c r="L327" s="7" t="s">
        <v>3091</v>
      </c>
      <c r="M327" s="7" t="s">
        <v>3091</v>
      </c>
      <c r="N327" s="7" t="s">
        <v>3091</v>
      </c>
      <c r="O327" s="7" t="s">
        <v>3091</v>
      </c>
      <c r="P327" s="7" t="s">
        <v>3091</v>
      </c>
      <c r="Q327" s="7" t="s">
        <v>3091</v>
      </c>
      <c r="R327" s="7" t="s">
        <v>3091</v>
      </c>
      <c r="S327" s="7" t="s">
        <v>3091</v>
      </c>
      <c r="T327" s="7" t="s">
        <v>3091</v>
      </c>
      <c r="U327" s="7" t="s">
        <v>3091</v>
      </c>
      <c r="V327" s="7" t="s">
        <v>3090</v>
      </c>
      <c r="W327" s="7" t="s">
        <v>3091</v>
      </c>
      <c r="X327" s="7" t="s">
        <v>3091</v>
      </c>
      <c r="Y327" s="7" t="s">
        <v>3091</v>
      </c>
      <c r="Z327" s="7" t="s">
        <v>3091</v>
      </c>
      <c r="AA327" s="7" t="s">
        <v>3091</v>
      </c>
      <c r="AB327" s="7" t="s">
        <v>3091</v>
      </c>
      <c r="AC327" s="7" t="s">
        <v>3091</v>
      </c>
      <c r="AD327" s="7" t="s">
        <v>3091</v>
      </c>
      <c r="AE327" s="7" t="s">
        <v>3091</v>
      </c>
    </row>
    <row r="328" spans="1:37" ht="15.75" customHeight="1">
      <c r="A328" s="7" t="s">
        <v>3061</v>
      </c>
      <c r="B328" s="7" t="s">
        <v>2770</v>
      </c>
      <c r="C328" s="7">
        <v>608</v>
      </c>
      <c r="D328" s="7" t="s">
        <v>457</v>
      </c>
      <c r="E328" s="2">
        <f t="shared" si="20"/>
        <v>17</v>
      </c>
      <c r="F328" s="2">
        <f t="shared" si="21"/>
        <v>6</v>
      </c>
      <c r="G328" s="2">
        <f t="shared" si="22"/>
        <v>23</v>
      </c>
      <c r="H328" s="6">
        <f t="shared" si="23"/>
        <v>1</v>
      </c>
      <c r="I328" s="7" t="s">
        <v>3090</v>
      </c>
      <c r="J328" s="7" t="s">
        <v>3090</v>
      </c>
      <c r="K328" s="7" t="s">
        <v>3090</v>
      </c>
      <c r="L328" s="7" t="s">
        <v>3090</v>
      </c>
      <c r="M328" s="7" t="s">
        <v>3090</v>
      </c>
      <c r="N328" s="7" t="s">
        <v>3090</v>
      </c>
      <c r="O328" s="7" t="s">
        <v>3091</v>
      </c>
      <c r="P328" s="7" t="s">
        <v>3091</v>
      </c>
      <c r="Q328" s="7" t="s">
        <v>3090</v>
      </c>
      <c r="R328" s="7" t="s">
        <v>3090</v>
      </c>
      <c r="S328" s="7" t="s">
        <v>3090</v>
      </c>
      <c r="T328" s="7" t="s">
        <v>3091</v>
      </c>
      <c r="U328" s="7" t="s">
        <v>3090</v>
      </c>
      <c r="V328" s="7" t="s">
        <v>3090</v>
      </c>
      <c r="W328" s="7" t="s">
        <v>3091</v>
      </c>
      <c r="X328" s="7" t="s">
        <v>3091</v>
      </c>
      <c r="Y328" s="7" t="s">
        <v>3090</v>
      </c>
      <c r="Z328" s="7" t="s">
        <v>3090</v>
      </c>
      <c r="AA328" s="7" t="s">
        <v>3091</v>
      </c>
      <c r="AB328" s="7" t="s">
        <v>3090</v>
      </c>
      <c r="AC328" s="7" t="s">
        <v>3090</v>
      </c>
      <c r="AD328" s="7" t="s">
        <v>3090</v>
      </c>
      <c r="AE328" s="7" t="s">
        <v>3090</v>
      </c>
    </row>
    <row r="329" spans="1:37" ht="15.75" customHeight="1">
      <c r="A329" s="7" t="s">
        <v>3062</v>
      </c>
      <c r="B329" s="7" t="s">
        <v>2761</v>
      </c>
      <c r="C329" s="7">
        <v>278</v>
      </c>
      <c r="D329" s="7" t="s">
        <v>347</v>
      </c>
      <c r="E329" s="2">
        <f t="shared" si="20"/>
        <v>4</v>
      </c>
      <c r="F329" s="2">
        <f t="shared" si="21"/>
        <v>19</v>
      </c>
      <c r="G329" s="2">
        <f t="shared" si="22"/>
        <v>23</v>
      </c>
      <c r="H329" s="6">
        <f t="shared" si="23"/>
        <v>1</v>
      </c>
      <c r="I329" s="7" t="s">
        <v>3090</v>
      </c>
      <c r="J329" s="7" t="s">
        <v>3091</v>
      </c>
      <c r="K329" s="7" t="s">
        <v>3091</v>
      </c>
      <c r="L329" s="7" t="s">
        <v>3091</v>
      </c>
      <c r="M329" s="7" t="s">
        <v>3091</v>
      </c>
      <c r="N329" s="7" t="s">
        <v>3090</v>
      </c>
      <c r="O329" s="7" t="s">
        <v>3091</v>
      </c>
      <c r="P329" s="7" t="s">
        <v>3091</v>
      </c>
      <c r="Q329" s="7" t="s">
        <v>3091</v>
      </c>
      <c r="R329" s="7" t="s">
        <v>3091</v>
      </c>
      <c r="S329" s="7" t="s">
        <v>3090</v>
      </c>
      <c r="T329" s="7" t="s">
        <v>3091</v>
      </c>
      <c r="U329" s="7" t="s">
        <v>3091</v>
      </c>
      <c r="V329" s="7" t="s">
        <v>3090</v>
      </c>
      <c r="W329" s="7" t="s">
        <v>3091</v>
      </c>
      <c r="X329" s="7" t="s">
        <v>3091</v>
      </c>
      <c r="Y329" s="7" t="s">
        <v>3091</v>
      </c>
      <c r="Z329" s="7" t="s">
        <v>3091</v>
      </c>
      <c r="AA329" s="7" t="s">
        <v>3091</v>
      </c>
      <c r="AB329" s="7" t="s">
        <v>3091</v>
      </c>
      <c r="AC329" s="7" t="s">
        <v>3091</v>
      </c>
      <c r="AD329" s="7" t="s">
        <v>3091</v>
      </c>
      <c r="AE329" s="7" t="s">
        <v>3091</v>
      </c>
    </row>
    <row r="330" spans="1:37" ht="15.75" customHeight="1">
      <c r="A330" s="7" t="s">
        <v>844</v>
      </c>
      <c r="B330" s="7" t="s">
        <v>2804</v>
      </c>
      <c r="C330" s="7">
        <v>729</v>
      </c>
      <c r="D330" s="7" t="s">
        <v>195</v>
      </c>
      <c r="E330" s="2">
        <f t="shared" si="20"/>
        <v>11</v>
      </c>
      <c r="F330" s="2">
        <f t="shared" si="21"/>
        <v>0</v>
      </c>
      <c r="G330" s="2">
        <f t="shared" si="22"/>
        <v>11</v>
      </c>
      <c r="H330" s="6">
        <f t="shared" si="23"/>
        <v>0.47826086956521702</v>
      </c>
      <c r="I330" s="7" t="s">
        <v>3090</v>
      </c>
      <c r="J330" s="7" t="s">
        <v>3092</v>
      </c>
      <c r="K330" s="7" t="s">
        <v>3090</v>
      </c>
      <c r="L330" s="7" t="s">
        <v>3090</v>
      </c>
      <c r="M330" s="7" t="s">
        <v>3090</v>
      </c>
      <c r="N330" s="7" t="s">
        <v>3090</v>
      </c>
      <c r="O330" s="7" t="s">
        <v>3092</v>
      </c>
      <c r="P330" s="7" t="s">
        <v>3092</v>
      </c>
      <c r="Q330" s="7" t="s">
        <v>3090</v>
      </c>
      <c r="R330" s="7" t="s">
        <v>3090</v>
      </c>
      <c r="S330" s="7" t="s">
        <v>3090</v>
      </c>
      <c r="T330" s="7" t="s">
        <v>3092</v>
      </c>
      <c r="U330" s="7" t="s">
        <v>3092</v>
      </c>
      <c r="V330" s="7" t="s">
        <v>3092</v>
      </c>
      <c r="W330" s="7" t="s">
        <v>3092</v>
      </c>
      <c r="X330" s="7" t="s">
        <v>3092</v>
      </c>
      <c r="Y330" s="7" t="s">
        <v>3090</v>
      </c>
      <c r="Z330" s="7" t="s">
        <v>3090</v>
      </c>
      <c r="AA330" s="7" t="s">
        <v>3092</v>
      </c>
      <c r="AB330" s="7" t="s">
        <v>3092</v>
      </c>
      <c r="AC330" s="7" t="s">
        <v>3092</v>
      </c>
      <c r="AD330" s="7" t="s">
        <v>3090</v>
      </c>
      <c r="AE330" s="7" t="s">
        <v>3092</v>
      </c>
    </row>
    <row r="331" spans="1:37" ht="15.75" customHeight="1">
      <c r="A331" s="7" t="s">
        <v>3063</v>
      </c>
      <c r="B331" s="7" t="s">
        <v>2942</v>
      </c>
      <c r="C331" s="7">
        <v>399</v>
      </c>
      <c r="D331" s="7" t="s">
        <v>499</v>
      </c>
      <c r="E331" s="2">
        <f t="shared" si="20"/>
        <v>6</v>
      </c>
      <c r="F331" s="2">
        <f t="shared" si="21"/>
        <v>15</v>
      </c>
      <c r="G331" s="2">
        <f t="shared" si="22"/>
        <v>21</v>
      </c>
      <c r="H331" s="6">
        <f t="shared" si="23"/>
        <v>0.91304347826086996</v>
      </c>
      <c r="I331" s="7" t="s">
        <v>3092</v>
      </c>
      <c r="J331" s="7" t="s">
        <v>3090</v>
      </c>
      <c r="K331" s="7" t="s">
        <v>3090</v>
      </c>
      <c r="L331" s="7" t="s">
        <v>3090</v>
      </c>
      <c r="M331" s="7" t="s">
        <v>3090</v>
      </c>
      <c r="N331" s="7" t="s">
        <v>3090</v>
      </c>
      <c r="O331" s="7" t="s">
        <v>3091</v>
      </c>
      <c r="P331" s="7" t="s">
        <v>3091</v>
      </c>
      <c r="Q331" s="7" t="s">
        <v>3091</v>
      </c>
      <c r="R331" s="7" t="s">
        <v>3091</v>
      </c>
      <c r="S331" s="7" t="s">
        <v>3090</v>
      </c>
      <c r="T331" s="7" t="s">
        <v>3091</v>
      </c>
      <c r="U331" s="7" t="s">
        <v>3091</v>
      </c>
      <c r="V331" s="7" t="s">
        <v>3091</v>
      </c>
      <c r="W331" s="7" t="s">
        <v>3091</v>
      </c>
      <c r="X331" s="7" t="s">
        <v>3091</v>
      </c>
      <c r="Y331" s="7" t="s">
        <v>3091</v>
      </c>
      <c r="Z331" s="7" t="s">
        <v>3091</v>
      </c>
      <c r="AA331" s="7" t="s">
        <v>3091</v>
      </c>
      <c r="AB331" s="7" t="s">
        <v>3091</v>
      </c>
      <c r="AC331" s="7" t="s">
        <v>3091</v>
      </c>
      <c r="AD331" s="7" t="s">
        <v>3091</v>
      </c>
      <c r="AE331" s="7" t="s">
        <v>3092</v>
      </c>
    </row>
    <row r="333" spans="1:37" ht="15.75" customHeight="1">
      <c r="H333" s="7" t="s">
        <v>3095</v>
      </c>
      <c r="I333" s="8">
        <f t="shared" ref="I333:AE333" si="24">COUNTIF(I2:I331,"L (1/1)")/330</f>
        <v>0.76969696969696999</v>
      </c>
      <c r="J333" s="8">
        <f t="shared" si="24"/>
        <v>0.59090909090909105</v>
      </c>
      <c r="K333" s="8">
        <f t="shared" si="24"/>
        <v>0.57272727272727297</v>
      </c>
      <c r="L333" s="8">
        <f t="shared" si="24"/>
        <v>0.63333333333333297</v>
      </c>
      <c r="M333" s="8">
        <f t="shared" si="24"/>
        <v>0.62424242424242404</v>
      </c>
      <c r="N333" s="8">
        <f t="shared" si="24"/>
        <v>0.65757575757575804</v>
      </c>
      <c r="O333" s="8">
        <f t="shared" si="24"/>
        <v>0</v>
      </c>
      <c r="P333" s="8">
        <f t="shared" si="24"/>
        <v>0</v>
      </c>
      <c r="Q333" s="8">
        <f t="shared" si="24"/>
        <v>0.57272727272727297</v>
      </c>
      <c r="R333" s="8">
        <f t="shared" si="24"/>
        <v>0.58181818181818201</v>
      </c>
      <c r="S333" s="8">
        <f t="shared" si="24"/>
        <v>0.53333333333333299</v>
      </c>
      <c r="T333" s="8">
        <f t="shared" si="24"/>
        <v>0</v>
      </c>
      <c r="U333" s="8">
        <f t="shared" si="24"/>
        <v>0.46666666666666701</v>
      </c>
      <c r="V333" s="8">
        <f t="shared" si="24"/>
        <v>0.46060606060606102</v>
      </c>
      <c r="W333" s="8">
        <f t="shared" si="24"/>
        <v>0</v>
      </c>
      <c r="X333" s="8">
        <f t="shared" si="24"/>
        <v>0</v>
      </c>
      <c r="Y333" s="8">
        <f t="shared" si="24"/>
        <v>0.47878787878787898</v>
      </c>
      <c r="Z333" s="8">
        <f t="shared" si="24"/>
        <v>0.39696969696969697</v>
      </c>
      <c r="AA333" s="8">
        <f t="shared" si="24"/>
        <v>0</v>
      </c>
      <c r="AB333" s="8">
        <f t="shared" si="24"/>
        <v>0.42727272727272703</v>
      </c>
      <c r="AC333" s="8">
        <f t="shared" si="24"/>
        <v>0.40606060606060601</v>
      </c>
      <c r="AD333" s="8">
        <f t="shared" si="24"/>
        <v>0.43333333333333302</v>
      </c>
      <c r="AE333" s="8">
        <f t="shared" si="24"/>
        <v>0.40303030303030302</v>
      </c>
      <c r="AF333" s="8"/>
      <c r="AG333" s="8"/>
      <c r="AH333" s="8"/>
      <c r="AI333" s="8"/>
      <c r="AJ333" s="8"/>
      <c r="AK333" s="8"/>
    </row>
    <row r="334" spans="1:37" ht="15.75" customHeight="1">
      <c r="H334" s="7" t="s">
        <v>3096</v>
      </c>
      <c r="I334" s="9">
        <f t="shared" ref="I334:AE334" si="25">COUNTIF(I2:I331,"R (1/1)")/330</f>
        <v>0.20909090909090899</v>
      </c>
      <c r="J334" s="9">
        <f t="shared" si="25"/>
        <v>0.381818181818182</v>
      </c>
      <c r="K334" s="9">
        <f t="shared" si="25"/>
        <v>0.4</v>
      </c>
      <c r="L334" s="9">
        <f t="shared" si="25"/>
        <v>0.33333333333333298</v>
      </c>
      <c r="M334" s="9">
        <f t="shared" si="25"/>
        <v>0.33939393939393903</v>
      </c>
      <c r="N334" s="9">
        <f t="shared" si="25"/>
        <v>0.31515151515151502</v>
      </c>
      <c r="O334" s="9">
        <f t="shared" si="25"/>
        <v>0.87575757575757596</v>
      </c>
      <c r="P334" s="9">
        <f t="shared" si="25"/>
        <v>0.85757575757575799</v>
      </c>
      <c r="Q334" s="9">
        <f t="shared" si="25"/>
        <v>0.37575757575757601</v>
      </c>
      <c r="R334" s="9">
        <f t="shared" si="25"/>
        <v>0.351515151515152</v>
      </c>
      <c r="S334" s="9">
        <f t="shared" si="25"/>
        <v>0.38787878787878799</v>
      </c>
      <c r="T334" s="9">
        <f t="shared" si="25"/>
        <v>0.83939393939393903</v>
      </c>
      <c r="U334" s="9">
        <f t="shared" si="25"/>
        <v>0.42727272727272703</v>
      </c>
      <c r="V334" s="9">
        <f t="shared" si="25"/>
        <v>0.43636363636363601</v>
      </c>
      <c r="W334" s="9">
        <f t="shared" si="25"/>
        <v>0.824242424242424</v>
      </c>
      <c r="X334" s="9">
        <f t="shared" si="25"/>
        <v>0.83030303030302999</v>
      </c>
      <c r="Y334" s="9">
        <f t="shared" si="25"/>
        <v>0.40909090909090901</v>
      </c>
      <c r="Z334" s="9">
        <f t="shared" si="25"/>
        <v>0.46363636363636401</v>
      </c>
      <c r="AA334" s="9">
        <f t="shared" si="25"/>
        <v>0.77878787878787903</v>
      </c>
      <c r="AB334" s="9">
        <f t="shared" si="25"/>
        <v>0.40909090909090901</v>
      </c>
      <c r="AC334" s="9">
        <f t="shared" si="25"/>
        <v>0.43030303030303002</v>
      </c>
      <c r="AD334" s="9">
        <f t="shared" si="25"/>
        <v>0.381818181818182</v>
      </c>
      <c r="AE334" s="9">
        <f t="shared" si="25"/>
        <v>0.33939393939393903</v>
      </c>
      <c r="AF334" s="9"/>
      <c r="AG334" s="9"/>
      <c r="AH334" s="9"/>
      <c r="AI334" s="9"/>
      <c r="AJ334" s="9"/>
      <c r="AK334" s="9"/>
    </row>
    <row r="335" spans="1:37" ht="15.75" customHeight="1">
      <c r="H335" s="7" t="s">
        <v>3097</v>
      </c>
      <c r="I335" s="9">
        <f t="shared" ref="I335:AE335" si="26">I333+I334</f>
        <v>0.97878787878787898</v>
      </c>
      <c r="J335" s="9">
        <f t="shared" si="26"/>
        <v>0.972727272727273</v>
      </c>
      <c r="K335" s="9">
        <f t="shared" si="26"/>
        <v>0.972727272727273</v>
      </c>
      <c r="L335" s="9">
        <f t="shared" si="26"/>
        <v>0.96666666666666701</v>
      </c>
      <c r="M335" s="9">
        <f t="shared" si="26"/>
        <v>0.96363636363636396</v>
      </c>
      <c r="N335" s="9">
        <f t="shared" si="26"/>
        <v>0.972727272727273</v>
      </c>
      <c r="O335" s="9">
        <f t="shared" si="26"/>
        <v>0.87575757575757596</v>
      </c>
      <c r="P335" s="9">
        <f t="shared" si="26"/>
        <v>0.85757575757575799</v>
      </c>
      <c r="Q335" s="9">
        <f t="shared" si="26"/>
        <v>0.94848484848484804</v>
      </c>
      <c r="R335" s="9">
        <f t="shared" si="26"/>
        <v>0.93333333333333302</v>
      </c>
      <c r="S335" s="9">
        <f t="shared" si="26"/>
        <v>0.92121212121212104</v>
      </c>
      <c r="T335" s="9">
        <f t="shared" si="26"/>
        <v>0.83939393939393903</v>
      </c>
      <c r="U335" s="9">
        <f t="shared" si="26"/>
        <v>0.89393939393939403</v>
      </c>
      <c r="V335" s="9">
        <f t="shared" si="26"/>
        <v>0.89696969696969697</v>
      </c>
      <c r="W335" s="9">
        <f t="shared" si="26"/>
        <v>0.824242424242424</v>
      </c>
      <c r="X335" s="9">
        <f t="shared" si="26"/>
        <v>0.83030303030302999</v>
      </c>
      <c r="Y335" s="9">
        <f t="shared" si="26"/>
        <v>0.88787878787878804</v>
      </c>
      <c r="Z335" s="9">
        <f t="shared" si="26"/>
        <v>0.86060606060606104</v>
      </c>
      <c r="AA335" s="9">
        <f t="shared" si="26"/>
        <v>0.77878787878787903</v>
      </c>
      <c r="AB335" s="9">
        <f t="shared" si="26"/>
        <v>0.83636363636363598</v>
      </c>
      <c r="AC335" s="9">
        <f t="shared" si="26"/>
        <v>0.83636363636363598</v>
      </c>
      <c r="AD335" s="9">
        <f t="shared" si="26"/>
        <v>0.81515151515151496</v>
      </c>
      <c r="AE335" s="9">
        <f t="shared" si="26"/>
        <v>0.74242424242424199</v>
      </c>
      <c r="AF335" s="9"/>
      <c r="AG335" s="9"/>
      <c r="AH335" s="9"/>
      <c r="AI335" s="9"/>
      <c r="AJ335" s="9"/>
      <c r="AK335" s="9"/>
    </row>
    <row r="336" spans="1:37" ht="15.75" customHeight="1">
      <c r="H336" s="9"/>
    </row>
    <row r="337" spans="8:8" ht="15.75" customHeight="1">
      <c r="H337" s="9"/>
    </row>
    <row r="338" spans="8:8" ht="15.75" customHeight="1">
      <c r="H338" s="9"/>
    </row>
    <row r="339" spans="8:8" ht="15.75" customHeight="1">
      <c r="H339" s="9"/>
    </row>
    <row r="340" spans="8:8" ht="15.75" customHeight="1">
      <c r="H340" s="9"/>
    </row>
    <row r="341" spans="8:8" ht="15.75" customHeight="1">
      <c r="H341" s="9"/>
    </row>
    <row r="342" spans="8:8" ht="15.75" customHeight="1">
      <c r="H342" s="9"/>
    </row>
    <row r="343" spans="8:8" ht="15.75" customHeight="1">
      <c r="H343" s="9"/>
    </row>
    <row r="344" spans="8:8" ht="15.75" customHeight="1">
      <c r="H344" s="9"/>
    </row>
    <row r="345" spans="8:8" ht="15.75" customHeight="1">
      <c r="H345" s="9"/>
    </row>
    <row r="346" spans="8:8" ht="15.75" customHeight="1">
      <c r="H346" s="9"/>
    </row>
    <row r="347" spans="8:8" ht="15.75" customHeight="1">
      <c r="H347" s="9"/>
    </row>
    <row r="348" spans="8:8" ht="15.75" customHeight="1">
      <c r="H348" s="9"/>
    </row>
    <row r="349" spans="8:8" ht="15.75" customHeight="1">
      <c r="H349" s="9"/>
    </row>
    <row r="350" spans="8:8" ht="15.75" customHeight="1">
      <c r="H350" s="9"/>
    </row>
    <row r="351" spans="8:8" ht="15.75" customHeight="1">
      <c r="H351" s="9"/>
    </row>
    <row r="352" spans="8:8" ht="15.75" customHeight="1">
      <c r="H352" s="9"/>
    </row>
    <row r="353" spans="8:8" ht="15.75" customHeight="1">
      <c r="H353" s="9"/>
    </row>
    <row r="354" spans="8:8" ht="15.75" customHeight="1">
      <c r="H354" s="9"/>
    </row>
    <row r="355" spans="8:8" ht="15.75" customHeight="1">
      <c r="H355" s="9"/>
    </row>
    <row r="356" spans="8:8" ht="15.75" customHeight="1">
      <c r="H356" s="9"/>
    </row>
    <row r="357" spans="8:8" ht="15.75" customHeight="1">
      <c r="H357" s="9"/>
    </row>
    <row r="358" spans="8:8" ht="15.75" customHeight="1">
      <c r="H358" s="9"/>
    </row>
    <row r="359" spans="8:8" ht="15.75" customHeight="1">
      <c r="H359" s="9"/>
    </row>
    <row r="360" spans="8:8" ht="15.75" customHeight="1">
      <c r="H360" s="9"/>
    </row>
    <row r="361" spans="8:8" ht="15.75" customHeight="1">
      <c r="H361" s="9"/>
    </row>
    <row r="362" spans="8:8" ht="15.75" customHeight="1">
      <c r="H362" s="9"/>
    </row>
    <row r="363" spans="8:8" ht="15.75" customHeight="1">
      <c r="H363" s="9"/>
    </row>
    <row r="364" spans="8:8" ht="15.75" customHeight="1">
      <c r="H364" s="9"/>
    </row>
    <row r="365" spans="8:8" ht="15.75" customHeight="1">
      <c r="H365" s="9"/>
    </row>
    <row r="366" spans="8:8" ht="15.75" customHeight="1">
      <c r="H366" s="9"/>
    </row>
    <row r="367" spans="8:8" ht="15.75" customHeight="1">
      <c r="H367" s="9"/>
    </row>
    <row r="368" spans="8:8" ht="15.75" customHeight="1">
      <c r="H368" s="9"/>
    </row>
    <row r="369" spans="8:8" ht="15.75" customHeight="1">
      <c r="H369" s="9"/>
    </row>
    <row r="370" spans="8:8" ht="15.75" customHeight="1">
      <c r="H370" s="9"/>
    </row>
    <row r="371" spans="8:8" ht="15.75" customHeight="1">
      <c r="H371" s="9"/>
    </row>
    <row r="372" spans="8:8" ht="15.75" customHeight="1">
      <c r="H372" s="9"/>
    </row>
    <row r="373" spans="8:8" ht="15.75" customHeight="1">
      <c r="H373" s="9"/>
    </row>
    <row r="374" spans="8:8" ht="15.75" customHeight="1">
      <c r="H374" s="9"/>
    </row>
    <row r="375" spans="8:8" ht="15.75" customHeight="1">
      <c r="H375" s="9"/>
    </row>
    <row r="376" spans="8:8" ht="15.75" customHeight="1">
      <c r="H376" s="9"/>
    </row>
    <row r="377" spans="8:8" ht="15.75" customHeight="1">
      <c r="H377" s="9"/>
    </row>
    <row r="378" spans="8:8" ht="15.75" customHeight="1">
      <c r="H378" s="9"/>
    </row>
    <row r="379" spans="8:8" ht="15.75" customHeight="1">
      <c r="H379" s="9"/>
    </row>
    <row r="380" spans="8:8" ht="15.75" customHeight="1">
      <c r="H380" s="9"/>
    </row>
    <row r="381" spans="8:8" ht="15.75" customHeight="1">
      <c r="H381" s="9"/>
    </row>
    <row r="382" spans="8:8" ht="15.75" customHeight="1">
      <c r="H382" s="9"/>
    </row>
    <row r="383" spans="8:8" ht="15.75" customHeight="1">
      <c r="H383" s="9"/>
    </row>
    <row r="384" spans="8:8" ht="15.75" customHeight="1">
      <c r="H384" s="9"/>
    </row>
    <row r="385" spans="8:8" ht="15.75" customHeight="1">
      <c r="H385" s="9"/>
    </row>
    <row r="386" spans="8:8" ht="15.75" customHeight="1">
      <c r="H386" s="9"/>
    </row>
    <row r="387" spans="8:8" ht="15.75" customHeight="1">
      <c r="H387" s="9"/>
    </row>
    <row r="388" spans="8:8" ht="15.75" customHeight="1">
      <c r="H388" s="9"/>
    </row>
    <row r="389" spans="8:8" ht="15.75" customHeight="1">
      <c r="H389" s="9"/>
    </row>
    <row r="390" spans="8:8" ht="15.75" customHeight="1">
      <c r="H390" s="9"/>
    </row>
    <row r="391" spans="8:8" ht="15.75" customHeight="1">
      <c r="H391" s="9"/>
    </row>
    <row r="392" spans="8:8" ht="15.75" customHeight="1">
      <c r="H392" s="9"/>
    </row>
    <row r="393" spans="8:8" ht="15.75" customHeight="1">
      <c r="H393" s="9"/>
    </row>
    <row r="394" spans="8:8" ht="15.75" customHeight="1">
      <c r="H394" s="9"/>
    </row>
    <row r="395" spans="8:8" ht="15.75" customHeight="1">
      <c r="H395" s="9"/>
    </row>
    <row r="396" spans="8:8" ht="15.75" customHeight="1">
      <c r="H396" s="9"/>
    </row>
    <row r="397" spans="8:8" ht="15.75" customHeight="1">
      <c r="H397" s="9"/>
    </row>
    <row r="398" spans="8:8" ht="15.75" customHeight="1">
      <c r="H398" s="9"/>
    </row>
    <row r="399" spans="8:8" ht="15.75" customHeight="1">
      <c r="H399" s="9"/>
    </row>
    <row r="400" spans="8:8" ht="15.75" customHeight="1">
      <c r="H400" s="9"/>
    </row>
    <row r="401" spans="8:8" ht="15.75" customHeight="1">
      <c r="H401" s="9"/>
    </row>
    <row r="402" spans="8:8" ht="15.75" customHeight="1">
      <c r="H402" s="9"/>
    </row>
    <row r="403" spans="8:8" ht="15.75" customHeight="1">
      <c r="H403" s="9"/>
    </row>
    <row r="404" spans="8:8" ht="15.75" customHeight="1">
      <c r="H404" s="9"/>
    </row>
    <row r="405" spans="8:8" ht="15.75" customHeight="1">
      <c r="H405" s="9"/>
    </row>
    <row r="406" spans="8:8" ht="15.75" customHeight="1">
      <c r="H406" s="9"/>
    </row>
    <row r="407" spans="8:8" ht="15.75" customHeight="1">
      <c r="H407" s="9"/>
    </row>
    <row r="408" spans="8:8" ht="15.75" customHeight="1">
      <c r="H408" s="9"/>
    </row>
    <row r="409" spans="8:8" ht="15.75" customHeight="1">
      <c r="H409" s="9"/>
    </row>
    <row r="410" spans="8:8" ht="15.75" customHeight="1">
      <c r="H410" s="9"/>
    </row>
    <row r="411" spans="8:8" ht="15.75" customHeight="1">
      <c r="H411" s="9"/>
    </row>
    <row r="412" spans="8:8" ht="15.75" customHeight="1">
      <c r="H412" s="9"/>
    </row>
    <row r="413" spans="8:8" ht="15.75" customHeight="1">
      <c r="H413" s="9"/>
    </row>
    <row r="414" spans="8:8" ht="15.75" customHeight="1">
      <c r="H414" s="9"/>
    </row>
    <row r="415" spans="8:8" ht="15.75" customHeight="1">
      <c r="H415" s="9"/>
    </row>
    <row r="416" spans="8:8" ht="15.75" customHeight="1">
      <c r="H416" s="9"/>
    </row>
    <row r="417" spans="8:8" ht="15.75" customHeight="1">
      <c r="H417" s="9"/>
    </row>
    <row r="418" spans="8:8" ht="15.75" customHeight="1">
      <c r="H418" s="9"/>
    </row>
    <row r="419" spans="8:8" ht="15.75" customHeight="1">
      <c r="H419" s="9"/>
    </row>
    <row r="420" spans="8:8" ht="15.75" customHeight="1">
      <c r="H420" s="9"/>
    </row>
    <row r="421" spans="8:8" ht="15.75" customHeight="1">
      <c r="H421" s="9"/>
    </row>
    <row r="422" spans="8:8" ht="15.75" customHeight="1">
      <c r="H422" s="9"/>
    </row>
    <row r="423" spans="8:8" ht="15.75" customHeight="1">
      <c r="H423" s="9"/>
    </row>
    <row r="424" spans="8:8" ht="15.75" customHeight="1">
      <c r="H424" s="9"/>
    </row>
    <row r="425" spans="8:8" ht="15.75" customHeight="1">
      <c r="H425" s="9"/>
    </row>
    <row r="426" spans="8:8" ht="15.75" customHeight="1">
      <c r="H426" s="9"/>
    </row>
    <row r="427" spans="8:8" ht="15.75" customHeight="1">
      <c r="H427" s="9"/>
    </row>
    <row r="428" spans="8:8" ht="15.75" customHeight="1">
      <c r="H428" s="9"/>
    </row>
    <row r="429" spans="8:8" ht="15.75" customHeight="1">
      <c r="H429" s="9"/>
    </row>
    <row r="430" spans="8:8" ht="15.75" customHeight="1">
      <c r="H430" s="9"/>
    </row>
    <row r="431" spans="8:8" ht="15.75" customHeight="1">
      <c r="H431" s="9"/>
    </row>
    <row r="432" spans="8:8" ht="15.75" customHeight="1">
      <c r="H432" s="9"/>
    </row>
    <row r="433" spans="8:8" ht="15.75" customHeight="1">
      <c r="H433" s="9"/>
    </row>
    <row r="434" spans="8:8" ht="15.75" customHeight="1">
      <c r="H434" s="9"/>
    </row>
    <row r="435" spans="8:8" ht="15.75" customHeight="1">
      <c r="H435" s="9"/>
    </row>
    <row r="436" spans="8:8" ht="15.75" customHeight="1">
      <c r="H436" s="9"/>
    </row>
    <row r="437" spans="8:8" ht="15.75" customHeight="1">
      <c r="H437" s="9"/>
    </row>
    <row r="438" spans="8:8" ht="15.75" customHeight="1">
      <c r="H438" s="9"/>
    </row>
    <row r="439" spans="8:8" ht="15.75" customHeight="1">
      <c r="H439" s="9"/>
    </row>
    <row r="440" spans="8:8" ht="15.75" customHeight="1">
      <c r="H440" s="9"/>
    </row>
    <row r="441" spans="8:8" ht="15.75" customHeight="1">
      <c r="H441" s="9"/>
    </row>
    <row r="442" spans="8:8" ht="15.75" customHeight="1">
      <c r="H442" s="9"/>
    </row>
    <row r="443" spans="8:8" ht="15.75" customHeight="1">
      <c r="H443" s="9"/>
    </row>
    <row r="444" spans="8:8" ht="15.75" customHeight="1">
      <c r="H444" s="9"/>
    </row>
    <row r="445" spans="8:8" ht="15.75" customHeight="1">
      <c r="H445" s="9"/>
    </row>
    <row r="446" spans="8:8" ht="15.75" customHeight="1">
      <c r="H446" s="9"/>
    </row>
    <row r="447" spans="8:8" ht="15.75" customHeight="1">
      <c r="H447" s="9"/>
    </row>
    <row r="448" spans="8:8" ht="15.75" customHeight="1">
      <c r="H448" s="9"/>
    </row>
    <row r="449" spans="8:8" ht="15.75" customHeight="1">
      <c r="H449" s="9"/>
    </row>
    <row r="450" spans="8:8" ht="15.75" customHeight="1">
      <c r="H450" s="9"/>
    </row>
    <row r="451" spans="8:8" ht="15.75" customHeight="1">
      <c r="H451" s="9"/>
    </row>
    <row r="452" spans="8:8" ht="15.75" customHeight="1">
      <c r="H452" s="9"/>
    </row>
    <row r="453" spans="8:8" ht="15.75" customHeight="1">
      <c r="H453" s="9"/>
    </row>
    <row r="454" spans="8:8" ht="15.75" customHeight="1">
      <c r="H454" s="9"/>
    </row>
    <row r="455" spans="8:8" ht="15.75" customHeight="1">
      <c r="H455" s="9"/>
    </row>
    <row r="456" spans="8:8" ht="15.75" customHeight="1">
      <c r="H456" s="9"/>
    </row>
    <row r="457" spans="8:8" ht="15.75" customHeight="1">
      <c r="H457" s="9"/>
    </row>
    <row r="458" spans="8:8" ht="15.75" customHeight="1">
      <c r="H458" s="9"/>
    </row>
    <row r="459" spans="8:8" ht="15.75" customHeight="1">
      <c r="H459" s="9"/>
    </row>
    <row r="460" spans="8:8" ht="15.75" customHeight="1">
      <c r="H460" s="9"/>
    </row>
    <row r="461" spans="8:8" ht="15.75" customHeight="1">
      <c r="H461" s="9"/>
    </row>
    <row r="462" spans="8:8" ht="15.75" customHeight="1">
      <c r="H462" s="9"/>
    </row>
    <row r="463" spans="8:8" ht="15.75" customHeight="1">
      <c r="H463" s="9"/>
    </row>
    <row r="464" spans="8:8" ht="15.75" customHeight="1">
      <c r="H464" s="9"/>
    </row>
    <row r="465" spans="8:8" ht="15.75" customHeight="1">
      <c r="H465" s="9"/>
    </row>
    <row r="466" spans="8:8" ht="15.75" customHeight="1">
      <c r="H466" s="9"/>
    </row>
    <row r="467" spans="8:8" ht="15.75" customHeight="1">
      <c r="H467" s="9"/>
    </row>
    <row r="468" spans="8:8" ht="15.75" customHeight="1">
      <c r="H468" s="9"/>
    </row>
    <row r="469" spans="8:8" ht="15.75" customHeight="1">
      <c r="H469" s="9"/>
    </row>
    <row r="470" spans="8:8" ht="15.75" customHeight="1">
      <c r="H470" s="9"/>
    </row>
    <row r="471" spans="8:8" ht="15.75" customHeight="1">
      <c r="H471" s="9"/>
    </row>
    <row r="472" spans="8:8" ht="15.75" customHeight="1">
      <c r="H472" s="9"/>
    </row>
    <row r="473" spans="8:8" ht="15.75" customHeight="1">
      <c r="H473" s="9"/>
    </row>
    <row r="474" spans="8:8" ht="15.75" customHeight="1">
      <c r="H474" s="9"/>
    </row>
    <row r="475" spans="8:8" ht="15.75" customHeight="1">
      <c r="H475" s="9"/>
    </row>
    <row r="476" spans="8:8" ht="15.75" customHeight="1">
      <c r="H476" s="9"/>
    </row>
    <row r="477" spans="8:8" ht="15.75" customHeight="1">
      <c r="H477" s="9"/>
    </row>
    <row r="478" spans="8:8" ht="15.75" customHeight="1">
      <c r="H478" s="9"/>
    </row>
    <row r="479" spans="8:8" ht="15.75" customHeight="1">
      <c r="H479" s="9"/>
    </row>
    <row r="480" spans="8:8" ht="15.75" customHeight="1">
      <c r="H480" s="9"/>
    </row>
    <row r="481" spans="8:8" ht="15.75" customHeight="1">
      <c r="H481" s="9"/>
    </row>
    <row r="482" spans="8:8" ht="15.75" customHeight="1">
      <c r="H482" s="9"/>
    </row>
    <row r="483" spans="8:8" ht="15.75" customHeight="1">
      <c r="H483" s="9"/>
    </row>
    <row r="484" spans="8:8" ht="15.75" customHeight="1">
      <c r="H484" s="9"/>
    </row>
    <row r="485" spans="8:8" ht="15.75" customHeight="1">
      <c r="H485" s="9"/>
    </row>
    <row r="486" spans="8:8" ht="15.75" customHeight="1">
      <c r="H486" s="9"/>
    </row>
    <row r="487" spans="8:8" ht="15.75" customHeight="1">
      <c r="H487" s="9"/>
    </row>
    <row r="488" spans="8:8" ht="15.75" customHeight="1">
      <c r="H488" s="9"/>
    </row>
    <row r="489" spans="8:8" ht="15.75" customHeight="1">
      <c r="H489" s="9"/>
    </row>
    <row r="490" spans="8:8" ht="15.75" customHeight="1">
      <c r="H490" s="9"/>
    </row>
    <row r="491" spans="8:8" ht="15.75" customHeight="1">
      <c r="H491" s="9"/>
    </row>
    <row r="492" spans="8:8" ht="15.75" customHeight="1">
      <c r="H492" s="9"/>
    </row>
    <row r="493" spans="8:8" ht="15.75" customHeight="1">
      <c r="H493" s="9"/>
    </row>
    <row r="494" spans="8:8" ht="15.75" customHeight="1">
      <c r="H494" s="9"/>
    </row>
    <row r="495" spans="8:8" ht="15.75" customHeight="1">
      <c r="H495" s="9"/>
    </row>
    <row r="496" spans="8:8" ht="15.75" customHeight="1">
      <c r="H496" s="9"/>
    </row>
    <row r="497" spans="8:8" ht="15.75" customHeight="1">
      <c r="H497" s="9"/>
    </row>
    <row r="498" spans="8:8" ht="15.75" customHeight="1">
      <c r="H498" s="9"/>
    </row>
    <row r="499" spans="8:8" ht="15.75" customHeight="1">
      <c r="H499" s="9"/>
    </row>
    <row r="500" spans="8:8" ht="15.75" customHeight="1">
      <c r="H500" s="9"/>
    </row>
    <row r="501" spans="8:8" ht="15.75" customHeight="1">
      <c r="H501" s="9"/>
    </row>
    <row r="502" spans="8:8" ht="15.75" customHeight="1">
      <c r="H502" s="9"/>
    </row>
    <row r="503" spans="8:8" ht="15.75" customHeight="1">
      <c r="H503" s="9"/>
    </row>
    <row r="504" spans="8:8" ht="15.75" customHeight="1">
      <c r="H504" s="9"/>
    </row>
    <row r="505" spans="8:8" ht="15.75" customHeight="1">
      <c r="H505" s="9"/>
    </row>
    <row r="506" spans="8:8" ht="15.75" customHeight="1">
      <c r="H506" s="9"/>
    </row>
    <row r="507" spans="8:8" ht="15.75" customHeight="1">
      <c r="H507" s="9"/>
    </row>
    <row r="508" spans="8:8" ht="15.75" customHeight="1">
      <c r="H508" s="9"/>
    </row>
    <row r="509" spans="8:8" ht="15.75" customHeight="1">
      <c r="H509" s="9"/>
    </row>
    <row r="510" spans="8:8" ht="15.75" customHeight="1">
      <c r="H510" s="9"/>
    </row>
    <row r="511" spans="8:8" ht="15.75" customHeight="1">
      <c r="H511" s="9"/>
    </row>
    <row r="512" spans="8:8" ht="15.75" customHeight="1">
      <c r="H512" s="9"/>
    </row>
    <row r="513" spans="8:8" ht="15.75" customHeight="1">
      <c r="H513" s="9"/>
    </row>
    <row r="514" spans="8:8" ht="15.75" customHeight="1">
      <c r="H514" s="9"/>
    </row>
    <row r="515" spans="8:8" ht="15.75" customHeight="1">
      <c r="H515" s="9"/>
    </row>
    <row r="516" spans="8:8" ht="15.75" customHeight="1">
      <c r="H516" s="9"/>
    </row>
    <row r="517" spans="8:8" ht="15.75" customHeight="1">
      <c r="H517" s="9"/>
    </row>
    <row r="518" spans="8:8" ht="15.75" customHeight="1">
      <c r="H518" s="9"/>
    </row>
    <row r="519" spans="8:8" ht="15.75" customHeight="1">
      <c r="H519" s="9"/>
    </row>
    <row r="520" spans="8:8" ht="15.75" customHeight="1">
      <c r="H520" s="9"/>
    </row>
    <row r="521" spans="8:8" ht="15.75" customHeight="1">
      <c r="H521" s="9"/>
    </row>
    <row r="522" spans="8:8" ht="15.75" customHeight="1">
      <c r="H522" s="9"/>
    </row>
    <row r="523" spans="8:8" ht="15.75" customHeight="1">
      <c r="H523" s="9"/>
    </row>
    <row r="524" spans="8:8" ht="15.75" customHeight="1">
      <c r="H524" s="9"/>
    </row>
    <row r="525" spans="8:8" ht="15.75" customHeight="1">
      <c r="H525" s="9"/>
    </row>
    <row r="526" spans="8:8" ht="15.75" customHeight="1">
      <c r="H526" s="9"/>
    </row>
    <row r="527" spans="8:8" ht="15.75" customHeight="1">
      <c r="H527" s="9"/>
    </row>
    <row r="528" spans="8:8" ht="15.75" customHeight="1">
      <c r="H528" s="9"/>
    </row>
    <row r="529" spans="8:8" ht="15.75" customHeight="1">
      <c r="H529" s="9"/>
    </row>
    <row r="530" spans="8:8" ht="15.75" customHeight="1">
      <c r="H530" s="9"/>
    </row>
    <row r="531" spans="8:8" ht="15.75" customHeight="1">
      <c r="H531" s="9"/>
    </row>
    <row r="532" spans="8:8" ht="15.75" customHeight="1">
      <c r="H532" s="9"/>
    </row>
    <row r="533" spans="8:8" ht="15.75" customHeight="1">
      <c r="H533" s="9"/>
    </row>
    <row r="534" spans="8:8" ht="15.75" customHeight="1">
      <c r="H534" s="9"/>
    </row>
    <row r="535" spans="8:8" ht="15.75" customHeight="1">
      <c r="H535" s="9"/>
    </row>
    <row r="536" spans="8:8" ht="15.75" customHeight="1">
      <c r="H536" s="9"/>
    </row>
    <row r="537" spans="8:8" ht="15.75" customHeight="1">
      <c r="H537" s="9"/>
    </row>
    <row r="538" spans="8:8" ht="15.75" customHeight="1">
      <c r="H538" s="9"/>
    </row>
    <row r="539" spans="8:8" ht="15.75" customHeight="1">
      <c r="H539" s="9"/>
    </row>
    <row r="540" spans="8:8" ht="15.75" customHeight="1">
      <c r="H540" s="9"/>
    </row>
    <row r="541" spans="8:8" ht="15.75" customHeight="1">
      <c r="H541" s="9"/>
    </row>
    <row r="542" spans="8:8" ht="15.75" customHeight="1">
      <c r="H542" s="9"/>
    </row>
    <row r="543" spans="8:8" ht="15.75" customHeight="1">
      <c r="H543" s="9"/>
    </row>
    <row r="544" spans="8:8" ht="15.75" customHeight="1">
      <c r="H544" s="9"/>
    </row>
    <row r="545" spans="8:8" ht="15.75" customHeight="1">
      <c r="H545" s="9"/>
    </row>
    <row r="546" spans="8:8" ht="15.75" customHeight="1">
      <c r="H546" s="9"/>
    </row>
    <row r="547" spans="8:8" ht="15.75" customHeight="1">
      <c r="H547" s="9"/>
    </row>
    <row r="548" spans="8:8" ht="15.75" customHeight="1">
      <c r="H548" s="9"/>
    </row>
    <row r="549" spans="8:8" ht="15.75" customHeight="1">
      <c r="H549" s="9"/>
    </row>
    <row r="550" spans="8:8" ht="15.75" customHeight="1">
      <c r="H550" s="9"/>
    </row>
    <row r="551" spans="8:8" ht="15.75" customHeight="1">
      <c r="H551" s="9"/>
    </row>
    <row r="552" spans="8:8" ht="15.75" customHeight="1">
      <c r="H552" s="9"/>
    </row>
    <row r="553" spans="8:8" ht="15.75" customHeight="1">
      <c r="H553" s="9"/>
    </row>
    <row r="554" spans="8:8" ht="15.75" customHeight="1">
      <c r="H554" s="9"/>
    </row>
    <row r="555" spans="8:8" ht="15.75" customHeight="1">
      <c r="H555" s="9"/>
    </row>
    <row r="556" spans="8:8" ht="15.75" customHeight="1">
      <c r="H556" s="9"/>
    </row>
    <row r="557" spans="8:8" ht="15.75" customHeight="1">
      <c r="H557" s="9"/>
    </row>
    <row r="558" spans="8:8" ht="15.75" customHeight="1">
      <c r="H558" s="9"/>
    </row>
    <row r="559" spans="8:8" ht="15.75" customHeight="1">
      <c r="H559" s="9"/>
    </row>
    <row r="560" spans="8:8" ht="15.75" customHeight="1">
      <c r="H560" s="9"/>
    </row>
    <row r="561" spans="8:8" ht="15.75" customHeight="1">
      <c r="H561" s="9"/>
    </row>
    <row r="562" spans="8:8" ht="15.75" customHeight="1">
      <c r="H562" s="9"/>
    </row>
    <row r="563" spans="8:8" ht="15.75" customHeight="1">
      <c r="H563" s="9"/>
    </row>
    <row r="564" spans="8:8" ht="15.75" customHeight="1">
      <c r="H564" s="9"/>
    </row>
    <row r="565" spans="8:8" ht="15.75" customHeight="1">
      <c r="H565" s="9"/>
    </row>
    <row r="566" spans="8:8" ht="15.75" customHeight="1">
      <c r="H566" s="9"/>
    </row>
    <row r="567" spans="8:8" ht="15.75" customHeight="1">
      <c r="H567" s="9"/>
    </row>
    <row r="568" spans="8:8" ht="15.75" customHeight="1">
      <c r="H568" s="9"/>
    </row>
    <row r="569" spans="8:8" ht="15.75" customHeight="1">
      <c r="H569" s="9"/>
    </row>
    <row r="570" spans="8:8" ht="15.75" customHeight="1">
      <c r="H570" s="9"/>
    </row>
    <row r="571" spans="8:8" ht="15.75" customHeight="1">
      <c r="H571" s="9"/>
    </row>
    <row r="572" spans="8:8" ht="15.75" customHeight="1">
      <c r="H572" s="9"/>
    </row>
    <row r="573" spans="8:8" ht="15.75" customHeight="1">
      <c r="H573" s="9"/>
    </row>
    <row r="574" spans="8:8" ht="15.75" customHeight="1">
      <c r="H574" s="9"/>
    </row>
    <row r="575" spans="8:8" ht="15.75" customHeight="1">
      <c r="H575" s="9"/>
    </row>
    <row r="576" spans="8:8" ht="15.75" customHeight="1">
      <c r="H576" s="9"/>
    </row>
    <row r="577" spans="8:8" ht="15.75" customHeight="1">
      <c r="H577" s="9"/>
    </row>
    <row r="578" spans="8:8" ht="15.75" customHeight="1">
      <c r="H578" s="9"/>
    </row>
    <row r="579" spans="8:8" ht="15.75" customHeight="1">
      <c r="H579" s="9"/>
    </row>
    <row r="580" spans="8:8" ht="15.75" customHeight="1">
      <c r="H580" s="9"/>
    </row>
    <row r="581" spans="8:8" ht="15.75" customHeight="1">
      <c r="H581" s="9"/>
    </row>
    <row r="582" spans="8:8" ht="15.75" customHeight="1">
      <c r="H582" s="9"/>
    </row>
    <row r="583" spans="8:8" ht="15.75" customHeight="1">
      <c r="H583" s="9"/>
    </row>
    <row r="584" spans="8:8" ht="15.75" customHeight="1">
      <c r="H584" s="9"/>
    </row>
    <row r="585" spans="8:8" ht="15.75" customHeight="1">
      <c r="H585" s="9"/>
    </row>
    <row r="586" spans="8:8" ht="15.75" customHeight="1">
      <c r="H586" s="9"/>
    </row>
    <row r="587" spans="8:8" ht="15.75" customHeight="1">
      <c r="H587" s="9"/>
    </row>
    <row r="588" spans="8:8" ht="15.75" customHeight="1">
      <c r="H588" s="9"/>
    </row>
    <row r="589" spans="8:8" ht="15.75" customHeight="1">
      <c r="H589" s="9"/>
    </row>
    <row r="590" spans="8:8" ht="15.75" customHeight="1">
      <c r="H590" s="9"/>
    </row>
    <row r="591" spans="8:8" ht="15.75" customHeight="1">
      <c r="H591" s="9"/>
    </row>
    <row r="592" spans="8:8" ht="15.75" customHeight="1">
      <c r="H592" s="9"/>
    </row>
    <row r="593" spans="8:8" ht="15.75" customHeight="1">
      <c r="H593" s="9"/>
    </row>
    <row r="594" spans="8:8" ht="15.75" customHeight="1">
      <c r="H594" s="9"/>
    </row>
    <row r="595" spans="8:8" ht="15.75" customHeight="1">
      <c r="H595" s="9"/>
    </row>
    <row r="596" spans="8:8" ht="15.75" customHeight="1">
      <c r="H596" s="9"/>
    </row>
    <row r="597" spans="8:8" ht="15.75" customHeight="1">
      <c r="H597" s="9"/>
    </row>
    <row r="598" spans="8:8" ht="15.75" customHeight="1">
      <c r="H598" s="9"/>
    </row>
    <row r="599" spans="8:8" ht="15.75" customHeight="1">
      <c r="H599" s="9"/>
    </row>
    <row r="600" spans="8:8" ht="15.75" customHeight="1">
      <c r="H600" s="9"/>
    </row>
    <row r="601" spans="8:8" ht="15.75" customHeight="1">
      <c r="H601" s="9"/>
    </row>
    <row r="602" spans="8:8" ht="15.75" customHeight="1">
      <c r="H602" s="9"/>
    </row>
    <row r="603" spans="8:8" ht="15.75" customHeight="1">
      <c r="H603" s="9"/>
    </row>
    <row r="604" spans="8:8" ht="15.75" customHeight="1">
      <c r="H604" s="9"/>
    </row>
    <row r="605" spans="8:8" ht="15.75" customHeight="1">
      <c r="H605" s="9"/>
    </row>
    <row r="606" spans="8:8" ht="15.75" customHeight="1">
      <c r="H606" s="9"/>
    </row>
    <row r="607" spans="8:8" ht="15.75" customHeight="1">
      <c r="H607" s="9"/>
    </row>
    <row r="608" spans="8:8" ht="15.75" customHeight="1">
      <c r="H608" s="9"/>
    </row>
    <row r="609" spans="8:8" ht="15.75" customHeight="1">
      <c r="H609" s="9"/>
    </row>
    <row r="610" spans="8:8" ht="15.75" customHeight="1">
      <c r="H610" s="9"/>
    </row>
    <row r="611" spans="8:8" ht="15.75" customHeight="1">
      <c r="H611" s="9"/>
    </row>
    <row r="612" spans="8:8" ht="15.75" customHeight="1">
      <c r="H612" s="9"/>
    </row>
    <row r="613" spans="8:8" ht="15.75" customHeight="1">
      <c r="H613" s="9"/>
    </row>
    <row r="614" spans="8:8" ht="15.75" customHeight="1">
      <c r="H614" s="9"/>
    </row>
    <row r="615" spans="8:8" ht="15.75" customHeight="1">
      <c r="H615" s="9"/>
    </row>
    <row r="616" spans="8:8" ht="15.75" customHeight="1">
      <c r="H616" s="9"/>
    </row>
    <row r="617" spans="8:8" ht="15.75" customHeight="1">
      <c r="H617" s="9"/>
    </row>
    <row r="618" spans="8:8" ht="15.75" customHeight="1">
      <c r="H618" s="9"/>
    </row>
    <row r="619" spans="8:8" ht="15.75" customHeight="1">
      <c r="H619" s="9"/>
    </row>
    <row r="620" spans="8:8" ht="15.75" customHeight="1">
      <c r="H620" s="9"/>
    </row>
    <row r="621" spans="8:8" ht="15.75" customHeight="1">
      <c r="H621" s="9"/>
    </row>
    <row r="622" spans="8:8" ht="15.75" customHeight="1">
      <c r="H622" s="9"/>
    </row>
    <row r="623" spans="8:8" ht="15.75" customHeight="1">
      <c r="H623" s="9"/>
    </row>
    <row r="624" spans="8:8" ht="15.75" customHeight="1">
      <c r="H624" s="9"/>
    </row>
    <row r="625" spans="8:8" ht="15.75" customHeight="1">
      <c r="H625" s="9"/>
    </row>
    <row r="626" spans="8:8" ht="15.75" customHeight="1">
      <c r="H626" s="9"/>
    </row>
    <row r="627" spans="8:8" ht="15.75" customHeight="1">
      <c r="H627" s="9"/>
    </row>
    <row r="628" spans="8:8" ht="15.75" customHeight="1">
      <c r="H628" s="9"/>
    </row>
    <row r="629" spans="8:8" ht="15.75" customHeight="1">
      <c r="H629" s="9"/>
    </row>
    <row r="630" spans="8:8" ht="15.75" customHeight="1">
      <c r="H630" s="9"/>
    </row>
    <row r="631" spans="8:8" ht="15.75" customHeight="1">
      <c r="H631" s="9"/>
    </row>
    <row r="632" spans="8:8" ht="15.75" customHeight="1">
      <c r="H632" s="9"/>
    </row>
    <row r="633" spans="8:8" ht="15.75" customHeight="1">
      <c r="H633" s="9"/>
    </row>
    <row r="634" spans="8:8" ht="15.75" customHeight="1">
      <c r="H634" s="9"/>
    </row>
    <row r="635" spans="8:8" ht="15.75" customHeight="1">
      <c r="H635" s="9"/>
    </row>
    <row r="636" spans="8:8" ht="15.75" customHeight="1">
      <c r="H636" s="9"/>
    </row>
    <row r="637" spans="8:8" ht="15.75" customHeight="1">
      <c r="H637" s="9"/>
    </row>
    <row r="638" spans="8:8" ht="15.75" customHeight="1">
      <c r="H638" s="9"/>
    </row>
    <row r="639" spans="8:8" ht="15.75" customHeight="1">
      <c r="H639" s="9"/>
    </row>
    <row r="640" spans="8:8" ht="15.75" customHeight="1">
      <c r="H640" s="9"/>
    </row>
    <row r="641" spans="8:8" ht="15.75" customHeight="1">
      <c r="H641" s="9"/>
    </row>
    <row r="642" spans="8:8" ht="15.75" customHeight="1">
      <c r="H642" s="9"/>
    </row>
    <row r="643" spans="8:8" ht="15.75" customHeight="1">
      <c r="H643" s="9"/>
    </row>
    <row r="644" spans="8:8" ht="15.75" customHeight="1">
      <c r="H644" s="9"/>
    </row>
    <row r="645" spans="8:8" ht="15.75" customHeight="1">
      <c r="H645" s="9"/>
    </row>
    <row r="646" spans="8:8" ht="15.75" customHeight="1">
      <c r="H646" s="9"/>
    </row>
    <row r="647" spans="8:8" ht="15.75" customHeight="1">
      <c r="H647" s="9"/>
    </row>
    <row r="648" spans="8:8" ht="15.75" customHeight="1">
      <c r="H648" s="9"/>
    </row>
    <row r="649" spans="8:8" ht="15.75" customHeight="1">
      <c r="H649" s="9"/>
    </row>
    <row r="650" spans="8:8" ht="15.75" customHeight="1">
      <c r="H650" s="9"/>
    </row>
    <row r="651" spans="8:8" ht="15.75" customHeight="1">
      <c r="H651" s="9"/>
    </row>
    <row r="652" spans="8:8" ht="15.75" customHeight="1">
      <c r="H652" s="9"/>
    </row>
    <row r="653" spans="8:8" ht="15.75" customHeight="1">
      <c r="H653" s="9"/>
    </row>
    <row r="654" spans="8:8" ht="15.75" customHeight="1">
      <c r="H654" s="9"/>
    </row>
    <row r="655" spans="8:8" ht="15.75" customHeight="1">
      <c r="H655" s="9"/>
    </row>
    <row r="656" spans="8:8" ht="15.75" customHeight="1">
      <c r="H656" s="9"/>
    </row>
    <row r="657" spans="8:8" ht="15.75" customHeight="1">
      <c r="H657" s="9"/>
    </row>
    <row r="658" spans="8:8" ht="15.75" customHeight="1">
      <c r="H658" s="9"/>
    </row>
    <row r="659" spans="8:8" ht="15.75" customHeight="1">
      <c r="H659" s="9"/>
    </row>
    <row r="660" spans="8:8" ht="15.75" customHeight="1">
      <c r="H660" s="9"/>
    </row>
    <row r="661" spans="8:8" ht="15.75" customHeight="1">
      <c r="H661" s="9"/>
    </row>
    <row r="662" spans="8:8" ht="15.75" customHeight="1">
      <c r="H662" s="9"/>
    </row>
    <row r="663" spans="8:8" ht="15.75" customHeight="1">
      <c r="H663" s="9"/>
    </row>
    <row r="664" spans="8:8" ht="15.75" customHeight="1">
      <c r="H664" s="9"/>
    </row>
    <row r="665" spans="8:8" ht="15.75" customHeight="1">
      <c r="H665" s="9"/>
    </row>
    <row r="666" spans="8:8" ht="15.75" customHeight="1">
      <c r="H666" s="9"/>
    </row>
    <row r="667" spans="8:8" ht="15.75" customHeight="1">
      <c r="H667" s="9"/>
    </row>
    <row r="668" spans="8:8" ht="15.75" customHeight="1">
      <c r="H668" s="9"/>
    </row>
    <row r="669" spans="8:8" ht="15.75" customHeight="1">
      <c r="H669" s="9"/>
    </row>
    <row r="670" spans="8:8" ht="15.75" customHeight="1">
      <c r="H670" s="9"/>
    </row>
    <row r="671" spans="8:8" ht="15.75" customHeight="1">
      <c r="H671" s="9"/>
    </row>
    <row r="672" spans="8:8" ht="15.75" customHeight="1">
      <c r="H672" s="9"/>
    </row>
    <row r="673" spans="8:8" ht="15.75" customHeight="1">
      <c r="H673" s="9"/>
    </row>
    <row r="674" spans="8:8" ht="15.75" customHeight="1">
      <c r="H674" s="9"/>
    </row>
    <row r="675" spans="8:8" ht="15.75" customHeight="1">
      <c r="H675" s="9"/>
    </row>
    <row r="676" spans="8:8" ht="15.75" customHeight="1">
      <c r="H676" s="9"/>
    </row>
    <row r="677" spans="8:8" ht="15.75" customHeight="1">
      <c r="H677" s="9"/>
    </row>
    <row r="678" spans="8:8" ht="15.75" customHeight="1">
      <c r="H678" s="9"/>
    </row>
    <row r="679" spans="8:8" ht="15.75" customHeight="1">
      <c r="H679" s="9"/>
    </row>
    <row r="680" spans="8:8" ht="15.75" customHeight="1">
      <c r="H680" s="9"/>
    </row>
    <row r="681" spans="8:8" ht="15.75" customHeight="1">
      <c r="H681" s="9"/>
    </row>
    <row r="682" spans="8:8" ht="15.75" customHeight="1">
      <c r="H682" s="9"/>
    </row>
    <row r="683" spans="8:8" ht="15.75" customHeight="1">
      <c r="H683" s="9"/>
    </row>
    <row r="684" spans="8:8" ht="15.75" customHeight="1">
      <c r="H684" s="9"/>
    </row>
    <row r="685" spans="8:8" ht="15.75" customHeight="1">
      <c r="H685" s="9"/>
    </row>
    <row r="686" spans="8:8" ht="15.75" customHeight="1">
      <c r="H686" s="9"/>
    </row>
    <row r="687" spans="8:8" ht="15.75" customHeight="1">
      <c r="H687" s="9"/>
    </row>
    <row r="688" spans="8:8" ht="15.75" customHeight="1">
      <c r="H688" s="9"/>
    </row>
    <row r="689" spans="8:8" ht="15.75" customHeight="1">
      <c r="H689" s="9"/>
    </row>
    <row r="690" spans="8:8" ht="15.75" customHeight="1">
      <c r="H690" s="9"/>
    </row>
    <row r="691" spans="8:8" ht="15.75" customHeight="1">
      <c r="H691" s="9"/>
    </row>
    <row r="692" spans="8:8" ht="15.75" customHeight="1">
      <c r="H692" s="9"/>
    </row>
    <row r="693" spans="8:8" ht="15.75" customHeight="1">
      <c r="H693" s="9"/>
    </row>
    <row r="694" spans="8:8" ht="15.75" customHeight="1">
      <c r="H694" s="9"/>
    </row>
    <row r="695" spans="8:8" ht="15.75" customHeight="1">
      <c r="H695" s="9"/>
    </row>
    <row r="696" spans="8:8" ht="15.75" customHeight="1">
      <c r="H696" s="9"/>
    </row>
    <row r="697" spans="8:8" ht="15.75" customHeight="1">
      <c r="H697" s="9"/>
    </row>
    <row r="698" spans="8:8" ht="15.75" customHeight="1">
      <c r="H698" s="9"/>
    </row>
    <row r="699" spans="8:8" ht="15.75" customHeight="1">
      <c r="H699" s="9"/>
    </row>
    <row r="700" spans="8:8" ht="15.75" customHeight="1">
      <c r="H700" s="9"/>
    </row>
    <row r="701" spans="8:8" ht="15.75" customHeight="1">
      <c r="H701" s="9"/>
    </row>
    <row r="702" spans="8:8" ht="15.75" customHeight="1">
      <c r="H702" s="9"/>
    </row>
    <row r="703" spans="8:8" ht="15.75" customHeight="1">
      <c r="H703" s="9"/>
    </row>
    <row r="704" spans="8:8" ht="15.75" customHeight="1">
      <c r="H704" s="9"/>
    </row>
    <row r="705" spans="8:8" ht="15.75" customHeight="1">
      <c r="H705" s="9"/>
    </row>
    <row r="706" spans="8:8" ht="15.75" customHeight="1">
      <c r="H706" s="9"/>
    </row>
    <row r="707" spans="8:8" ht="15.75" customHeight="1">
      <c r="H707" s="9"/>
    </row>
    <row r="708" spans="8:8" ht="15.75" customHeight="1">
      <c r="H708" s="9"/>
    </row>
    <row r="709" spans="8:8" ht="15.75" customHeight="1">
      <c r="H709" s="9"/>
    </row>
    <row r="710" spans="8:8" ht="15.75" customHeight="1">
      <c r="H710" s="9"/>
    </row>
    <row r="711" spans="8:8" ht="15.75" customHeight="1">
      <c r="H711" s="9"/>
    </row>
    <row r="712" spans="8:8" ht="15.75" customHeight="1">
      <c r="H712" s="9"/>
    </row>
    <row r="713" spans="8:8" ht="15.75" customHeight="1">
      <c r="H713" s="9"/>
    </row>
    <row r="714" spans="8:8" ht="15.75" customHeight="1">
      <c r="H714" s="9"/>
    </row>
    <row r="715" spans="8:8" ht="15.75" customHeight="1">
      <c r="H715" s="9"/>
    </row>
    <row r="716" spans="8:8" ht="15.75" customHeight="1">
      <c r="H716" s="9"/>
    </row>
    <row r="717" spans="8:8" ht="15.75" customHeight="1">
      <c r="H717" s="9"/>
    </row>
    <row r="718" spans="8:8" ht="15.75" customHeight="1">
      <c r="H718" s="9"/>
    </row>
    <row r="719" spans="8:8" ht="15.75" customHeight="1">
      <c r="H719" s="9"/>
    </row>
    <row r="720" spans="8:8" ht="15.75" customHeight="1">
      <c r="H720" s="9"/>
    </row>
    <row r="721" spans="8:8" ht="15.75" customHeight="1">
      <c r="H721" s="9"/>
    </row>
    <row r="722" spans="8:8" ht="15.75" customHeight="1">
      <c r="H722" s="9"/>
    </row>
    <row r="723" spans="8:8" ht="15.75" customHeight="1">
      <c r="H723" s="9"/>
    </row>
    <row r="724" spans="8:8" ht="15.75" customHeight="1">
      <c r="H724" s="9"/>
    </row>
    <row r="725" spans="8:8" ht="15.75" customHeight="1">
      <c r="H725" s="9"/>
    </row>
    <row r="726" spans="8:8" ht="15.75" customHeight="1">
      <c r="H726" s="9"/>
    </row>
    <row r="727" spans="8:8" ht="15.75" customHeight="1">
      <c r="H727" s="9"/>
    </row>
    <row r="728" spans="8:8" ht="15.75" customHeight="1">
      <c r="H728" s="9"/>
    </row>
    <row r="729" spans="8:8" ht="15.75" customHeight="1">
      <c r="H729" s="9"/>
    </row>
    <row r="730" spans="8:8" ht="15.75" customHeight="1">
      <c r="H730" s="9"/>
    </row>
    <row r="731" spans="8:8" ht="15.75" customHeight="1">
      <c r="H731" s="9"/>
    </row>
    <row r="732" spans="8:8" ht="15.75" customHeight="1">
      <c r="H732" s="9"/>
    </row>
    <row r="733" spans="8:8" ht="15.75" customHeight="1">
      <c r="H733" s="9"/>
    </row>
    <row r="734" spans="8:8" ht="15.75" customHeight="1">
      <c r="H734" s="9"/>
    </row>
    <row r="735" spans="8:8" ht="15.75" customHeight="1">
      <c r="H735" s="9"/>
    </row>
    <row r="736" spans="8:8" ht="15.75" customHeight="1">
      <c r="H736" s="9"/>
    </row>
    <row r="737" spans="8:8" ht="15.75" customHeight="1">
      <c r="H737" s="9"/>
    </row>
    <row r="738" spans="8:8" ht="15.75" customHeight="1">
      <c r="H738" s="9"/>
    </row>
    <row r="739" spans="8:8" ht="15.75" customHeight="1">
      <c r="H739" s="9"/>
    </row>
    <row r="740" spans="8:8" ht="15.75" customHeight="1">
      <c r="H740" s="9"/>
    </row>
    <row r="741" spans="8:8" ht="15.75" customHeight="1">
      <c r="H741" s="9"/>
    </row>
    <row r="742" spans="8:8" ht="15.75" customHeight="1">
      <c r="H742" s="9"/>
    </row>
    <row r="743" spans="8:8" ht="15.75" customHeight="1">
      <c r="H743" s="9"/>
    </row>
    <row r="744" spans="8:8" ht="15.75" customHeight="1">
      <c r="H744" s="9"/>
    </row>
    <row r="745" spans="8:8" ht="15.75" customHeight="1">
      <c r="H745" s="9"/>
    </row>
    <row r="746" spans="8:8" ht="15.75" customHeight="1">
      <c r="H746" s="9"/>
    </row>
    <row r="747" spans="8:8" ht="15.75" customHeight="1">
      <c r="H747" s="9"/>
    </row>
    <row r="748" spans="8:8" ht="15.75" customHeight="1">
      <c r="H748" s="9"/>
    </row>
    <row r="749" spans="8:8" ht="15.75" customHeight="1">
      <c r="H749" s="9"/>
    </row>
    <row r="750" spans="8:8" ht="15.75" customHeight="1">
      <c r="H750" s="9"/>
    </row>
    <row r="751" spans="8:8" ht="15.75" customHeight="1">
      <c r="H751" s="9"/>
    </row>
    <row r="752" spans="8:8" ht="15.75" customHeight="1">
      <c r="H752" s="9"/>
    </row>
    <row r="753" spans="8:8" ht="15.75" customHeight="1">
      <c r="H753" s="9"/>
    </row>
    <row r="754" spans="8:8" ht="15.75" customHeight="1">
      <c r="H754" s="9"/>
    </row>
    <row r="755" spans="8:8" ht="15.75" customHeight="1">
      <c r="H755" s="9"/>
    </row>
    <row r="756" spans="8:8" ht="15.75" customHeight="1">
      <c r="H756" s="9"/>
    </row>
    <row r="757" spans="8:8" ht="15.75" customHeight="1">
      <c r="H757" s="9"/>
    </row>
    <row r="758" spans="8:8" ht="15.75" customHeight="1">
      <c r="H758" s="9"/>
    </row>
    <row r="759" spans="8:8" ht="15.75" customHeight="1">
      <c r="H759" s="9"/>
    </row>
    <row r="760" spans="8:8" ht="15.75" customHeight="1">
      <c r="H760" s="9"/>
    </row>
    <row r="761" spans="8:8" ht="15.75" customHeight="1">
      <c r="H761" s="9"/>
    </row>
    <row r="762" spans="8:8" ht="15.75" customHeight="1">
      <c r="H762" s="9"/>
    </row>
    <row r="763" spans="8:8" ht="15.75" customHeight="1">
      <c r="H763" s="9"/>
    </row>
    <row r="764" spans="8:8" ht="15.75" customHeight="1">
      <c r="H764" s="9"/>
    </row>
    <row r="765" spans="8:8" ht="15.75" customHeight="1">
      <c r="H765" s="9"/>
    </row>
    <row r="766" spans="8:8" ht="15.75" customHeight="1">
      <c r="H766" s="9"/>
    </row>
    <row r="767" spans="8:8" ht="15.75" customHeight="1">
      <c r="H767" s="9"/>
    </row>
    <row r="768" spans="8:8" ht="15.75" customHeight="1">
      <c r="H768" s="9"/>
    </row>
    <row r="769" spans="8:8" ht="15.75" customHeight="1">
      <c r="H769" s="9"/>
    </row>
    <row r="770" spans="8:8" ht="15.75" customHeight="1">
      <c r="H770" s="9"/>
    </row>
    <row r="771" spans="8:8" ht="15.75" customHeight="1">
      <c r="H771" s="9"/>
    </row>
    <row r="772" spans="8:8" ht="15.75" customHeight="1">
      <c r="H772" s="9"/>
    </row>
    <row r="773" spans="8:8" ht="15.75" customHeight="1">
      <c r="H773" s="9"/>
    </row>
    <row r="774" spans="8:8" ht="15.75" customHeight="1">
      <c r="H774" s="9"/>
    </row>
    <row r="775" spans="8:8" ht="15.75" customHeight="1">
      <c r="H775" s="9"/>
    </row>
    <row r="776" spans="8:8" ht="15.75" customHeight="1">
      <c r="H776" s="9"/>
    </row>
    <row r="777" spans="8:8" ht="15.75" customHeight="1">
      <c r="H777" s="9"/>
    </row>
    <row r="778" spans="8:8" ht="15.75" customHeight="1">
      <c r="H778" s="9"/>
    </row>
    <row r="779" spans="8:8" ht="15.75" customHeight="1">
      <c r="H779" s="9"/>
    </row>
    <row r="780" spans="8:8" ht="15.75" customHeight="1">
      <c r="H780" s="9"/>
    </row>
    <row r="781" spans="8:8" ht="15.75" customHeight="1">
      <c r="H781" s="9"/>
    </row>
    <row r="782" spans="8:8" ht="15.75" customHeight="1">
      <c r="H782" s="9"/>
    </row>
    <row r="783" spans="8:8" ht="15.75" customHeight="1">
      <c r="H783" s="9"/>
    </row>
    <row r="784" spans="8:8" ht="15.75" customHeight="1">
      <c r="H784" s="9"/>
    </row>
    <row r="785" spans="8:8" ht="15.75" customHeight="1">
      <c r="H785" s="9"/>
    </row>
    <row r="786" spans="8:8" ht="15.75" customHeight="1">
      <c r="H786" s="9"/>
    </row>
    <row r="787" spans="8:8" ht="15.75" customHeight="1">
      <c r="H787" s="9"/>
    </row>
    <row r="788" spans="8:8" ht="15.75" customHeight="1">
      <c r="H788" s="9"/>
    </row>
    <row r="789" spans="8:8" ht="15.75" customHeight="1">
      <c r="H789" s="9"/>
    </row>
    <row r="790" spans="8:8" ht="15.75" customHeight="1">
      <c r="H790" s="9"/>
    </row>
    <row r="791" spans="8:8" ht="15.75" customHeight="1">
      <c r="H791" s="9"/>
    </row>
    <row r="792" spans="8:8" ht="15.75" customHeight="1">
      <c r="H792" s="9"/>
    </row>
    <row r="793" spans="8:8" ht="15.75" customHeight="1">
      <c r="H793" s="9"/>
    </row>
    <row r="794" spans="8:8" ht="15.75" customHeight="1">
      <c r="H794" s="9"/>
    </row>
    <row r="795" spans="8:8" ht="15.75" customHeight="1">
      <c r="H795" s="9"/>
    </row>
    <row r="796" spans="8:8" ht="15.75" customHeight="1">
      <c r="H796" s="9"/>
    </row>
    <row r="797" spans="8:8" ht="15.75" customHeight="1">
      <c r="H797" s="9"/>
    </row>
    <row r="798" spans="8:8" ht="15.75" customHeight="1">
      <c r="H798" s="9"/>
    </row>
    <row r="799" spans="8:8" ht="15.75" customHeight="1">
      <c r="H799" s="9"/>
    </row>
    <row r="800" spans="8:8" ht="15.75" customHeight="1">
      <c r="H800" s="9"/>
    </row>
    <row r="801" spans="8:8" ht="15.75" customHeight="1">
      <c r="H801" s="9"/>
    </row>
    <row r="802" spans="8:8" ht="15.75" customHeight="1">
      <c r="H802" s="9"/>
    </row>
    <row r="803" spans="8:8" ht="15.75" customHeight="1">
      <c r="H803" s="9"/>
    </row>
    <row r="804" spans="8:8" ht="15.75" customHeight="1">
      <c r="H804" s="9"/>
    </row>
    <row r="805" spans="8:8" ht="15.75" customHeight="1">
      <c r="H805" s="9"/>
    </row>
    <row r="806" spans="8:8" ht="15.75" customHeight="1">
      <c r="H806" s="9"/>
    </row>
    <row r="807" spans="8:8" ht="15.75" customHeight="1">
      <c r="H807" s="9"/>
    </row>
    <row r="808" spans="8:8" ht="15.75" customHeight="1">
      <c r="H808" s="9"/>
    </row>
    <row r="809" spans="8:8" ht="15.75" customHeight="1">
      <c r="H809" s="9"/>
    </row>
    <row r="810" spans="8:8" ht="15.75" customHeight="1">
      <c r="H810" s="9"/>
    </row>
    <row r="811" spans="8:8" ht="15.75" customHeight="1">
      <c r="H811" s="9"/>
    </row>
    <row r="812" spans="8:8" ht="15.75" customHeight="1">
      <c r="H812" s="9"/>
    </row>
    <row r="813" spans="8:8" ht="15.75" customHeight="1">
      <c r="H813" s="9"/>
    </row>
    <row r="814" spans="8:8" ht="15.75" customHeight="1">
      <c r="H814" s="9"/>
    </row>
    <row r="815" spans="8:8" ht="15.75" customHeight="1">
      <c r="H815" s="9"/>
    </row>
    <row r="816" spans="8:8" ht="15.75" customHeight="1">
      <c r="H816" s="9"/>
    </row>
    <row r="817" spans="8:8" ht="15.75" customHeight="1">
      <c r="H817" s="9"/>
    </row>
    <row r="818" spans="8:8" ht="15.75" customHeight="1">
      <c r="H818" s="9"/>
    </row>
    <row r="819" spans="8:8" ht="15.75" customHeight="1">
      <c r="H819" s="9"/>
    </row>
    <row r="820" spans="8:8" ht="15.75" customHeight="1">
      <c r="H820" s="9"/>
    </row>
    <row r="821" spans="8:8" ht="15.75" customHeight="1">
      <c r="H821" s="9"/>
    </row>
    <row r="822" spans="8:8" ht="15.75" customHeight="1">
      <c r="H822" s="9"/>
    </row>
    <row r="823" spans="8:8" ht="15.75" customHeight="1">
      <c r="H823" s="9"/>
    </row>
    <row r="824" spans="8:8" ht="15.75" customHeight="1">
      <c r="H824" s="9"/>
    </row>
    <row r="825" spans="8:8" ht="15.75" customHeight="1">
      <c r="H825" s="9"/>
    </row>
    <row r="826" spans="8:8" ht="15.75" customHeight="1">
      <c r="H826" s="9"/>
    </row>
    <row r="827" spans="8:8" ht="15.75" customHeight="1">
      <c r="H827" s="9"/>
    </row>
    <row r="828" spans="8:8" ht="15.75" customHeight="1">
      <c r="H828" s="9"/>
    </row>
    <row r="829" spans="8:8" ht="15.75" customHeight="1">
      <c r="H829" s="9"/>
    </row>
    <row r="830" spans="8:8" ht="15.75" customHeight="1">
      <c r="H830" s="9"/>
    </row>
    <row r="831" spans="8:8" ht="15.75" customHeight="1">
      <c r="H831" s="9"/>
    </row>
    <row r="832" spans="8:8" ht="15.75" customHeight="1">
      <c r="H832" s="9"/>
    </row>
    <row r="833" spans="8:8" ht="15.75" customHeight="1">
      <c r="H833" s="9"/>
    </row>
    <row r="834" spans="8:8" ht="15.75" customHeight="1">
      <c r="H834" s="9"/>
    </row>
    <row r="835" spans="8:8" ht="15.75" customHeight="1">
      <c r="H835" s="9"/>
    </row>
    <row r="836" spans="8:8" ht="15.75" customHeight="1">
      <c r="H836" s="9"/>
    </row>
    <row r="837" spans="8:8" ht="15.75" customHeight="1">
      <c r="H837" s="9"/>
    </row>
    <row r="838" spans="8:8" ht="15.75" customHeight="1">
      <c r="H838" s="9"/>
    </row>
    <row r="839" spans="8:8" ht="15.75" customHeight="1">
      <c r="H839" s="9"/>
    </row>
    <row r="840" spans="8:8" ht="15.75" customHeight="1">
      <c r="H840" s="9"/>
    </row>
    <row r="841" spans="8:8" ht="15.75" customHeight="1">
      <c r="H841" s="9"/>
    </row>
    <row r="842" spans="8:8" ht="15.75" customHeight="1">
      <c r="H842" s="9"/>
    </row>
    <row r="843" spans="8:8" ht="15.75" customHeight="1">
      <c r="H843" s="9"/>
    </row>
    <row r="844" spans="8:8" ht="15.75" customHeight="1">
      <c r="H844" s="9"/>
    </row>
    <row r="845" spans="8:8" ht="15.75" customHeight="1">
      <c r="H845" s="9"/>
    </row>
    <row r="846" spans="8:8" ht="15.75" customHeight="1">
      <c r="H846" s="9"/>
    </row>
    <row r="847" spans="8:8" ht="15.75" customHeight="1">
      <c r="H847" s="9"/>
    </row>
    <row r="848" spans="8:8" ht="15.75" customHeight="1">
      <c r="H848" s="9"/>
    </row>
    <row r="849" spans="8:8" ht="15.75" customHeight="1">
      <c r="H849" s="9"/>
    </row>
    <row r="850" spans="8:8" ht="15.75" customHeight="1">
      <c r="H850" s="9"/>
    </row>
    <row r="851" spans="8:8" ht="15.75" customHeight="1">
      <c r="H851" s="9"/>
    </row>
    <row r="852" spans="8:8" ht="15.75" customHeight="1">
      <c r="H852" s="9"/>
    </row>
    <row r="853" spans="8:8" ht="15.75" customHeight="1">
      <c r="H853" s="9"/>
    </row>
    <row r="854" spans="8:8" ht="15.75" customHeight="1">
      <c r="H854" s="9"/>
    </row>
    <row r="855" spans="8:8" ht="15.75" customHeight="1">
      <c r="H855" s="9"/>
    </row>
    <row r="856" spans="8:8" ht="15.75" customHeight="1">
      <c r="H856" s="9"/>
    </row>
    <row r="857" spans="8:8" ht="15.75" customHeight="1">
      <c r="H857" s="9"/>
    </row>
    <row r="858" spans="8:8" ht="15.75" customHeight="1">
      <c r="H858" s="9"/>
    </row>
    <row r="859" spans="8:8" ht="15.75" customHeight="1">
      <c r="H859" s="9"/>
    </row>
    <row r="860" spans="8:8" ht="15.75" customHeight="1">
      <c r="H860" s="9"/>
    </row>
    <row r="861" spans="8:8" ht="15.75" customHeight="1">
      <c r="H861" s="9"/>
    </row>
    <row r="862" spans="8:8" ht="15.75" customHeight="1">
      <c r="H862" s="9"/>
    </row>
    <row r="863" spans="8:8" ht="15.75" customHeight="1">
      <c r="H863" s="9"/>
    </row>
    <row r="864" spans="8:8" ht="15.75" customHeight="1">
      <c r="H864" s="9"/>
    </row>
    <row r="865" spans="8:8" ht="15.75" customHeight="1">
      <c r="H865" s="9"/>
    </row>
    <row r="866" spans="8:8" ht="15.75" customHeight="1">
      <c r="H866" s="9"/>
    </row>
    <row r="867" spans="8:8" ht="15.75" customHeight="1">
      <c r="H867" s="9"/>
    </row>
    <row r="868" spans="8:8" ht="15.75" customHeight="1">
      <c r="H868" s="9"/>
    </row>
    <row r="869" spans="8:8" ht="15.75" customHeight="1">
      <c r="H869" s="9"/>
    </row>
    <row r="870" spans="8:8" ht="15.75" customHeight="1">
      <c r="H870" s="9"/>
    </row>
    <row r="871" spans="8:8" ht="15.75" customHeight="1">
      <c r="H871" s="9"/>
    </row>
    <row r="872" spans="8:8" ht="15.75" customHeight="1">
      <c r="H872" s="9"/>
    </row>
    <row r="873" spans="8:8" ht="15.75" customHeight="1">
      <c r="H873" s="9"/>
    </row>
    <row r="874" spans="8:8" ht="15.75" customHeight="1">
      <c r="H874" s="9"/>
    </row>
    <row r="875" spans="8:8" ht="15.75" customHeight="1">
      <c r="H875" s="9"/>
    </row>
    <row r="876" spans="8:8" ht="15.75" customHeight="1">
      <c r="H876" s="9"/>
    </row>
    <row r="877" spans="8:8" ht="15.75" customHeight="1">
      <c r="H877" s="9"/>
    </row>
    <row r="878" spans="8:8" ht="15.75" customHeight="1">
      <c r="H878" s="9"/>
    </row>
    <row r="879" spans="8:8" ht="15.75" customHeight="1">
      <c r="H879" s="9"/>
    </row>
    <row r="880" spans="8:8" ht="15.75" customHeight="1">
      <c r="H880" s="9"/>
    </row>
    <row r="881" spans="8:8" ht="15.75" customHeight="1">
      <c r="H881" s="9"/>
    </row>
    <row r="882" spans="8:8" ht="15.75" customHeight="1">
      <c r="H882" s="9"/>
    </row>
    <row r="883" spans="8:8" ht="15.75" customHeight="1">
      <c r="H883" s="9"/>
    </row>
    <row r="884" spans="8:8" ht="15.75" customHeight="1">
      <c r="H884" s="9"/>
    </row>
    <row r="885" spans="8:8" ht="15.75" customHeight="1">
      <c r="H885" s="9"/>
    </row>
    <row r="886" spans="8:8" ht="15.75" customHeight="1">
      <c r="H886" s="9"/>
    </row>
    <row r="887" spans="8:8" ht="15.75" customHeight="1">
      <c r="H887" s="9"/>
    </row>
    <row r="888" spans="8:8" ht="15.75" customHeight="1">
      <c r="H888" s="9"/>
    </row>
    <row r="889" spans="8:8" ht="15.75" customHeight="1">
      <c r="H889" s="9"/>
    </row>
    <row r="890" spans="8:8" ht="15.75" customHeight="1">
      <c r="H890" s="9"/>
    </row>
    <row r="891" spans="8:8" ht="15.75" customHeight="1">
      <c r="H891" s="9"/>
    </row>
    <row r="892" spans="8:8" ht="15.75" customHeight="1">
      <c r="H892" s="9"/>
    </row>
    <row r="893" spans="8:8" ht="15.75" customHeight="1">
      <c r="H893" s="9"/>
    </row>
    <row r="894" spans="8:8" ht="15.75" customHeight="1">
      <c r="H894" s="9"/>
    </row>
    <row r="895" spans="8:8" ht="15.75" customHeight="1">
      <c r="H895" s="9"/>
    </row>
    <row r="896" spans="8:8" ht="15.75" customHeight="1">
      <c r="H896" s="9"/>
    </row>
    <row r="897" spans="8:8" ht="15.75" customHeight="1">
      <c r="H897" s="9"/>
    </row>
    <row r="898" spans="8:8" ht="15.75" customHeight="1">
      <c r="H898" s="9"/>
    </row>
    <row r="899" spans="8:8" ht="15.75" customHeight="1">
      <c r="H899" s="9"/>
    </row>
    <row r="900" spans="8:8" ht="15.75" customHeight="1">
      <c r="H900" s="9"/>
    </row>
    <row r="901" spans="8:8" ht="15.75" customHeight="1">
      <c r="H901" s="9"/>
    </row>
    <row r="902" spans="8:8" ht="15.75" customHeight="1">
      <c r="H902" s="9"/>
    </row>
    <row r="903" spans="8:8" ht="15.75" customHeight="1">
      <c r="H903" s="9"/>
    </row>
    <row r="904" spans="8:8" ht="15.75" customHeight="1">
      <c r="H904" s="9"/>
    </row>
    <row r="905" spans="8:8" ht="15.75" customHeight="1">
      <c r="H905" s="9"/>
    </row>
    <row r="906" spans="8:8" ht="15.75" customHeight="1">
      <c r="H906" s="9"/>
    </row>
    <row r="907" spans="8:8" ht="15.75" customHeight="1">
      <c r="H907" s="9"/>
    </row>
    <row r="908" spans="8:8" ht="15.75" customHeight="1">
      <c r="H908" s="9"/>
    </row>
    <row r="909" spans="8:8" ht="15.75" customHeight="1">
      <c r="H909" s="9"/>
    </row>
    <row r="910" spans="8:8" ht="15.75" customHeight="1">
      <c r="H910" s="9"/>
    </row>
    <row r="911" spans="8:8" ht="15.75" customHeight="1">
      <c r="H911" s="9"/>
    </row>
    <row r="912" spans="8:8" ht="15.75" customHeight="1">
      <c r="H912" s="9"/>
    </row>
    <row r="913" spans="8:8" ht="15.75" customHeight="1">
      <c r="H913" s="9"/>
    </row>
    <row r="914" spans="8:8" ht="15.75" customHeight="1">
      <c r="H914" s="9"/>
    </row>
    <row r="915" spans="8:8" ht="15.75" customHeight="1">
      <c r="H915" s="9"/>
    </row>
    <row r="916" spans="8:8" ht="15.75" customHeight="1">
      <c r="H916" s="9"/>
    </row>
    <row r="917" spans="8:8" ht="15.75" customHeight="1">
      <c r="H917" s="9"/>
    </row>
    <row r="918" spans="8:8" ht="15.75" customHeight="1">
      <c r="H918" s="9"/>
    </row>
    <row r="919" spans="8:8" ht="15.75" customHeight="1">
      <c r="H919" s="9"/>
    </row>
    <row r="920" spans="8:8" ht="15.75" customHeight="1">
      <c r="H920" s="9"/>
    </row>
    <row r="921" spans="8:8" ht="15.75" customHeight="1">
      <c r="H921" s="9"/>
    </row>
    <row r="922" spans="8:8" ht="15.75" customHeight="1">
      <c r="H922" s="9"/>
    </row>
    <row r="923" spans="8:8" ht="15.75" customHeight="1">
      <c r="H923" s="9"/>
    </row>
    <row r="924" spans="8:8" ht="15.75" customHeight="1">
      <c r="H924" s="9"/>
    </row>
    <row r="925" spans="8:8" ht="15.75" customHeight="1">
      <c r="H925" s="9"/>
    </row>
    <row r="926" spans="8:8" ht="15.75" customHeight="1">
      <c r="H926" s="9"/>
    </row>
    <row r="927" spans="8:8" ht="15.75" customHeight="1">
      <c r="H927" s="9"/>
    </row>
    <row r="928" spans="8:8" ht="15.75" customHeight="1">
      <c r="H928" s="9"/>
    </row>
    <row r="929" spans="8:8" ht="15.75" customHeight="1">
      <c r="H929" s="9"/>
    </row>
    <row r="930" spans="8:8" ht="15.75" customHeight="1">
      <c r="H930" s="9"/>
    </row>
    <row r="931" spans="8:8" ht="15.75" customHeight="1">
      <c r="H931" s="9"/>
    </row>
    <row r="932" spans="8:8" ht="15.75" customHeight="1">
      <c r="H932" s="9"/>
    </row>
    <row r="933" spans="8:8" ht="15.75" customHeight="1">
      <c r="H933" s="9"/>
    </row>
    <row r="934" spans="8:8" ht="15.75" customHeight="1">
      <c r="H934" s="9"/>
    </row>
    <row r="935" spans="8:8" ht="15.75" customHeight="1">
      <c r="H935" s="9"/>
    </row>
    <row r="936" spans="8:8" ht="15.75" customHeight="1">
      <c r="H936" s="9"/>
    </row>
    <row r="937" spans="8:8" ht="15.75" customHeight="1">
      <c r="H937" s="9"/>
    </row>
    <row r="938" spans="8:8" ht="15.75" customHeight="1">
      <c r="H938" s="9"/>
    </row>
    <row r="939" spans="8:8" ht="15.75" customHeight="1">
      <c r="H939" s="9"/>
    </row>
    <row r="940" spans="8:8" ht="15.75" customHeight="1">
      <c r="H940" s="9"/>
    </row>
    <row r="941" spans="8:8" ht="15.75" customHeight="1">
      <c r="H941" s="9"/>
    </row>
    <row r="942" spans="8:8" ht="15.75" customHeight="1">
      <c r="H942" s="9"/>
    </row>
    <row r="943" spans="8:8" ht="15.75" customHeight="1">
      <c r="H943" s="9"/>
    </row>
    <row r="944" spans="8:8" ht="15.75" customHeight="1">
      <c r="H944" s="9"/>
    </row>
    <row r="945" spans="8:8" ht="15.75" customHeight="1">
      <c r="H945" s="9"/>
    </row>
    <row r="946" spans="8:8" ht="15.75" customHeight="1">
      <c r="H946" s="9"/>
    </row>
    <row r="947" spans="8:8" ht="15.75" customHeight="1">
      <c r="H947" s="9"/>
    </row>
    <row r="948" spans="8:8" ht="15.75" customHeight="1">
      <c r="H948" s="9"/>
    </row>
    <row r="949" spans="8:8" ht="15.75" customHeight="1">
      <c r="H949" s="9"/>
    </row>
    <row r="950" spans="8:8" ht="15.75" customHeight="1">
      <c r="H950" s="9"/>
    </row>
    <row r="951" spans="8:8" ht="15.75" customHeight="1">
      <c r="H951" s="9"/>
    </row>
    <row r="952" spans="8:8" ht="15.75" customHeight="1">
      <c r="H952" s="9"/>
    </row>
    <row r="953" spans="8:8" ht="15.75" customHeight="1">
      <c r="H953" s="9"/>
    </row>
    <row r="954" spans="8:8" ht="15.75" customHeight="1">
      <c r="H954" s="9"/>
    </row>
    <row r="955" spans="8:8" ht="15.75" customHeight="1">
      <c r="H955" s="9"/>
    </row>
    <row r="956" spans="8:8" ht="15.75" customHeight="1">
      <c r="H956" s="9"/>
    </row>
    <row r="957" spans="8:8" ht="15.75" customHeight="1">
      <c r="H957" s="9"/>
    </row>
    <row r="958" spans="8:8" ht="15.75" customHeight="1">
      <c r="H958" s="9"/>
    </row>
    <row r="959" spans="8:8" ht="15.75" customHeight="1">
      <c r="H959" s="9"/>
    </row>
    <row r="960" spans="8:8" ht="15.75" customHeight="1">
      <c r="H960" s="9"/>
    </row>
    <row r="961" spans="8:8" ht="15.75" customHeight="1">
      <c r="H961" s="9"/>
    </row>
    <row r="962" spans="8:8" ht="15.75" customHeight="1">
      <c r="H962" s="9"/>
    </row>
    <row r="963" spans="8:8" ht="15.75" customHeight="1">
      <c r="H963" s="9"/>
    </row>
    <row r="964" spans="8:8" ht="15.75" customHeight="1">
      <c r="H964" s="9"/>
    </row>
    <row r="965" spans="8:8" ht="15.75" customHeight="1">
      <c r="H965" s="9"/>
    </row>
    <row r="966" spans="8:8" ht="15.75" customHeight="1">
      <c r="H966" s="9"/>
    </row>
    <row r="967" spans="8:8" ht="15.75" customHeight="1">
      <c r="H967" s="9"/>
    </row>
    <row r="968" spans="8:8" ht="15.75" customHeight="1">
      <c r="H968" s="9"/>
    </row>
    <row r="969" spans="8:8" ht="15.75" customHeight="1">
      <c r="H969" s="9"/>
    </row>
    <row r="970" spans="8:8" ht="15.75" customHeight="1">
      <c r="H970" s="9"/>
    </row>
    <row r="971" spans="8:8" ht="15.75" customHeight="1">
      <c r="H971" s="9"/>
    </row>
    <row r="972" spans="8:8" ht="15.75" customHeight="1">
      <c r="H972" s="9"/>
    </row>
    <row r="973" spans="8:8" ht="15.75" customHeight="1">
      <c r="H973" s="9"/>
    </row>
    <row r="974" spans="8:8" ht="15.75" customHeight="1">
      <c r="H974" s="9"/>
    </row>
    <row r="975" spans="8:8" ht="15.75" customHeight="1">
      <c r="H975" s="9"/>
    </row>
    <row r="976" spans="8:8" ht="15.75" customHeight="1">
      <c r="H976" s="9"/>
    </row>
    <row r="977" spans="8:8" ht="15.75" customHeight="1">
      <c r="H977" s="9"/>
    </row>
    <row r="978" spans="8:8" ht="15.75" customHeight="1">
      <c r="H978" s="9"/>
    </row>
    <row r="979" spans="8:8" ht="15.75" customHeight="1">
      <c r="H979" s="9"/>
    </row>
    <row r="980" spans="8:8" ht="15.75" customHeight="1">
      <c r="H980" s="9"/>
    </row>
    <row r="981" spans="8:8" ht="15.75" customHeight="1">
      <c r="H981" s="9"/>
    </row>
    <row r="982" spans="8:8" ht="15.75" customHeight="1">
      <c r="H982" s="9"/>
    </row>
    <row r="983" spans="8:8" ht="15.75" customHeight="1">
      <c r="H983" s="9"/>
    </row>
    <row r="984" spans="8:8" ht="15.75" customHeight="1">
      <c r="H984" s="9"/>
    </row>
    <row r="985" spans="8:8" ht="15.75" customHeight="1">
      <c r="H985" s="9"/>
    </row>
    <row r="986" spans="8:8" ht="15.75" customHeight="1">
      <c r="H986" s="9"/>
    </row>
    <row r="987" spans="8:8" ht="15.75" customHeight="1">
      <c r="H987" s="9"/>
    </row>
    <row r="988" spans="8:8" ht="15.75" customHeight="1">
      <c r="H988" s="9"/>
    </row>
    <row r="989" spans="8:8" ht="15.75" customHeight="1">
      <c r="H989" s="9"/>
    </row>
    <row r="990" spans="8:8" ht="15.75" customHeight="1">
      <c r="H990" s="9"/>
    </row>
    <row r="991" spans="8:8" ht="15.75" customHeight="1">
      <c r="H991" s="9"/>
    </row>
    <row r="992" spans="8:8" ht="15.75" customHeight="1">
      <c r="H992" s="9"/>
    </row>
  </sheetData>
  <conditionalFormatting sqref="H2:H331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I335:AK335">
    <cfRule type="colorScale" priority="1">
      <colorScale>
        <cfvo type="min"/>
        <cfvo type="percent" val="50"/>
        <cfvo type="max"/>
        <color rgb="FFE67C73"/>
        <color rgb="FFFFD666"/>
        <color rgb="FF57BB8A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Y333"/>
  <sheetViews>
    <sheetView workbookViewId="0"/>
  </sheetViews>
  <sheetFormatPr baseColWidth="10" defaultColWidth="12.6640625" defaultRowHeight="15.75" customHeight="1"/>
  <cols>
    <col min="1" max="1" width="14.33203125" customWidth="1"/>
    <col min="2" max="2" width="12.1640625" customWidth="1"/>
    <col min="3" max="3" width="9.83203125" customWidth="1"/>
    <col min="5" max="10" width="13.5" customWidth="1"/>
    <col min="11" max="12" width="14.5" customWidth="1"/>
    <col min="14" max="22" width="14.5" customWidth="1"/>
    <col min="23" max="24" width="2.83203125" customWidth="1"/>
    <col min="25" max="25" width="18.1640625" customWidth="1"/>
  </cols>
  <sheetData>
    <row r="1" spans="1:25" ht="15.75" customHeight="1">
      <c r="A1" s="1" t="s">
        <v>2635</v>
      </c>
      <c r="B1" s="1" t="s">
        <v>2636</v>
      </c>
      <c r="C1" s="1" t="s">
        <v>2637</v>
      </c>
      <c r="D1" s="1" t="s">
        <v>1223</v>
      </c>
      <c r="E1" s="1" t="s">
        <v>3098</v>
      </c>
      <c r="F1" s="1" t="s">
        <v>3099</v>
      </c>
      <c r="G1" s="1" t="s">
        <v>3100</v>
      </c>
      <c r="H1" s="1" t="s">
        <v>3101</v>
      </c>
      <c r="I1" s="1" t="s">
        <v>3102</v>
      </c>
      <c r="J1" s="1" t="s">
        <v>3103</v>
      </c>
      <c r="K1" s="1" t="s">
        <v>3104</v>
      </c>
      <c r="L1" s="1" t="s">
        <v>3104</v>
      </c>
      <c r="M1" s="1" t="s">
        <v>3105</v>
      </c>
      <c r="N1" s="1" t="s">
        <v>3106</v>
      </c>
      <c r="O1" s="1" t="s">
        <v>3107</v>
      </c>
      <c r="P1" s="1" t="s">
        <v>3108</v>
      </c>
      <c r="Q1" s="1" t="s">
        <v>3109</v>
      </c>
      <c r="R1" s="1" t="s">
        <v>3110</v>
      </c>
      <c r="S1" s="1" t="s">
        <v>3111</v>
      </c>
      <c r="T1" s="1" t="s">
        <v>3112</v>
      </c>
      <c r="U1" s="1" t="s">
        <v>3113</v>
      </c>
      <c r="V1" s="1" t="s">
        <v>3114</v>
      </c>
      <c r="W1" s="1" t="s">
        <v>3064</v>
      </c>
      <c r="X1" s="1" t="s">
        <v>3065</v>
      </c>
      <c r="Y1" s="1" t="s">
        <v>3115</v>
      </c>
    </row>
    <row r="2" spans="1:25" ht="15.75" customHeight="1">
      <c r="A2" s="2" t="s">
        <v>2644</v>
      </c>
      <c r="B2" s="2" t="s">
        <v>2645</v>
      </c>
      <c r="C2" s="3">
        <v>791</v>
      </c>
      <c r="D2" s="2" t="s">
        <v>782</v>
      </c>
      <c r="E2" s="2" t="s">
        <v>3090</v>
      </c>
      <c r="F2" s="2" t="s">
        <v>3090</v>
      </c>
      <c r="G2" s="2" t="s">
        <v>3090</v>
      </c>
      <c r="H2" s="2" t="s">
        <v>3090</v>
      </c>
      <c r="I2" s="2" t="s">
        <v>3090</v>
      </c>
      <c r="J2" s="2" t="s">
        <v>3090</v>
      </c>
      <c r="K2" s="2"/>
      <c r="L2" s="2"/>
      <c r="M2" s="2"/>
      <c r="N2" s="2"/>
      <c r="O2" s="2" t="s">
        <v>3090</v>
      </c>
      <c r="P2" s="2"/>
      <c r="Q2" s="2"/>
      <c r="R2" s="2"/>
      <c r="S2" s="2"/>
      <c r="T2" s="2"/>
      <c r="U2" s="2" t="s">
        <v>3090</v>
      </c>
      <c r="V2" s="2"/>
      <c r="W2" s="4">
        <f t="shared" ref="W2:W65" si="0">COUNTIF(E2:V2,"L (1/1)")</f>
        <v>8</v>
      </c>
      <c r="X2" s="4">
        <f t="shared" ref="X2:X65" si="1">COUNTIF(E2:V2,"R (1/1)")</f>
        <v>0</v>
      </c>
      <c r="Y2" s="4">
        <f t="shared" ref="Y2:Y65" si="2">W2+X2</f>
        <v>8</v>
      </c>
    </row>
    <row r="3" spans="1:25" ht="15.75" customHeight="1">
      <c r="A3" s="2" t="s">
        <v>2646</v>
      </c>
      <c r="B3" s="2" t="s">
        <v>2647</v>
      </c>
      <c r="C3" s="3">
        <v>583</v>
      </c>
      <c r="D3" s="2" t="s">
        <v>2648</v>
      </c>
      <c r="E3" s="2" t="s">
        <v>3090</v>
      </c>
      <c r="F3" s="2" t="s">
        <v>3091</v>
      </c>
      <c r="G3" s="2"/>
      <c r="H3" s="2" t="s">
        <v>3091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4">
        <f t="shared" si="0"/>
        <v>1</v>
      </c>
      <c r="X3" s="4">
        <f t="shared" si="1"/>
        <v>2</v>
      </c>
      <c r="Y3" s="4">
        <f t="shared" si="2"/>
        <v>3</v>
      </c>
    </row>
    <row r="4" spans="1:25" ht="15.75" customHeight="1">
      <c r="A4" s="2" t="s">
        <v>2649</v>
      </c>
      <c r="B4" s="2" t="s">
        <v>2650</v>
      </c>
      <c r="C4" s="3">
        <v>500</v>
      </c>
      <c r="D4" s="2" t="s">
        <v>714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">
        <f t="shared" si="0"/>
        <v>0</v>
      </c>
      <c r="X4" s="4">
        <f t="shared" si="1"/>
        <v>0</v>
      </c>
      <c r="Y4" s="4">
        <f t="shared" si="2"/>
        <v>0</v>
      </c>
    </row>
    <row r="5" spans="1:25" ht="15.75" customHeight="1">
      <c r="A5" s="2" t="s">
        <v>3116</v>
      </c>
      <c r="B5" s="2" t="s">
        <v>3117</v>
      </c>
      <c r="C5" s="3">
        <v>523</v>
      </c>
      <c r="D5" s="2" t="s">
        <v>1221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4">
        <f t="shared" si="0"/>
        <v>0</v>
      </c>
      <c r="X5" s="4">
        <f t="shared" si="1"/>
        <v>0</v>
      </c>
      <c r="Y5" s="4">
        <f t="shared" si="2"/>
        <v>0</v>
      </c>
    </row>
    <row r="6" spans="1:25" ht="15.75" customHeight="1">
      <c r="A6" s="2" t="s">
        <v>2651</v>
      </c>
      <c r="B6" s="2" t="s">
        <v>2652</v>
      </c>
      <c r="C6" s="3">
        <v>275</v>
      </c>
      <c r="D6" s="2" t="s">
        <v>495</v>
      </c>
      <c r="E6" s="2"/>
      <c r="F6" s="2" t="s">
        <v>3091</v>
      </c>
      <c r="G6" s="2" t="s">
        <v>3090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 t="s">
        <v>3091</v>
      </c>
      <c r="T6" s="2" t="s">
        <v>3091</v>
      </c>
      <c r="U6" s="2" t="s">
        <v>3090</v>
      </c>
      <c r="V6" s="2" t="s">
        <v>3090</v>
      </c>
      <c r="W6" s="4">
        <f t="shared" si="0"/>
        <v>3</v>
      </c>
      <c r="X6" s="4">
        <f t="shared" si="1"/>
        <v>3</v>
      </c>
      <c r="Y6" s="4">
        <f t="shared" si="2"/>
        <v>6</v>
      </c>
    </row>
    <row r="7" spans="1:25" ht="15.75" customHeight="1">
      <c r="A7" s="2" t="s">
        <v>2653</v>
      </c>
      <c r="B7" s="2" t="s">
        <v>2654</v>
      </c>
      <c r="C7" s="3">
        <v>282</v>
      </c>
      <c r="D7" s="2" t="s">
        <v>1219</v>
      </c>
      <c r="E7" s="2" t="s">
        <v>3091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4">
        <f t="shared" si="0"/>
        <v>0</v>
      </c>
      <c r="X7" s="4">
        <f t="shared" si="1"/>
        <v>1</v>
      </c>
      <c r="Y7" s="4">
        <f t="shared" si="2"/>
        <v>1</v>
      </c>
    </row>
    <row r="8" spans="1:25" ht="15.75" customHeight="1">
      <c r="A8" s="2" t="s">
        <v>2655</v>
      </c>
      <c r="B8" s="2" t="s">
        <v>2656</v>
      </c>
      <c r="C8" s="3">
        <v>743</v>
      </c>
      <c r="D8" s="2" t="s">
        <v>145</v>
      </c>
      <c r="E8" s="2" t="s">
        <v>3090</v>
      </c>
      <c r="F8" s="2" t="s">
        <v>3090</v>
      </c>
      <c r="G8" s="2" t="s">
        <v>3090</v>
      </c>
      <c r="H8" s="2" t="s">
        <v>3090</v>
      </c>
      <c r="I8" s="2" t="s">
        <v>3090</v>
      </c>
      <c r="J8" s="2" t="s">
        <v>3090</v>
      </c>
      <c r="K8" s="2" t="s">
        <v>3091</v>
      </c>
      <c r="L8" s="2" t="s">
        <v>3091</v>
      </c>
      <c r="M8" s="2" t="s">
        <v>3090</v>
      </c>
      <c r="N8" s="2" t="s">
        <v>3090</v>
      </c>
      <c r="O8" s="2" t="s">
        <v>3090</v>
      </c>
      <c r="P8" s="2" t="s">
        <v>3091</v>
      </c>
      <c r="Q8" s="2" t="s">
        <v>3091</v>
      </c>
      <c r="R8" s="2" t="s">
        <v>3091</v>
      </c>
      <c r="S8" s="2" t="s">
        <v>3091</v>
      </c>
      <c r="T8" s="2" t="s">
        <v>3091</v>
      </c>
      <c r="U8" s="2"/>
      <c r="V8" s="2" t="s">
        <v>3090</v>
      </c>
      <c r="W8" s="4">
        <f t="shared" si="0"/>
        <v>10</v>
      </c>
      <c r="X8" s="4">
        <f t="shared" si="1"/>
        <v>7</v>
      </c>
      <c r="Y8" s="4">
        <f t="shared" si="2"/>
        <v>17</v>
      </c>
    </row>
    <row r="9" spans="1:25" ht="15.75" customHeight="1">
      <c r="A9" s="2" t="s">
        <v>2338</v>
      </c>
      <c r="B9" s="2" t="s">
        <v>2657</v>
      </c>
      <c r="C9" s="3">
        <v>810</v>
      </c>
      <c r="D9" s="2" t="s">
        <v>53</v>
      </c>
      <c r="E9" s="2"/>
      <c r="F9" s="2"/>
      <c r="G9" s="2"/>
      <c r="H9" s="2"/>
      <c r="I9" s="2"/>
      <c r="J9" s="2"/>
      <c r="K9" s="2"/>
      <c r="L9" s="2"/>
      <c r="M9" s="2"/>
      <c r="N9" s="2"/>
      <c r="O9" s="2" t="s">
        <v>3091</v>
      </c>
      <c r="P9" s="2"/>
      <c r="Q9" s="2"/>
      <c r="R9" s="2"/>
      <c r="S9" s="2"/>
      <c r="T9" s="2"/>
      <c r="U9" s="2" t="s">
        <v>3090</v>
      </c>
      <c r="V9" s="2"/>
      <c r="W9" s="4">
        <f t="shared" si="0"/>
        <v>1</v>
      </c>
      <c r="X9" s="4">
        <f t="shared" si="1"/>
        <v>1</v>
      </c>
      <c r="Y9" s="4">
        <f t="shared" si="2"/>
        <v>2</v>
      </c>
    </row>
    <row r="10" spans="1:25" ht="15.75" customHeight="1">
      <c r="A10" s="2" t="s">
        <v>2658</v>
      </c>
      <c r="B10" s="2" t="s">
        <v>2659</v>
      </c>
      <c r="C10" s="3">
        <v>680</v>
      </c>
      <c r="D10" s="2" t="s">
        <v>102</v>
      </c>
      <c r="E10" s="2" t="s">
        <v>3090</v>
      </c>
      <c r="F10" s="2" t="s">
        <v>3090</v>
      </c>
      <c r="G10" s="2" t="s">
        <v>3090</v>
      </c>
      <c r="H10" s="2" t="s">
        <v>3090</v>
      </c>
      <c r="I10" s="2" t="s">
        <v>3090</v>
      </c>
      <c r="J10" s="2" t="s">
        <v>3090</v>
      </c>
      <c r="K10" s="2" t="s">
        <v>3091</v>
      </c>
      <c r="L10" s="2" t="s">
        <v>3091</v>
      </c>
      <c r="M10" s="2" t="s">
        <v>3090</v>
      </c>
      <c r="N10" s="2" t="s">
        <v>3090</v>
      </c>
      <c r="O10" s="2" t="s">
        <v>3090</v>
      </c>
      <c r="P10" s="2" t="s">
        <v>3091</v>
      </c>
      <c r="Q10" s="2" t="s">
        <v>3090</v>
      </c>
      <c r="R10" s="2" t="s">
        <v>3090</v>
      </c>
      <c r="S10" s="2"/>
      <c r="T10" s="2" t="s">
        <v>3091</v>
      </c>
      <c r="U10" s="2" t="s">
        <v>3090</v>
      </c>
      <c r="V10" s="2" t="s">
        <v>3090</v>
      </c>
      <c r="W10" s="4">
        <f t="shared" si="0"/>
        <v>13</v>
      </c>
      <c r="X10" s="4">
        <f t="shared" si="1"/>
        <v>4</v>
      </c>
      <c r="Y10" s="4">
        <f t="shared" si="2"/>
        <v>17</v>
      </c>
    </row>
    <row r="11" spans="1:25" ht="15.75" customHeight="1">
      <c r="A11" s="2" t="s">
        <v>2660</v>
      </c>
      <c r="B11" s="2" t="s">
        <v>2661</v>
      </c>
      <c r="C11" s="3">
        <v>269</v>
      </c>
      <c r="D11" s="2" t="s">
        <v>383</v>
      </c>
      <c r="E11" s="2" t="s">
        <v>3090</v>
      </c>
      <c r="F11" s="2" t="s">
        <v>3090</v>
      </c>
      <c r="G11" s="2" t="s">
        <v>3090</v>
      </c>
      <c r="H11" s="2" t="s">
        <v>3090</v>
      </c>
      <c r="I11" s="2" t="s">
        <v>3090</v>
      </c>
      <c r="J11" s="2" t="s">
        <v>3090</v>
      </c>
      <c r="K11" s="2" t="s">
        <v>3091</v>
      </c>
      <c r="L11" s="2" t="s">
        <v>3091</v>
      </c>
      <c r="M11" s="2" t="s">
        <v>3090</v>
      </c>
      <c r="N11" s="2" t="s">
        <v>3090</v>
      </c>
      <c r="O11" s="2" t="s">
        <v>3091</v>
      </c>
      <c r="P11" s="2" t="s">
        <v>3091</v>
      </c>
      <c r="Q11" s="2" t="s">
        <v>3090</v>
      </c>
      <c r="R11" s="2" t="s">
        <v>3090</v>
      </c>
      <c r="S11" s="2" t="s">
        <v>3091</v>
      </c>
      <c r="T11" s="2" t="s">
        <v>3091</v>
      </c>
      <c r="U11" s="2" t="s">
        <v>3090</v>
      </c>
      <c r="V11" s="2" t="s">
        <v>3090</v>
      </c>
      <c r="W11" s="4">
        <f t="shared" si="0"/>
        <v>12</v>
      </c>
      <c r="X11" s="4">
        <f t="shared" si="1"/>
        <v>6</v>
      </c>
      <c r="Y11" s="4">
        <f t="shared" si="2"/>
        <v>18</v>
      </c>
    </row>
    <row r="12" spans="1:25" ht="15.75" customHeight="1">
      <c r="A12" s="2" t="s">
        <v>2662</v>
      </c>
      <c r="B12" s="2" t="s">
        <v>2663</v>
      </c>
      <c r="C12" s="3">
        <v>440</v>
      </c>
      <c r="D12" s="2" t="s">
        <v>502</v>
      </c>
      <c r="E12" s="2" t="s">
        <v>3091</v>
      </c>
      <c r="F12" s="2" t="s">
        <v>3090</v>
      </c>
      <c r="G12" s="2" t="s">
        <v>3090</v>
      </c>
      <c r="H12" s="2" t="s">
        <v>3090</v>
      </c>
      <c r="I12" s="2" t="s">
        <v>3091</v>
      </c>
      <c r="J12" s="2" t="s">
        <v>3091</v>
      </c>
      <c r="K12" s="2" t="s">
        <v>3091</v>
      </c>
      <c r="L12" s="2" t="s">
        <v>3091</v>
      </c>
      <c r="M12" s="2" t="s">
        <v>3090</v>
      </c>
      <c r="N12" s="2" t="s">
        <v>3090</v>
      </c>
      <c r="O12" s="2" t="s">
        <v>3090</v>
      </c>
      <c r="P12" s="2"/>
      <c r="Q12" s="2" t="s">
        <v>3090</v>
      </c>
      <c r="R12" s="2" t="s">
        <v>3090</v>
      </c>
      <c r="S12" s="2"/>
      <c r="T12" s="2"/>
      <c r="U12" s="2" t="s">
        <v>3090</v>
      </c>
      <c r="V12" s="2" t="s">
        <v>3090</v>
      </c>
      <c r="W12" s="4">
        <f t="shared" si="0"/>
        <v>10</v>
      </c>
      <c r="X12" s="4">
        <f t="shared" si="1"/>
        <v>5</v>
      </c>
      <c r="Y12" s="4">
        <f t="shared" si="2"/>
        <v>15</v>
      </c>
    </row>
    <row r="13" spans="1:25" ht="15.75" customHeight="1">
      <c r="A13" s="2" t="s">
        <v>2662</v>
      </c>
      <c r="B13" s="2" t="s">
        <v>2664</v>
      </c>
      <c r="C13" s="3">
        <v>717</v>
      </c>
      <c r="D13" s="2" t="s">
        <v>583</v>
      </c>
      <c r="E13" s="2" t="s">
        <v>3090</v>
      </c>
      <c r="F13" s="2" t="s">
        <v>3090</v>
      </c>
      <c r="G13" s="2" t="s">
        <v>3090</v>
      </c>
      <c r="H13" s="2" t="s">
        <v>3090</v>
      </c>
      <c r="I13" s="2" t="s">
        <v>3090</v>
      </c>
      <c r="J13" s="2" t="s">
        <v>3090</v>
      </c>
      <c r="K13" s="2" t="s">
        <v>3091</v>
      </c>
      <c r="L13" s="2" t="s">
        <v>3091</v>
      </c>
      <c r="M13" s="2" t="s">
        <v>3090</v>
      </c>
      <c r="N13" s="2" t="s">
        <v>3090</v>
      </c>
      <c r="O13" s="2" t="s">
        <v>3090</v>
      </c>
      <c r="P13" s="2"/>
      <c r="Q13" s="2" t="s">
        <v>3090</v>
      </c>
      <c r="R13" s="2" t="s">
        <v>3090</v>
      </c>
      <c r="S13" s="2" t="s">
        <v>3091</v>
      </c>
      <c r="T13" s="2" t="s">
        <v>3091</v>
      </c>
      <c r="U13" s="2" t="s">
        <v>3090</v>
      </c>
      <c r="V13" s="2" t="s">
        <v>3090</v>
      </c>
      <c r="W13" s="4">
        <f t="shared" si="0"/>
        <v>13</v>
      </c>
      <c r="X13" s="4">
        <f t="shared" si="1"/>
        <v>4</v>
      </c>
      <c r="Y13" s="4">
        <f t="shared" si="2"/>
        <v>17</v>
      </c>
    </row>
    <row r="14" spans="1:25" ht="15.75" customHeight="1">
      <c r="A14" s="2" t="s">
        <v>2665</v>
      </c>
      <c r="B14" s="2" t="s">
        <v>2666</v>
      </c>
      <c r="C14" s="3">
        <v>686</v>
      </c>
      <c r="D14" s="2" t="s">
        <v>661</v>
      </c>
      <c r="E14" s="2" t="s">
        <v>3090</v>
      </c>
      <c r="F14" s="2" t="s">
        <v>3090</v>
      </c>
      <c r="G14" s="2" t="s">
        <v>3090</v>
      </c>
      <c r="H14" s="2" t="s">
        <v>3090</v>
      </c>
      <c r="I14" s="2" t="s">
        <v>3090</v>
      </c>
      <c r="J14" s="2" t="s">
        <v>3090</v>
      </c>
      <c r="K14" s="2" t="s">
        <v>3091</v>
      </c>
      <c r="L14" s="2" t="s">
        <v>3091</v>
      </c>
      <c r="M14" s="2" t="s">
        <v>3090</v>
      </c>
      <c r="N14" s="2" t="s">
        <v>3090</v>
      </c>
      <c r="O14" s="2" t="s">
        <v>3091</v>
      </c>
      <c r="P14" s="2"/>
      <c r="Q14" s="2" t="s">
        <v>3091</v>
      </c>
      <c r="R14" s="2"/>
      <c r="S14" s="2"/>
      <c r="T14" s="2"/>
      <c r="U14" s="2" t="s">
        <v>3090</v>
      </c>
      <c r="V14" s="2"/>
      <c r="W14" s="4">
        <f t="shared" si="0"/>
        <v>9</v>
      </c>
      <c r="X14" s="4">
        <f t="shared" si="1"/>
        <v>4</v>
      </c>
      <c r="Y14" s="4">
        <f t="shared" si="2"/>
        <v>13</v>
      </c>
    </row>
    <row r="15" spans="1:25" ht="15.75" customHeight="1">
      <c r="A15" s="2" t="s">
        <v>2667</v>
      </c>
      <c r="B15" s="2" t="s">
        <v>2668</v>
      </c>
      <c r="C15" s="3">
        <v>648</v>
      </c>
      <c r="D15" s="2" t="s">
        <v>148</v>
      </c>
      <c r="E15" s="2" t="s">
        <v>3090</v>
      </c>
      <c r="F15" s="2" t="s">
        <v>3091</v>
      </c>
      <c r="G15" s="2" t="s">
        <v>3090</v>
      </c>
      <c r="H15" s="2" t="s">
        <v>3090</v>
      </c>
      <c r="I15" s="2" t="s">
        <v>3090</v>
      </c>
      <c r="J15" s="2" t="s">
        <v>3090</v>
      </c>
      <c r="K15" s="2" t="s">
        <v>3091</v>
      </c>
      <c r="L15" s="2" t="s">
        <v>3091</v>
      </c>
      <c r="M15" s="2" t="s">
        <v>3090</v>
      </c>
      <c r="N15" s="2" t="s">
        <v>3090</v>
      </c>
      <c r="O15" s="2" t="s">
        <v>3090</v>
      </c>
      <c r="P15" s="2" t="s">
        <v>3091</v>
      </c>
      <c r="Q15" s="2" t="s">
        <v>3090</v>
      </c>
      <c r="R15" s="2" t="s">
        <v>3090</v>
      </c>
      <c r="S15" s="2" t="s">
        <v>3091</v>
      </c>
      <c r="T15" s="2" t="s">
        <v>3091</v>
      </c>
      <c r="U15" s="2" t="s">
        <v>3090</v>
      </c>
      <c r="V15" s="2" t="s">
        <v>3090</v>
      </c>
      <c r="W15" s="4">
        <f t="shared" si="0"/>
        <v>12</v>
      </c>
      <c r="X15" s="4">
        <f t="shared" si="1"/>
        <v>6</v>
      </c>
      <c r="Y15" s="4">
        <f t="shared" si="2"/>
        <v>18</v>
      </c>
    </row>
    <row r="16" spans="1:25" ht="15.75" customHeight="1">
      <c r="A16" s="2" t="s">
        <v>2669</v>
      </c>
      <c r="B16" s="2" t="s">
        <v>2670</v>
      </c>
      <c r="C16" s="3">
        <v>782</v>
      </c>
      <c r="D16" s="2" t="s">
        <v>776</v>
      </c>
      <c r="E16" s="2" t="s">
        <v>3090</v>
      </c>
      <c r="F16" s="2" t="s">
        <v>3091</v>
      </c>
      <c r="G16" s="2"/>
      <c r="H16" s="2" t="s">
        <v>3090</v>
      </c>
      <c r="I16" s="2" t="s">
        <v>3090</v>
      </c>
      <c r="J16" s="2" t="s">
        <v>3090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4">
        <f t="shared" si="0"/>
        <v>4</v>
      </c>
      <c r="X16" s="4">
        <f t="shared" si="1"/>
        <v>1</v>
      </c>
      <c r="Y16" s="4">
        <f t="shared" si="2"/>
        <v>5</v>
      </c>
    </row>
    <row r="17" spans="1:25" ht="15.75" customHeight="1">
      <c r="A17" s="2" t="s">
        <v>2671</v>
      </c>
      <c r="B17" s="2" t="s">
        <v>2672</v>
      </c>
      <c r="C17" s="3">
        <v>462</v>
      </c>
      <c r="D17" s="2" t="s">
        <v>335</v>
      </c>
      <c r="E17" s="2" t="s">
        <v>3090</v>
      </c>
      <c r="F17" s="2"/>
      <c r="G17" s="2"/>
      <c r="H17" s="2"/>
      <c r="I17" s="2"/>
      <c r="J17" s="2"/>
      <c r="K17" s="2"/>
      <c r="L17" s="2"/>
      <c r="M17" s="2"/>
      <c r="N17" s="2" t="s">
        <v>3090</v>
      </c>
      <c r="O17" s="2" t="s">
        <v>3091</v>
      </c>
      <c r="P17" s="2"/>
      <c r="Q17" s="2"/>
      <c r="R17" s="2" t="s">
        <v>3090</v>
      </c>
      <c r="S17" s="2"/>
      <c r="T17" s="2"/>
      <c r="U17" s="2" t="s">
        <v>3090</v>
      </c>
      <c r="V17" s="2"/>
      <c r="W17" s="4">
        <f t="shared" si="0"/>
        <v>4</v>
      </c>
      <c r="X17" s="4">
        <f t="shared" si="1"/>
        <v>1</v>
      </c>
      <c r="Y17" s="4">
        <f t="shared" si="2"/>
        <v>5</v>
      </c>
    </row>
    <row r="18" spans="1:25" ht="15.75" customHeight="1">
      <c r="A18" s="2" t="s">
        <v>2673</v>
      </c>
      <c r="B18" s="2" t="s">
        <v>2674</v>
      </c>
      <c r="C18" s="3">
        <v>681</v>
      </c>
      <c r="D18" s="2" t="s">
        <v>663</v>
      </c>
      <c r="E18" s="2" t="s">
        <v>3091</v>
      </c>
      <c r="F18" s="2" t="s">
        <v>3091</v>
      </c>
      <c r="G18" s="2" t="s">
        <v>3091</v>
      </c>
      <c r="H18" s="2" t="s">
        <v>3091</v>
      </c>
      <c r="I18" s="2" t="s">
        <v>3091</v>
      </c>
      <c r="J18" s="2" t="s">
        <v>3091</v>
      </c>
      <c r="K18" s="2" t="s">
        <v>3091</v>
      </c>
      <c r="L18" s="2" t="s">
        <v>3091</v>
      </c>
      <c r="M18" s="2" t="s">
        <v>3091</v>
      </c>
      <c r="N18" s="2" t="s">
        <v>3091</v>
      </c>
      <c r="O18" s="2" t="s">
        <v>3091</v>
      </c>
      <c r="P18" s="2"/>
      <c r="Q18" s="2"/>
      <c r="R18" s="2"/>
      <c r="S18" s="2"/>
      <c r="T18" s="2"/>
      <c r="U18" s="2"/>
      <c r="V18" s="2"/>
      <c r="W18" s="4">
        <f t="shared" si="0"/>
        <v>0</v>
      </c>
      <c r="X18" s="4">
        <f t="shared" si="1"/>
        <v>11</v>
      </c>
      <c r="Y18" s="4">
        <f t="shared" si="2"/>
        <v>11</v>
      </c>
    </row>
    <row r="19" spans="1:25" ht="15.75" customHeight="1">
      <c r="A19" s="2" t="s">
        <v>2675</v>
      </c>
      <c r="B19" s="2" t="s">
        <v>2676</v>
      </c>
      <c r="C19" s="3">
        <v>785</v>
      </c>
      <c r="D19" s="2" t="s">
        <v>197</v>
      </c>
      <c r="E19" s="2" t="s">
        <v>3090</v>
      </c>
      <c r="F19" s="2" t="s">
        <v>3090</v>
      </c>
      <c r="G19" s="2" t="s">
        <v>3090</v>
      </c>
      <c r="H19" s="2" t="s">
        <v>3090</v>
      </c>
      <c r="I19" s="2" t="s">
        <v>3090</v>
      </c>
      <c r="J19" s="2" t="s">
        <v>3090</v>
      </c>
      <c r="K19" s="2" t="s">
        <v>3091</v>
      </c>
      <c r="L19" s="2" t="s">
        <v>3091</v>
      </c>
      <c r="M19" s="2" t="s">
        <v>3090</v>
      </c>
      <c r="N19" s="2" t="s">
        <v>3090</v>
      </c>
      <c r="O19" s="2" t="s">
        <v>3090</v>
      </c>
      <c r="P19" s="2" t="s">
        <v>3091</v>
      </c>
      <c r="Q19" s="2" t="s">
        <v>3090</v>
      </c>
      <c r="R19" s="2" t="s">
        <v>3090</v>
      </c>
      <c r="S19" s="2" t="s">
        <v>3091</v>
      </c>
      <c r="T19" s="2" t="s">
        <v>3091</v>
      </c>
      <c r="U19" s="2" t="s">
        <v>3090</v>
      </c>
      <c r="V19" s="2" t="s">
        <v>3090</v>
      </c>
      <c r="W19" s="4">
        <f t="shared" si="0"/>
        <v>13</v>
      </c>
      <c r="X19" s="4">
        <f t="shared" si="1"/>
        <v>5</v>
      </c>
      <c r="Y19" s="4">
        <f t="shared" si="2"/>
        <v>18</v>
      </c>
    </row>
    <row r="20" spans="1:25" ht="15.75" customHeight="1">
      <c r="A20" s="2" t="s">
        <v>2677</v>
      </c>
      <c r="B20" s="2" t="s">
        <v>2668</v>
      </c>
      <c r="C20" s="3">
        <v>621</v>
      </c>
      <c r="D20" s="2" t="s">
        <v>665</v>
      </c>
      <c r="E20" s="2" t="s">
        <v>3090</v>
      </c>
      <c r="F20" s="2" t="s">
        <v>3090</v>
      </c>
      <c r="G20" s="2" t="s">
        <v>3090</v>
      </c>
      <c r="H20" s="2" t="s">
        <v>3090</v>
      </c>
      <c r="I20" s="2" t="s">
        <v>3090</v>
      </c>
      <c r="J20" s="2" t="s">
        <v>3090</v>
      </c>
      <c r="K20" s="2" t="s">
        <v>3091</v>
      </c>
      <c r="L20" s="2" t="s">
        <v>3091</v>
      </c>
      <c r="M20" s="2" t="s">
        <v>3090</v>
      </c>
      <c r="N20" s="2" t="s">
        <v>3090</v>
      </c>
      <c r="O20" s="2" t="s">
        <v>3090</v>
      </c>
      <c r="P20" s="2"/>
      <c r="Q20" s="2" t="s">
        <v>3090</v>
      </c>
      <c r="R20" s="2"/>
      <c r="S20" s="2"/>
      <c r="T20" s="2"/>
      <c r="U20" s="2" t="s">
        <v>3090</v>
      </c>
      <c r="V20" s="2" t="s">
        <v>3090</v>
      </c>
      <c r="W20" s="4">
        <f t="shared" si="0"/>
        <v>12</v>
      </c>
      <c r="X20" s="4">
        <f t="shared" si="1"/>
        <v>2</v>
      </c>
      <c r="Y20" s="4">
        <f t="shared" si="2"/>
        <v>14</v>
      </c>
    </row>
    <row r="21" spans="1:25" ht="15.75" customHeight="1">
      <c r="A21" s="2" t="s">
        <v>2370</v>
      </c>
      <c r="B21" s="2" t="s">
        <v>2678</v>
      </c>
      <c r="C21" s="3">
        <v>280</v>
      </c>
      <c r="D21" s="2" t="s">
        <v>56</v>
      </c>
      <c r="E21" s="2" t="s">
        <v>3090</v>
      </c>
      <c r="F21" s="2" t="s">
        <v>3091</v>
      </c>
      <c r="G21" s="2" t="s">
        <v>3091</v>
      </c>
      <c r="H21" s="2" t="s">
        <v>3091</v>
      </c>
      <c r="I21" s="2" t="s">
        <v>3091</v>
      </c>
      <c r="J21" s="2" t="s">
        <v>3091</v>
      </c>
      <c r="K21" s="2" t="s">
        <v>3091</v>
      </c>
      <c r="L21" s="2" t="s">
        <v>3091</v>
      </c>
      <c r="M21" s="2" t="s">
        <v>3091</v>
      </c>
      <c r="N21" s="2" t="s">
        <v>3091</v>
      </c>
      <c r="O21" s="2"/>
      <c r="P21" s="2"/>
      <c r="Q21" s="2"/>
      <c r="R21" s="2"/>
      <c r="S21" s="2"/>
      <c r="T21" s="2"/>
      <c r="U21" s="2"/>
      <c r="V21" s="2"/>
      <c r="W21" s="4">
        <f t="shared" si="0"/>
        <v>1</v>
      </c>
      <c r="X21" s="4">
        <f t="shared" si="1"/>
        <v>9</v>
      </c>
      <c r="Y21" s="4">
        <f t="shared" si="2"/>
        <v>10</v>
      </c>
    </row>
    <row r="22" spans="1:25" ht="15.75" customHeight="1">
      <c r="A22" s="2" t="s">
        <v>2679</v>
      </c>
      <c r="B22" s="2" t="s">
        <v>2680</v>
      </c>
      <c r="C22" s="3">
        <v>796</v>
      </c>
      <c r="D22" s="2" t="s">
        <v>780</v>
      </c>
      <c r="E22" s="2" t="s">
        <v>3090</v>
      </c>
      <c r="F22" s="2" t="s">
        <v>3090</v>
      </c>
      <c r="G22" s="2" t="s">
        <v>3090</v>
      </c>
      <c r="H22" s="2" t="s">
        <v>3090</v>
      </c>
      <c r="I22" s="2" t="s">
        <v>3090</v>
      </c>
      <c r="J22" s="2" t="s">
        <v>3090</v>
      </c>
      <c r="K22" s="2"/>
      <c r="L22" s="2"/>
      <c r="M22" s="2" t="s">
        <v>3090</v>
      </c>
      <c r="N22" s="2" t="s">
        <v>3090</v>
      </c>
      <c r="O22" s="2" t="s">
        <v>3090</v>
      </c>
      <c r="P22" s="2"/>
      <c r="Q22" s="2" t="s">
        <v>3090</v>
      </c>
      <c r="R22" s="2" t="s">
        <v>3090</v>
      </c>
      <c r="S22" s="2"/>
      <c r="T22" s="2"/>
      <c r="U22" s="2" t="s">
        <v>3090</v>
      </c>
      <c r="V22" s="2"/>
      <c r="W22" s="4">
        <f t="shared" si="0"/>
        <v>12</v>
      </c>
      <c r="X22" s="4">
        <f t="shared" si="1"/>
        <v>0</v>
      </c>
      <c r="Y22" s="4">
        <f t="shared" si="2"/>
        <v>12</v>
      </c>
    </row>
    <row r="23" spans="1:25" ht="15.75" customHeight="1">
      <c r="A23" s="2" t="s">
        <v>2681</v>
      </c>
      <c r="B23" s="2" t="s">
        <v>2682</v>
      </c>
      <c r="C23" s="3">
        <v>747</v>
      </c>
      <c r="D23" s="2" t="s">
        <v>59</v>
      </c>
      <c r="E23" s="2" t="s">
        <v>3090</v>
      </c>
      <c r="F23" s="2" t="s">
        <v>3091</v>
      </c>
      <c r="G23" s="2" t="s">
        <v>3091</v>
      </c>
      <c r="H23" s="2" t="s">
        <v>3090</v>
      </c>
      <c r="I23" s="2" t="s">
        <v>3090</v>
      </c>
      <c r="J23" s="2" t="s">
        <v>3090</v>
      </c>
      <c r="K23" s="2"/>
      <c r="L23" s="2"/>
      <c r="M23" s="2" t="s">
        <v>3090</v>
      </c>
      <c r="N23" s="2" t="s">
        <v>3090</v>
      </c>
      <c r="O23" s="2" t="s">
        <v>3090</v>
      </c>
      <c r="P23" s="2"/>
      <c r="Q23" s="2"/>
      <c r="R23" s="2"/>
      <c r="S23" s="2"/>
      <c r="T23" s="2"/>
      <c r="U23" s="2"/>
      <c r="V23" s="2"/>
      <c r="W23" s="4">
        <f t="shared" si="0"/>
        <v>7</v>
      </c>
      <c r="X23" s="4">
        <f t="shared" si="1"/>
        <v>2</v>
      </c>
      <c r="Y23" s="4">
        <f t="shared" si="2"/>
        <v>9</v>
      </c>
    </row>
    <row r="24" spans="1:25" ht="15.75" customHeight="1">
      <c r="A24" s="2" t="s">
        <v>2683</v>
      </c>
      <c r="B24" s="2" t="s">
        <v>2678</v>
      </c>
      <c r="C24" s="3">
        <v>678</v>
      </c>
      <c r="D24" s="2" t="s">
        <v>542</v>
      </c>
      <c r="E24" s="2" t="s">
        <v>3090</v>
      </c>
      <c r="F24" s="2" t="s">
        <v>3090</v>
      </c>
      <c r="G24" s="2" t="s">
        <v>3090</v>
      </c>
      <c r="H24" s="2" t="s">
        <v>3090</v>
      </c>
      <c r="I24" s="2" t="s">
        <v>3090</v>
      </c>
      <c r="J24" s="2" t="s">
        <v>3090</v>
      </c>
      <c r="K24" s="2" t="s">
        <v>3091</v>
      </c>
      <c r="L24" s="2" t="s">
        <v>3091</v>
      </c>
      <c r="M24" s="2" t="s">
        <v>3090</v>
      </c>
      <c r="N24" s="2" t="s">
        <v>3090</v>
      </c>
      <c r="O24" s="2" t="s">
        <v>3090</v>
      </c>
      <c r="P24" s="2" t="s">
        <v>3091</v>
      </c>
      <c r="Q24" s="2" t="s">
        <v>3090</v>
      </c>
      <c r="R24" s="2" t="s">
        <v>3090</v>
      </c>
      <c r="S24" s="2" t="s">
        <v>3091</v>
      </c>
      <c r="T24" s="2" t="s">
        <v>3091</v>
      </c>
      <c r="U24" s="2" t="s">
        <v>3090</v>
      </c>
      <c r="V24" s="2" t="s">
        <v>3090</v>
      </c>
      <c r="W24" s="4">
        <f t="shared" si="0"/>
        <v>13</v>
      </c>
      <c r="X24" s="4">
        <f t="shared" si="1"/>
        <v>5</v>
      </c>
      <c r="Y24" s="4">
        <f t="shared" si="2"/>
        <v>18</v>
      </c>
    </row>
    <row r="25" spans="1:25" ht="15.75" customHeight="1">
      <c r="A25" s="2" t="s">
        <v>2684</v>
      </c>
      <c r="B25" s="2" t="s">
        <v>2682</v>
      </c>
      <c r="C25" s="3">
        <v>758</v>
      </c>
      <c r="D25" s="2" t="s">
        <v>579</v>
      </c>
      <c r="E25" s="2" t="s">
        <v>3090</v>
      </c>
      <c r="F25" s="2" t="s">
        <v>3090</v>
      </c>
      <c r="G25" s="2" t="s">
        <v>3091</v>
      </c>
      <c r="H25" s="2" t="s">
        <v>3090</v>
      </c>
      <c r="I25" s="2" t="s">
        <v>3090</v>
      </c>
      <c r="J25" s="2" t="s">
        <v>3090</v>
      </c>
      <c r="K25" s="2" t="s">
        <v>3091</v>
      </c>
      <c r="L25" s="2" t="s">
        <v>3091</v>
      </c>
      <c r="M25" s="2" t="s">
        <v>3090</v>
      </c>
      <c r="N25" s="2" t="s">
        <v>3090</v>
      </c>
      <c r="O25" s="2" t="s">
        <v>3090</v>
      </c>
      <c r="P25" s="2" t="s">
        <v>3091</v>
      </c>
      <c r="Q25" s="2" t="s">
        <v>3091</v>
      </c>
      <c r="R25" s="2" t="s">
        <v>3091</v>
      </c>
      <c r="S25" s="2" t="s">
        <v>3091</v>
      </c>
      <c r="T25" s="2" t="s">
        <v>3091</v>
      </c>
      <c r="U25" s="2" t="s">
        <v>3091</v>
      </c>
      <c r="V25" s="2" t="s">
        <v>3090</v>
      </c>
      <c r="W25" s="4">
        <f t="shared" si="0"/>
        <v>9</v>
      </c>
      <c r="X25" s="4">
        <f t="shared" si="1"/>
        <v>9</v>
      </c>
      <c r="Y25" s="4">
        <f t="shared" si="2"/>
        <v>18</v>
      </c>
    </row>
    <row r="26" spans="1:25" ht="15.75" customHeight="1">
      <c r="A26" s="2" t="s">
        <v>2685</v>
      </c>
      <c r="B26" s="2" t="s">
        <v>851</v>
      </c>
      <c r="C26" s="3">
        <v>406</v>
      </c>
      <c r="D26" s="2" t="s">
        <v>581</v>
      </c>
      <c r="E26" s="2"/>
      <c r="F26" s="2"/>
      <c r="G26" s="2" t="s">
        <v>3091</v>
      </c>
      <c r="H26" s="2" t="s">
        <v>3090</v>
      </c>
      <c r="I26" s="2" t="s">
        <v>3090</v>
      </c>
      <c r="J26" s="2" t="s">
        <v>3090</v>
      </c>
      <c r="K26" s="2"/>
      <c r="L26" s="2"/>
      <c r="M26" s="2" t="s">
        <v>3090</v>
      </c>
      <c r="N26" s="2" t="s">
        <v>3090</v>
      </c>
      <c r="O26" s="2" t="s">
        <v>3090</v>
      </c>
      <c r="P26" s="2" t="s">
        <v>3091</v>
      </c>
      <c r="Q26" s="2"/>
      <c r="R26" s="2" t="s">
        <v>3091</v>
      </c>
      <c r="S26" s="2"/>
      <c r="T26" s="2"/>
      <c r="U26" s="2" t="s">
        <v>3090</v>
      </c>
      <c r="V26" s="2" t="s">
        <v>3090</v>
      </c>
      <c r="W26" s="4">
        <f t="shared" si="0"/>
        <v>8</v>
      </c>
      <c r="X26" s="4">
        <f t="shared" si="1"/>
        <v>3</v>
      </c>
      <c r="Y26" s="4">
        <f t="shared" si="2"/>
        <v>11</v>
      </c>
    </row>
    <row r="27" spans="1:25" ht="15.75" customHeight="1">
      <c r="A27" s="2" t="s">
        <v>2686</v>
      </c>
      <c r="B27" s="2" t="s">
        <v>2687</v>
      </c>
      <c r="C27" s="3">
        <v>720</v>
      </c>
      <c r="D27" s="2" t="s">
        <v>668</v>
      </c>
      <c r="E27" s="2" t="s">
        <v>3090</v>
      </c>
      <c r="F27" s="2" t="s">
        <v>3090</v>
      </c>
      <c r="G27" s="2" t="s">
        <v>3090</v>
      </c>
      <c r="H27" s="2" t="s">
        <v>3091</v>
      </c>
      <c r="I27" s="2" t="s">
        <v>3091</v>
      </c>
      <c r="J27" s="2" t="s">
        <v>3090</v>
      </c>
      <c r="K27" s="2" t="s">
        <v>3091</v>
      </c>
      <c r="L27" s="2" t="s">
        <v>3091</v>
      </c>
      <c r="M27" s="2" t="s">
        <v>3090</v>
      </c>
      <c r="N27" s="2" t="s">
        <v>3090</v>
      </c>
      <c r="O27" s="2" t="s">
        <v>3090</v>
      </c>
      <c r="P27" s="2"/>
      <c r="Q27" s="2" t="s">
        <v>3090</v>
      </c>
      <c r="R27" s="2" t="s">
        <v>3091</v>
      </c>
      <c r="S27" s="2"/>
      <c r="T27" s="2"/>
      <c r="U27" s="2"/>
      <c r="V27" s="2"/>
      <c r="W27" s="4">
        <f t="shared" si="0"/>
        <v>8</v>
      </c>
      <c r="X27" s="4">
        <f t="shared" si="1"/>
        <v>5</v>
      </c>
      <c r="Y27" s="4">
        <f t="shared" si="2"/>
        <v>13</v>
      </c>
    </row>
    <row r="28" spans="1:25" ht="15.75" customHeight="1">
      <c r="A28" s="2" t="s">
        <v>2688</v>
      </c>
      <c r="B28" s="2" t="s">
        <v>2682</v>
      </c>
      <c r="C28" s="3">
        <v>671</v>
      </c>
      <c r="D28" s="2" t="s">
        <v>585</v>
      </c>
      <c r="E28" s="2" t="s">
        <v>3091</v>
      </c>
      <c r="F28" s="2" t="s">
        <v>3091</v>
      </c>
      <c r="G28" s="2" t="s">
        <v>3091</v>
      </c>
      <c r="H28" s="2" t="s">
        <v>3091</v>
      </c>
      <c r="I28" s="2" t="s">
        <v>3091</v>
      </c>
      <c r="J28" s="2" t="s">
        <v>3091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4">
        <f t="shared" si="0"/>
        <v>0</v>
      </c>
      <c r="X28" s="4">
        <f t="shared" si="1"/>
        <v>6</v>
      </c>
      <c r="Y28" s="4">
        <f t="shared" si="2"/>
        <v>6</v>
      </c>
    </row>
    <row r="29" spans="1:25" ht="15.75" customHeight="1">
      <c r="A29" s="2" t="s">
        <v>2689</v>
      </c>
      <c r="B29" s="2" t="s">
        <v>2690</v>
      </c>
      <c r="C29" s="3">
        <v>776</v>
      </c>
      <c r="D29" s="2" t="s">
        <v>287</v>
      </c>
      <c r="E29" s="2" t="s">
        <v>3090</v>
      </c>
      <c r="F29" s="2" t="s">
        <v>3090</v>
      </c>
      <c r="G29" s="2" t="s">
        <v>3090</v>
      </c>
      <c r="H29" s="2" t="s">
        <v>3091</v>
      </c>
      <c r="I29" s="2" t="s">
        <v>3091</v>
      </c>
      <c r="J29" s="2" t="s">
        <v>3090</v>
      </c>
      <c r="K29" s="2" t="s">
        <v>3091</v>
      </c>
      <c r="L29" s="2" t="s">
        <v>3091</v>
      </c>
      <c r="M29" s="2" t="s">
        <v>3091</v>
      </c>
      <c r="N29" s="2" t="s">
        <v>3091</v>
      </c>
      <c r="O29" s="2" t="s">
        <v>3091</v>
      </c>
      <c r="P29" s="2" t="s">
        <v>3091</v>
      </c>
      <c r="Q29" s="2" t="s">
        <v>3091</v>
      </c>
      <c r="R29" s="2" t="s">
        <v>3091</v>
      </c>
      <c r="S29" s="2" t="s">
        <v>3091</v>
      </c>
      <c r="T29" s="2"/>
      <c r="U29" s="2"/>
      <c r="V29" s="2"/>
      <c r="W29" s="4">
        <f t="shared" si="0"/>
        <v>4</v>
      </c>
      <c r="X29" s="4">
        <f t="shared" si="1"/>
        <v>11</v>
      </c>
      <c r="Y29" s="4">
        <f t="shared" si="2"/>
        <v>15</v>
      </c>
    </row>
    <row r="30" spans="1:25" ht="15.75" customHeight="1">
      <c r="A30" s="2" t="s">
        <v>2691</v>
      </c>
      <c r="B30" s="2" t="s">
        <v>2657</v>
      </c>
      <c r="C30" s="3">
        <v>301</v>
      </c>
      <c r="D30" s="2" t="s">
        <v>150</v>
      </c>
      <c r="E30" s="2" t="s">
        <v>3090</v>
      </c>
      <c r="F30" s="2" t="s">
        <v>3090</v>
      </c>
      <c r="G30" s="2" t="s">
        <v>3091</v>
      </c>
      <c r="H30" s="2" t="s">
        <v>3090</v>
      </c>
      <c r="I30" s="2" t="s">
        <v>3090</v>
      </c>
      <c r="J30" s="2" t="s">
        <v>3090</v>
      </c>
      <c r="K30" s="2"/>
      <c r="L30" s="2"/>
      <c r="M30" s="2" t="s">
        <v>3090</v>
      </c>
      <c r="N30" s="2" t="s">
        <v>3090</v>
      </c>
      <c r="O30" s="2" t="s">
        <v>3090</v>
      </c>
      <c r="P30" s="2"/>
      <c r="Q30" s="2" t="s">
        <v>3090</v>
      </c>
      <c r="R30" s="2" t="s">
        <v>3090</v>
      </c>
      <c r="S30" s="2"/>
      <c r="T30" s="2" t="s">
        <v>3091</v>
      </c>
      <c r="U30" s="2"/>
      <c r="V30" s="2" t="s">
        <v>3090</v>
      </c>
      <c r="W30" s="4">
        <f t="shared" si="0"/>
        <v>11</v>
      </c>
      <c r="X30" s="4">
        <f t="shared" si="1"/>
        <v>2</v>
      </c>
      <c r="Y30" s="4">
        <f t="shared" si="2"/>
        <v>13</v>
      </c>
    </row>
    <row r="31" spans="1:25" ht="15.75" customHeight="1">
      <c r="A31" s="2" t="s">
        <v>2692</v>
      </c>
      <c r="B31" s="2" t="s">
        <v>2693</v>
      </c>
      <c r="C31" s="3">
        <v>691</v>
      </c>
      <c r="D31" s="2" t="s">
        <v>587</v>
      </c>
      <c r="E31" s="2" t="s">
        <v>3090</v>
      </c>
      <c r="F31" s="2" t="s">
        <v>3090</v>
      </c>
      <c r="G31" s="2" t="s">
        <v>3090</v>
      </c>
      <c r="H31" s="2" t="s">
        <v>3090</v>
      </c>
      <c r="I31" s="2" t="s">
        <v>3090</v>
      </c>
      <c r="J31" s="2" t="s">
        <v>3090</v>
      </c>
      <c r="K31" s="2" t="s">
        <v>3091</v>
      </c>
      <c r="L31" s="2"/>
      <c r="M31" s="2" t="s">
        <v>3090</v>
      </c>
      <c r="N31" s="2" t="s">
        <v>3090</v>
      </c>
      <c r="O31" s="2" t="s">
        <v>3090</v>
      </c>
      <c r="P31" s="2"/>
      <c r="Q31" s="2" t="s">
        <v>3090</v>
      </c>
      <c r="R31" s="2" t="s">
        <v>3090</v>
      </c>
      <c r="S31" s="2"/>
      <c r="T31" s="2" t="s">
        <v>3091</v>
      </c>
      <c r="U31" s="2" t="s">
        <v>3090</v>
      </c>
      <c r="V31" s="2" t="s">
        <v>3090</v>
      </c>
      <c r="W31" s="4">
        <f t="shared" si="0"/>
        <v>13</v>
      </c>
      <c r="X31" s="4">
        <f t="shared" si="1"/>
        <v>2</v>
      </c>
      <c r="Y31" s="4">
        <f t="shared" si="2"/>
        <v>15</v>
      </c>
    </row>
    <row r="32" spans="1:25" ht="15.75" customHeight="1">
      <c r="A32" s="2" t="s">
        <v>2694</v>
      </c>
      <c r="B32" s="2" t="s">
        <v>2695</v>
      </c>
      <c r="C32" s="3">
        <v>599</v>
      </c>
      <c r="D32" s="2" t="s">
        <v>290</v>
      </c>
      <c r="E32" s="2" t="s">
        <v>3090</v>
      </c>
      <c r="F32" s="2" t="s">
        <v>3091</v>
      </c>
      <c r="G32" s="2" t="s">
        <v>3091</v>
      </c>
      <c r="H32" s="2" t="s">
        <v>3091</v>
      </c>
      <c r="I32" s="2" t="s">
        <v>3091</v>
      </c>
      <c r="J32" s="2" t="s">
        <v>3091</v>
      </c>
      <c r="K32" s="2" t="s">
        <v>3091</v>
      </c>
      <c r="L32" s="2" t="s">
        <v>3091</v>
      </c>
      <c r="M32" s="2" t="s">
        <v>3091</v>
      </c>
      <c r="N32" s="2" t="s">
        <v>3090</v>
      </c>
      <c r="O32" s="2" t="s">
        <v>3090</v>
      </c>
      <c r="P32" s="2" t="s">
        <v>3091</v>
      </c>
      <c r="Q32" s="2" t="s">
        <v>3090</v>
      </c>
      <c r="R32" s="2" t="s">
        <v>3090</v>
      </c>
      <c r="S32" s="2" t="s">
        <v>3091</v>
      </c>
      <c r="T32" s="2" t="s">
        <v>3091</v>
      </c>
      <c r="U32" s="2" t="s">
        <v>3090</v>
      </c>
      <c r="V32" s="2" t="s">
        <v>3090</v>
      </c>
      <c r="W32" s="4">
        <f t="shared" si="0"/>
        <v>7</v>
      </c>
      <c r="X32" s="4">
        <f t="shared" si="1"/>
        <v>11</v>
      </c>
      <c r="Y32" s="4">
        <f t="shared" si="2"/>
        <v>18</v>
      </c>
    </row>
    <row r="33" spans="1:25" ht="15.75" customHeight="1">
      <c r="A33" s="2" t="s">
        <v>2696</v>
      </c>
      <c r="B33" s="2" t="s">
        <v>2697</v>
      </c>
      <c r="C33" s="3">
        <v>625</v>
      </c>
      <c r="D33" s="2" t="s">
        <v>199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4">
        <f t="shared" si="0"/>
        <v>0</v>
      </c>
      <c r="X33" s="4">
        <f t="shared" si="1"/>
        <v>0</v>
      </c>
      <c r="Y33" s="4">
        <f t="shared" si="2"/>
        <v>0</v>
      </c>
    </row>
    <row r="34" spans="1:25" ht="15.75" customHeight="1">
      <c r="A34" s="2" t="s">
        <v>2698</v>
      </c>
      <c r="B34" s="2" t="s">
        <v>2699</v>
      </c>
      <c r="C34" s="3">
        <v>590</v>
      </c>
      <c r="D34" s="2" t="s">
        <v>745</v>
      </c>
      <c r="E34" s="2" t="s">
        <v>3090</v>
      </c>
      <c r="F34" s="2" t="s">
        <v>3090</v>
      </c>
      <c r="G34" s="2" t="s">
        <v>3091</v>
      </c>
      <c r="H34" s="2" t="s">
        <v>3091</v>
      </c>
      <c r="I34" s="2" t="s">
        <v>3091</v>
      </c>
      <c r="J34" s="2" t="s">
        <v>3091</v>
      </c>
      <c r="K34" s="2" t="s">
        <v>3091</v>
      </c>
      <c r="L34" s="2" t="s">
        <v>3091</v>
      </c>
      <c r="M34" s="2" t="s">
        <v>3091</v>
      </c>
      <c r="N34" s="2" t="s">
        <v>3091</v>
      </c>
      <c r="O34" s="2" t="s">
        <v>3091</v>
      </c>
      <c r="P34" s="2"/>
      <c r="Q34" s="2"/>
      <c r="R34" s="2"/>
      <c r="S34" s="2"/>
      <c r="T34" s="2"/>
      <c r="U34" s="2"/>
      <c r="V34" s="2"/>
      <c r="W34" s="4">
        <f t="shared" si="0"/>
        <v>2</v>
      </c>
      <c r="X34" s="4">
        <f t="shared" si="1"/>
        <v>9</v>
      </c>
      <c r="Y34" s="4">
        <f t="shared" si="2"/>
        <v>11</v>
      </c>
    </row>
    <row r="35" spans="1:25" ht="15.75" customHeight="1">
      <c r="A35" s="2" t="s">
        <v>2700</v>
      </c>
      <c r="B35" s="2" t="s">
        <v>2701</v>
      </c>
      <c r="C35" s="3">
        <v>770</v>
      </c>
      <c r="D35" s="2" t="s">
        <v>202</v>
      </c>
      <c r="E35" s="2" t="s">
        <v>3091</v>
      </c>
      <c r="F35" s="2" t="s">
        <v>3091</v>
      </c>
      <c r="G35" s="2" t="s">
        <v>3091</v>
      </c>
      <c r="H35" s="2" t="s">
        <v>3091</v>
      </c>
      <c r="I35" s="2" t="s">
        <v>3091</v>
      </c>
      <c r="J35" s="2" t="s">
        <v>3091</v>
      </c>
      <c r="K35" s="2" t="s">
        <v>3091</v>
      </c>
      <c r="L35" s="2" t="s">
        <v>3091</v>
      </c>
      <c r="M35" s="2" t="s">
        <v>3091</v>
      </c>
      <c r="N35" s="2" t="s">
        <v>3091</v>
      </c>
      <c r="O35" s="2" t="s">
        <v>3091</v>
      </c>
      <c r="P35" s="2" t="s">
        <v>3091</v>
      </c>
      <c r="Q35" s="2" t="s">
        <v>3091</v>
      </c>
      <c r="R35" s="2" t="s">
        <v>3091</v>
      </c>
      <c r="S35" s="2"/>
      <c r="T35" s="2"/>
      <c r="U35" s="2"/>
      <c r="V35" s="2"/>
      <c r="W35" s="4">
        <f t="shared" si="0"/>
        <v>0</v>
      </c>
      <c r="X35" s="4">
        <f t="shared" si="1"/>
        <v>14</v>
      </c>
      <c r="Y35" s="4">
        <f t="shared" si="2"/>
        <v>14</v>
      </c>
    </row>
    <row r="36" spans="1:25" ht="15.75" customHeight="1">
      <c r="A36" s="2" t="s">
        <v>2702</v>
      </c>
      <c r="B36" s="2" t="s">
        <v>2703</v>
      </c>
      <c r="C36" s="3">
        <v>638</v>
      </c>
      <c r="D36" s="2" t="s">
        <v>544</v>
      </c>
      <c r="E36" s="2" t="s">
        <v>3090</v>
      </c>
      <c r="F36" s="2" t="s">
        <v>3090</v>
      </c>
      <c r="G36" s="2" t="s">
        <v>3090</v>
      </c>
      <c r="H36" s="2" t="s">
        <v>3090</v>
      </c>
      <c r="I36" s="2" t="s">
        <v>3090</v>
      </c>
      <c r="J36" s="2" t="s">
        <v>3090</v>
      </c>
      <c r="K36" s="2" t="s">
        <v>3091</v>
      </c>
      <c r="L36" s="2" t="s">
        <v>3091</v>
      </c>
      <c r="M36" s="2" t="s">
        <v>3091</v>
      </c>
      <c r="N36" s="2" t="s">
        <v>3091</v>
      </c>
      <c r="O36" s="2" t="s">
        <v>3090</v>
      </c>
      <c r="P36" s="2" t="s">
        <v>3091</v>
      </c>
      <c r="Q36" s="2" t="s">
        <v>3091</v>
      </c>
      <c r="R36" s="2" t="s">
        <v>3091</v>
      </c>
      <c r="S36" s="2" t="s">
        <v>3091</v>
      </c>
      <c r="T36" s="2" t="s">
        <v>3091</v>
      </c>
      <c r="U36" s="2"/>
      <c r="V36" s="2" t="s">
        <v>3090</v>
      </c>
      <c r="W36" s="4">
        <f t="shared" si="0"/>
        <v>8</v>
      </c>
      <c r="X36" s="4">
        <f t="shared" si="1"/>
        <v>9</v>
      </c>
      <c r="Y36" s="4">
        <f t="shared" si="2"/>
        <v>17</v>
      </c>
    </row>
    <row r="37" spans="1:25" ht="15.75" customHeight="1">
      <c r="A37" s="2" t="s">
        <v>2704</v>
      </c>
      <c r="B37" s="2" t="s">
        <v>2693</v>
      </c>
      <c r="C37" s="3">
        <v>322</v>
      </c>
      <c r="D37" s="2" t="s">
        <v>152</v>
      </c>
      <c r="E37" s="2" t="s">
        <v>3090</v>
      </c>
      <c r="F37" s="2" t="s">
        <v>3090</v>
      </c>
      <c r="G37" s="2" t="s">
        <v>3090</v>
      </c>
      <c r="H37" s="2" t="s">
        <v>3090</v>
      </c>
      <c r="I37" s="2" t="s">
        <v>3090</v>
      </c>
      <c r="J37" s="2" t="s">
        <v>3090</v>
      </c>
      <c r="K37" s="2" t="s">
        <v>3091</v>
      </c>
      <c r="L37" s="2" t="s">
        <v>3091</v>
      </c>
      <c r="M37" s="2" t="s">
        <v>3090</v>
      </c>
      <c r="N37" s="2" t="s">
        <v>3090</v>
      </c>
      <c r="O37" s="2" t="s">
        <v>3090</v>
      </c>
      <c r="P37" s="2" t="s">
        <v>3091</v>
      </c>
      <c r="Q37" s="2" t="s">
        <v>3090</v>
      </c>
      <c r="R37" s="2" t="s">
        <v>3090</v>
      </c>
      <c r="S37" s="2"/>
      <c r="T37" s="2"/>
      <c r="U37" s="2" t="s">
        <v>3090</v>
      </c>
      <c r="V37" s="2" t="s">
        <v>3090</v>
      </c>
      <c r="W37" s="4">
        <f t="shared" si="0"/>
        <v>13</v>
      </c>
      <c r="X37" s="4">
        <f t="shared" si="1"/>
        <v>3</v>
      </c>
      <c r="Y37" s="4">
        <f t="shared" si="2"/>
        <v>16</v>
      </c>
    </row>
    <row r="38" spans="1:25" ht="15.75" customHeight="1">
      <c r="A38" s="2" t="s">
        <v>2705</v>
      </c>
      <c r="B38" s="2" t="s">
        <v>2706</v>
      </c>
      <c r="C38" s="3">
        <v>303</v>
      </c>
      <c r="D38" s="2" t="s">
        <v>62</v>
      </c>
      <c r="E38" s="2" t="s">
        <v>3090</v>
      </c>
      <c r="F38" s="2" t="s">
        <v>3091</v>
      </c>
      <c r="G38" s="2" t="s">
        <v>3091</v>
      </c>
      <c r="H38" s="2" t="s">
        <v>3091</v>
      </c>
      <c r="I38" s="2" t="s">
        <v>3091</v>
      </c>
      <c r="J38" s="2" t="s">
        <v>3091</v>
      </c>
      <c r="K38" s="2" t="s">
        <v>3091</v>
      </c>
      <c r="L38" s="2" t="s">
        <v>3091</v>
      </c>
      <c r="M38" s="2" t="s">
        <v>3091</v>
      </c>
      <c r="N38" s="2" t="s">
        <v>3091</v>
      </c>
      <c r="O38" s="2" t="s">
        <v>3091</v>
      </c>
      <c r="P38" s="2" t="s">
        <v>3091</v>
      </c>
      <c r="Q38" s="2" t="s">
        <v>3091</v>
      </c>
      <c r="R38" s="2" t="s">
        <v>3091</v>
      </c>
      <c r="S38" s="2" t="s">
        <v>3091</v>
      </c>
      <c r="T38" s="2"/>
      <c r="U38" s="2" t="s">
        <v>3091</v>
      </c>
      <c r="V38" s="2"/>
      <c r="W38" s="4">
        <f t="shared" si="0"/>
        <v>1</v>
      </c>
      <c r="X38" s="4">
        <f t="shared" si="1"/>
        <v>15</v>
      </c>
      <c r="Y38" s="4">
        <f t="shared" si="2"/>
        <v>16</v>
      </c>
    </row>
    <row r="39" spans="1:25" ht="15.75" customHeight="1">
      <c r="A39" s="2" t="s">
        <v>2707</v>
      </c>
      <c r="B39" s="2" t="s">
        <v>2708</v>
      </c>
      <c r="C39" s="3">
        <v>719</v>
      </c>
      <c r="D39" s="2" t="s">
        <v>459</v>
      </c>
      <c r="E39" s="2" t="s">
        <v>3090</v>
      </c>
      <c r="F39" s="2" t="s">
        <v>3090</v>
      </c>
      <c r="G39" s="2" t="s">
        <v>3090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4">
        <f t="shared" si="0"/>
        <v>3</v>
      </c>
      <c r="X39" s="4">
        <f t="shared" si="1"/>
        <v>0</v>
      </c>
      <c r="Y39" s="4">
        <f t="shared" si="2"/>
        <v>3</v>
      </c>
    </row>
    <row r="40" spans="1:25" ht="15.75" customHeight="1">
      <c r="A40" s="2" t="s">
        <v>2709</v>
      </c>
      <c r="B40" s="2" t="s">
        <v>2710</v>
      </c>
      <c r="C40" s="3">
        <v>457</v>
      </c>
      <c r="D40" s="2" t="s">
        <v>293</v>
      </c>
      <c r="E40" s="2" t="s">
        <v>3090</v>
      </c>
      <c r="F40" s="2" t="s">
        <v>3091</v>
      </c>
      <c r="G40" s="2" t="s">
        <v>3091</v>
      </c>
      <c r="H40" s="2" t="s">
        <v>3091</v>
      </c>
      <c r="I40" s="2" t="s">
        <v>3091</v>
      </c>
      <c r="J40" s="2" t="s">
        <v>3091</v>
      </c>
      <c r="K40" s="2" t="s">
        <v>3091</v>
      </c>
      <c r="L40" s="2" t="s">
        <v>3091</v>
      </c>
      <c r="M40" s="2" t="s">
        <v>3090</v>
      </c>
      <c r="N40" s="2" t="s">
        <v>3090</v>
      </c>
      <c r="O40" s="2" t="s">
        <v>3090</v>
      </c>
      <c r="P40" s="2" t="s">
        <v>3091</v>
      </c>
      <c r="Q40" s="2" t="s">
        <v>3090</v>
      </c>
      <c r="R40" s="2" t="s">
        <v>3090</v>
      </c>
      <c r="S40" s="2" t="s">
        <v>3091</v>
      </c>
      <c r="T40" s="2" t="s">
        <v>3091</v>
      </c>
      <c r="U40" s="2"/>
      <c r="V40" s="2" t="s">
        <v>3090</v>
      </c>
      <c r="W40" s="4">
        <f t="shared" si="0"/>
        <v>7</v>
      </c>
      <c r="X40" s="4">
        <f t="shared" si="1"/>
        <v>10</v>
      </c>
      <c r="Y40" s="4">
        <f t="shared" si="2"/>
        <v>17</v>
      </c>
    </row>
    <row r="41" spans="1:25" ht="15.75" customHeight="1">
      <c r="A41" s="2" t="s">
        <v>2711</v>
      </c>
      <c r="B41" s="2" t="s">
        <v>2671</v>
      </c>
      <c r="C41" s="3">
        <v>416</v>
      </c>
      <c r="D41" s="2" t="s">
        <v>505</v>
      </c>
      <c r="E41" s="2" t="s">
        <v>3091</v>
      </c>
      <c r="F41" s="2" t="s">
        <v>3091</v>
      </c>
      <c r="G41" s="2" t="s">
        <v>3091</v>
      </c>
      <c r="H41" s="2" t="s">
        <v>3091</v>
      </c>
      <c r="I41" s="2" t="s">
        <v>3091</v>
      </c>
      <c r="J41" s="2" t="s">
        <v>3090</v>
      </c>
      <c r="K41" s="2" t="s">
        <v>3091</v>
      </c>
      <c r="L41" s="2" t="s">
        <v>3091</v>
      </c>
      <c r="M41" s="2" t="s">
        <v>3090</v>
      </c>
      <c r="N41" s="2" t="s">
        <v>3090</v>
      </c>
      <c r="O41" s="2" t="s">
        <v>3090</v>
      </c>
      <c r="P41" s="2" t="s">
        <v>3091</v>
      </c>
      <c r="Q41" s="2" t="s">
        <v>3090</v>
      </c>
      <c r="R41" s="2" t="s">
        <v>3090</v>
      </c>
      <c r="S41" s="2"/>
      <c r="T41" s="2"/>
      <c r="U41" s="2" t="s">
        <v>3090</v>
      </c>
      <c r="V41" s="2" t="s">
        <v>3090</v>
      </c>
      <c r="W41" s="4">
        <f t="shared" si="0"/>
        <v>8</v>
      </c>
      <c r="X41" s="4">
        <f t="shared" si="1"/>
        <v>8</v>
      </c>
      <c r="Y41" s="4">
        <f t="shared" si="2"/>
        <v>16</v>
      </c>
    </row>
    <row r="42" spans="1:25" ht="15.75" customHeight="1">
      <c r="A42" s="2" t="s">
        <v>2712</v>
      </c>
      <c r="B42" s="2" t="s">
        <v>2662</v>
      </c>
      <c r="C42" s="3">
        <v>346</v>
      </c>
      <c r="D42" s="2" t="s">
        <v>155</v>
      </c>
      <c r="E42" s="2" t="s">
        <v>3090</v>
      </c>
      <c r="F42" s="2" t="s">
        <v>3090</v>
      </c>
      <c r="G42" s="2" t="s">
        <v>3090</v>
      </c>
      <c r="H42" s="2" t="s">
        <v>3090</v>
      </c>
      <c r="I42" s="2" t="s">
        <v>3090</v>
      </c>
      <c r="J42" s="2" t="s">
        <v>3090</v>
      </c>
      <c r="K42" s="2" t="s">
        <v>3091</v>
      </c>
      <c r="L42" s="2" t="s">
        <v>3091</v>
      </c>
      <c r="M42" s="2" t="s">
        <v>3090</v>
      </c>
      <c r="N42" s="2" t="s">
        <v>3090</v>
      </c>
      <c r="O42" s="2" t="s">
        <v>3090</v>
      </c>
      <c r="P42" s="2" t="s">
        <v>3091</v>
      </c>
      <c r="Q42" s="2" t="s">
        <v>3090</v>
      </c>
      <c r="R42" s="2" t="s">
        <v>3090</v>
      </c>
      <c r="S42" s="2" t="s">
        <v>3091</v>
      </c>
      <c r="T42" s="2" t="s">
        <v>3091</v>
      </c>
      <c r="U42" s="2" t="s">
        <v>3090</v>
      </c>
      <c r="V42" s="2" t="s">
        <v>3090</v>
      </c>
      <c r="W42" s="4">
        <f t="shared" si="0"/>
        <v>13</v>
      </c>
      <c r="X42" s="4">
        <f t="shared" si="1"/>
        <v>5</v>
      </c>
      <c r="Y42" s="4">
        <f t="shared" si="2"/>
        <v>18</v>
      </c>
    </row>
    <row r="43" spans="1:25" ht="15.75" customHeight="1">
      <c r="A43" s="2" t="s">
        <v>2713</v>
      </c>
      <c r="B43" s="2" t="s">
        <v>2682</v>
      </c>
      <c r="C43" s="3">
        <v>777</v>
      </c>
      <c r="D43" s="2" t="s">
        <v>747</v>
      </c>
      <c r="E43" s="2" t="s">
        <v>3090</v>
      </c>
      <c r="F43" s="2" t="s">
        <v>3090</v>
      </c>
      <c r="G43" s="2" t="s">
        <v>3090</v>
      </c>
      <c r="H43" s="2" t="s">
        <v>3090</v>
      </c>
      <c r="I43" s="2" t="s">
        <v>3090</v>
      </c>
      <c r="J43" s="2" t="s">
        <v>3090</v>
      </c>
      <c r="K43" s="2" t="s">
        <v>3091</v>
      </c>
      <c r="L43" s="2" t="s">
        <v>3091</v>
      </c>
      <c r="M43" s="2" t="s">
        <v>3090</v>
      </c>
      <c r="N43" s="2" t="s">
        <v>3090</v>
      </c>
      <c r="O43" s="2" t="s">
        <v>3090</v>
      </c>
      <c r="P43" s="2" t="s">
        <v>3091</v>
      </c>
      <c r="Q43" s="2" t="s">
        <v>3090</v>
      </c>
      <c r="R43" s="2" t="s">
        <v>3090</v>
      </c>
      <c r="S43" s="2" t="s">
        <v>3091</v>
      </c>
      <c r="T43" s="2"/>
      <c r="U43" s="2" t="s">
        <v>3090</v>
      </c>
      <c r="V43" s="2" t="s">
        <v>3090</v>
      </c>
      <c r="W43" s="4">
        <f t="shared" si="0"/>
        <v>13</v>
      </c>
      <c r="X43" s="4">
        <f t="shared" si="1"/>
        <v>4</v>
      </c>
      <c r="Y43" s="4">
        <f t="shared" si="2"/>
        <v>17</v>
      </c>
    </row>
    <row r="44" spans="1:25" ht="15.75" customHeight="1">
      <c r="A44" s="2" t="s">
        <v>2714</v>
      </c>
      <c r="B44" s="2" t="s">
        <v>2715</v>
      </c>
      <c r="C44" s="3">
        <v>368</v>
      </c>
      <c r="D44" s="2" t="s">
        <v>546</v>
      </c>
      <c r="E44" s="2" t="s">
        <v>3090</v>
      </c>
      <c r="F44" s="2" t="s">
        <v>3090</v>
      </c>
      <c r="G44" s="2" t="s">
        <v>3090</v>
      </c>
      <c r="H44" s="2" t="s">
        <v>3090</v>
      </c>
      <c r="I44" s="2" t="s">
        <v>3090</v>
      </c>
      <c r="J44" s="2" t="s">
        <v>3090</v>
      </c>
      <c r="K44" s="2" t="s">
        <v>3091</v>
      </c>
      <c r="L44" s="2" t="s">
        <v>3091</v>
      </c>
      <c r="M44" s="2" t="s">
        <v>3091</v>
      </c>
      <c r="N44" s="2" t="s">
        <v>3090</v>
      </c>
      <c r="O44" s="2" t="s">
        <v>3090</v>
      </c>
      <c r="P44" s="2" t="s">
        <v>3091</v>
      </c>
      <c r="Q44" s="2" t="s">
        <v>3090</v>
      </c>
      <c r="R44" s="2" t="s">
        <v>3090</v>
      </c>
      <c r="S44" s="2" t="s">
        <v>3091</v>
      </c>
      <c r="T44" s="2" t="s">
        <v>3091</v>
      </c>
      <c r="U44" s="2"/>
      <c r="V44" s="2" t="s">
        <v>3090</v>
      </c>
      <c r="W44" s="4">
        <f t="shared" si="0"/>
        <v>11</v>
      </c>
      <c r="X44" s="4">
        <f t="shared" si="1"/>
        <v>6</v>
      </c>
      <c r="Y44" s="4">
        <f t="shared" si="2"/>
        <v>17</v>
      </c>
    </row>
    <row r="45" spans="1:25" ht="15.75" customHeight="1">
      <c r="A45" s="2" t="s">
        <v>2716</v>
      </c>
      <c r="B45" s="2" t="s">
        <v>2717</v>
      </c>
      <c r="C45" s="3">
        <v>738</v>
      </c>
      <c r="D45" s="2" t="s">
        <v>204</v>
      </c>
      <c r="E45" s="2" t="s">
        <v>3091</v>
      </c>
      <c r="F45" s="2" t="s">
        <v>3091</v>
      </c>
      <c r="G45" s="2" t="s">
        <v>3091</v>
      </c>
      <c r="H45" s="2" t="s">
        <v>3091</v>
      </c>
      <c r="I45" s="2" t="s">
        <v>3091</v>
      </c>
      <c r="J45" s="2" t="s">
        <v>3091</v>
      </c>
      <c r="K45" s="2" t="s">
        <v>3091</v>
      </c>
      <c r="L45" s="2" t="s">
        <v>3091</v>
      </c>
      <c r="M45" s="2" t="s">
        <v>3091</v>
      </c>
      <c r="N45" s="2" t="s">
        <v>3091</v>
      </c>
      <c r="O45" s="2" t="s">
        <v>3091</v>
      </c>
      <c r="P45" s="2" t="s">
        <v>3091</v>
      </c>
      <c r="Q45" s="2" t="s">
        <v>3091</v>
      </c>
      <c r="R45" s="2" t="s">
        <v>3091</v>
      </c>
      <c r="S45" s="2" t="s">
        <v>3091</v>
      </c>
      <c r="T45" s="2"/>
      <c r="U45" s="2"/>
      <c r="V45" s="2"/>
      <c r="W45" s="4">
        <f t="shared" si="0"/>
        <v>0</v>
      </c>
      <c r="X45" s="4">
        <f t="shared" si="1"/>
        <v>15</v>
      </c>
      <c r="Y45" s="4">
        <f t="shared" si="2"/>
        <v>15</v>
      </c>
    </row>
    <row r="46" spans="1:25" ht="15.75" customHeight="1">
      <c r="A46" s="2" t="s">
        <v>2717</v>
      </c>
      <c r="B46" s="2" t="s">
        <v>2718</v>
      </c>
      <c r="C46" s="3">
        <v>786</v>
      </c>
      <c r="D46" s="2" t="s">
        <v>270</v>
      </c>
      <c r="E46" s="2" t="s">
        <v>3091</v>
      </c>
      <c r="F46" s="2" t="s">
        <v>3091</v>
      </c>
      <c r="G46" s="2" t="s">
        <v>3091</v>
      </c>
      <c r="H46" s="2" t="s">
        <v>3091</v>
      </c>
      <c r="I46" s="2" t="s">
        <v>3091</v>
      </c>
      <c r="J46" s="2" t="s">
        <v>3091</v>
      </c>
      <c r="K46" s="2" t="s">
        <v>3091</v>
      </c>
      <c r="L46" s="2" t="s">
        <v>3091</v>
      </c>
      <c r="M46" s="2" t="s">
        <v>3091</v>
      </c>
      <c r="N46" s="2" t="s">
        <v>3091</v>
      </c>
      <c r="O46" s="2" t="s">
        <v>3091</v>
      </c>
      <c r="P46" s="2" t="s">
        <v>3091</v>
      </c>
      <c r="Q46" s="2" t="s">
        <v>3091</v>
      </c>
      <c r="R46" s="2" t="s">
        <v>3090</v>
      </c>
      <c r="S46" s="2"/>
      <c r="T46" s="2"/>
      <c r="U46" s="2"/>
      <c r="V46" s="2"/>
      <c r="W46" s="4">
        <f t="shared" si="0"/>
        <v>1</v>
      </c>
      <c r="X46" s="4">
        <f t="shared" si="1"/>
        <v>13</v>
      </c>
      <c r="Y46" s="4">
        <f t="shared" si="2"/>
        <v>14</v>
      </c>
    </row>
    <row r="47" spans="1:25" ht="15.75" customHeight="1">
      <c r="A47" s="2" t="s">
        <v>2719</v>
      </c>
      <c r="B47" s="2" t="s">
        <v>2720</v>
      </c>
      <c r="C47" s="3">
        <v>764</v>
      </c>
      <c r="D47" s="2" t="s">
        <v>426</v>
      </c>
      <c r="E47" s="2" t="s">
        <v>3090</v>
      </c>
      <c r="F47" s="2" t="s">
        <v>3090</v>
      </c>
      <c r="G47" s="2" t="s">
        <v>3090</v>
      </c>
      <c r="H47" s="2" t="s">
        <v>3090</v>
      </c>
      <c r="I47" s="2" t="s">
        <v>3090</v>
      </c>
      <c r="J47" s="2" t="s">
        <v>3090</v>
      </c>
      <c r="K47" s="2"/>
      <c r="L47" s="2"/>
      <c r="M47" s="2" t="s">
        <v>3090</v>
      </c>
      <c r="N47" s="2" t="s">
        <v>3090</v>
      </c>
      <c r="O47" s="2" t="s">
        <v>3090</v>
      </c>
      <c r="P47" s="2"/>
      <c r="Q47" s="2"/>
      <c r="R47" s="2"/>
      <c r="S47" s="2"/>
      <c r="T47" s="2"/>
      <c r="U47" s="2"/>
      <c r="V47" s="2"/>
      <c r="W47" s="4">
        <f t="shared" si="0"/>
        <v>9</v>
      </c>
      <c r="X47" s="4">
        <f t="shared" si="1"/>
        <v>0</v>
      </c>
      <c r="Y47" s="4">
        <f t="shared" si="2"/>
        <v>9</v>
      </c>
    </row>
    <row r="48" spans="1:25" ht="15.75" customHeight="1">
      <c r="A48" s="2" t="s">
        <v>2721</v>
      </c>
      <c r="B48" s="2" t="s">
        <v>2722</v>
      </c>
      <c r="C48" s="3">
        <v>694</v>
      </c>
      <c r="D48" s="2" t="s">
        <v>785</v>
      </c>
      <c r="E48" s="2"/>
      <c r="F48" s="2" t="s">
        <v>3090</v>
      </c>
      <c r="G48" s="2" t="s">
        <v>3090</v>
      </c>
      <c r="H48" s="2"/>
      <c r="I48" s="2" t="s">
        <v>3090</v>
      </c>
      <c r="J48" s="2" t="s">
        <v>3090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4">
        <f t="shared" si="0"/>
        <v>4</v>
      </c>
      <c r="X48" s="4">
        <f t="shared" si="1"/>
        <v>0</v>
      </c>
      <c r="Y48" s="4">
        <f t="shared" si="2"/>
        <v>4</v>
      </c>
    </row>
    <row r="49" spans="1:25" ht="15.75" customHeight="1">
      <c r="A49" s="2" t="s">
        <v>2723</v>
      </c>
      <c r="B49" s="2" t="s">
        <v>2724</v>
      </c>
      <c r="C49" s="3">
        <v>663</v>
      </c>
      <c r="D49" s="2" t="s">
        <v>244</v>
      </c>
      <c r="E49" s="2" t="s">
        <v>3090</v>
      </c>
      <c r="F49" s="2" t="s">
        <v>3090</v>
      </c>
      <c r="G49" s="2" t="s">
        <v>3090</v>
      </c>
      <c r="H49" s="2" t="s">
        <v>3090</v>
      </c>
      <c r="I49" s="2" t="s">
        <v>3090</v>
      </c>
      <c r="J49" s="2" t="s">
        <v>3090</v>
      </c>
      <c r="K49" s="2" t="s">
        <v>3091</v>
      </c>
      <c r="L49" s="2" t="s">
        <v>3091</v>
      </c>
      <c r="M49" s="2" t="s">
        <v>3090</v>
      </c>
      <c r="N49" s="2" t="s">
        <v>3090</v>
      </c>
      <c r="O49" s="2" t="s">
        <v>3090</v>
      </c>
      <c r="P49" s="2" t="s">
        <v>3091</v>
      </c>
      <c r="Q49" s="2" t="s">
        <v>3090</v>
      </c>
      <c r="R49" s="2" t="s">
        <v>3090</v>
      </c>
      <c r="S49" s="2" t="s">
        <v>3091</v>
      </c>
      <c r="T49" s="2" t="s">
        <v>3091</v>
      </c>
      <c r="U49" s="2" t="s">
        <v>3090</v>
      </c>
      <c r="V49" s="2" t="s">
        <v>3090</v>
      </c>
      <c r="W49" s="4">
        <f t="shared" si="0"/>
        <v>13</v>
      </c>
      <c r="X49" s="4">
        <f t="shared" si="1"/>
        <v>5</v>
      </c>
      <c r="Y49" s="4">
        <f t="shared" si="2"/>
        <v>18</v>
      </c>
    </row>
    <row r="50" spans="1:25" ht="15.75" customHeight="1">
      <c r="A50" s="2" t="s">
        <v>2725</v>
      </c>
      <c r="B50" s="2" t="s">
        <v>2726</v>
      </c>
      <c r="C50" s="3">
        <v>704</v>
      </c>
      <c r="D50" s="2" t="s">
        <v>548</v>
      </c>
      <c r="E50" s="2" t="s">
        <v>3090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4">
        <f t="shared" si="0"/>
        <v>1</v>
      </c>
      <c r="X50" s="4">
        <f t="shared" si="1"/>
        <v>0</v>
      </c>
      <c r="Y50" s="4">
        <f t="shared" si="2"/>
        <v>1</v>
      </c>
    </row>
    <row r="51" spans="1:25" ht="15.75" customHeight="1">
      <c r="A51" s="2" t="s">
        <v>833</v>
      </c>
      <c r="B51" s="2" t="s">
        <v>2727</v>
      </c>
      <c r="C51" s="3">
        <v>733</v>
      </c>
      <c r="D51" s="2" t="s">
        <v>791</v>
      </c>
      <c r="E51" s="2" t="s">
        <v>3090</v>
      </c>
      <c r="F51" s="2" t="s">
        <v>3090</v>
      </c>
      <c r="G51" s="2" t="s">
        <v>3090</v>
      </c>
      <c r="H51" s="2" t="s">
        <v>3090</v>
      </c>
      <c r="I51" s="2" t="s">
        <v>3090</v>
      </c>
      <c r="J51" s="2" t="s">
        <v>3090</v>
      </c>
      <c r="K51" s="2" t="s">
        <v>3091</v>
      </c>
      <c r="L51" s="2" t="s">
        <v>3091</v>
      </c>
      <c r="M51" s="2" t="s">
        <v>3090</v>
      </c>
      <c r="N51" s="2" t="s">
        <v>3090</v>
      </c>
      <c r="O51" s="2" t="s">
        <v>3090</v>
      </c>
      <c r="P51" s="2" t="s">
        <v>3091</v>
      </c>
      <c r="Q51" s="2" t="s">
        <v>3090</v>
      </c>
      <c r="R51" s="2" t="s">
        <v>3090</v>
      </c>
      <c r="S51" s="2" t="s">
        <v>3091</v>
      </c>
      <c r="T51" s="2" t="s">
        <v>3091</v>
      </c>
      <c r="U51" s="2" t="s">
        <v>3090</v>
      </c>
      <c r="V51" s="2" t="s">
        <v>3090</v>
      </c>
      <c r="W51" s="4">
        <f t="shared" si="0"/>
        <v>13</v>
      </c>
      <c r="X51" s="4">
        <f t="shared" si="1"/>
        <v>5</v>
      </c>
      <c r="Y51" s="4">
        <f t="shared" si="2"/>
        <v>18</v>
      </c>
    </row>
    <row r="52" spans="1:25" ht="15.75" customHeight="1">
      <c r="A52" s="2" t="s">
        <v>2728</v>
      </c>
      <c r="B52" s="2" t="s">
        <v>2682</v>
      </c>
      <c r="C52" s="3">
        <v>656</v>
      </c>
      <c r="D52" s="2" t="s">
        <v>771</v>
      </c>
      <c r="E52" s="2" t="s">
        <v>3090</v>
      </c>
      <c r="F52" s="2" t="s">
        <v>3090</v>
      </c>
      <c r="G52" s="2" t="s">
        <v>3090</v>
      </c>
      <c r="H52" s="2" t="s">
        <v>3090</v>
      </c>
      <c r="I52" s="2" t="s">
        <v>3090</v>
      </c>
      <c r="J52" s="2" t="s">
        <v>3090</v>
      </c>
      <c r="K52" s="2" t="s">
        <v>3091</v>
      </c>
      <c r="L52" s="2" t="s">
        <v>3091</v>
      </c>
      <c r="M52" s="2" t="s">
        <v>3090</v>
      </c>
      <c r="N52" s="2" t="s">
        <v>3090</v>
      </c>
      <c r="O52" s="2" t="s">
        <v>3090</v>
      </c>
      <c r="P52" s="2" t="s">
        <v>3091</v>
      </c>
      <c r="Q52" s="2" t="s">
        <v>3090</v>
      </c>
      <c r="R52" s="2" t="s">
        <v>3090</v>
      </c>
      <c r="S52" s="2" t="s">
        <v>3091</v>
      </c>
      <c r="T52" s="2" t="s">
        <v>3091</v>
      </c>
      <c r="U52" s="2" t="s">
        <v>3090</v>
      </c>
      <c r="V52" s="2" t="s">
        <v>3090</v>
      </c>
      <c r="W52" s="4">
        <f t="shared" si="0"/>
        <v>13</v>
      </c>
      <c r="X52" s="4">
        <f t="shared" si="1"/>
        <v>5</v>
      </c>
      <c r="Y52" s="4">
        <f t="shared" si="2"/>
        <v>18</v>
      </c>
    </row>
    <row r="53" spans="1:25" ht="15.75" customHeight="1">
      <c r="A53" s="2" t="s">
        <v>2729</v>
      </c>
      <c r="B53" s="2" t="s">
        <v>2730</v>
      </c>
      <c r="C53" s="3">
        <v>649</v>
      </c>
      <c r="D53" s="2" t="s">
        <v>670</v>
      </c>
      <c r="E53" s="2" t="s">
        <v>3090</v>
      </c>
      <c r="F53" s="2" t="s">
        <v>3090</v>
      </c>
      <c r="G53" s="2" t="s">
        <v>3090</v>
      </c>
      <c r="H53" s="2" t="s">
        <v>3090</v>
      </c>
      <c r="I53" s="2" t="s">
        <v>3090</v>
      </c>
      <c r="J53" s="2" t="s">
        <v>3090</v>
      </c>
      <c r="K53" s="2"/>
      <c r="L53" s="2"/>
      <c r="M53" s="2" t="s">
        <v>3090</v>
      </c>
      <c r="N53" s="2" t="s">
        <v>3090</v>
      </c>
      <c r="O53" s="2" t="s">
        <v>3090</v>
      </c>
      <c r="P53" s="2"/>
      <c r="Q53" s="2" t="s">
        <v>3090</v>
      </c>
      <c r="R53" s="2" t="s">
        <v>3090</v>
      </c>
      <c r="S53" s="2"/>
      <c r="T53" s="2"/>
      <c r="U53" s="2" t="s">
        <v>3090</v>
      </c>
      <c r="V53" s="2" t="s">
        <v>3090</v>
      </c>
      <c r="W53" s="4">
        <f t="shared" si="0"/>
        <v>13</v>
      </c>
      <c r="X53" s="4">
        <f t="shared" si="1"/>
        <v>0</v>
      </c>
      <c r="Y53" s="4">
        <f t="shared" si="2"/>
        <v>13</v>
      </c>
    </row>
    <row r="54" spans="1:25" ht="15.75" customHeight="1">
      <c r="A54" s="2" t="s">
        <v>2731</v>
      </c>
      <c r="B54" s="2" t="s">
        <v>2732</v>
      </c>
      <c r="C54" s="3">
        <v>761</v>
      </c>
      <c r="D54" s="2" t="s">
        <v>508</v>
      </c>
      <c r="E54" s="2" t="s">
        <v>3091</v>
      </c>
      <c r="F54" s="2" t="s">
        <v>3090</v>
      </c>
      <c r="G54" s="2" t="s">
        <v>3090</v>
      </c>
      <c r="H54" s="2" t="s">
        <v>3090</v>
      </c>
      <c r="I54" s="2" t="s">
        <v>3090</v>
      </c>
      <c r="J54" s="2" t="s">
        <v>3090</v>
      </c>
      <c r="K54" s="2" t="s">
        <v>3091</v>
      </c>
      <c r="L54" s="2" t="s">
        <v>3091</v>
      </c>
      <c r="M54" s="2" t="s">
        <v>3090</v>
      </c>
      <c r="N54" s="2" t="s">
        <v>3090</v>
      </c>
      <c r="O54" s="2" t="s">
        <v>3090</v>
      </c>
      <c r="P54" s="2" t="s">
        <v>3091</v>
      </c>
      <c r="Q54" s="2" t="s">
        <v>3090</v>
      </c>
      <c r="R54" s="2" t="s">
        <v>3091</v>
      </c>
      <c r="S54" s="2" t="s">
        <v>3091</v>
      </c>
      <c r="T54" s="2" t="s">
        <v>3091</v>
      </c>
      <c r="U54" s="2" t="s">
        <v>3090</v>
      </c>
      <c r="V54" s="2"/>
      <c r="W54" s="4">
        <f t="shared" si="0"/>
        <v>10</v>
      </c>
      <c r="X54" s="4">
        <f t="shared" si="1"/>
        <v>7</v>
      </c>
      <c r="Y54" s="4">
        <f t="shared" si="2"/>
        <v>17</v>
      </c>
    </row>
    <row r="55" spans="1:25" ht="15.75" customHeight="1">
      <c r="A55" s="2" t="s">
        <v>2733</v>
      </c>
      <c r="B55" s="2" t="s">
        <v>2734</v>
      </c>
      <c r="C55" s="3">
        <v>774</v>
      </c>
      <c r="D55" s="2" t="s">
        <v>749</v>
      </c>
      <c r="E55" s="2" t="s">
        <v>3090</v>
      </c>
      <c r="F55" s="2" t="s">
        <v>3090</v>
      </c>
      <c r="G55" s="2" t="s">
        <v>3090</v>
      </c>
      <c r="H55" s="2" t="s">
        <v>3090</v>
      </c>
      <c r="I55" s="2" t="s">
        <v>3090</v>
      </c>
      <c r="J55" s="2" t="s">
        <v>3090</v>
      </c>
      <c r="K55" s="2"/>
      <c r="L55" s="2"/>
      <c r="M55" s="2" t="s">
        <v>3090</v>
      </c>
      <c r="N55" s="2" t="s">
        <v>3090</v>
      </c>
      <c r="O55" s="2" t="s">
        <v>3090</v>
      </c>
      <c r="P55" s="2" t="s">
        <v>3091</v>
      </c>
      <c r="Q55" s="2" t="s">
        <v>3090</v>
      </c>
      <c r="R55" s="2" t="s">
        <v>3090</v>
      </c>
      <c r="S55" s="2" t="s">
        <v>3091</v>
      </c>
      <c r="T55" s="2"/>
      <c r="U55" s="2" t="s">
        <v>3090</v>
      </c>
      <c r="V55" s="2"/>
      <c r="W55" s="4">
        <f t="shared" si="0"/>
        <v>12</v>
      </c>
      <c r="X55" s="4">
        <f t="shared" si="1"/>
        <v>2</v>
      </c>
      <c r="Y55" s="4">
        <f t="shared" si="2"/>
        <v>14</v>
      </c>
    </row>
    <row r="56" spans="1:25" ht="15.75" customHeight="1">
      <c r="A56" s="2" t="s">
        <v>2735</v>
      </c>
      <c r="B56" s="2" t="s">
        <v>2701</v>
      </c>
      <c r="C56" s="3">
        <v>784</v>
      </c>
      <c r="D56" s="2" t="s">
        <v>6</v>
      </c>
      <c r="E56" s="2" t="s">
        <v>3091</v>
      </c>
      <c r="F56" s="2" t="s">
        <v>3090</v>
      </c>
      <c r="G56" s="2" t="s">
        <v>3090</v>
      </c>
      <c r="H56" s="2" t="s">
        <v>3090</v>
      </c>
      <c r="I56" s="2" t="s">
        <v>3090</v>
      </c>
      <c r="J56" s="2" t="s">
        <v>3090</v>
      </c>
      <c r="K56" s="2"/>
      <c r="L56" s="2"/>
      <c r="M56" s="2" t="s">
        <v>3090</v>
      </c>
      <c r="N56" s="2" t="s">
        <v>3090</v>
      </c>
      <c r="O56" s="2"/>
      <c r="P56" s="2"/>
      <c r="Q56" s="2"/>
      <c r="R56" s="2"/>
      <c r="S56" s="2"/>
      <c r="T56" s="2"/>
      <c r="U56" s="2"/>
      <c r="V56" s="2"/>
      <c r="W56" s="4">
        <f t="shared" si="0"/>
        <v>7</v>
      </c>
      <c r="X56" s="4">
        <f t="shared" si="1"/>
        <v>1</v>
      </c>
      <c r="Y56" s="4">
        <f t="shared" si="2"/>
        <v>8</v>
      </c>
    </row>
    <row r="57" spans="1:25" ht="15.75" customHeight="1">
      <c r="A57" s="2" t="s">
        <v>2736</v>
      </c>
      <c r="B57" s="2" t="s">
        <v>2708</v>
      </c>
      <c r="C57" s="3">
        <v>684</v>
      </c>
      <c r="D57" s="2" t="s">
        <v>710</v>
      </c>
      <c r="E57" s="2" t="s">
        <v>3090</v>
      </c>
      <c r="F57" s="2" t="s">
        <v>3090</v>
      </c>
      <c r="G57" s="2"/>
      <c r="H57" s="2" t="s">
        <v>3090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4">
        <f t="shared" si="0"/>
        <v>3</v>
      </c>
      <c r="X57" s="4">
        <f t="shared" si="1"/>
        <v>0</v>
      </c>
      <c r="Y57" s="4">
        <f t="shared" si="2"/>
        <v>3</v>
      </c>
    </row>
    <row r="58" spans="1:25" ht="15.75" customHeight="1">
      <c r="A58" s="2" t="s">
        <v>2737</v>
      </c>
      <c r="B58" s="2" t="s">
        <v>2674</v>
      </c>
      <c r="C58" s="3">
        <v>640</v>
      </c>
      <c r="D58" s="2" t="s">
        <v>246</v>
      </c>
      <c r="E58" s="2" t="s">
        <v>3090</v>
      </c>
      <c r="F58" s="2" t="s">
        <v>3091</v>
      </c>
      <c r="G58" s="2" t="s">
        <v>3091</v>
      </c>
      <c r="H58" s="2" t="s">
        <v>3090</v>
      </c>
      <c r="I58" s="2" t="s">
        <v>3090</v>
      </c>
      <c r="J58" s="2" t="s">
        <v>3091</v>
      </c>
      <c r="K58" s="2" t="s">
        <v>3091</v>
      </c>
      <c r="L58" s="2" t="s">
        <v>3091</v>
      </c>
      <c r="M58" s="2" t="s">
        <v>3091</v>
      </c>
      <c r="N58" s="2" t="s">
        <v>3091</v>
      </c>
      <c r="O58" s="2" t="s">
        <v>3091</v>
      </c>
      <c r="P58" s="2" t="s">
        <v>3091</v>
      </c>
      <c r="Q58" s="2" t="s">
        <v>3091</v>
      </c>
      <c r="R58" s="2" t="s">
        <v>3091</v>
      </c>
      <c r="S58" s="2" t="s">
        <v>3091</v>
      </c>
      <c r="T58" s="2" t="s">
        <v>3091</v>
      </c>
      <c r="U58" s="2" t="s">
        <v>3091</v>
      </c>
      <c r="V58" s="2" t="s">
        <v>3091</v>
      </c>
      <c r="W58" s="4">
        <f t="shared" si="0"/>
        <v>3</v>
      </c>
      <c r="X58" s="4">
        <f t="shared" si="1"/>
        <v>15</v>
      </c>
      <c r="Y58" s="4">
        <f t="shared" si="2"/>
        <v>18</v>
      </c>
    </row>
    <row r="59" spans="1:25" ht="15.75" customHeight="1">
      <c r="A59" s="2" t="s">
        <v>2738</v>
      </c>
      <c r="B59" s="2" t="s">
        <v>2687</v>
      </c>
      <c r="C59" s="3">
        <v>606</v>
      </c>
      <c r="D59" s="2" t="s">
        <v>609</v>
      </c>
      <c r="E59" s="2" t="s">
        <v>3090</v>
      </c>
      <c r="F59" s="2" t="s">
        <v>3090</v>
      </c>
      <c r="G59" s="2" t="s">
        <v>3090</v>
      </c>
      <c r="H59" s="2" t="s">
        <v>3090</v>
      </c>
      <c r="I59" s="2" t="s">
        <v>3090</v>
      </c>
      <c r="J59" s="2" t="s">
        <v>3090</v>
      </c>
      <c r="K59" s="2" t="s">
        <v>3091</v>
      </c>
      <c r="L59" s="2" t="s">
        <v>3091</v>
      </c>
      <c r="M59" s="2" t="s">
        <v>3090</v>
      </c>
      <c r="N59" s="2" t="s">
        <v>3090</v>
      </c>
      <c r="O59" s="2" t="s">
        <v>3091</v>
      </c>
      <c r="P59" s="2" t="s">
        <v>3091</v>
      </c>
      <c r="Q59" s="2" t="s">
        <v>3090</v>
      </c>
      <c r="R59" s="2" t="s">
        <v>3090</v>
      </c>
      <c r="S59" s="2"/>
      <c r="T59" s="2"/>
      <c r="U59" s="2"/>
      <c r="V59" s="2"/>
      <c r="W59" s="4">
        <f t="shared" si="0"/>
        <v>10</v>
      </c>
      <c r="X59" s="4">
        <f t="shared" si="1"/>
        <v>4</v>
      </c>
      <c r="Y59" s="4">
        <f t="shared" si="2"/>
        <v>14</v>
      </c>
    </row>
    <row r="60" spans="1:25" ht="15.75" customHeight="1">
      <c r="A60" s="2" t="s">
        <v>2739</v>
      </c>
      <c r="B60" s="2" t="s">
        <v>2740</v>
      </c>
      <c r="C60" s="3">
        <v>713</v>
      </c>
      <c r="D60" s="2" t="s">
        <v>752</v>
      </c>
      <c r="E60" s="2" t="s">
        <v>3090</v>
      </c>
      <c r="F60" s="2"/>
      <c r="G60" s="2"/>
      <c r="H60" s="2"/>
      <c r="I60" s="2"/>
      <c r="J60" s="2" t="s">
        <v>3090</v>
      </c>
      <c r="K60" s="2"/>
      <c r="L60" s="2"/>
      <c r="M60" s="2" t="s">
        <v>3090</v>
      </c>
      <c r="N60" s="2" t="s">
        <v>3090</v>
      </c>
      <c r="O60" s="2" t="s">
        <v>3090</v>
      </c>
      <c r="P60" s="2"/>
      <c r="Q60" s="2"/>
      <c r="R60" s="2"/>
      <c r="S60" s="2"/>
      <c r="T60" s="2"/>
      <c r="U60" s="2"/>
      <c r="V60" s="2"/>
      <c r="W60" s="4">
        <f t="shared" si="0"/>
        <v>5</v>
      </c>
      <c r="X60" s="4">
        <f t="shared" si="1"/>
        <v>0</v>
      </c>
      <c r="Y60" s="4">
        <f t="shared" si="2"/>
        <v>5</v>
      </c>
    </row>
    <row r="61" spans="1:25" ht="15.75" customHeight="1">
      <c r="A61" s="2" t="s">
        <v>2741</v>
      </c>
      <c r="B61" s="2" t="s">
        <v>2674</v>
      </c>
      <c r="C61" s="3">
        <v>641</v>
      </c>
      <c r="D61" s="2" t="s">
        <v>350</v>
      </c>
      <c r="E61" s="2" t="s">
        <v>3090</v>
      </c>
      <c r="F61" s="2" t="s">
        <v>3091</v>
      </c>
      <c r="G61" s="2" t="s">
        <v>3091</v>
      </c>
      <c r="H61" s="2" t="s">
        <v>3090</v>
      </c>
      <c r="I61" s="2" t="s">
        <v>3090</v>
      </c>
      <c r="J61" s="2" t="s">
        <v>3090</v>
      </c>
      <c r="K61" s="2" t="s">
        <v>3091</v>
      </c>
      <c r="L61" s="2"/>
      <c r="M61" s="2" t="s">
        <v>3091</v>
      </c>
      <c r="N61" s="2" t="s">
        <v>3091</v>
      </c>
      <c r="O61" s="2" t="s">
        <v>3090</v>
      </c>
      <c r="P61" s="2"/>
      <c r="Q61" s="2" t="s">
        <v>3091</v>
      </c>
      <c r="R61" s="2" t="s">
        <v>3091</v>
      </c>
      <c r="S61" s="2"/>
      <c r="T61" s="2"/>
      <c r="U61" s="2"/>
      <c r="V61" s="2"/>
      <c r="W61" s="4">
        <f t="shared" si="0"/>
        <v>5</v>
      </c>
      <c r="X61" s="4">
        <f t="shared" si="1"/>
        <v>7</v>
      </c>
      <c r="Y61" s="4">
        <f t="shared" si="2"/>
        <v>12</v>
      </c>
    </row>
    <row r="62" spans="1:25" ht="15.75" customHeight="1">
      <c r="A62" s="2" t="s">
        <v>2742</v>
      </c>
      <c r="B62" s="2" t="s">
        <v>2669</v>
      </c>
      <c r="C62" s="3">
        <v>652</v>
      </c>
      <c r="D62" s="2" t="s">
        <v>754</v>
      </c>
      <c r="E62" s="2" t="s">
        <v>3090</v>
      </c>
      <c r="F62" s="2" t="s">
        <v>3090</v>
      </c>
      <c r="G62" s="2" t="s">
        <v>3091</v>
      </c>
      <c r="H62" s="2" t="s">
        <v>3090</v>
      </c>
      <c r="I62" s="2" t="s">
        <v>3090</v>
      </c>
      <c r="J62" s="2" t="s">
        <v>3090</v>
      </c>
      <c r="K62" s="2" t="s">
        <v>3091</v>
      </c>
      <c r="L62" s="2" t="s">
        <v>3091</v>
      </c>
      <c r="M62" s="2" t="s">
        <v>3090</v>
      </c>
      <c r="N62" s="2" t="s">
        <v>3090</v>
      </c>
      <c r="O62" s="2" t="s">
        <v>3090</v>
      </c>
      <c r="P62" s="2" t="s">
        <v>3091</v>
      </c>
      <c r="Q62" s="2" t="s">
        <v>3090</v>
      </c>
      <c r="R62" s="2" t="s">
        <v>3090</v>
      </c>
      <c r="S62" s="2" t="s">
        <v>3091</v>
      </c>
      <c r="T62" s="2" t="s">
        <v>3091</v>
      </c>
      <c r="U62" s="2" t="s">
        <v>3090</v>
      </c>
      <c r="V62" s="2" t="s">
        <v>3090</v>
      </c>
      <c r="W62" s="4">
        <f t="shared" si="0"/>
        <v>12</v>
      </c>
      <c r="X62" s="4">
        <f t="shared" si="1"/>
        <v>6</v>
      </c>
      <c r="Y62" s="4">
        <f t="shared" si="2"/>
        <v>18</v>
      </c>
    </row>
    <row r="63" spans="1:25" ht="15.75" customHeight="1">
      <c r="A63" s="2" t="s">
        <v>2743</v>
      </c>
      <c r="B63" s="2" t="s">
        <v>2744</v>
      </c>
      <c r="C63" s="3">
        <v>264</v>
      </c>
      <c r="D63" s="2" t="s">
        <v>428</v>
      </c>
      <c r="E63" s="2" t="s">
        <v>3090</v>
      </c>
      <c r="F63" s="2" t="s">
        <v>3091</v>
      </c>
      <c r="G63" s="2" t="s">
        <v>3091</v>
      </c>
      <c r="H63" s="2" t="s">
        <v>3091</v>
      </c>
      <c r="I63" s="2" t="s">
        <v>3090</v>
      </c>
      <c r="J63" s="2" t="s">
        <v>3090</v>
      </c>
      <c r="K63" s="2" t="s">
        <v>3091</v>
      </c>
      <c r="L63" s="2" t="s">
        <v>3091</v>
      </c>
      <c r="M63" s="2" t="s">
        <v>3091</v>
      </c>
      <c r="N63" s="2" t="s">
        <v>3091</v>
      </c>
      <c r="O63" s="2" t="s">
        <v>3091</v>
      </c>
      <c r="P63" s="2" t="s">
        <v>3091</v>
      </c>
      <c r="Q63" s="2" t="s">
        <v>3090</v>
      </c>
      <c r="R63" s="2" t="s">
        <v>3090</v>
      </c>
      <c r="S63" s="2" t="s">
        <v>3091</v>
      </c>
      <c r="T63" s="2" t="s">
        <v>3091</v>
      </c>
      <c r="U63" s="2"/>
      <c r="V63" s="2"/>
      <c r="W63" s="4">
        <f t="shared" si="0"/>
        <v>5</v>
      </c>
      <c r="X63" s="4">
        <f t="shared" si="1"/>
        <v>11</v>
      </c>
      <c r="Y63" s="4">
        <f t="shared" si="2"/>
        <v>16</v>
      </c>
    </row>
    <row r="64" spans="1:25" ht="15.75" customHeight="1">
      <c r="A64" s="2" t="s">
        <v>2745</v>
      </c>
      <c r="B64" s="2" t="s">
        <v>2746</v>
      </c>
      <c r="C64" s="3">
        <v>232</v>
      </c>
      <c r="D64" s="2" t="s">
        <v>35</v>
      </c>
      <c r="E64" s="2" t="s">
        <v>3091</v>
      </c>
      <c r="F64" s="2" t="s">
        <v>3091</v>
      </c>
      <c r="G64" s="2" t="s">
        <v>3091</v>
      </c>
      <c r="H64" s="2" t="s">
        <v>3091</v>
      </c>
      <c r="I64" s="2" t="s">
        <v>3091</v>
      </c>
      <c r="J64" s="2" t="s">
        <v>3091</v>
      </c>
      <c r="K64" s="2"/>
      <c r="L64" s="2"/>
      <c r="M64" s="2" t="s">
        <v>3091</v>
      </c>
      <c r="N64" s="2" t="s">
        <v>3091</v>
      </c>
      <c r="O64" s="2" t="s">
        <v>3091</v>
      </c>
      <c r="P64" s="2" t="s">
        <v>3091</v>
      </c>
      <c r="Q64" s="2" t="s">
        <v>3091</v>
      </c>
      <c r="R64" s="2" t="s">
        <v>3091</v>
      </c>
      <c r="S64" s="2"/>
      <c r="T64" s="2"/>
      <c r="U64" s="2"/>
      <c r="V64" s="2"/>
      <c r="W64" s="4">
        <f t="shared" si="0"/>
        <v>0</v>
      </c>
      <c r="X64" s="4">
        <f t="shared" si="1"/>
        <v>12</v>
      </c>
      <c r="Y64" s="4">
        <f t="shared" si="2"/>
        <v>12</v>
      </c>
    </row>
    <row r="65" spans="1:25" ht="15.75" customHeight="1">
      <c r="A65" s="2" t="s">
        <v>2747</v>
      </c>
      <c r="B65" s="2" t="s">
        <v>2748</v>
      </c>
      <c r="C65" s="3">
        <v>389</v>
      </c>
      <c r="D65" s="2" t="s">
        <v>672</v>
      </c>
      <c r="E65" s="2" t="s">
        <v>3090</v>
      </c>
      <c r="F65" s="2" t="s">
        <v>3090</v>
      </c>
      <c r="G65" s="2" t="s">
        <v>3090</v>
      </c>
      <c r="H65" s="2" t="s">
        <v>3091</v>
      </c>
      <c r="I65" s="2" t="s">
        <v>3091</v>
      </c>
      <c r="J65" s="2" t="s">
        <v>3090</v>
      </c>
      <c r="K65" s="2" t="s">
        <v>3091</v>
      </c>
      <c r="L65" s="2" t="s">
        <v>3091</v>
      </c>
      <c r="M65" s="2" t="s">
        <v>3090</v>
      </c>
      <c r="N65" s="2" t="s">
        <v>3090</v>
      </c>
      <c r="O65" s="2" t="s">
        <v>3090</v>
      </c>
      <c r="P65" s="2" t="s">
        <v>3091</v>
      </c>
      <c r="Q65" s="2" t="s">
        <v>3090</v>
      </c>
      <c r="R65" s="2" t="s">
        <v>3090</v>
      </c>
      <c r="S65" s="2" t="s">
        <v>3091</v>
      </c>
      <c r="T65" s="2" t="s">
        <v>3091</v>
      </c>
      <c r="U65" s="2" t="s">
        <v>3090</v>
      </c>
      <c r="V65" s="2" t="s">
        <v>3090</v>
      </c>
      <c r="W65" s="4">
        <f t="shared" si="0"/>
        <v>11</v>
      </c>
      <c r="X65" s="4">
        <f t="shared" si="1"/>
        <v>7</v>
      </c>
      <c r="Y65" s="4">
        <f t="shared" si="2"/>
        <v>18</v>
      </c>
    </row>
    <row r="66" spans="1:25" ht="15.75" customHeight="1">
      <c r="A66" s="2" t="s">
        <v>2749</v>
      </c>
      <c r="B66" s="2" t="s">
        <v>2662</v>
      </c>
      <c r="C66" s="3">
        <v>378</v>
      </c>
      <c r="D66" s="2" t="s">
        <v>589</v>
      </c>
      <c r="E66" s="2" t="s">
        <v>3091</v>
      </c>
      <c r="F66" s="2" t="s">
        <v>3090</v>
      </c>
      <c r="G66" s="2" t="s">
        <v>3090</v>
      </c>
      <c r="H66" s="2" t="s">
        <v>3090</v>
      </c>
      <c r="I66" s="2" t="s">
        <v>3090</v>
      </c>
      <c r="J66" s="2" t="s">
        <v>3090</v>
      </c>
      <c r="K66" s="2" t="s">
        <v>3091</v>
      </c>
      <c r="L66" s="2" t="s">
        <v>3091</v>
      </c>
      <c r="M66" s="2" t="s">
        <v>3090</v>
      </c>
      <c r="N66" s="2" t="s">
        <v>3090</v>
      </c>
      <c r="O66" s="2" t="s">
        <v>3090</v>
      </c>
      <c r="P66" s="2"/>
      <c r="Q66" s="2" t="s">
        <v>3090</v>
      </c>
      <c r="R66" s="2" t="s">
        <v>3090</v>
      </c>
      <c r="S66" s="2"/>
      <c r="T66" s="2" t="s">
        <v>3091</v>
      </c>
      <c r="U66" s="2"/>
      <c r="V66" s="2" t="s">
        <v>3090</v>
      </c>
      <c r="W66" s="4">
        <f t="shared" ref="W66:W129" si="3">COUNTIF(E66:V66,"L (1/1)")</f>
        <v>11</v>
      </c>
      <c r="X66" s="4">
        <f t="shared" ref="X66:X129" si="4">COUNTIF(E66:V66,"R (1/1)")</f>
        <v>4</v>
      </c>
      <c r="Y66" s="4">
        <f t="shared" ref="Y66:Y129" si="5">W66+X66</f>
        <v>15</v>
      </c>
    </row>
    <row r="67" spans="1:25" ht="15.75" customHeight="1">
      <c r="A67" s="2" t="s">
        <v>2750</v>
      </c>
      <c r="B67" s="2" t="s">
        <v>2674</v>
      </c>
      <c r="C67" s="3">
        <v>736</v>
      </c>
      <c r="D67" s="2" t="s">
        <v>248</v>
      </c>
      <c r="E67" s="2" t="s">
        <v>3091</v>
      </c>
      <c r="F67" s="2" t="s">
        <v>3091</v>
      </c>
      <c r="G67" s="2" t="s">
        <v>3091</v>
      </c>
      <c r="H67" s="2" t="s">
        <v>3091</v>
      </c>
      <c r="I67" s="2" t="s">
        <v>3091</v>
      </c>
      <c r="J67" s="2" t="s">
        <v>3091</v>
      </c>
      <c r="K67" s="2" t="s">
        <v>3091</v>
      </c>
      <c r="L67" s="2" t="s">
        <v>3091</v>
      </c>
      <c r="M67" s="2" t="s">
        <v>3091</v>
      </c>
      <c r="N67" s="2" t="s">
        <v>3091</v>
      </c>
      <c r="O67" s="2" t="s">
        <v>3091</v>
      </c>
      <c r="P67" s="2" t="s">
        <v>3091</v>
      </c>
      <c r="Q67" s="2" t="s">
        <v>3091</v>
      </c>
      <c r="R67" s="2" t="s">
        <v>3091</v>
      </c>
      <c r="S67" s="2" t="s">
        <v>3091</v>
      </c>
      <c r="T67" s="2"/>
      <c r="U67" s="2"/>
      <c r="V67" s="2"/>
      <c r="W67" s="4">
        <f t="shared" si="3"/>
        <v>0</v>
      </c>
      <c r="X67" s="4">
        <f t="shared" si="4"/>
        <v>15</v>
      </c>
      <c r="Y67" s="4">
        <f t="shared" si="5"/>
        <v>15</v>
      </c>
    </row>
    <row r="68" spans="1:25" ht="15.75" customHeight="1">
      <c r="A68" s="2" t="s">
        <v>2751</v>
      </c>
      <c r="B68" s="2" t="s">
        <v>2671</v>
      </c>
      <c r="C68" s="3">
        <v>594</v>
      </c>
      <c r="D68" s="2" t="s">
        <v>105</v>
      </c>
      <c r="E68" s="2" t="s">
        <v>3090</v>
      </c>
      <c r="F68" s="2" t="s">
        <v>3091</v>
      </c>
      <c r="G68" s="2" t="s">
        <v>3091</v>
      </c>
      <c r="H68" s="2" t="s">
        <v>3091</v>
      </c>
      <c r="I68" s="2" t="s">
        <v>3090</v>
      </c>
      <c r="J68" s="2" t="s">
        <v>3090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4">
        <f t="shared" si="3"/>
        <v>3</v>
      </c>
      <c r="X68" s="4">
        <f t="shared" si="4"/>
        <v>3</v>
      </c>
      <c r="Y68" s="4">
        <f t="shared" si="5"/>
        <v>6</v>
      </c>
    </row>
    <row r="69" spans="1:25" ht="15.75" customHeight="1">
      <c r="A69" s="2" t="s">
        <v>2752</v>
      </c>
      <c r="B69" s="2" t="s">
        <v>2682</v>
      </c>
      <c r="C69" s="3">
        <v>727</v>
      </c>
      <c r="D69" s="2" t="s">
        <v>207</v>
      </c>
      <c r="E69" s="2" t="s">
        <v>3090</v>
      </c>
      <c r="F69" s="2" t="s">
        <v>3090</v>
      </c>
      <c r="G69" s="2" t="s">
        <v>3090</v>
      </c>
      <c r="H69" s="2" t="s">
        <v>3090</v>
      </c>
      <c r="I69" s="2" t="s">
        <v>3090</v>
      </c>
      <c r="J69" s="2" t="s">
        <v>3090</v>
      </c>
      <c r="K69" s="2" t="s">
        <v>3091</v>
      </c>
      <c r="L69" s="2" t="s">
        <v>3091</v>
      </c>
      <c r="M69" s="2" t="s">
        <v>3090</v>
      </c>
      <c r="N69" s="2" t="s">
        <v>3090</v>
      </c>
      <c r="O69" s="2" t="s">
        <v>3090</v>
      </c>
      <c r="P69" s="2" t="s">
        <v>3091</v>
      </c>
      <c r="Q69" s="2" t="s">
        <v>3090</v>
      </c>
      <c r="R69" s="2" t="s">
        <v>3090</v>
      </c>
      <c r="S69" s="2"/>
      <c r="T69" s="2"/>
      <c r="U69" s="2" t="s">
        <v>3090</v>
      </c>
      <c r="V69" s="2" t="s">
        <v>3090</v>
      </c>
      <c r="W69" s="4">
        <f t="shared" si="3"/>
        <v>13</v>
      </c>
      <c r="X69" s="4">
        <f t="shared" si="4"/>
        <v>3</v>
      </c>
      <c r="Y69" s="4">
        <f t="shared" si="5"/>
        <v>16</v>
      </c>
    </row>
    <row r="70" spans="1:25" ht="15.75" customHeight="1">
      <c r="A70" s="2" t="s">
        <v>2753</v>
      </c>
      <c r="B70" s="2" t="s">
        <v>2693</v>
      </c>
      <c r="C70" s="3">
        <v>412</v>
      </c>
      <c r="D70" s="2" t="s">
        <v>209</v>
      </c>
      <c r="E70" s="2" t="s">
        <v>3091</v>
      </c>
      <c r="F70" s="2" t="s">
        <v>3090</v>
      </c>
      <c r="G70" s="2" t="s">
        <v>3090</v>
      </c>
      <c r="H70" s="2" t="s">
        <v>3090</v>
      </c>
      <c r="I70" s="2" t="s">
        <v>3090</v>
      </c>
      <c r="J70" s="2" t="s">
        <v>3090</v>
      </c>
      <c r="K70" s="2" t="s">
        <v>3091</v>
      </c>
      <c r="L70" s="2" t="s">
        <v>3091</v>
      </c>
      <c r="M70" s="2" t="s">
        <v>3090</v>
      </c>
      <c r="N70" s="2" t="s">
        <v>3090</v>
      </c>
      <c r="O70" s="2" t="s">
        <v>3090</v>
      </c>
      <c r="P70" s="2" t="s">
        <v>3091</v>
      </c>
      <c r="Q70" s="2" t="s">
        <v>3090</v>
      </c>
      <c r="R70" s="2" t="s">
        <v>3090</v>
      </c>
      <c r="S70" s="2" t="s">
        <v>3091</v>
      </c>
      <c r="T70" s="2" t="s">
        <v>3091</v>
      </c>
      <c r="U70" s="2" t="s">
        <v>3090</v>
      </c>
      <c r="V70" s="2" t="s">
        <v>3090</v>
      </c>
      <c r="W70" s="4">
        <f t="shared" si="3"/>
        <v>12</v>
      </c>
      <c r="X70" s="4">
        <f t="shared" si="4"/>
        <v>6</v>
      </c>
      <c r="Y70" s="4">
        <f t="shared" si="5"/>
        <v>18</v>
      </c>
    </row>
    <row r="71" spans="1:25" ht="15.75" customHeight="1">
      <c r="A71" s="2" t="s">
        <v>2754</v>
      </c>
      <c r="B71" s="2" t="s">
        <v>2755</v>
      </c>
      <c r="C71" s="3">
        <v>496</v>
      </c>
      <c r="D71" s="2" t="s">
        <v>787</v>
      </c>
      <c r="E71" s="2" t="s">
        <v>3090</v>
      </c>
      <c r="F71" s="2" t="s">
        <v>3091</v>
      </c>
      <c r="G71" s="2" t="s">
        <v>3091</v>
      </c>
      <c r="H71" s="2" t="s">
        <v>3091</v>
      </c>
      <c r="I71" s="2" t="s">
        <v>3091</v>
      </c>
      <c r="J71" s="2" t="s">
        <v>3090</v>
      </c>
      <c r="K71" s="2" t="s">
        <v>3091</v>
      </c>
      <c r="L71" s="2" t="s">
        <v>3091</v>
      </c>
      <c r="M71" s="2" t="s">
        <v>3091</v>
      </c>
      <c r="N71" s="2" t="s">
        <v>3091</v>
      </c>
      <c r="O71" s="2" t="s">
        <v>3091</v>
      </c>
      <c r="P71" s="2"/>
      <c r="Q71" s="2"/>
      <c r="R71" s="2"/>
      <c r="S71" s="2"/>
      <c r="T71" s="2"/>
      <c r="U71" s="2"/>
      <c r="V71" s="2"/>
      <c r="W71" s="4">
        <f t="shared" si="3"/>
        <v>2</v>
      </c>
      <c r="X71" s="4">
        <f t="shared" si="4"/>
        <v>9</v>
      </c>
      <c r="Y71" s="4">
        <f t="shared" si="5"/>
        <v>11</v>
      </c>
    </row>
    <row r="72" spans="1:25" ht="15.75" customHeight="1">
      <c r="A72" s="2" t="s">
        <v>2756</v>
      </c>
      <c r="B72" s="2" t="s">
        <v>2757</v>
      </c>
      <c r="C72" s="3">
        <v>703</v>
      </c>
      <c r="D72" s="2" t="s">
        <v>712</v>
      </c>
      <c r="E72" s="2" t="s">
        <v>3091</v>
      </c>
      <c r="F72" s="2" t="s">
        <v>3091</v>
      </c>
      <c r="G72" s="2" t="s">
        <v>3091</v>
      </c>
      <c r="H72" s="2" t="s">
        <v>3091</v>
      </c>
      <c r="I72" s="2" t="s">
        <v>3091</v>
      </c>
      <c r="J72" s="2" t="s">
        <v>3091</v>
      </c>
      <c r="K72" s="2" t="s">
        <v>3091</v>
      </c>
      <c r="L72" s="2" t="s">
        <v>3091</v>
      </c>
      <c r="M72" s="2" t="s">
        <v>3091</v>
      </c>
      <c r="N72" s="2" t="s">
        <v>3091</v>
      </c>
      <c r="O72" s="2" t="s">
        <v>3091</v>
      </c>
      <c r="P72" s="2" t="s">
        <v>3091</v>
      </c>
      <c r="Q72" s="2" t="s">
        <v>3091</v>
      </c>
      <c r="R72" s="2" t="s">
        <v>3091</v>
      </c>
      <c r="S72" s="2" t="s">
        <v>3091</v>
      </c>
      <c r="T72" s="2" t="s">
        <v>3091</v>
      </c>
      <c r="U72" s="2"/>
      <c r="V72" s="2"/>
      <c r="W72" s="4">
        <f t="shared" si="3"/>
        <v>0</v>
      </c>
      <c r="X72" s="4">
        <f t="shared" si="4"/>
        <v>16</v>
      </c>
      <c r="Y72" s="4">
        <f t="shared" si="5"/>
        <v>16</v>
      </c>
    </row>
    <row r="73" spans="1:25" ht="15.75" customHeight="1">
      <c r="A73" s="2" t="s">
        <v>2758</v>
      </c>
      <c r="B73" s="2" t="s">
        <v>2759</v>
      </c>
      <c r="C73" s="3">
        <v>251</v>
      </c>
      <c r="D73" s="2" t="s">
        <v>550</v>
      </c>
      <c r="E73" s="2" t="s">
        <v>3090</v>
      </c>
      <c r="F73" s="2" t="s">
        <v>3090</v>
      </c>
      <c r="G73" s="2" t="s">
        <v>3090</v>
      </c>
      <c r="H73" s="2" t="s">
        <v>3090</v>
      </c>
      <c r="I73" s="2" t="s">
        <v>3090</v>
      </c>
      <c r="J73" s="2" t="s">
        <v>3090</v>
      </c>
      <c r="K73" s="2" t="s">
        <v>3091</v>
      </c>
      <c r="L73" s="2" t="s">
        <v>3091</v>
      </c>
      <c r="M73" s="2" t="s">
        <v>3091</v>
      </c>
      <c r="N73" s="2" t="s">
        <v>3090</v>
      </c>
      <c r="O73" s="2" t="s">
        <v>3090</v>
      </c>
      <c r="P73" s="2" t="s">
        <v>3091</v>
      </c>
      <c r="Q73" s="2" t="s">
        <v>3090</v>
      </c>
      <c r="R73" s="2" t="s">
        <v>3090</v>
      </c>
      <c r="S73" s="2" t="s">
        <v>3091</v>
      </c>
      <c r="T73" s="2" t="s">
        <v>3091</v>
      </c>
      <c r="U73" s="2" t="s">
        <v>3090</v>
      </c>
      <c r="V73" s="2" t="s">
        <v>3090</v>
      </c>
      <c r="W73" s="4">
        <f t="shared" si="3"/>
        <v>12</v>
      </c>
      <c r="X73" s="4">
        <f t="shared" si="4"/>
        <v>6</v>
      </c>
      <c r="Y73" s="4">
        <f t="shared" si="5"/>
        <v>18</v>
      </c>
    </row>
    <row r="74" spans="1:25" ht="15.75" customHeight="1">
      <c r="A74" s="2" t="s">
        <v>2760</v>
      </c>
      <c r="B74" s="2" t="s">
        <v>2761</v>
      </c>
      <c r="C74" s="3">
        <v>659</v>
      </c>
      <c r="D74" s="2" t="s">
        <v>756</v>
      </c>
      <c r="E74" s="2" t="s">
        <v>3090</v>
      </c>
      <c r="F74" s="2" t="s">
        <v>3090</v>
      </c>
      <c r="G74" s="2" t="s">
        <v>3090</v>
      </c>
      <c r="H74" s="2" t="s">
        <v>3090</v>
      </c>
      <c r="I74" s="2" t="s">
        <v>3090</v>
      </c>
      <c r="J74" s="2" t="s">
        <v>3090</v>
      </c>
      <c r="K74" s="2" t="s">
        <v>3091</v>
      </c>
      <c r="L74" s="2" t="s">
        <v>3091</v>
      </c>
      <c r="M74" s="2" t="s">
        <v>3090</v>
      </c>
      <c r="N74" s="2" t="s">
        <v>3090</v>
      </c>
      <c r="O74" s="2" t="s">
        <v>3091</v>
      </c>
      <c r="P74" s="2" t="s">
        <v>3091</v>
      </c>
      <c r="Q74" s="2" t="s">
        <v>3090</v>
      </c>
      <c r="R74" s="2" t="s">
        <v>3090</v>
      </c>
      <c r="S74" s="2" t="s">
        <v>3091</v>
      </c>
      <c r="T74" s="2" t="s">
        <v>3091</v>
      </c>
      <c r="U74" s="2" t="s">
        <v>3090</v>
      </c>
      <c r="V74" s="2" t="s">
        <v>3090</v>
      </c>
      <c r="W74" s="4">
        <f t="shared" si="3"/>
        <v>12</v>
      </c>
      <c r="X74" s="4">
        <f t="shared" si="4"/>
        <v>6</v>
      </c>
      <c r="Y74" s="4">
        <f t="shared" si="5"/>
        <v>18</v>
      </c>
    </row>
    <row r="75" spans="1:25" ht="15.75" customHeight="1">
      <c r="A75" s="2" t="s">
        <v>2762</v>
      </c>
      <c r="B75" s="2" t="s">
        <v>2701</v>
      </c>
      <c r="C75" s="3">
        <v>670</v>
      </c>
      <c r="D75" s="2" t="s">
        <v>64</v>
      </c>
      <c r="E75" s="2" t="s">
        <v>3090</v>
      </c>
      <c r="F75" s="2" t="s">
        <v>3090</v>
      </c>
      <c r="G75" s="2" t="s">
        <v>3091</v>
      </c>
      <c r="H75" s="2" t="s">
        <v>3090</v>
      </c>
      <c r="I75" s="2" t="s">
        <v>3090</v>
      </c>
      <c r="J75" s="2" t="s">
        <v>3090</v>
      </c>
      <c r="K75" s="2" t="s">
        <v>3091</v>
      </c>
      <c r="L75" s="2" t="s">
        <v>3091</v>
      </c>
      <c r="M75" s="2" t="s">
        <v>3090</v>
      </c>
      <c r="N75" s="2" t="s">
        <v>3090</v>
      </c>
      <c r="O75" s="2" t="s">
        <v>3090</v>
      </c>
      <c r="P75" s="2" t="s">
        <v>3091</v>
      </c>
      <c r="Q75" s="2" t="s">
        <v>3091</v>
      </c>
      <c r="R75" s="2" t="s">
        <v>3091</v>
      </c>
      <c r="S75" s="2"/>
      <c r="T75" s="2" t="s">
        <v>3091</v>
      </c>
      <c r="U75" s="2"/>
      <c r="V75" s="2"/>
      <c r="W75" s="4">
        <f t="shared" si="3"/>
        <v>8</v>
      </c>
      <c r="X75" s="4">
        <f t="shared" si="4"/>
        <v>7</v>
      </c>
      <c r="Y75" s="4">
        <f t="shared" si="5"/>
        <v>15</v>
      </c>
    </row>
    <row r="76" spans="1:25" ht="15.75" customHeight="1">
      <c r="A76" s="2" t="s">
        <v>2763</v>
      </c>
      <c r="B76" s="2" t="s">
        <v>2671</v>
      </c>
      <c r="C76" s="3">
        <v>413</v>
      </c>
      <c r="D76" s="2" t="s">
        <v>510</v>
      </c>
      <c r="E76" s="2" t="s">
        <v>3091</v>
      </c>
      <c r="F76" s="2" t="s">
        <v>3091</v>
      </c>
      <c r="G76" s="2" t="s">
        <v>3091</v>
      </c>
      <c r="H76" s="2" t="s">
        <v>3091</v>
      </c>
      <c r="I76" s="2" t="s">
        <v>3091</v>
      </c>
      <c r="J76" s="2" t="s">
        <v>3091</v>
      </c>
      <c r="K76" s="2" t="s">
        <v>3091</v>
      </c>
      <c r="L76" s="2" t="s">
        <v>3091</v>
      </c>
      <c r="M76" s="2" t="s">
        <v>3091</v>
      </c>
      <c r="N76" s="2" t="s">
        <v>3091</v>
      </c>
      <c r="O76" s="2" t="s">
        <v>3091</v>
      </c>
      <c r="P76" s="2" t="s">
        <v>3091</v>
      </c>
      <c r="Q76" s="2" t="s">
        <v>3091</v>
      </c>
      <c r="R76" s="2" t="s">
        <v>3091</v>
      </c>
      <c r="S76" s="2" t="s">
        <v>3091</v>
      </c>
      <c r="T76" s="2"/>
      <c r="U76" s="2"/>
      <c r="V76" s="2" t="s">
        <v>3090</v>
      </c>
      <c r="W76" s="4">
        <f t="shared" si="3"/>
        <v>1</v>
      </c>
      <c r="X76" s="4">
        <f t="shared" si="4"/>
        <v>15</v>
      </c>
      <c r="Y76" s="4">
        <f t="shared" si="5"/>
        <v>16</v>
      </c>
    </row>
    <row r="77" spans="1:25" ht="15.75" customHeight="1">
      <c r="A77" s="2" t="s">
        <v>2764</v>
      </c>
      <c r="B77" s="2" t="s">
        <v>2732</v>
      </c>
      <c r="C77" s="3">
        <v>593</v>
      </c>
      <c r="D77" s="2" t="s">
        <v>108</v>
      </c>
      <c r="E77" s="2" t="s">
        <v>3090</v>
      </c>
      <c r="F77" s="2" t="s">
        <v>3090</v>
      </c>
      <c r="G77" s="2" t="s">
        <v>3090</v>
      </c>
      <c r="H77" s="2" t="s">
        <v>3090</v>
      </c>
      <c r="I77" s="2" t="s">
        <v>3090</v>
      </c>
      <c r="J77" s="2" t="s">
        <v>3090</v>
      </c>
      <c r="K77" s="2" t="s">
        <v>3091</v>
      </c>
      <c r="L77" s="2" t="s">
        <v>3091</v>
      </c>
      <c r="M77" s="2" t="s">
        <v>3090</v>
      </c>
      <c r="N77" s="2" t="s">
        <v>3090</v>
      </c>
      <c r="O77" s="2" t="s">
        <v>3090</v>
      </c>
      <c r="P77" s="2" t="s">
        <v>3091</v>
      </c>
      <c r="Q77" s="2" t="s">
        <v>3090</v>
      </c>
      <c r="R77" s="2" t="s">
        <v>3090</v>
      </c>
      <c r="S77" s="2"/>
      <c r="T77" s="2"/>
      <c r="U77" s="2" t="s">
        <v>3090</v>
      </c>
      <c r="V77" s="2" t="s">
        <v>3090</v>
      </c>
      <c r="W77" s="4">
        <f t="shared" si="3"/>
        <v>13</v>
      </c>
      <c r="X77" s="4">
        <f t="shared" si="4"/>
        <v>3</v>
      </c>
      <c r="Y77" s="4">
        <f t="shared" si="5"/>
        <v>16</v>
      </c>
    </row>
    <row r="78" spans="1:25" ht="15.75" customHeight="1">
      <c r="A78" s="2" t="s">
        <v>2765</v>
      </c>
      <c r="B78" s="2" t="s">
        <v>2766</v>
      </c>
      <c r="C78" s="3">
        <v>723</v>
      </c>
      <c r="D78" s="2" t="s">
        <v>591</v>
      </c>
      <c r="E78" s="2" t="s">
        <v>3090</v>
      </c>
      <c r="F78" s="2" t="s">
        <v>3090</v>
      </c>
      <c r="G78" s="2" t="s">
        <v>3090</v>
      </c>
      <c r="H78" s="2" t="s">
        <v>3090</v>
      </c>
      <c r="I78" s="2" t="s">
        <v>3090</v>
      </c>
      <c r="J78" s="2" t="s">
        <v>3090</v>
      </c>
      <c r="K78" s="2" t="s">
        <v>3091</v>
      </c>
      <c r="L78" s="2" t="s">
        <v>3091</v>
      </c>
      <c r="M78" s="2" t="s">
        <v>3090</v>
      </c>
      <c r="N78" s="2" t="s">
        <v>3090</v>
      </c>
      <c r="O78" s="2" t="s">
        <v>3090</v>
      </c>
      <c r="P78" s="2" t="s">
        <v>3091</v>
      </c>
      <c r="Q78" s="2" t="s">
        <v>3090</v>
      </c>
      <c r="R78" s="2" t="s">
        <v>3090</v>
      </c>
      <c r="S78" s="2" t="s">
        <v>3091</v>
      </c>
      <c r="T78" s="2" t="s">
        <v>3091</v>
      </c>
      <c r="U78" s="2" t="s">
        <v>3090</v>
      </c>
      <c r="V78" s="2" t="s">
        <v>3090</v>
      </c>
      <c r="W78" s="4">
        <f t="shared" si="3"/>
        <v>13</v>
      </c>
      <c r="X78" s="4">
        <f t="shared" si="4"/>
        <v>5</v>
      </c>
      <c r="Y78" s="4">
        <f t="shared" si="5"/>
        <v>18</v>
      </c>
    </row>
    <row r="79" spans="1:25" ht="15.75" customHeight="1">
      <c r="A79" s="2" t="s">
        <v>2767</v>
      </c>
      <c r="B79" s="2" t="s">
        <v>2768</v>
      </c>
      <c r="C79" s="3">
        <v>759</v>
      </c>
      <c r="D79" s="2" t="s">
        <v>716</v>
      </c>
      <c r="E79" s="2"/>
      <c r="F79" s="2" t="s">
        <v>3091</v>
      </c>
      <c r="G79" s="2"/>
      <c r="H79" s="2"/>
      <c r="I79" s="2"/>
      <c r="J79" s="2"/>
      <c r="K79" s="2"/>
      <c r="L79" s="2"/>
      <c r="M79" s="2" t="s">
        <v>3091</v>
      </c>
      <c r="N79" s="2"/>
      <c r="O79" s="2"/>
      <c r="P79" s="2"/>
      <c r="Q79" s="2"/>
      <c r="R79" s="2"/>
      <c r="S79" s="2"/>
      <c r="T79" s="2"/>
      <c r="U79" s="2"/>
      <c r="V79" s="2"/>
      <c r="W79" s="4">
        <f t="shared" si="3"/>
        <v>0</v>
      </c>
      <c r="X79" s="4">
        <f t="shared" si="4"/>
        <v>2</v>
      </c>
      <c r="Y79" s="4">
        <f t="shared" si="5"/>
        <v>2</v>
      </c>
    </row>
    <row r="80" spans="1:25" ht="15.75" customHeight="1">
      <c r="A80" s="2" t="s">
        <v>2769</v>
      </c>
      <c r="B80" s="2" t="s">
        <v>2770</v>
      </c>
      <c r="C80" s="3">
        <v>277</v>
      </c>
      <c r="D80" s="2" t="s">
        <v>385</v>
      </c>
      <c r="E80" s="2" t="s">
        <v>3091</v>
      </c>
      <c r="F80" s="2" t="s">
        <v>3090</v>
      </c>
      <c r="G80" s="2" t="s">
        <v>3090</v>
      </c>
      <c r="H80" s="2" t="s">
        <v>3090</v>
      </c>
      <c r="I80" s="2" t="s">
        <v>3090</v>
      </c>
      <c r="J80" s="2" t="s">
        <v>3090</v>
      </c>
      <c r="K80" s="2" t="s">
        <v>3091</v>
      </c>
      <c r="L80" s="2" t="s">
        <v>3091</v>
      </c>
      <c r="M80" s="2" t="s">
        <v>3090</v>
      </c>
      <c r="N80" s="2" t="s">
        <v>3090</v>
      </c>
      <c r="O80" s="2" t="s">
        <v>3091</v>
      </c>
      <c r="P80" s="2" t="s">
        <v>3091</v>
      </c>
      <c r="Q80" s="2" t="s">
        <v>3090</v>
      </c>
      <c r="R80" s="2" t="s">
        <v>3090</v>
      </c>
      <c r="S80" s="2" t="s">
        <v>3091</v>
      </c>
      <c r="T80" s="2" t="s">
        <v>3091</v>
      </c>
      <c r="U80" s="2" t="s">
        <v>3090</v>
      </c>
      <c r="V80" s="2"/>
      <c r="W80" s="4">
        <f t="shared" si="3"/>
        <v>10</v>
      </c>
      <c r="X80" s="4">
        <f t="shared" si="4"/>
        <v>7</v>
      </c>
      <c r="Y80" s="4">
        <f t="shared" si="5"/>
        <v>17</v>
      </c>
    </row>
    <row r="81" spans="1:25" ht="15.75" customHeight="1">
      <c r="A81" s="2" t="s">
        <v>2771</v>
      </c>
      <c r="B81" s="2" t="s">
        <v>2680</v>
      </c>
      <c r="C81" s="3">
        <v>331</v>
      </c>
      <c r="D81" s="2" t="s">
        <v>296</v>
      </c>
      <c r="E81" s="2" t="s">
        <v>3090</v>
      </c>
      <c r="F81" s="2" t="s">
        <v>3090</v>
      </c>
      <c r="G81" s="2" t="s">
        <v>3090</v>
      </c>
      <c r="H81" s="2" t="s">
        <v>3090</v>
      </c>
      <c r="I81" s="2" t="s">
        <v>3090</v>
      </c>
      <c r="J81" s="2" t="s">
        <v>3090</v>
      </c>
      <c r="K81" s="2" t="s">
        <v>3091</v>
      </c>
      <c r="L81" s="2" t="s">
        <v>3091</v>
      </c>
      <c r="M81" s="2" t="s">
        <v>3090</v>
      </c>
      <c r="N81" s="2" t="s">
        <v>3090</v>
      </c>
      <c r="O81" s="2" t="s">
        <v>3090</v>
      </c>
      <c r="P81" s="2" t="s">
        <v>3091</v>
      </c>
      <c r="Q81" s="2" t="s">
        <v>3090</v>
      </c>
      <c r="R81" s="2" t="s">
        <v>3090</v>
      </c>
      <c r="S81" s="2" t="s">
        <v>3091</v>
      </c>
      <c r="T81" s="2"/>
      <c r="U81" s="2" t="s">
        <v>3090</v>
      </c>
      <c r="V81" s="2" t="s">
        <v>3090</v>
      </c>
      <c r="W81" s="4">
        <f t="shared" si="3"/>
        <v>13</v>
      </c>
      <c r="X81" s="4">
        <f t="shared" si="4"/>
        <v>4</v>
      </c>
      <c r="Y81" s="4">
        <f t="shared" si="5"/>
        <v>17</v>
      </c>
    </row>
    <row r="82" spans="1:25" ht="15.75" customHeight="1">
      <c r="A82" s="2" t="s">
        <v>2772</v>
      </c>
      <c r="B82" s="2" t="s">
        <v>2676</v>
      </c>
      <c r="C82" s="3">
        <v>259</v>
      </c>
      <c r="D82" s="2" t="s">
        <v>612</v>
      </c>
      <c r="E82" s="2" t="s">
        <v>3090</v>
      </c>
      <c r="F82" s="2"/>
      <c r="G82" s="2" t="s">
        <v>3091</v>
      </c>
      <c r="H82" s="2" t="s">
        <v>3091</v>
      </c>
      <c r="I82" s="2" t="s">
        <v>3090</v>
      </c>
      <c r="J82" s="2" t="s">
        <v>3091</v>
      </c>
      <c r="K82" s="2" t="s">
        <v>3091</v>
      </c>
      <c r="L82" s="2" t="s">
        <v>3091</v>
      </c>
      <c r="M82" s="2" t="s">
        <v>3091</v>
      </c>
      <c r="N82" s="2"/>
      <c r="O82" s="2"/>
      <c r="P82" s="2"/>
      <c r="Q82" s="2" t="s">
        <v>3091</v>
      </c>
      <c r="R82" s="2" t="s">
        <v>3091</v>
      </c>
      <c r="S82" s="2" t="s">
        <v>3091</v>
      </c>
      <c r="T82" s="2"/>
      <c r="U82" s="2"/>
      <c r="V82" s="2"/>
      <c r="W82" s="4">
        <f t="shared" si="3"/>
        <v>2</v>
      </c>
      <c r="X82" s="4">
        <f t="shared" si="4"/>
        <v>9</v>
      </c>
      <c r="Y82" s="4">
        <f t="shared" si="5"/>
        <v>11</v>
      </c>
    </row>
    <row r="83" spans="1:25" ht="15.75" customHeight="1">
      <c r="A83" s="2" t="s">
        <v>2773</v>
      </c>
      <c r="B83" s="2" t="s">
        <v>2699</v>
      </c>
      <c r="C83" s="3">
        <v>285</v>
      </c>
      <c r="D83" s="2" t="s">
        <v>158</v>
      </c>
      <c r="E83" s="2" t="s">
        <v>3090</v>
      </c>
      <c r="F83" s="2" t="s">
        <v>3090</v>
      </c>
      <c r="G83" s="2" t="s">
        <v>3090</v>
      </c>
      <c r="H83" s="2" t="s">
        <v>3090</v>
      </c>
      <c r="I83" s="2" t="s">
        <v>3090</v>
      </c>
      <c r="J83" s="2" t="s">
        <v>3090</v>
      </c>
      <c r="K83" s="2" t="s">
        <v>3091</v>
      </c>
      <c r="L83" s="2" t="s">
        <v>3091</v>
      </c>
      <c r="M83" s="2" t="s">
        <v>3090</v>
      </c>
      <c r="N83" s="2" t="s">
        <v>3090</v>
      </c>
      <c r="O83" s="2" t="s">
        <v>3090</v>
      </c>
      <c r="P83" s="2" t="s">
        <v>3091</v>
      </c>
      <c r="Q83" s="2" t="s">
        <v>3090</v>
      </c>
      <c r="R83" s="2" t="s">
        <v>3090</v>
      </c>
      <c r="S83" s="2" t="s">
        <v>3091</v>
      </c>
      <c r="T83" s="2"/>
      <c r="U83" s="2" t="s">
        <v>3090</v>
      </c>
      <c r="V83" s="2"/>
      <c r="W83" s="4">
        <f t="shared" si="3"/>
        <v>12</v>
      </c>
      <c r="X83" s="4">
        <f t="shared" si="4"/>
        <v>4</v>
      </c>
      <c r="Y83" s="4">
        <f t="shared" si="5"/>
        <v>16</v>
      </c>
    </row>
    <row r="84" spans="1:25" ht="15.75" customHeight="1">
      <c r="A84" s="2" t="s">
        <v>2774</v>
      </c>
      <c r="B84" s="2" t="s">
        <v>2775</v>
      </c>
      <c r="C84" s="3">
        <v>607</v>
      </c>
      <c r="D84" s="2" t="s">
        <v>789</v>
      </c>
      <c r="E84" s="2" t="s">
        <v>3090</v>
      </c>
      <c r="F84" s="2" t="s">
        <v>3090</v>
      </c>
      <c r="G84" s="2" t="s">
        <v>3090</v>
      </c>
      <c r="H84" s="2" t="s">
        <v>3090</v>
      </c>
      <c r="I84" s="2" t="s">
        <v>3090</v>
      </c>
      <c r="J84" s="2" t="s">
        <v>3090</v>
      </c>
      <c r="K84" s="2" t="s">
        <v>3091</v>
      </c>
      <c r="L84" s="2" t="s">
        <v>3091</v>
      </c>
      <c r="M84" s="2" t="s">
        <v>3090</v>
      </c>
      <c r="N84" s="2" t="s">
        <v>3090</v>
      </c>
      <c r="O84" s="2" t="s">
        <v>3090</v>
      </c>
      <c r="P84" s="2" t="s">
        <v>3091</v>
      </c>
      <c r="Q84" s="2" t="s">
        <v>3091</v>
      </c>
      <c r="R84" s="2" t="s">
        <v>3091</v>
      </c>
      <c r="S84" s="2" t="s">
        <v>3091</v>
      </c>
      <c r="T84" s="2"/>
      <c r="U84" s="2"/>
      <c r="V84" s="2"/>
      <c r="W84" s="4">
        <f t="shared" si="3"/>
        <v>9</v>
      </c>
      <c r="X84" s="4">
        <f t="shared" si="4"/>
        <v>6</v>
      </c>
      <c r="Y84" s="4">
        <f t="shared" si="5"/>
        <v>15</v>
      </c>
    </row>
    <row r="85" spans="1:25" ht="15.75" customHeight="1">
      <c r="A85" s="2" t="s">
        <v>2776</v>
      </c>
      <c r="B85" s="2" t="s">
        <v>2777</v>
      </c>
      <c r="C85" s="3">
        <v>753</v>
      </c>
      <c r="D85" s="2" t="s">
        <v>462</v>
      </c>
      <c r="E85" s="2" t="s">
        <v>3090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4">
        <f t="shared" si="3"/>
        <v>1</v>
      </c>
      <c r="X85" s="4">
        <f t="shared" si="4"/>
        <v>0</v>
      </c>
      <c r="Y85" s="4">
        <f t="shared" si="5"/>
        <v>1</v>
      </c>
    </row>
    <row r="86" spans="1:25" ht="15.75" customHeight="1">
      <c r="A86" s="2" t="s">
        <v>2778</v>
      </c>
      <c r="B86" s="2" t="s">
        <v>2779</v>
      </c>
      <c r="C86" s="3">
        <v>668</v>
      </c>
      <c r="D86" s="2" t="s">
        <v>111</v>
      </c>
      <c r="E86" s="2" t="s">
        <v>3090</v>
      </c>
      <c r="F86" s="2" t="s">
        <v>3090</v>
      </c>
      <c r="G86" s="2" t="s">
        <v>3090</v>
      </c>
      <c r="H86" s="2" t="s">
        <v>3090</v>
      </c>
      <c r="I86" s="2" t="s">
        <v>3090</v>
      </c>
      <c r="J86" s="2" t="s">
        <v>3090</v>
      </c>
      <c r="K86" s="2" t="s">
        <v>3091</v>
      </c>
      <c r="L86" s="2" t="s">
        <v>3091</v>
      </c>
      <c r="M86" s="2" t="s">
        <v>3091</v>
      </c>
      <c r="N86" s="2" t="s">
        <v>3091</v>
      </c>
      <c r="O86" s="2" t="s">
        <v>3090</v>
      </c>
      <c r="P86" s="2" t="s">
        <v>3091</v>
      </c>
      <c r="Q86" s="2" t="s">
        <v>3090</v>
      </c>
      <c r="R86" s="2" t="s">
        <v>3090</v>
      </c>
      <c r="S86" s="2" t="s">
        <v>3091</v>
      </c>
      <c r="T86" s="2" t="s">
        <v>3091</v>
      </c>
      <c r="U86" s="2" t="s">
        <v>3090</v>
      </c>
      <c r="V86" s="2" t="s">
        <v>3090</v>
      </c>
      <c r="W86" s="4">
        <f t="shared" si="3"/>
        <v>11</v>
      </c>
      <c r="X86" s="4">
        <f t="shared" si="4"/>
        <v>7</v>
      </c>
      <c r="Y86" s="4">
        <f t="shared" si="5"/>
        <v>18</v>
      </c>
    </row>
    <row r="87" spans="1:25" ht="15.75" customHeight="1">
      <c r="A87" s="2" t="s">
        <v>2780</v>
      </c>
      <c r="B87" s="2" t="s">
        <v>2781</v>
      </c>
      <c r="C87" s="3">
        <v>775</v>
      </c>
      <c r="D87" s="2" t="s">
        <v>114</v>
      </c>
      <c r="E87" s="2" t="s">
        <v>3090</v>
      </c>
      <c r="F87" s="2" t="s">
        <v>3091</v>
      </c>
      <c r="G87" s="2"/>
      <c r="H87" s="2" t="s">
        <v>3091</v>
      </c>
      <c r="I87" s="2" t="s">
        <v>3091</v>
      </c>
      <c r="J87" s="2" t="s">
        <v>3090</v>
      </c>
      <c r="K87" s="2"/>
      <c r="L87" s="2"/>
      <c r="M87" s="2" t="s">
        <v>3090</v>
      </c>
      <c r="N87" s="2" t="s">
        <v>3090</v>
      </c>
      <c r="O87" s="2" t="s">
        <v>3090</v>
      </c>
      <c r="P87" s="2"/>
      <c r="Q87" s="2" t="s">
        <v>3090</v>
      </c>
      <c r="R87" s="2" t="s">
        <v>3091</v>
      </c>
      <c r="S87" s="2"/>
      <c r="T87" s="2" t="s">
        <v>3091</v>
      </c>
      <c r="U87" s="2" t="s">
        <v>3090</v>
      </c>
      <c r="V87" s="2" t="s">
        <v>3090</v>
      </c>
      <c r="W87" s="4">
        <f t="shared" si="3"/>
        <v>8</v>
      </c>
      <c r="X87" s="4">
        <f t="shared" si="4"/>
        <v>5</v>
      </c>
      <c r="Y87" s="4">
        <f t="shared" si="5"/>
        <v>13</v>
      </c>
    </row>
    <row r="88" spans="1:25" ht="15.75" customHeight="1">
      <c r="A88" s="2" t="s">
        <v>2782</v>
      </c>
      <c r="B88" s="2" t="s">
        <v>833</v>
      </c>
      <c r="C88" s="3">
        <v>342</v>
      </c>
      <c r="D88" s="2" t="s">
        <v>464</v>
      </c>
      <c r="E88" s="2" t="s">
        <v>3090</v>
      </c>
      <c r="F88" s="2" t="s">
        <v>3090</v>
      </c>
      <c r="G88" s="2" t="s">
        <v>3090</v>
      </c>
      <c r="H88" s="2" t="s">
        <v>3090</v>
      </c>
      <c r="I88" s="2" t="s">
        <v>3090</v>
      </c>
      <c r="J88" s="2" t="s">
        <v>3091</v>
      </c>
      <c r="K88" s="2" t="s">
        <v>3091</v>
      </c>
      <c r="L88" s="2" t="s">
        <v>3091</v>
      </c>
      <c r="M88" s="2" t="s">
        <v>3090</v>
      </c>
      <c r="N88" s="2" t="s">
        <v>3090</v>
      </c>
      <c r="O88" s="2" t="s">
        <v>3090</v>
      </c>
      <c r="P88" s="2" t="s">
        <v>3091</v>
      </c>
      <c r="Q88" s="2" t="s">
        <v>3091</v>
      </c>
      <c r="R88" s="2" t="s">
        <v>3091</v>
      </c>
      <c r="S88" s="2" t="s">
        <v>3091</v>
      </c>
      <c r="T88" s="2"/>
      <c r="U88" s="2"/>
      <c r="V88" s="2"/>
      <c r="W88" s="4">
        <f t="shared" si="3"/>
        <v>8</v>
      </c>
      <c r="X88" s="4">
        <f t="shared" si="4"/>
        <v>7</v>
      </c>
      <c r="Y88" s="4">
        <f t="shared" si="5"/>
        <v>15</v>
      </c>
    </row>
    <row r="89" spans="1:25" ht="15.75" customHeight="1">
      <c r="A89" s="2" t="s">
        <v>2783</v>
      </c>
      <c r="B89" s="2" t="s">
        <v>2659</v>
      </c>
      <c r="C89" s="3">
        <v>725</v>
      </c>
      <c r="D89" s="2" t="s">
        <v>512</v>
      </c>
      <c r="E89" s="2" t="s">
        <v>3090</v>
      </c>
      <c r="F89" s="2" t="s">
        <v>3091</v>
      </c>
      <c r="G89" s="2" t="s">
        <v>3090</v>
      </c>
      <c r="H89" s="2" t="s">
        <v>3091</v>
      </c>
      <c r="I89" s="2" t="s">
        <v>3091</v>
      </c>
      <c r="J89" s="2" t="s">
        <v>3091</v>
      </c>
      <c r="K89" s="2" t="s">
        <v>3091</v>
      </c>
      <c r="L89" s="2" t="s">
        <v>3091</v>
      </c>
      <c r="M89" s="2" t="s">
        <v>3091</v>
      </c>
      <c r="N89" s="2" t="s">
        <v>3091</v>
      </c>
      <c r="O89" s="2" t="s">
        <v>3090</v>
      </c>
      <c r="P89" s="2"/>
      <c r="Q89" s="2"/>
      <c r="R89" s="2" t="s">
        <v>3091</v>
      </c>
      <c r="S89" s="2"/>
      <c r="T89" s="2"/>
      <c r="U89" s="2"/>
      <c r="V89" s="2"/>
      <c r="W89" s="4">
        <f t="shared" si="3"/>
        <v>3</v>
      </c>
      <c r="X89" s="4">
        <f t="shared" si="4"/>
        <v>9</v>
      </c>
      <c r="Y89" s="4">
        <f t="shared" si="5"/>
        <v>12</v>
      </c>
    </row>
    <row r="90" spans="1:25" ht="15.75" customHeight="1">
      <c r="A90" s="2" t="s">
        <v>2784</v>
      </c>
      <c r="B90" s="2" t="s">
        <v>2701</v>
      </c>
      <c r="C90" s="3">
        <v>700</v>
      </c>
      <c r="D90" s="2" t="s">
        <v>353</v>
      </c>
      <c r="E90" s="2" t="s">
        <v>3090</v>
      </c>
      <c r="F90" s="2" t="s">
        <v>3090</v>
      </c>
      <c r="G90" s="2" t="s">
        <v>3090</v>
      </c>
      <c r="H90" s="2" t="s">
        <v>3091</v>
      </c>
      <c r="I90" s="2" t="s">
        <v>3091</v>
      </c>
      <c r="J90" s="2" t="s">
        <v>3091</v>
      </c>
      <c r="K90" s="2" t="s">
        <v>3091</v>
      </c>
      <c r="L90" s="2" t="s">
        <v>3091</v>
      </c>
      <c r="M90" s="2" t="s">
        <v>3091</v>
      </c>
      <c r="N90" s="2" t="s">
        <v>3091</v>
      </c>
      <c r="O90" s="2" t="s">
        <v>3091</v>
      </c>
      <c r="P90" s="2" t="s">
        <v>3091</v>
      </c>
      <c r="Q90" s="2" t="s">
        <v>3091</v>
      </c>
      <c r="R90" s="2" t="s">
        <v>3091</v>
      </c>
      <c r="S90" s="2" t="s">
        <v>3091</v>
      </c>
      <c r="T90" s="2" t="s">
        <v>3091</v>
      </c>
      <c r="U90" s="2" t="s">
        <v>3091</v>
      </c>
      <c r="V90" s="2" t="s">
        <v>3091</v>
      </c>
      <c r="W90" s="4">
        <f t="shared" si="3"/>
        <v>3</v>
      </c>
      <c r="X90" s="4">
        <f t="shared" si="4"/>
        <v>15</v>
      </c>
      <c r="Y90" s="4">
        <f t="shared" si="5"/>
        <v>18</v>
      </c>
    </row>
    <row r="91" spans="1:25" ht="15.75" customHeight="1">
      <c r="A91" s="2" t="s">
        <v>2785</v>
      </c>
      <c r="B91" s="2" t="s">
        <v>833</v>
      </c>
      <c r="C91" s="3">
        <v>689</v>
      </c>
      <c r="D91" s="2" t="s">
        <v>675</v>
      </c>
      <c r="E91" s="2" t="s">
        <v>3090</v>
      </c>
      <c r="F91" s="2" t="s">
        <v>3091</v>
      </c>
      <c r="G91" s="2" t="s">
        <v>3091</v>
      </c>
      <c r="H91" s="2" t="s">
        <v>3091</v>
      </c>
      <c r="I91" s="2" t="s">
        <v>3091</v>
      </c>
      <c r="J91" s="2" t="s">
        <v>3091</v>
      </c>
      <c r="K91" s="2" t="s">
        <v>3091</v>
      </c>
      <c r="L91" s="2" t="s">
        <v>3091</v>
      </c>
      <c r="M91" s="2" t="s">
        <v>3091</v>
      </c>
      <c r="N91" s="2" t="s">
        <v>3091</v>
      </c>
      <c r="O91" s="2" t="s">
        <v>3091</v>
      </c>
      <c r="P91" s="2" t="s">
        <v>3091</v>
      </c>
      <c r="Q91" s="2" t="s">
        <v>3091</v>
      </c>
      <c r="R91" s="2" t="s">
        <v>3091</v>
      </c>
      <c r="S91" s="2" t="s">
        <v>3091</v>
      </c>
      <c r="T91" s="2"/>
      <c r="U91" s="2"/>
      <c r="V91" s="2"/>
      <c r="W91" s="4">
        <f t="shared" si="3"/>
        <v>1</v>
      </c>
      <c r="X91" s="4">
        <f t="shared" si="4"/>
        <v>14</v>
      </c>
      <c r="Y91" s="4">
        <f t="shared" si="5"/>
        <v>15</v>
      </c>
    </row>
    <row r="92" spans="1:25" ht="15.75" customHeight="1">
      <c r="A92" s="2" t="s">
        <v>2786</v>
      </c>
      <c r="B92" s="2" t="s">
        <v>2787</v>
      </c>
      <c r="C92" s="3">
        <v>690</v>
      </c>
      <c r="D92" s="2" t="s">
        <v>678</v>
      </c>
      <c r="E92" s="2" t="s">
        <v>3091</v>
      </c>
      <c r="F92" s="2" t="s">
        <v>3091</v>
      </c>
      <c r="G92" s="2" t="s">
        <v>3091</v>
      </c>
      <c r="H92" s="2" t="s">
        <v>3091</v>
      </c>
      <c r="I92" s="2" t="s">
        <v>3091</v>
      </c>
      <c r="J92" s="2" t="s">
        <v>3091</v>
      </c>
      <c r="K92" s="2" t="s">
        <v>3091</v>
      </c>
      <c r="L92" s="2" t="s">
        <v>3091</v>
      </c>
      <c r="M92" s="2" t="s">
        <v>3091</v>
      </c>
      <c r="N92" s="2" t="s">
        <v>3091</v>
      </c>
      <c r="O92" s="2" t="s">
        <v>3091</v>
      </c>
      <c r="P92" s="2" t="s">
        <v>3091</v>
      </c>
      <c r="Q92" s="2" t="s">
        <v>3091</v>
      </c>
      <c r="R92" s="2" t="s">
        <v>3091</v>
      </c>
      <c r="S92" s="2" t="s">
        <v>3091</v>
      </c>
      <c r="T92" s="2" t="s">
        <v>3091</v>
      </c>
      <c r="U92" s="2" t="s">
        <v>3090</v>
      </c>
      <c r="V92" s="2"/>
      <c r="W92" s="4">
        <f t="shared" si="3"/>
        <v>1</v>
      </c>
      <c r="X92" s="4">
        <f t="shared" si="4"/>
        <v>16</v>
      </c>
      <c r="Y92" s="4">
        <f t="shared" si="5"/>
        <v>17</v>
      </c>
    </row>
    <row r="93" spans="1:25" ht="15.75" customHeight="1">
      <c r="A93" s="2" t="s">
        <v>2788</v>
      </c>
      <c r="B93" s="2" t="s">
        <v>2659</v>
      </c>
      <c r="C93" s="3">
        <v>735</v>
      </c>
      <c r="D93" s="2" t="s">
        <v>552</v>
      </c>
      <c r="E93" s="2" t="s">
        <v>3090</v>
      </c>
      <c r="F93" s="2"/>
      <c r="G93" s="2"/>
      <c r="H93" s="2"/>
      <c r="I93" s="2" t="s">
        <v>3090</v>
      </c>
      <c r="J93" s="2" t="s">
        <v>3090</v>
      </c>
      <c r="K93" s="2"/>
      <c r="L93" s="2"/>
      <c r="M93" s="2" t="s">
        <v>3090</v>
      </c>
      <c r="N93" s="2"/>
      <c r="O93" s="2" t="s">
        <v>3090</v>
      </c>
      <c r="P93" s="2"/>
      <c r="Q93" s="2" t="s">
        <v>3090</v>
      </c>
      <c r="R93" s="2" t="s">
        <v>3090</v>
      </c>
      <c r="S93" s="2"/>
      <c r="T93" s="2"/>
      <c r="U93" s="2" t="s">
        <v>3090</v>
      </c>
      <c r="V93" s="2" t="s">
        <v>3090</v>
      </c>
      <c r="W93" s="4">
        <f t="shared" si="3"/>
        <v>9</v>
      </c>
      <c r="X93" s="4">
        <f t="shared" si="4"/>
        <v>0</v>
      </c>
      <c r="Y93" s="4">
        <f t="shared" si="5"/>
        <v>9</v>
      </c>
    </row>
    <row r="94" spans="1:25" ht="15.75" customHeight="1">
      <c r="A94" s="2" t="s">
        <v>2789</v>
      </c>
      <c r="B94" s="2" t="s">
        <v>2790</v>
      </c>
      <c r="C94" s="3">
        <v>730</v>
      </c>
      <c r="D94" s="2" t="s">
        <v>778</v>
      </c>
      <c r="E94" s="2" t="s">
        <v>3090</v>
      </c>
      <c r="F94" s="2" t="s">
        <v>3090</v>
      </c>
      <c r="G94" s="2" t="s">
        <v>3090</v>
      </c>
      <c r="H94" s="2" t="s">
        <v>3090</v>
      </c>
      <c r="I94" s="2" t="s">
        <v>3090</v>
      </c>
      <c r="J94" s="2" t="s">
        <v>3090</v>
      </c>
      <c r="K94" s="2" t="s">
        <v>3091</v>
      </c>
      <c r="L94" s="2" t="s">
        <v>3091</v>
      </c>
      <c r="M94" s="2" t="s">
        <v>3090</v>
      </c>
      <c r="N94" s="2" t="s">
        <v>3090</v>
      </c>
      <c r="O94" s="2" t="s">
        <v>3090</v>
      </c>
      <c r="P94" s="2" t="s">
        <v>3091</v>
      </c>
      <c r="Q94" s="2" t="s">
        <v>3090</v>
      </c>
      <c r="R94" s="2" t="s">
        <v>3090</v>
      </c>
      <c r="S94" s="2" t="s">
        <v>3091</v>
      </c>
      <c r="T94" s="2"/>
      <c r="U94" s="2" t="s">
        <v>3090</v>
      </c>
      <c r="V94" s="2"/>
      <c r="W94" s="4">
        <f t="shared" si="3"/>
        <v>12</v>
      </c>
      <c r="X94" s="4">
        <f t="shared" si="4"/>
        <v>4</v>
      </c>
      <c r="Y94" s="4">
        <f t="shared" si="5"/>
        <v>16</v>
      </c>
    </row>
    <row r="95" spans="1:25" ht="15.75" customHeight="1">
      <c r="A95" s="2" t="s">
        <v>2791</v>
      </c>
      <c r="B95" s="2" t="s">
        <v>2792</v>
      </c>
      <c r="C95" s="3">
        <v>330</v>
      </c>
      <c r="D95" s="2" t="s">
        <v>387</v>
      </c>
      <c r="E95" s="2" t="s">
        <v>3090</v>
      </c>
      <c r="F95" s="2" t="s">
        <v>3090</v>
      </c>
      <c r="G95" s="2" t="s">
        <v>3090</v>
      </c>
      <c r="H95" s="2" t="s">
        <v>3090</v>
      </c>
      <c r="I95" s="2" t="s">
        <v>3090</v>
      </c>
      <c r="J95" s="2" t="s">
        <v>3090</v>
      </c>
      <c r="K95" s="2" t="s">
        <v>3091</v>
      </c>
      <c r="L95" s="2" t="s">
        <v>3091</v>
      </c>
      <c r="M95" s="2" t="s">
        <v>3090</v>
      </c>
      <c r="N95" s="2" t="s">
        <v>3090</v>
      </c>
      <c r="O95" s="2" t="s">
        <v>3091</v>
      </c>
      <c r="P95" s="2" t="s">
        <v>3091</v>
      </c>
      <c r="Q95" s="2" t="s">
        <v>3090</v>
      </c>
      <c r="R95" s="2" t="s">
        <v>3090</v>
      </c>
      <c r="S95" s="2"/>
      <c r="T95" s="2"/>
      <c r="U95" s="2" t="s">
        <v>3090</v>
      </c>
      <c r="V95" s="2"/>
      <c r="W95" s="4">
        <f t="shared" si="3"/>
        <v>11</v>
      </c>
      <c r="X95" s="4">
        <f t="shared" si="4"/>
        <v>4</v>
      </c>
      <c r="Y95" s="4">
        <f t="shared" si="5"/>
        <v>15</v>
      </c>
    </row>
    <row r="96" spans="1:25" ht="15.75" customHeight="1">
      <c r="A96" s="2" t="s">
        <v>2793</v>
      </c>
      <c r="B96" s="2" t="s">
        <v>2662</v>
      </c>
      <c r="C96" s="3">
        <v>742</v>
      </c>
      <c r="D96" s="2" t="s">
        <v>67</v>
      </c>
      <c r="E96" s="2" t="s">
        <v>3090</v>
      </c>
      <c r="F96" s="2" t="s">
        <v>3090</v>
      </c>
      <c r="G96" s="2" t="s">
        <v>3090</v>
      </c>
      <c r="H96" s="2" t="s">
        <v>3090</v>
      </c>
      <c r="I96" s="2" t="s">
        <v>3090</v>
      </c>
      <c r="J96" s="2" t="s">
        <v>3090</v>
      </c>
      <c r="K96" s="2" t="s">
        <v>3091</v>
      </c>
      <c r="L96" s="2" t="s">
        <v>3091</v>
      </c>
      <c r="M96" s="2" t="s">
        <v>3090</v>
      </c>
      <c r="N96" s="2" t="s">
        <v>3090</v>
      </c>
      <c r="O96" s="2" t="s">
        <v>3090</v>
      </c>
      <c r="P96" s="2" t="s">
        <v>3091</v>
      </c>
      <c r="Q96" s="2" t="s">
        <v>3090</v>
      </c>
      <c r="R96" s="2" t="s">
        <v>3090</v>
      </c>
      <c r="S96" s="2" t="s">
        <v>3091</v>
      </c>
      <c r="T96" s="2" t="s">
        <v>3091</v>
      </c>
      <c r="U96" s="2" t="s">
        <v>3090</v>
      </c>
      <c r="V96" s="2" t="s">
        <v>3090</v>
      </c>
      <c r="W96" s="4">
        <f t="shared" si="3"/>
        <v>13</v>
      </c>
      <c r="X96" s="4">
        <f t="shared" si="4"/>
        <v>5</v>
      </c>
      <c r="Y96" s="4">
        <f t="shared" si="5"/>
        <v>18</v>
      </c>
    </row>
    <row r="97" spans="1:25" ht="15.75" customHeight="1">
      <c r="A97" s="2" t="s">
        <v>2794</v>
      </c>
      <c r="B97" s="2" t="s">
        <v>2732</v>
      </c>
      <c r="C97" s="3">
        <v>305</v>
      </c>
      <c r="D97" s="2" t="s">
        <v>466</v>
      </c>
      <c r="E97" s="2" t="s">
        <v>3090</v>
      </c>
      <c r="F97" s="2" t="s">
        <v>3090</v>
      </c>
      <c r="G97" s="2" t="s">
        <v>3090</v>
      </c>
      <c r="H97" s="2" t="s">
        <v>3090</v>
      </c>
      <c r="I97" s="2" t="s">
        <v>3090</v>
      </c>
      <c r="J97" s="2" t="s">
        <v>3090</v>
      </c>
      <c r="K97" s="2"/>
      <c r="L97" s="2"/>
      <c r="M97" s="2" t="s">
        <v>3091</v>
      </c>
      <c r="N97" s="2" t="s">
        <v>3091</v>
      </c>
      <c r="O97" s="2" t="s">
        <v>3090</v>
      </c>
      <c r="P97" s="2"/>
      <c r="Q97" s="2" t="s">
        <v>3091</v>
      </c>
      <c r="R97" s="2" t="s">
        <v>3090</v>
      </c>
      <c r="S97" s="2" t="s">
        <v>3091</v>
      </c>
      <c r="T97" s="2"/>
      <c r="U97" s="2" t="s">
        <v>3090</v>
      </c>
      <c r="V97" s="2" t="s">
        <v>3090</v>
      </c>
      <c r="W97" s="4">
        <f t="shared" si="3"/>
        <v>10</v>
      </c>
      <c r="X97" s="4">
        <f t="shared" si="4"/>
        <v>4</v>
      </c>
      <c r="Y97" s="4">
        <f t="shared" si="5"/>
        <v>14</v>
      </c>
    </row>
    <row r="98" spans="1:25" ht="15.75" customHeight="1">
      <c r="A98" s="2" t="s">
        <v>2795</v>
      </c>
      <c r="B98" s="2" t="s">
        <v>2796</v>
      </c>
      <c r="C98" s="3">
        <v>778</v>
      </c>
      <c r="D98" s="2" t="s">
        <v>719</v>
      </c>
      <c r="E98" s="2" t="s">
        <v>3090</v>
      </c>
      <c r="F98" s="2" t="s">
        <v>3091</v>
      </c>
      <c r="G98" s="2" t="s">
        <v>3091</v>
      </c>
      <c r="H98" s="2" t="s">
        <v>3091</v>
      </c>
      <c r="I98" s="2" t="s">
        <v>3091</v>
      </c>
      <c r="J98" s="2" t="s">
        <v>3091</v>
      </c>
      <c r="K98" s="2" t="s">
        <v>3091</v>
      </c>
      <c r="L98" s="2" t="s">
        <v>3091</v>
      </c>
      <c r="M98" s="2"/>
      <c r="N98" s="2" t="s">
        <v>3091</v>
      </c>
      <c r="O98" s="2"/>
      <c r="P98" s="2" t="s">
        <v>3091</v>
      </c>
      <c r="Q98" s="2" t="s">
        <v>3091</v>
      </c>
      <c r="R98" s="2" t="s">
        <v>3091</v>
      </c>
      <c r="S98" s="2" t="s">
        <v>3091</v>
      </c>
      <c r="T98" s="2"/>
      <c r="U98" s="2"/>
      <c r="V98" s="2"/>
      <c r="W98" s="4">
        <f t="shared" si="3"/>
        <v>1</v>
      </c>
      <c r="X98" s="4">
        <f t="shared" si="4"/>
        <v>12</v>
      </c>
      <c r="Y98" s="4">
        <f t="shared" si="5"/>
        <v>13</v>
      </c>
    </row>
    <row r="99" spans="1:25" ht="15.75" customHeight="1">
      <c r="A99" s="2" t="s">
        <v>2797</v>
      </c>
      <c r="B99" s="2" t="s">
        <v>2798</v>
      </c>
      <c r="C99" s="3">
        <v>792</v>
      </c>
      <c r="D99" s="2" t="s">
        <v>9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4">
        <f t="shared" si="3"/>
        <v>0</v>
      </c>
      <c r="X99" s="4">
        <f t="shared" si="4"/>
        <v>0</v>
      </c>
      <c r="Y99" s="4">
        <f t="shared" si="5"/>
        <v>0</v>
      </c>
    </row>
    <row r="100" spans="1:25" ht="15.75" customHeight="1">
      <c r="A100" s="2" t="s">
        <v>2799</v>
      </c>
      <c r="B100" s="2" t="s">
        <v>2746</v>
      </c>
      <c r="C100" s="3">
        <v>366</v>
      </c>
      <c r="D100" s="2" t="s">
        <v>160</v>
      </c>
      <c r="E100" s="2" t="s">
        <v>3090</v>
      </c>
      <c r="F100" s="2" t="s">
        <v>3090</v>
      </c>
      <c r="G100" s="2" t="s">
        <v>3090</v>
      </c>
      <c r="H100" s="2" t="s">
        <v>3090</v>
      </c>
      <c r="I100" s="2" t="s">
        <v>3090</v>
      </c>
      <c r="J100" s="2" t="s">
        <v>3090</v>
      </c>
      <c r="K100" s="2" t="s">
        <v>3091</v>
      </c>
      <c r="L100" s="2"/>
      <c r="M100" s="2" t="s">
        <v>3090</v>
      </c>
      <c r="N100" s="2" t="s">
        <v>3090</v>
      </c>
      <c r="O100" s="2" t="s">
        <v>3090</v>
      </c>
      <c r="P100" s="2"/>
      <c r="Q100" s="2" t="s">
        <v>3090</v>
      </c>
      <c r="R100" s="2" t="s">
        <v>3090</v>
      </c>
      <c r="S100" s="2"/>
      <c r="T100" s="2"/>
      <c r="U100" s="2"/>
      <c r="V100" s="2"/>
      <c r="W100" s="4">
        <f t="shared" si="3"/>
        <v>11</v>
      </c>
      <c r="X100" s="4">
        <f t="shared" si="4"/>
        <v>1</v>
      </c>
      <c r="Y100" s="4">
        <f t="shared" si="5"/>
        <v>12</v>
      </c>
    </row>
    <row r="101" spans="1:25" ht="15.75" customHeight="1">
      <c r="A101" s="2" t="s">
        <v>2800</v>
      </c>
      <c r="B101" s="2" t="s">
        <v>2801</v>
      </c>
      <c r="C101" s="3">
        <v>807</v>
      </c>
      <c r="D101" s="2" t="s">
        <v>299</v>
      </c>
      <c r="E101" s="2" t="s">
        <v>3091</v>
      </c>
      <c r="F101" s="2" t="s">
        <v>3091</v>
      </c>
      <c r="G101" s="2" t="s">
        <v>3091</v>
      </c>
      <c r="H101" s="2" t="s">
        <v>3091</v>
      </c>
      <c r="I101" s="2" t="s">
        <v>3090</v>
      </c>
      <c r="J101" s="2" t="s">
        <v>3090</v>
      </c>
      <c r="K101" s="2"/>
      <c r="L101" s="2"/>
      <c r="M101" s="2" t="s">
        <v>3090</v>
      </c>
      <c r="N101" s="2" t="s">
        <v>3090</v>
      </c>
      <c r="O101" s="2" t="s">
        <v>3090</v>
      </c>
      <c r="P101" s="2" t="s">
        <v>3091</v>
      </c>
      <c r="Q101" s="2" t="s">
        <v>3091</v>
      </c>
      <c r="R101" s="2" t="s">
        <v>3091</v>
      </c>
      <c r="S101" s="2"/>
      <c r="T101" s="2" t="s">
        <v>3091</v>
      </c>
      <c r="U101" s="2"/>
      <c r="V101" s="2"/>
      <c r="W101" s="4">
        <f t="shared" si="3"/>
        <v>5</v>
      </c>
      <c r="X101" s="4">
        <f t="shared" si="4"/>
        <v>8</v>
      </c>
      <c r="Y101" s="4">
        <f t="shared" si="5"/>
        <v>13</v>
      </c>
    </row>
    <row r="102" spans="1:25" ht="15.75" customHeight="1">
      <c r="A102" s="2" t="s">
        <v>2802</v>
      </c>
      <c r="B102" s="2" t="s">
        <v>2682</v>
      </c>
      <c r="C102" s="3">
        <v>765</v>
      </c>
      <c r="D102" s="2" t="s">
        <v>117</v>
      </c>
      <c r="E102" s="2" t="s">
        <v>3090</v>
      </c>
      <c r="F102" s="2" t="s">
        <v>3090</v>
      </c>
      <c r="G102" s="2" t="s">
        <v>3090</v>
      </c>
      <c r="H102" s="2" t="s">
        <v>3090</v>
      </c>
      <c r="I102" s="2" t="s">
        <v>3091</v>
      </c>
      <c r="J102" s="2" t="s">
        <v>3090</v>
      </c>
      <c r="K102" s="2"/>
      <c r="L102" s="2"/>
      <c r="M102" s="2" t="s">
        <v>3090</v>
      </c>
      <c r="N102" s="2"/>
      <c r="O102" s="2" t="s">
        <v>3090</v>
      </c>
      <c r="P102" s="2"/>
      <c r="Q102" s="2"/>
      <c r="R102" s="2"/>
      <c r="S102" s="2" t="s">
        <v>3091</v>
      </c>
      <c r="T102" s="2"/>
      <c r="U102" s="2"/>
      <c r="V102" s="2"/>
      <c r="W102" s="4">
        <f t="shared" si="3"/>
        <v>7</v>
      </c>
      <c r="X102" s="4">
        <f t="shared" si="4"/>
        <v>2</v>
      </c>
      <c r="Y102" s="4">
        <f t="shared" si="5"/>
        <v>9</v>
      </c>
    </row>
    <row r="103" spans="1:25" ht="15.75" customHeight="1">
      <c r="A103" s="2" t="s">
        <v>2803</v>
      </c>
      <c r="B103" s="2" t="s">
        <v>2804</v>
      </c>
      <c r="C103" s="3">
        <v>695</v>
      </c>
      <c r="D103" s="2" t="s">
        <v>250</v>
      </c>
      <c r="E103" s="2" t="s">
        <v>3091</v>
      </c>
      <c r="F103" s="2" t="s">
        <v>3091</v>
      </c>
      <c r="G103" s="2" t="s">
        <v>3091</v>
      </c>
      <c r="H103" s="2" t="s">
        <v>3090</v>
      </c>
      <c r="I103" s="2" t="s">
        <v>3091</v>
      </c>
      <c r="J103" s="2" t="s">
        <v>3091</v>
      </c>
      <c r="K103" s="2" t="s">
        <v>3091</v>
      </c>
      <c r="L103" s="2" t="s">
        <v>3091</v>
      </c>
      <c r="M103" s="2" t="s">
        <v>3090</v>
      </c>
      <c r="N103" s="2" t="s">
        <v>3090</v>
      </c>
      <c r="O103" s="2" t="s">
        <v>3091</v>
      </c>
      <c r="P103" s="2" t="s">
        <v>3091</v>
      </c>
      <c r="Q103" s="2" t="s">
        <v>3090</v>
      </c>
      <c r="R103" s="2" t="s">
        <v>3090</v>
      </c>
      <c r="S103" s="2" t="s">
        <v>3091</v>
      </c>
      <c r="T103" s="2"/>
      <c r="U103" s="2"/>
      <c r="V103" s="2"/>
      <c r="W103" s="4">
        <f t="shared" si="3"/>
        <v>5</v>
      </c>
      <c r="X103" s="4">
        <f t="shared" si="4"/>
        <v>10</v>
      </c>
      <c r="Y103" s="4">
        <f t="shared" si="5"/>
        <v>15</v>
      </c>
    </row>
    <row r="104" spans="1:25" ht="15.75" customHeight="1">
      <c r="A104" s="2" t="s">
        <v>2805</v>
      </c>
      <c r="B104" s="2" t="s">
        <v>2790</v>
      </c>
      <c r="C104" s="3">
        <v>468</v>
      </c>
      <c r="D104" s="2" t="s">
        <v>515</v>
      </c>
      <c r="E104" s="2" t="s">
        <v>3090</v>
      </c>
      <c r="F104" s="2" t="s">
        <v>3091</v>
      </c>
      <c r="G104" s="2" t="s">
        <v>3091</v>
      </c>
      <c r="H104" s="2" t="s">
        <v>3091</v>
      </c>
      <c r="I104" s="2" t="s">
        <v>3091</v>
      </c>
      <c r="J104" s="2" t="s">
        <v>3090</v>
      </c>
      <c r="K104" s="2"/>
      <c r="L104" s="2"/>
      <c r="M104" s="2" t="s">
        <v>3090</v>
      </c>
      <c r="N104" s="2" t="s">
        <v>3090</v>
      </c>
      <c r="O104" s="2"/>
      <c r="P104" s="2"/>
      <c r="Q104" s="2" t="s">
        <v>3090</v>
      </c>
      <c r="R104" s="2"/>
      <c r="S104" s="2"/>
      <c r="T104" s="2"/>
      <c r="U104" s="2" t="s">
        <v>3090</v>
      </c>
      <c r="V104" s="2"/>
      <c r="W104" s="4">
        <f t="shared" si="3"/>
        <v>6</v>
      </c>
      <c r="X104" s="4">
        <f t="shared" si="4"/>
        <v>4</v>
      </c>
      <c r="Y104" s="4">
        <f t="shared" si="5"/>
        <v>10</v>
      </c>
    </row>
    <row r="105" spans="1:25" ht="15.75" customHeight="1">
      <c r="A105" s="2" t="s">
        <v>2386</v>
      </c>
      <c r="B105" s="2" t="s">
        <v>851</v>
      </c>
      <c r="C105" s="3">
        <v>789</v>
      </c>
      <c r="D105" s="2" t="s">
        <v>722</v>
      </c>
      <c r="E105" s="2" t="s">
        <v>3090</v>
      </c>
      <c r="F105" s="2" t="s">
        <v>3091</v>
      </c>
      <c r="G105" s="2" t="s">
        <v>3091</v>
      </c>
      <c r="H105" s="2" t="s">
        <v>3091</v>
      </c>
      <c r="I105" s="2" t="s">
        <v>3091</v>
      </c>
      <c r="J105" s="2" t="s">
        <v>3091</v>
      </c>
      <c r="K105" s="2" t="s">
        <v>3091</v>
      </c>
      <c r="L105" s="2" t="s">
        <v>3091</v>
      </c>
      <c r="M105" s="2" t="s">
        <v>3090</v>
      </c>
      <c r="N105" s="2" t="s">
        <v>3090</v>
      </c>
      <c r="O105" s="2" t="s">
        <v>3090</v>
      </c>
      <c r="P105" s="2"/>
      <c r="Q105" s="2"/>
      <c r="R105" s="2"/>
      <c r="S105" s="2"/>
      <c r="T105" s="2"/>
      <c r="U105" s="2"/>
      <c r="V105" s="2"/>
      <c r="W105" s="4">
        <f t="shared" si="3"/>
        <v>4</v>
      </c>
      <c r="X105" s="4">
        <f t="shared" si="4"/>
        <v>7</v>
      </c>
      <c r="Y105" s="4">
        <f t="shared" si="5"/>
        <v>11</v>
      </c>
    </row>
    <row r="106" spans="1:25" ht="15.75" customHeight="1">
      <c r="A106" s="2" t="s">
        <v>2386</v>
      </c>
      <c r="B106" s="2" t="s">
        <v>2659</v>
      </c>
      <c r="C106" s="3">
        <v>596</v>
      </c>
      <c r="D106" s="2" t="s">
        <v>355</v>
      </c>
      <c r="E106" s="2" t="s">
        <v>3090</v>
      </c>
      <c r="F106" s="2" t="s">
        <v>3090</v>
      </c>
      <c r="G106" s="2" t="s">
        <v>3090</v>
      </c>
      <c r="H106" s="2" t="s">
        <v>3090</v>
      </c>
      <c r="I106" s="2" t="s">
        <v>3090</v>
      </c>
      <c r="J106" s="2" t="s">
        <v>3090</v>
      </c>
      <c r="K106" s="2"/>
      <c r="L106" s="2"/>
      <c r="M106" s="2" t="s">
        <v>3090</v>
      </c>
      <c r="N106" s="2" t="s">
        <v>3090</v>
      </c>
      <c r="O106" s="2" t="s">
        <v>3090</v>
      </c>
      <c r="P106" s="2"/>
      <c r="Q106" s="2" t="s">
        <v>3090</v>
      </c>
      <c r="R106" s="2" t="s">
        <v>3090</v>
      </c>
      <c r="S106" s="2"/>
      <c r="T106" s="2"/>
      <c r="U106" s="2" t="s">
        <v>3090</v>
      </c>
      <c r="V106" s="2" t="s">
        <v>3090</v>
      </c>
      <c r="W106" s="4">
        <f t="shared" si="3"/>
        <v>13</v>
      </c>
      <c r="X106" s="4">
        <f t="shared" si="4"/>
        <v>0</v>
      </c>
      <c r="Y106" s="4">
        <f t="shared" si="5"/>
        <v>13</v>
      </c>
    </row>
    <row r="107" spans="1:25" ht="15.75" customHeight="1">
      <c r="A107" s="2" t="s">
        <v>2806</v>
      </c>
      <c r="B107" s="2" t="s">
        <v>2722</v>
      </c>
      <c r="C107" s="3">
        <v>752</v>
      </c>
      <c r="D107" s="2" t="s">
        <v>12</v>
      </c>
      <c r="E107" s="2" t="s">
        <v>3091</v>
      </c>
      <c r="F107" s="2" t="s">
        <v>3091</v>
      </c>
      <c r="G107" s="2" t="s">
        <v>3091</v>
      </c>
      <c r="H107" s="2" t="s">
        <v>3091</v>
      </c>
      <c r="I107" s="2" t="s">
        <v>3091</v>
      </c>
      <c r="J107" s="2" t="s">
        <v>3091</v>
      </c>
      <c r="K107" s="2"/>
      <c r="L107" s="2"/>
      <c r="M107" s="2" t="s">
        <v>3091</v>
      </c>
      <c r="N107" s="2"/>
      <c r="O107" s="2"/>
      <c r="P107" s="2"/>
      <c r="Q107" s="2"/>
      <c r="R107" s="2"/>
      <c r="S107" s="2"/>
      <c r="T107" s="2"/>
      <c r="U107" s="2"/>
      <c r="V107" s="2"/>
      <c r="W107" s="4">
        <f t="shared" si="3"/>
        <v>0</v>
      </c>
      <c r="X107" s="4">
        <f t="shared" si="4"/>
        <v>7</v>
      </c>
      <c r="Y107" s="4">
        <f t="shared" si="5"/>
        <v>7</v>
      </c>
    </row>
    <row r="108" spans="1:25" ht="15.75" customHeight="1">
      <c r="A108" s="2" t="s">
        <v>2807</v>
      </c>
      <c r="B108" s="2" t="s">
        <v>2808</v>
      </c>
      <c r="C108" s="3">
        <v>297</v>
      </c>
      <c r="D108" s="2" t="s">
        <v>517</v>
      </c>
      <c r="E108" s="2" t="s">
        <v>3090</v>
      </c>
      <c r="F108" s="2" t="s">
        <v>3090</v>
      </c>
      <c r="G108" s="2" t="s">
        <v>3090</v>
      </c>
      <c r="H108" s="2" t="s">
        <v>3090</v>
      </c>
      <c r="I108" s="2" t="s">
        <v>3090</v>
      </c>
      <c r="J108" s="2" t="s">
        <v>3090</v>
      </c>
      <c r="K108" s="2" t="s">
        <v>3091</v>
      </c>
      <c r="L108" s="2" t="s">
        <v>3091</v>
      </c>
      <c r="M108" s="2" t="s">
        <v>3090</v>
      </c>
      <c r="N108" s="2" t="s">
        <v>3090</v>
      </c>
      <c r="O108" s="2" t="s">
        <v>3090</v>
      </c>
      <c r="P108" s="2" t="s">
        <v>3091</v>
      </c>
      <c r="Q108" s="2" t="s">
        <v>3090</v>
      </c>
      <c r="R108" s="2" t="s">
        <v>3090</v>
      </c>
      <c r="S108" s="2" t="s">
        <v>3091</v>
      </c>
      <c r="T108" s="2" t="s">
        <v>3091</v>
      </c>
      <c r="U108" s="2" t="s">
        <v>3090</v>
      </c>
      <c r="V108" s="2"/>
      <c r="W108" s="4">
        <f t="shared" si="3"/>
        <v>12</v>
      </c>
      <c r="X108" s="4">
        <f t="shared" si="4"/>
        <v>5</v>
      </c>
      <c r="Y108" s="4">
        <f t="shared" si="5"/>
        <v>17</v>
      </c>
    </row>
    <row r="109" spans="1:25" ht="15.75" customHeight="1">
      <c r="A109" s="2" t="s">
        <v>2761</v>
      </c>
      <c r="B109" s="2" t="s">
        <v>2809</v>
      </c>
      <c r="C109" s="3">
        <v>806</v>
      </c>
      <c r="D109" s="2" t="s">
        <v>658</v>
      </c>
      <c r="E109" s="2" t="s">
        <v>3091</v>
      </c>
      <c r="F109" s="2" t="s">
        <v>3091</v>
      </c>
      <c r="G109" s="2" t="s">
        <v>3091</v>
      </c>
      <c r="H109" s="2" t="s">
        <v>3090</v>
      </c>
      <c r="I109" s="2" t="s">
        <v>3090</v>
      </c>
      <c r="J109" s="2" t="s">
        <v>3090</v>
      </c>
      <c r="K109" s="2" t="s">
        <v>3091</v>
      </c>
      <c r="L109" s="2" t="s">
        <v>3091</v>
      </c>
      <c r="M109" s="2" t="s">
        <v>3091</v>
      </c>
      <c r="N109" s="2" t="s">
        <v>3091</v>
      </c>
      <c r="O109" s="2" t="s">
        <v>3091</v>
      </c>
      <c r="P109" s="2" t="s">
        <v>3091</v>
      </c>
      <c r="Q109" s="2" t="s">
        <v>3091</v>
      </c>
      <c r="R109" s="2" t="s">
        <v>3091</v>
      </c>
      <c r="S109" s="2" t="s">
        <v>3091</v>
      </c>
      <c r="T109" s="2" t="s">
        <v>3091</v>
      </c>
      <c r="U109" s="2" t="s">
        <v>3091</v>
      </c>
      <c r="V109" s="2" t="s">
        <v>3091</v>
      </c>
      <c r="W109" s="4">
        <f t="shared" si="3"/>
        <v>3</v>
      </c>
      <c r="X109" s="4">
        <f t="shared" si="4"/>
        <v>15</v>
      </c>
      <c r="Y109" s="4">
        <f t="shared" si="5"/>
        <v>18</v>
      </c>
    </row>
    <row r="110" spans="1:25" ht="15.75" customHeight="1">
      <c r="A110" s="2" t="s">
        <v>2810</v>
      </c>
      <c r="B110" s="2" t="s">
        <v>2770</v>
      </c>
      <c r="C110" s="3">
        <v>627</v>
      </c>
      <c r="D110" s="2" t="s">
        <v>615</v>
      </c>
      <c r="E110" s="2" t="s">
        <v>3090</v>
      </c>
      <c r="F110" s="2" t="s">
        <v>3091</v>
      </c>
      <c r="G110" s="2" t="s">
        <v>3091</v>
      </c>
      <c r="H110" s="2" t="s">
        <v>3090</v>
      </c>
      <c r="I110" s="2" t="s">
        <v>3090</v>
      </c>
      <c r="J110" s="2" t="s">
        <v>3090</v>
      </c>
      <c r="K110" s="2" t="s">
        <v>3091</v>
      </c>
      <c r="L110" s="2" t="s">
        <v>3091</v>
      </c>
      <c r="M110" s="2" t="s">
        <v>3090</v>
      </c>
      <c r="N110" s="2" t="s">
        <v>3090</v>
      </c>
      <c r="O110" s="2" t="s">
        <v>3090</v>
      </c>
      <c r="P110" s="2" t="s">
        <v>3091</v>
      </c>
      <c r="Q110" s="2" t="s">
        <v>3090</v>
      </c>
      <c r="R110" s="2" t="s">
        <v>3090</v>
      </c>
      <c r="S110" s="2" t="s">
        <v>3091</v>
      </c>
      <c r="T110" s="2" t="s">
        <v>3091</v>
      </c>
      <c r="U110" s="2" t="s">
        <v>3090</v>
      </c>
      <c r="V110" s="2" t="s">
        <v>3090</v>
      </c>
      <c r="W110" s="4">
        <f t="shared" si="3"/>
        <v>11</v>
      </c>
      <c r="X110" s="4">
        <f t="shared" si="4"/>
        <v>7</v>
      </c>
      <c r="Y110" s="4">
        <f t="shared" si="5"/>
        <v>18</v>
      </c>
    </row>
    <row r="111" spans="1:25" ht="15.75" customHeight="1">
      <c r="A111" s="2" t="s">
        <v>2810</v>
      </c>
      <c r="B111" s="2" t="s">
        <v>2811</v>
      </c>
      <c r="C111" s="3">
        <v>616</v>
      </c>
      <c r="D111" s="2" t="s">
        <v>618</v>
      </c>
      <c r="E111" s="2" t="s">
        <v>3090</v>
      </c>
      <c r="F111" s="2" t="s">
        <v>3090</v>
      </c>
      <c r="G111" s="2" t="s">
        <v>3090</v>
      </c>
      <c r="H111" s="2" t="s">
        <v>3090</v>
      </c>
      <c r="I111" s="2" t="s">
        <v>3090</v>
      </c>
      <c r="J111" s="2" t="s">
        <v>3090</v>
      </c>
      <c r="K111" s="2" t="s">
        <v>3091</v>
      </c>
      <c r="L111" s="2" t="s">
        <v>3091</v>
      </c>
      <c r="M111" s="2" t="s">
        <v>3090</v>
      </c>
      <c r="N111" s="2" t="s">
        <v>3090</v>
      </c>
      <c r="O111" s="2" t="s">
        <v>3091</v>
      </c>
      <c r="P111" s="2" t="s">
        <v>3091</v>
      </c>
      <c r="Q111" s="2" t="s">
        <v>3091</v>
      </c>
      <c r="R111" s="2" t="s">
        <v>3090</v>
      </c>
      <c r="S111" s="2" t="s">
        <v>3091</v>
      </c>
      <c r="T111" s="2" t="s">
        <v>3091</v>
      </c>
      <c r="U111" s="2" t="s">
        <v>3091</v>
      </c>
      <c r="V111" s="2" t="s">
        <v>3091</v>
      </c>
      <c r="W111" s="4">
        <f t="shared" si="3"/>
        <v>9</v>
      </c>
      <c r="X111" s="4">
        <f t="shared" si="4"/>
        <v>9</v>
      </c>
      <c r="Y111" s="4">
        <f t="shared" si="5"/>
        <v>18</v>
      </c>
    </row>
    <row r="112" spans="1:25" ht="15.75" customHeight="1">
      <c r="A112" s="2" t="s">
        <v>2812</v>
      </c>
      <c r="B112" s="2" t="s">
        <v>2813</v>
      </c>
      <c r="C112" s="3">
        <v>300</v>
      </c>
      <c r="D112" s="2" t="s">
        <v>389</v>
      </c>
      <c r="E112" s="2" t="s">
        <v>3090</v>
      </c>
      <c r="F112" s="2" t="s">
        <v>3090</v>
      </c>
      <c r="G112" s="2" t="s">
        <v>3090</v>
      </c>
      <c r="H112" s="2" t="s">
        <v>3090</v>
      </c>
      <c r="I112" s="2" t="s">
        <v>3090</v>
      </c>
      <c r="J112" s="2" t="s">
        <v>3090</v>
      </c>
      <c r="K112" s="2" t="s">
        <v>3091</v>
      </c>
      <c r="L112" s="2" t="s">
        <v>3091</v>
      </c>
      <c r="M112" s="2" t="s">
        <v>3090</v>
      </c>
      <c r="N112" s="2" t="s">
        <v>3090</v>
      </c>
      <c r="O112" s="2" t="s">
        <v>3090</v>
      </c>
      <c r="P112" s="2" t="s">
        <v>3091</v>
      </c>
      <c r="Q112" s="2" t="s">
        <v>3090</v>
      </c>
      <c r="R112" s="2" t="s">
        <v>3090</v>
      </c>
      <c r="S112" s="2" t="s">
        <v>3091</v>
      </c>
      <c r="T112" s="2"/>
      <c r="U112" s="2" t="s">
        <v>3090</v>
      </c>
      <c r="V112" s="2" t="s">
        <v>3090</v>
      </c>
      <c r="W112" s="4">
        <f t="shared" si="3"/>
        <v>13</v>
      </c>
      <c r="X112" s="4">
        <f t="shared" si="4"/>
        <v>4</v>
      </c>
      <c r="Y112" s="4">
        <f t="shared" si="5"/>
        <v>17</v>
      </c>
    </row>
    <row r="113" spans="1:25" ht="15.75" customHeight="1">
      <c r="A113" s="2" t="s">
        <v>2814</v>
      </c>
      <c r="B113" s="2" t="s">
        <v>2815</v>
      </c>
      <c r="C113" s="3">
        <v>372</v>
      </c>
      <c r="D113" s="2" t="s">
        <v>681</v>
      </c>
      <c r="E113" s="2" t="s">
        <v>3090</v>
      </c>
      <c r="F113" s="2" t="s">
        <v>3090</v>
      </c>
      <c r="G113" s="2" t="s">
        <v>3090</v>
      </c>
      <c r="H113" s="2" t="s">
        <v>3090</v>
      </c>
      <c r="I113" s="2"/>
      <c r="J113" s="2" t="s">
        <v>3090</v>
      </c>
      <c r="K113" s="2"/>
      <c r="L113" s="2"/>
      <c r="M113" s="2" t="s">
        <v>3090</v>
      </c>
      <c r="N113" s="2" t="s">
        <v>3090</v>
      </c>
      <c r="O113" s="2"/>
      <c r="P113" s="2"/>
      <c r="Q113" s="2"/>
      <c r="R113" s="2"/>
      <c r="S113" s="2"/>
      <c r="T113" s="2"/>
      <c r="U113" s="2" t="s">
        <v>3090</v>
      </c>
      <c r="V113" s="2"/>
      <c r="W113" s="4">
        <f t="shared" si="3"/>
        <v>8</v>
      </c>
      <c r="X113" s="4">
        <f t="shared" si="4"/>
        <v>0</v>
      </c>
      <c r="Y113" s="4">
        <f t="shared" si="5"/>
        <v>8</v>
      </c>
    </row>
    <row r="114" spans="1:25" ht="15.75" customHeight="1">
      <c r="A114" s="2" t="s">
        <v>2816</v>
      </c>
      <c r="B114" s="2" t="s">
        <v>2678</v>
      </c>
      <c r="C114" s="3">
        <v>654</v>
      </c>
      <c r="D114" s="2" t="s">
        <v>252</v>
      </c>
      <c r="E114" s="2" t="s">
        <v>3091</v>
      </c>
      <c r="F114" s="2" t="s">
        <v>3091</v>
      </c>
      <c r="G114" s="2" t="s">
        <v>3090</v>
      </c>
      <c r="H114" s="2" t="s">
        <v>3091</v>
      </c>
      <c r="I114" s="2" t="s">
        <v>3090</v>
      </c>
      <c r="J114" s="2" t="s">
        <v>3090</v>
      </c>
      <c r="K114" s="2" t="s">
        <v>3091</v>
      </c>
      <c r="L114" s="2" t="s">
        <v>3091</v>
      </c>
      <c r="M114" s="2" t="s">
        <v>3091</v>
      </c>
      <c r="N114" s="2" t="s">
        <v>3091</v>
      </c>
      <c r="O114" s="2" t="s">
        <v>3091</v>
      </c>
      <c r="P114" s="2" t="s">
        <v>3091</v>
      </c>
      <c r="Q114" s="2" t="s">
        <v>3090</v>
      </c>
      <c r="R114" s="2" t="s">
        <v>3091</v>
      </c>
      <c r="S114" s="2" t="s">
        <v>3091</v>
      </c>
      <c r="T114" s="2" t="s">
        <v>3091</v>
      </c>
      <c r="U114" s="2" t="s">
        <v>3090</v>
      </c>
      <c r="V114" s="2" t="s">
        <v>3090</v>
      </c>
      <c r="W114" s="4">
        <f t="shared" si="3"/>
        <v>6</v>
      </c>
      <c r="X114" s="4">
        <f t="shared" si="4"/>
        <v>12</v>
      </c>
      <c r="Y114" s="4">
        <f t="shared" si="5"/>
        <v>18</v>
      </c>
    </row>
    <row r="115" spans="1:25" ht="15.75" customHeight="1">
      <c r="A115" s="2" t="s">
        <v>2817</v>
      </c>
      <c r="B115" s="2" t="s">
        <v>2693</v>
      </c>
      <c r="C115" s="3">
        <v>268</v>
      </c>
      <c r="D115" s="2" t="s">
        <v>555</v>
      </c>
      <c r="E115" s="2" t="s">
        <v>3090</v>
      </c>
      <c r="F115" s="2" t="s">
        <v>3090</v>
      </c>
      <c r="G115" s="2" t="s">
        <v>3091</v>
      </c>
      <c r="H115" s="2" t="s">
        <v>3091</v>
      </c>
      <c r="I115" s="2" t="s">
        <v>3090</v>
      </c>
      <c r="J115" s="2" t="s">
        <v>3090</v>
      </c>
      <c r="K115" s="2" t="s">
        <v>3091</v>
      </c>
      <c r="L115" s="2" t="s">
        <v>3091</v>
      </c>
      <c r="M115" s="2" t="s">
        <v>3090</v>
      </c>
      <c r="N115" s="2" t="s">
        <v>3090</v>
      </c>
      <c r="O115" s="2" t="s">
        <v>3090</v>
      </c>
      <c r="P115" s="2" t="s">
        <v>3091</v>
      </c>
      <c r="Q115" s="2" t="s">
        <v>3090</v>
      </c>
      <c r="R115" s="2" t="s">
        <v>3090</v>
      </c>
      <c r="S115" s="2" t="s">
        <v>3091</v>
      </c>
      <c r="T115" s="2"/>
      <c r="U115" s="2"/>
      <c r="V115" s="2" t="s">
        <v>3090</v>
      </c>
      <c r="W115" s="4">
        <f t="shared" si="3"/>
        <v>10</v>
      </c>
      <c r="X115" s="4">
        <f t="shared" si="4"/>
        <v>6</v>
      </c>
      <c r="Y115" s="4">
        <f t="shared" si="5"/>
        <v>16</v>
      </c>
    </row>
    <row r="116" spans="1:25" ht="15.75" customHeight="1">
      <c r="A116" s="2" t="s">
        <v>2818</v>
      </c>
      <c r="B116" s="2" t="s">
        <v>2659</v>
      </c>
      <c r="C116" s="3">
        <v>645</v>
      </c>
      <c r="D116" s="2" t="s">
        <v>620</v>
      </c>
      <c r="E116" s="2" t="s">
        <v>3090</v>
      </c>
      <c r="F116" s="2" t="s">
        <v>3090</v>
      </c>
      <c r="G116" s="2" t="s">
        <v>3090</v>
      </c>
      <c r="H116" s="2" t="s">
        <v>3090</v>
      </c>
      <c r="I116" s="2" t="s">
        <v>3090</v>
      </c>
      <c r="J116" s="2" t="s">
        <v>3090</v>
      </c>
      <c r="K116" s="2"/>
      <c r="L116" s="2"/>
      <c r="M116" s="2" t="s">
        <v>3090</v>
      </c>
      <c r="N116" s="2" t="s">
        <v>3090</v>
      </c>
      <c r="O116" s="2"/>
      <c r="P116" s="2" t="s">
        <v>3091</v>
      </c>
      <c r="Q116" s="2" t="s">
        <v>3090</v>
      </c>
      <c r="R116" s="2" t="s">
        <v>3090</v>
      </c>
      <c r="S116" s="2" t="s">
        <v>3091</v>
      </c>
      <c r="T116" s="2" t="s">
        <v>3091</v>
      </c>
      <c r="U116" s="2" t="s">
        <v>3090</v>
      </c>
      <c r="V116" s="2" t="s">
        <v>3090</v>
      </c>
      <c r="W116" s="4">
        <f t="shared" si="3"/>
        <v>12</v>
      </c>
      <c r="X116" s="4">
        <f t="shared" si="4"/>
        <v>3</v>
      </c>
      <c r="Y116" s="4">
        <f t="shared" si="5"/>
        <v>15</v>
      </c>
    </row>
    <row r="117" spans="1:25" ht="15.75" customHeight="1">
      <c r="A117" s="2" t="s">
        <v>2819</v>
      </c>
      <c r="B117" s="2" t="s">
        <v>2811</v>
      </c>
      <c r="C117" s="3">
        <v>307</v>
      </c>
      <c r="D117" s="2" t="s">
        <v>357</v>
      </c>
      <c r="E117" s="2" t="s">
        <v>3090</v>
      </c>
      <c r="F117" s="2" t="s">
        <v>3090</v>
      </c>
      <c r="G117" s="2" t="s">
        <v>3090</v>
      </c>
      <c r="H117" s="2" t="s">
        <v>3090</v>
      </c>
      <c r="I117" s="2" t="s">
        <v>3090</v>
      </c>
      <c r="J117" s="2" t="s">
        <v>3090</v>
      </c>
      <c r="K117" s="2" t="s">
        <v>3091</v>
      </c>
      <c r="L117" s="2" t="s">
        <v>3091</v>
      </c>
      <c r="M117" s="2" t="s">
        <v>3091</v>
      </c>
      <c r="N117" s="2" t="s">
        <v>3091</v>
      </c>
      <c r="O117" s="2" t="s">
        <v>3091</v>
      </c>
      <c r="P117" s="2" t="s">
        <v>3091</v>
      </c>
      <c r="Q117" s="2" t="s">
        <v>3091</v>
      </c>
      <c r="R117" s="2" t="s">
        <v>3091</v>
      </c>
      <c r="S117" s="2" t="s">
        <v>3091</v>
      </c>
      <c r="T117" s="2" t="s">
        <v>3091</v>
      </c>
      <c r="U117" s="2"/>
      <c r="V117" s="2" t="s">
        <v>3090</v>
      </c>
      <c r="W117" s="4">
        <f t="shared" si="3"/>
        <v>7</v>
      </c>
      <c r="X117" s="4">
        <f t="shared" si="4"/>
        <v>10</v>
      </c>
      <c r="Y117" s="4">
        <f t="shared" si="5"/>
        <v>17</v>
      </c>
    </row>
    <row r="118" spans="1:25" ht="15.75" customHeight="1">
      <c r="A118" s="2" t="s">
        <v>2820</v>
      </c>
      <c r="B118" s="2" t="s">
        <v>2682</v>
      </c>
      <c r="C118" s="3">
        <v>487</v>
      </c>
      <c r="D118" s="2" t="s">
        <v>468</v>
      </c>
      <c r="E118" s="2" t="s">
        <v>3090</v>
      </c>
      <c r="F118" s="2"/>
      <c r="G118" s="2" t="s">
        <v>3091</v>
      </c>
      <c r="H118" s="2"/>
      <c r="I118" s="2" t="s">
        <v>3090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4">
        <f t="shared" si="3"/>
        <v>2</v>
      </c>
      <c r="X118" s="4">
        <f t="shared" si="4"/>
        <v>1</v>
      </c>
      <c r="Y118" s="4">
        <f t="shared" si="5"/>
        <v>3</v>
      </c>
    </row>
    <row r="119" spans="1:25" ht="15.75" customHeight="1">
      <c r="A119" s="2" t="s">
        <v>2821</v>
      </c>
      <c r="B119" s="2" t="s">
        <v>2822</v>
      </c>
      <c r="C119" s="3">
        <v>666</v>
      </c>
      <c r="D119" s="2" t="s">
        <v>391</v>
      </c>
      <c r="E119" s="2" t="s">
        <v>3090</v>
      </c>
      <c r="F119" s="2" t="s">
        <v>3090</v>
      </c>
      <c r="G119" s="2" t="s">
        <v>3090</v>
      </c>
      <c r="H119" s="2" t="s">
        <v>3090</v>
      </c>
      <c r="I119" s="2" t="s">
        <v>3090</v>
      </c>
      <c r="J119" s="2" t="s">
        <v>3090</v>
      </c>
      <c r="K119" s="2" t="s">
        <v>3091</v>
      </c>
      <c r="L119" s="2" t="s">
        <v>3091</v>
      </c>
      <c r="M119" s="2" t="s">
        <v>3090</v>
      </c>
      <c r="N119" s="2" t="s">
        <v>3090</v>
      </c>
      <c r="O119" s="2" t="s">
        <v>3090</v>
      </c>
      <c r="P119" s="2" t="s">
        <v>3091</v>
      </c>
      <c r="Q119" s="2" t="s">
        <v>3090</v>
      </c>
      <c r="R119" s="2" t="s">
        <v>3090</v>
      </c>
      <c r="S119" s="2" t="s">
        <v>3091</v>
      </c>
      <c r="T119" s="2"/>
      <c r="U119" s="2" t="s">
        <v>3090</v>
      </c>
      <c r="V119" s="2" t="s">
        <v>3090</v>
      </c>
      <c r="W119" s="4">
        <f t="shared" si="3"/>
        <v>13</v>
      </c>
      <c r="X119" s="4">
        <f t="shared" si="4"/>
        <v>4</v>
      </c>
      <c r="Y119" s="4">
        <f t="shared" si="5"/>
        <v>17</v>
      </c>
    </row>
    <row r="120" spans="1:25" ht="15.75" customHeight="1">
      <c r="A120" s="2" t="s">
        <v>2823</v>
      </c>
      <c r="B120" s="2" t="s">
        <v>2662</v>
      </c>
      <c r="C120" s="3">
        <v>708</v>
      </c>
      <c r="D120" s="2" t="s">
        <v>470</v>
      </c>
      <c r="E120" s="2" t="s">
        <v>3090</v>
      </c>
      <c r="F120" s="2"/>
      <c r="G120" s="2" t="s">
        <v>3091</v>
      </c>
      <c r="H120" s="2" t="s">
        <v>3091</v>
      </c>
      <c r="I120" s="2" t="s">
        <v>3091</v>
      </c>
      <c r="J120" s="2" t="s">
        <v>3091</v>
      </c>
      <c r="K120" s="2" t="s">
        <v>3091</v>
      </c>
      <c r="L120" s="2" t="s">
        <v>3091</v>
      </c>
      <c r="M120" s="2" t="s">
        <v>3091</v>
      </c>
      <c r="N120" s="2" t="s">
        <v>3091</v>
      </c>
      <c r="O120" s="2" t="s">
        <v>3090</v>
      </c>
      <c r="P120" s="2" t="s">
        <v>3091</v>
      </c>
      <c r="Q120" s="2"/>
      <c r="R120" s="2"/>
      <c r="S120" s="2" t="s">
        <v>3091</v>
      </c>
      <c r="T120" s="2"/>
      <c r="U120" s="2"/>
      <c r="V120" s="2"/>
      <c r="W120" s="4">
        <f t="shared" si="3"/>
        <v>2</v>
      </c>
      <c r="X120" s="4">
        <f t="shared" si="4"/>
        <v>10</v>
      </c>
      <c r="Y120" s="4">
        <f t="shared" si="5"/>
        <v>12</v>
      </c>
    </row>
    <row r="121" spans="1:25" ht="15.75" customHeight="1">
      <c r="A121" s="2" t="s">
        <v>2824</v>
      </c>
      <c r="B121" s="2" t="s">
        <v>2777</v>
      </c>
      <c r="C121" s="3">
        <v>745</v>
      </c>
      <c r="D121" s="2" t="s">
        <v>78</v>
      </c>
      <c r="E121" s="2" t="s">
        <v>3090</v>
      </c>
      <c r="F121" s="2" t="s">
        <v>3090</v>
      </c>
      <c r="G121" s="2" t="s">
        <v>3090</v>
      </c>
      <c r="H121" s="2" t="s">
        <v>3090</v>
      </c>
      <c r="I121" s="2" t="s">
        <v>3090</v>
      </c>
      <c r="J121" s="2" t="s">
        <v>3090</v>
      </c>
      <c r="K121" s="2" t="s">
        <v>3091</v>
      </c>
      <c r="L121" s="2" t="s">
        <v>3091</v>
      </c>
      <c r="M121" s="2" t="s">
        <v>3090</v>
      </c>
      <c r="N121" s="2" t="s">
        <v>3091</v>
      </c>
      <c r="O121" s="2"/>
      <c r="P121" s="2"/>
      <c r="Q121" s="2"/>
      <c r="R121" s="2"/>
      <c r="S121" s="2"/>
      <c r="T121" s="2"/>
      <c r="U121" s="2"/>
      <c r="V121" s="2"/>
      <c r="W121" s="4">
        <f t="shared" si="3"/>
        <v>7</v>
      </c>
      <c r="X121" s="4">
        <f t="shared" si="4"/>
        <v>3</v>
      </c>
      <c r="Y121" s="4">
        <f t="shared" si="5"/>
        <v>10</v>
      </c>
    </row>
    <row r="122" spans="1:25" ht="15.75" customHeight="1">
      <c r="A122" s="2" t="s">
        <v>2825</v>
      </c>
      <c r="B122" s="2" t="s">
        <v>2710</v>
      </c>
      <c r="C122" s="3">
        <v>605</v>
      </c>
      <c r="D122" s="2" t="s">
        <v>120</v>
      </c>
      <c r="E122" s="2" t="s">
        <v>3090</v>
      </c>
      <c r="F122" s="2" t="s">
        <v>3090</v>
      </c>
      <c r="G122" s="2" t="s">
        <v>3090</v>
      </c>
      <c r="H122" s="2" t="s">
        <v>3090</v>
      </c>
      <c r="I122" s="2" t="s">
        <v>3090</v>
      </c>
      <c r="J122" s="2" t="s">
        <v>3090</v>
      </c>
      <c r="K122" s="2" t="s">
        <v>3091</v>
      </c>
      <c r="L122" s="2" t="s">
        <v>3091</v>
      </c>
      <c r="M122" s="2" t="s">
        <v>3091</v>
      </c>
      <c r="N122" s="2" t="s">
        <v>3091</v>
      </c>
      <c r="O122" s="2" t="s">
        <v>3091</v>
      </c>
      <c r="P122" s="2" t="s">
        <v>3091</v>
      </c>
      <c r="Q122" s="2" t="s">
        <v>3091</v>
      </c>
      <c r="R122" s="2" t="s">
        <v>3091</v>
      </c>
      <c r="S122" s="2"/>
      <c r="T122" s="2"/>
      <c r="U122" s="2" t="s">
        <v>3090</v>
      </c>
      <c r="V122" s="2"/>
      <c r="W122" s="4">
        <f t="shared" si="3"/>
        <v>7</v>
      </c>
      <c r="X122" s="4">
        <f t="shared" si="4"/>
        <v>8</v>
      </c>
      <c r="Y122" s="4">
        <f t="shared" si="5"/>
        <v>15</v>
      </c>
    </row>
    <row r="123" spans="1:25" ht="15.75" customHeight="1">
      <c r="A123" s="2" t="s">
        <v>2826</v>
      </c>
      <c r="B123" s="2" t="s">
        <v>2777</v>
      </c>
      <c r="C123" s="3">
        <v>768</v>
      </c>
      <c r="D123" s="2" t="s">
        <v>255</v>
      </c>
      <c r="E123" s="2" t="s">
        <v>3090</v>
      </c>
      <c r="F123" s="2" t="s">
        <v>3090</v>
      </c>
      <c r="G123" s="2" t="s">
        <v>3090</v>
      </c>
      <c r="H123" s="2" t="s">
        <v>3090</v>
      </c>
      <c r="I123" s="2" t="s">
        <v>3090</v>
      </c>
      <c r="J123" s="2" t="s">
        <v>3090</v>
      </c>
      <c r="K123" s="2"/>
      <c r="L123" s="2"/>
      <c r="M123" s="2" t="s">
        <v>3090</v>
      </c>
      <c r="N123" s="2" t="s">
        <v>3090</v>
      </c>
      <c r="O123" s="2" t="s">
        <v>3090</v>
      </c>
      <c r="P123" s="2"/>
      <c r="Q123" s="2"/>
      <c r="R123" s="2"/>
      <c r="S123" s="2"/>
      <c r="T123" s="2"/>
      <c r="U123" s="2"/>
      <c r="V123" s="2"/>
      <c r="W123" s="4">
        <f t="shared" si="3"/>
        <v>9</v>
      </c>
      <c r="X123" s="4">
        <f t="shared" si="4"/>
        <v>0</v>
      </c>
      <c r="Y123" s="4">
        <f t="shared" si="5"/>
        <v>9</v>
      </c>
    </row>
    <row r="124" spans="1:25" ht="15.75" customHeight="1">
      <c r="A124" s="2" t="s">
        <v>2827</v>
      </c>
      <c r="B124" s="2" t="s">
        <v>2828</v>
      </c>
      <c r="C124" s="3">
        <v>604</v>
      </c>
      <c r="D124" s="2" t="s">
        <v>212</v>
      </c>
      <c r="E124" s="2" t="s">
        <v>3090</v>
      </c>
      <c r="F124" s="2" t="s">
        <v>3091</v>
      </c>
      <c r="G124" s="2" t="s">
        <v>3091</v>
      </c>
      <c r="H124" s="2" t="s">
        <v>3091</v>
      </c>
      <c r="I124" s="2" t="s">
        <v>3091</v>
      </c>
      <c r="J124" s="2" t="s">
        <v>3091</v>
      </c>
      <c r="K124" s="2" t="s">
        <v>3091</v>
      </c>
      <c r="L124" s="2" t="s">
        <v>3091</v>
      </c>
      <c r="M124" s="2" t="s">
        <v>3091</v>
      </c>
      <c r="N124" s="2" t="s">
        <v>3091</v>
      </c>
      <c r="O124" s="2" t="s">
        <v>3091</v>
      </c>
      <c r="P124" s="2" t="s">
        <v>3091</v>
      </c>
      <c r="Q124" s="2" t="s">
        <v>3091</v>
      </c>
      <c r="R124" s="2" t="s">
        <v>3091</v>
      </c>
      <c r="S124" s="2" t="s">
        <v>3091</v>
      </c>
      <c r="T124" s="2"/>
      <c r="U124" s="2"/>
      <c r="V124" s="2"/>
      <c r="W124" s="4">
        <f t="shared" si="3"/>
        <v>1</v>
      </c>
      <c r="X124" s="4">
        <f t="shared" si="4"/>
        <v>14</v>
      </c>
      <c r="Y124" s="4">
        <f t="shared" si="5"/>
        <v>15</v>
      </c>
    </row>
    <row r="125" spans="1:25" ht="15.75" customHeight="1">
      <c r="A125" s="2" t="s">
        <v>2829</v>
      </c>
      <c r="B125" s="2" t="s">
        <v>2662</v>
      </c>
      <c r="C125" s="3">
        <v>358</v>
      </c>
      <c r="D125" s="2" t="s">
        <v>520</v>
      </c>
      <c r="E125" s="2" t="s">
        <v>3090</v>
      </c>
      <c r="F125" s="2" t="s">
        <v>3090</v>
      </c>
      <c r="G125" s="2" t="s">
        <v>3090</v>
      </c>
      <c r="H125" s="2" t="s">
        <v>3090</v>
      </c>
      <c r="I125" s="2" t="s">
        <v>3091</v>
      </c>
      <c r="J125" s="2" t="s">
        <v>3090</v>
      </c>
      <c r="K125" s="2" t="s">
        <v>3091</v>
      </c>
      <c r="L125" s="2" t="s">
        <v>3091</v>
      </c>
      <c r="M125" s="2"/>
      <c r="N125" s="2" t="s">
        <v>3090</v>
      </c>
      <c r="O125" s="2" t="s">
        <v>3090</v>
      </c>
      <c r="P125" s="2"/>
      <c r="Q125" s="2" t="s">
        <v>3090</v>
      </c>
      <c r="R125" s="2" t="s">
        <v>3090</v>
      </c>
      <c r="S125" s="2"/>
      <c r="T125" s="2"/>
      <c r="U125" s="2" t="s">
        <v>3090</v>
      </c>
      <c r="V125" s="2" t="s">
        <v>3090</v>
      </c>
      <c r="W125" s="4">
        <f t="shared" si="3"/>
        <v>11</v>
      </c>
      <c r="X125" s="4">
        <f t="shared" si="4"/>
        <v>3</v>
      </c>
      <c r="Y125" s="4">
        <f t="shared" si="5"/>
        <v>14</v>
      </c>
    </row>
    <row r="126" spans="1:25" ht="15.75" customHeight="1">
      <c r="A126" s="2" t="s">
        <v>2830</v>
      </c>
      <c r="B126" s="2" t="s">
        <v>2682</v>
      </c>
      <c r="C126" s="3">
        <v>726</v>
      </c>
      <c r="D126" s="2" t="s">
        <v>124</v>
      </c>
      <c r="E126" s="2" t="s">
        <v>3091</v>
      </c>
      <c r="F126" s="2" t="s">
        <v>3091</v>
      </c>
      <c r="G126" s="2" t="s">
        <v>3091</v>
      </c>
      <c r="H126" s="2" t="s">
        <v>3091</v>
      </c>
      <c r="I126" s="2" t="s">
        <v>3091</v>
      </c>
      <c r="J126" s="2" t="s">
        <v>3091</v>
      </c>
      <c r="K126" s="2" t="s">
        <v>3091</v>
      </c>
      <c r="L126" s="2" t="s">
        <v>3091</v>
      </c>
      <c r="M126" s="2" t="s">
        <v>3091</v>
      </c>
      <c r="N126" s="2" t="s">
        <v>3091</v>
      </c>
      <c r="O126" s="2" t="s">
        <v>3091</v>
      </c>
      <c r="P126" s="2" t="s">
        <v>3091</v>
      </c>
      <c r="Q126" s="2" t="s">
        <v>3091</v>
      </c>
      <c r="R126" s="2" t="s">
        <v>3091</v>
      </c>
      <c r="S126" s="2" t="s">
        <v>3091</v>
      </c>
      <c r="T126" s="2"/>
      <c r="U126" s="2"/>
      <c r="V126" s="2"/>
      <c r="W126" s="4">
        <f t="shared" si="3"/>
        <v>0</v>
      </c>
      <c r="X126" s="4">
        <f t="shared" si="4"/>
        <v>15</v>
      </c>
      <c r="Y126" s="4">
        <f t="shared" si="5"/>
        <v>15</v>
      </c>
    </row>
    <row r="127" spans="1:25" ht="15.75" customHeight="1">
      <c r="A127" s="2" t="s">
        <v>2830</v>
      </c>
      <c r="B127" s="2" t="s">
        <v>2657</v>
      </c>
      <c r="C127" s="3">
        <v>329</v>
      </c>
      <c r="D127" s="2" t="s">
        <v>393</v>
      </c>
      <c r="E127" s="2" t="s">
        <v>3090</v>
      </c>
      <c r="F127" s="2" t="s">
        <v>3090</v>
      </c>
      <c r="G127" s="2" t="s">
        <v>3090</v>
      </c>
      <c r="H127" s="2" t="s">
        <v>3090</v>
      </c>
      <c r="I127" s="2" t="s">
        <v>3090</v>
      </c>
      <c r="J127" s="2" t="s">
        <v>3090</v>
      </c>
      <c r="K127" s="2" t="s">
        <v>3091</v>
      </c>
      <c r="L127" s="2" t="s">
        <v>3091</v>
      </c>
      <c r="M127" s="2" t="s">
        <v>3090</v>
      </c>
      <c r="N127" s="2" t="s">
        <v>3091</v>
      </c>
      <c r="O127" s="2" t="s">
        <v>3090</v>
      </c>
      <c r="P127" s="2" t="s">
        <v>3091</v>
      </c>
      <c r="Q127" s="2" t="s">
        <v>3091</v>
      </c>
      <c r="R127" s="2" t="s">
        <v>3091</v>
      </c>
      <c r="S127" s="2" t="s">
        <v>3091</v>
      </c>
      <c r="T127" s="2" t="s">
        <v>3091</v>
      </c>
      <c r="U127" s="2"/>
      <c r="V127" s="2"/>
      <c r="W127" s="4">
        <f t="shared" si="3"/>
        <v>8</v>
      </c>
      <c r="X127" s="4">
        <f t="shared" si="4"/>
        <v>8</v>
      </c>
      <c r="Y127" s="4">
        <f t="shared" si="5"/>
        <v>16</v>
      </c>
    </row>
    <row r="128" spans="1:25" ht="15.75" customHeight="1">
      <c r="A128" s="2" t="s">
        <v>2831</v>
      </c>
      <c r="B128" s="2" t="s">
        <v>2722</v>
      </c>
      <c r="C128" s="3">
        <v>714</v>
      </c>
      <c r="D128" s="2" t="s">
        <v>557</v>
      </c>
      <c r="E128" s="2" t="s">
        <v>3091</v>
      </c>
      <c r="F128" s="2"/>
      <c r="G128" s="2"/>
      <c r="H128" s="2"/>
      <c r="I128" s="2" t="s">
        <v>3090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4">
        <f t="shared" si="3"/>
        <v>1</v>
      </c>
      <c r="X128" s="4">
        <f t="shared" si="4"/>
        <v>1</v>
      </c>
      <c r="Y128" s="4">
        <f t="shared" si="5"/>
        <v>2</v>
      </c>
    </row>
    <row r="129" spans="1:25" ht="15.75" customHeight="1">
      <c r="A129" s="2" t="s">
        <v>2832</v>
      </c>
      <c r="B129" s="2" t="s">
        <v>2833</v>
      </c>
      <c r="C129" s="3">
        <v>756</v>
      </c>
      <c r="D129" s="2" t="s">
        <v>214</v>
      </c>
      <c r="E129" s="2" t="s">
        <v>3090</v>
      </c>
      <c r="F129" s="2" t="s">
        <v>3091</v>
      </c>
      <c r="G129" s="2" t="s">
        <v>3091</v>
      </c>
      <c r="H129" s="2" t="s">
        <v>3091</v>
      </c>
      <c r="I129" s="2" t="s">
        <v>3091</v>
      </c>
      <c r="J129" s="2" t="s">
        <v>3091</v>
      </c>
      <c r="K129" s="2" t="s">
        <v>3091</v>
      </c>
      <c r="L129" s="2" t="s">
        <v>3091</v>
      </c>
      <c r="M129" s="2" t="s">
        <v>3091</v>
      </c>
      <c r="N129" s="2" t="s">
        <v>3091</v>
      </c>
      <c r="O129" s="2" t="s">
        <v>3091</v>
      </c>
      <c r="P129" s="2" t="s">
        <v>3091</v>
      </c>
      <c r="Q129" s="2" t="s">
        <v>3090</v>
      </c>
      <c r="R129" s="2" t="s">
        <v>3091</v>
      </c>
      <c r="S129" s="2" t="s">
        <v>3091</v>
      </c>
      <c r="T129" s="2"/>
      <c r="U129" s="2"/>
      <c r="V129" s="2"/>
      <c r="W129" s="4">
        <f t="shared" si="3"/>
        <v>2</v>
      </c>
      <c r="X129" s="4">
        <f t="shared" si="4"/>
        <v>13</v>
      </c>
      <c r="Y129" s="4">
        <f t="shared" si="5"/>
        <v>15</v>
      </c>
    </row>
    <row r="130" spans="1:25" ht="15.75" customHeight="1">
      <c r="A130" s="2" t="s">
        <v>2834</v>
      </c>
      <c r="B130" s="2" t="s">
        <v>2682</v>
      </c>
      <c r="C130" s="3">
        <v>369</v>
      </c>
      <c r="D130" s="2" t="s">
        <v>395</v>
      </c>
      <c r="E130" s="2" t="s">
        <v>3090</v>
      </c>
      <c r="F130" s="2" t="s">
        <v>3090</v>
      </c>
      <c r="G130" s="2" t="s">
        <v>3091</v>
      </c>
      <c r="H130" s="2" t="s">
        <v>3091</v>
      </c>
      <c r="I130" s="2" t="s">
        <v>3090</v>
      </c>
      <c r="J130" s="2" t="s">
        <v>3090</v>
      </c>
      <c r="K130" s="2" t="s">
        <v>3091</v>
      </c>
      <c r="L130" s="2" t="s">
        <v>3091</v>
      </c>
      <c r="M130" s="2" t="s">
        <v>3090</v>
      </c>
      <c r="N130" s="2" t="s">
        <v>3090</v>
      </c>
      <c r="O130" s="2" t="s">
        <v>3090</v>
      </c>
      <c r="P130" s="2"/>
      <c r="Q130" s="2" t="s">
        <v>3090</v>
      </c>
      <c r="R130" s="2" t="s">
        <v>3090</v>
      </c>
      <c r="S130" s="2"/>
      <c r="T130" s="2"/>
      <c r="U130" s="2" t="s">
        <v>3090</v>
      </c>
      <c r="V130" s="2" t="s">
        <v>3090</v>
      </c>
      <c r="W130" s="4">
        <f t="shared" ref="W130:W193" si="6">COUNTIF(E130:V130,"L (1/1)")</f>
        <v>11</v>
      </c>
      <c r="X130" s="4">
        <f t="shared" ref="X130:X193" si="7">COUNTIF(E130:V130,"R (1/1)")</f>
        <v>4</v>
      </c>
      <c r="Y130" s="4">
        <f t="shared" ref="Y130:Y193" si="8">W130+X130</f>
        <v>15</v>
      </c>
    </row>
    <row r="131" spans="1:25" ht="15.75" customHeight="1">
      <c r="A131" s="2" t="s">
        <v>2835</v>
      </c>
      <c r="B131" s="2" t="s">
        <v>2682</v>
      </c>
      <c r="C131" s="3">
        <v>265</v>
      </c>
      <c r="D131" s="2" t="s">
        <v>622</v>
      </c>
      <c r="E131" s="2" t="s">
        <v>3090</v>
      </c>
      <c r="F131" s="2" t="s">
        <v>3090</v>
      </c>
      <c r="G131" s="2" t="s">
        <v>3090</v>
      </c>
      <c r="H131" s="2" t="s">
        <v>3090</v>
      </c>
      <c r="I131" s="2" t="s">
        <v>3090</v>
      </c>
      <c r="J131" s="2" t="s">
        <v>3090</v>
      </c>
      <c r="K131" s="2" t="s">
        <v>3091</v>
      </c>
      <c r="L131" s="2" t="s">
        <v>3091</v>
      </c>
      <c r="M131" s="2" t="s">
        <v>3090</v>
      </c>
      <c r="N131" s="2" t="s">
        <v>3090</v>
      </c>
      <c r="O131" s="2" t="s">
        <v>3090</v>
      </c>
      <c r="P131" s="2" t="s">
        <v>3091</v>
      </c>
      <c r="Q131" s="2" t="s">
        <v>3090</v>
      </c>
      <c r="R131" s="2" t="s">
        <v>3090</v>
      </c>
      <c r="S131" s="2" t="s">
        <v>3091</v>
      </c>
      <c r="T131" s="2" t="s">
        <v>3091</v>
      </c>
      <c r="U131" s="2" t="s">
        <v>3090</v>
      </c>
      <c r="V131" s="2" t="s">
        <v>3090</v>
      </c>
      <c r="W131" s="4">
        <f t="shared" si="6"/>
        <v>13</v>
      </c>
      <c r="X131" s="4">
        <f t="shared" si="7"/>
        <v>5</v>
      </c>
      <c r="Y131" s="4">
        <f t="shared" si="8"/>
        <v>18</v>
      </c>
    </row>
    <row r="132" spans="1:25" ht="15.75" customHeight="1">
      <c r="A132" s="2" t="s">
        <v>2836</v>
      </c>
      <c r="B132" s="2" t="s">
        <v>2693</v>
      </c>
      <c r="C132" s="3">
        <v>437</v>
      </c>
      <c r="D132" s="2" t="s">
        <v>472</v>
      </c>
      <c r="E132" s="2" t="s">
        <v>3090</v>
      </c>
      <c r="F132" s="2" t="s">
        <v>3090</v>
      </c>
      <c r="G132" s="2" t="s">
        <v>3090</v>
      </c>
      <c r="H132" s="2" t="s">
        <v>3090</v>
      </c>
      <c r="I132" s="2" t="s">
        <v>3090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4">
        <f t="shared" si="6"/>
        <v>5</v>
      </c>
      <c r="X132" s="4">
        <f t="shared" si="7"/>
        <v>0</v>
      </c>
      <c r="Y132" s="4">
        <f t="shared" si="8"/>
        <v>5</v>
      </c>
    </row>
    <row r="133" spans="1:25" ht="15.75" customHeight="1">
      <c r="A133" s="2" t="s">
        <v>2837</v>
      </c>
      <c r="B133" s="2" t="s">
        <v>2695</v>
      </c>
      <c r="C133" s="3">
        <v>467</v>
      </c>
      <c r="D133" s="2" t="s">
        <v>724</v>
      </c>
      <c r="E133" s="2" t="s">
        <v>3091</v>
      </c>
      <c r="F133" s="2" t="s">
        <v>3091</v>
      </c>
      <c r="G133" s="2" t="s">
        <v>3091</v>
      </c>
      <c r="H133" s="2" t="s">
        <v>3091</v>
      </c>
      <c r="I133" s="2" t="s">
        <v>3091</v>
      </c>
      <c r="J133" s="2" t="s">
        <v>3091</v>
      </c>
      <c r="K133" s="2" t="s">
        <v>3091</v>
      </c>
      <c r="L133" s="2" t="s">
        <v>3091</v>
      </c>
      <c r="M133" s="2" t="s">
        <v>3091</v>
      </c>
      <c r="N133" s="2" t="s">
        <v>3091</v>
      </c>
      <c r="O133" s="2" t="s">
        <v>3091</v>
      </c>
      <c r="P133" s="2" t="s">
        <v>3091</v>
      </c>
      <c r="Q133" s="2" t="s">
        <v>3091</v>
      </c>
      <c r="R133" s="2" t="s">
        <v>3091</v>
      </c>
      <c r="S133" s="2" t="s">
        <v>3091</v>
      </c>
      <c r="T133" s="2"/>
      <c r="U133" s="2"/>
      <c r="V133" s="2"/>
      <c r="W133" s="4">
        <f t="shared" si="6"/>
        <v>0</v>
      </c>
      <c r="X133" s="4">
        <f t="shared" si="7"/>
        <v>15</v>
      </c>
      <c r="Y133" s="4">
        <f t="shared" si="8"/>
        <v>15</v>
      </c>
    </row>
    <row r="134" spans="1:25" ht="15.75" customHeight="1">
      <c r="A134" s="2" t="s">
        <v>2838</v>
      </c>
      <c r="B134" s="2" t="s">
        <v>2695</v>
      </c>
      <c r="C134" s="3">
        <v>332</v>
      </c>
      <c r="D134" s="2" t="s">
        <v>302</v>
      </c>
      <c r="E134" s="2" t="s">
        <v>3090</v>
      </c>
      <c r="F134" s="2" t="s">
        <v>3091</v>
      </c>
      <c r="G134" s="2" t="s">
        <v>3091</v>
      </c>
      <c r="H134" s="2" t="s">
        <v>3090</v>
      </c>
      <c r="I134" s="2" t="s">
        <v>3090</v>
      </c>
      <c r="J134" s="2" t="s">
        <v>3091</v>
      </c>
      <c r="K134" s="2" t="s">
        <v>3091</v>
      </c>
      <c r="L134" s="2" t="s">
        <v>3091</v>
      </c>
      <c r="M134" s="2" t="s">
        <v>3091</v>
      </c>
      <c r="N134" s="2" t="s">
        <v>3091</v>
      </c>
      <c r="O134" s="2" t="s">
        <v>3091</v>
      </c>
      <c r="P134" s="2" t="s">
        <v>3091</v>
      </c>
      <c r="Q134" s="2" t="s">
        <v>3091</v>
      </c>
      <c r="R134" s="2" t="s">
        <v>3091</v>
      </c>
      <c r="S134" s="2" t="s">
        <v>3091</v>
      </c>
      <c r="T134" s="2"/>
      <c r="U134" s="2"/>
      <c r="V134" s="2"/>
      <c r="W134" s="4">
        <f t="shared" si="6"/>
        <v>3</v>
      </c>
      <c r="X134" s="4">
        <f t="shared" si="7"/>
        <v>12</v>
      </c>
      <c r="Y134" s="4">
        <f t="shared" si="8"/>
        <v>15</v>
      </c>
    </row>
    <row r="135" spans="1:25" ht="15.75" customHeight="1">
      <c r="A135" s="2" t="s">
        <v>2839</v>
      </c>
      <c r="B135" s="2" t="s">
        <v>2669</v>
      </c>
      <c r="C135" s="3">
        <v>258</v>
      </c>
      <c r="D135" s="2" t="s">
        <v>624</v>
      </c>
      <c r="E135" s="2" t="s">
        <v>3090</v>
      </c>
      <c r="F135" s="2" t="s">
        <v>3090</v>
      </c>
      <c r="G135" s="2" t="s">
        <v>3090</v>
      </c>
      <c r="H135" s="2" t="s">
        <v>3090</v>
      </c>
      <c r="I135" s="2" t="s">
        <v>3090</v>
      </c>
      <c r="J135" s="2" t="s">
        <v>3090</v>
      </c>
      <c r="K135" s="2" t="s">
        <v>3091</v>
      </c>
      <c r="L135" s="2" t="s">
        <v>3091</v>
      </c>
      <c r="M135" s="2" t="s">
        <v>3090</v>
      </c>
      <c r="N135" s="2" t="s">
        <v>3090</v>
      </c>
      <c r="O135" s="2" t="s">
        <v>3090</v>
      </c>
      <c r="P135" s="2" t="s">
        <v>3091</v>
      </c>
      <c r="Q135" s="2" t="s">
        <v>3090</v>
      </c>
      <c r="R135" s="2" t="s">
        <v>3090</v>
      </c>
      <c r="S135" s="2" t="s">
        <v>3091</v>
      </c>
      <c r="T135" s="2"/>
      <c r="U135" s="2" t="s">
        <v>3090</v>
      </c>
      <c r="V135" s="2"/>
      <c r="W135" s="4">
        <f t="shared" si="6"/>
        <v>12</v>
      </c>
      <c r="X135" s="4">
        <f t="shared" si="7"/>
        <v>4</v>
      </c>
      <c r="Y135" s="4">
        <f t="shared" si="8"/>
        <v>16</v>
      </c>
    </row>
    <row r="136" spans="1:25" ht="15.75" customHeight="1">
      <c r="A136" s="2" t="s">
        <v>2840</v>
      </c>
      <c r="B136" s="2" t="s">
        <v>2732</v>
      </c>
      <c r="C136" s="3">
        <v>458</v>
      </c>
      <c r="D136" s="2" t="s">
        <v>474</v>
      </c>
      <c r="E136" s="2" t="s">
        <v>3091</v>
      </c>
      <c r="F136" s="2" t="s">
        <v>3091</v>
      </c>
      <c r="G136" s="2" t="s">
        <v>3091</v>
      </c>
      <c r="H136" s="2" t="s">
        <v>3090</v>
      </c>
      <c r="I136" s="2" t="s">
        <v>3091</v>
      </c>
      <c r="J136" s="2" t="s">
        <v>3091</v>
      </c>
      <c r="K136" s="2" t="s">
        <v>3091</v>
      </c>
      <c r="L136" s="2" t="s">
        <v>3091</v>
      </c>
      <c r="M136" s="2" t="s">
        <v>3091</v>
      </c>
      <c r="N136" s="2" t="s">
        <v>3091</v>
      </c>
      <c r="O136" s="2" t="s">
        <v>3090</v>
      </c>
      <c r="P136" s="2" t="s">
        <v>3091</v>
      </c>
      <c r="Q136" s="2" t="s">
        <v>3090</v>
      </c>
      <c r="R136" s="2" t="s">
        <v>3091</v>
      </c>
      <c r="S136" s="2" t="s">
        <v>3091</v>
      </c>
      <c r="T136" s="2" t="s">
        <v>3091</v>
      </c>
      <c r="U136" s="2" t="s">
        <v>3090</v>
      </c>
      <c r="V136" s="2" t="s">
        <v>3090</v>
      </c>
      <c r="W136" s="4">
        <f t="shared" si="6"/>
        <v>5</v>
      </c>
      <c r="X136" s="4">
        <f t="shared" si="7"/>
        <v>13</v>
      </c>
      <c r="Y136" s="4">
        <f t="shared" si="8"/>
        <v>18</v>
      </c>
    </row>
    <row r="137" spans="1:25" ht="15.75" customHeight="1">
      <c r="A137" s="2" t="s">
        <v>2841</v>
      </c>
      <c r="B137" s="2" t="s">
        <v>2746</v>
      </c>
      <c r="C137" s="3">
        <v>740</v>
      </c>
      <c r="D137" s="2" t="s">
        <v>684</v>
      </c>
      <c r="E137" s="2" t="s">
        <v>3090</v>
      </c>
      <c r="F137" s="2" t="s">
        <v>3090</v>
      </c>
      <c r="G137" s="2" t="s">
        <v>3090</v>
      </c>
      <c r="H137" s="2" t="s">
        <v>3090</v>
      </c>
      <c r="I137" s="2" t="s">
        <v>3090</v>
      </c>
      <c r="J137" s="2" t="s">
        <v>3090</v>
      </c>
      <c r="K137" s="2"/>
      <c r="L137" s="2"/>
      <c r="M137" s="2" t="s">
        <v>3090</v>
      </c>
      <c r="N137" s="2" t="s">
        <v>3090</v>
      </c>
      <c r="O137" s="2"/>
      <c r="P137" s="2"/>
      <c r="Q137" s="2" t="s">
        <v>3090</v>
      </c>
      <c r="R137" s="2" t="s">
        <v>3090</v>
      </c>
      <c r="S137" s="2"/>
      <c r="T137" s="2"/>
      <c r="U137" s="2"/>
      <c r="V137" s="2"/>
      <c r="W137" s="4">
        <f t="shared" si="6"/>
        <v>10</v>
      </c>
      <c r="X137" s="4">
        <f t="shared" si="7"/>
        <v>0</v>
      </c>
      <c r="Y137" s="4">
        <f t="shared" si="8"/>
        <v>10</v>
      </c>
    </row>
    <row r="138" spans="1:25" ht="15.75" customHeight="1">
      <c r="A138" s="2" t="s">
        <v>2842</v>
      </c>
      <c r="B138" s="2" t="s">
        <v>2671</v>
      </c>
      <c r="C138" s="3">
        <v>615</v>
      </c>
      <c r="D138" s="2" t="s">
        <v>793</v>
      </c>
      <c r="E138" s="2" t="s">
        <v>3090</v>
      </c>
      <c r="F138" s="2" t="s">
        <v>3090</v>
      </c>
      <c r="G138" s="2" t="s">
        <v>3090</v>
      </c>
      <c r="H138" s="2" t="s">
        <v>3090</v>
      </c>
      <c r="I138" s="2" t="s">
        <v>3090</v>
      </c>
      <c r="J138" s="2" t="s">
        <v>3090</v>
      </c>
      <c r="K138" s="2" t="s">
        <v>3091</v>
      </c>
      <c r="L138" s="2" t="s">
        <v>3091</v>
      </c>
      <c r="M138" s="2" t="s">
        <v>3090</v>
      </c>
      <c r="N138" s="2" t="s">
        <v>3090</v>
      </c>
      <c r="O138" s="2" t="s">
        <v>3090</v>
      </c>
      <c r="P138" s="2" t="s">
        <v>3091</v>
      </c>
      <c r="Q138" s="2" t="s">
        <v>3090</v>
      </c>
      <c r="R138" s="2" t="s">
        <v>3090</v>
      </c>
      <c r="S138" s="2" t="s">
        <v>3091</v>
      </c>
      <c r="T138" s="2" t="s">
        <v>3091</v>
      </c>
      <c r="U138" s="2" t="s">
        <v>3090</v>
      </c>
      <c r="V138" s="2" t="s">
        <v>3090</v>
      </c>
      <c r="W138" s="4">
        <f t="shared" si="6"/>
        <v>13</v>
      </c>
      <c r="X138" s="4">
        <f t="shared" si="7"/>
        <v>5</v>
      </c>
      <c r="Y138" s="4">
        <f t="shared" si="8"/>
        <v>18</v>
      </c>
    </row>
    <row r="139" spans="1:25" ht="15.75" customHeight="1">
      <c r="A139" s="2" t="s">
        <v>2843</v>
      </c>
      <c r="B139" s="2" t="s">
        <v>2669</v>
      </c>
      <c r="C139" s="3">
        <v>246</v>
      </c>
      <c r="D139" s="2" t="s">
        <v>626</v>
      </c>
      <c r="E139" s="2" t="s">
        <v>3090</v>
      </c>
      <c r="F139" s="2" t="s">
        <v>3091</v>
      </c>
      <c r="G139" s="2" t="s">
        <v>3091</v>
      </c>
      <c r="H139" s="2" t="s">
        <v>3090</v>
      </c>
      <c r="I139" s="2" t="s">
        <v>3090</v>
      </c>
      <c r="J139" s="2" t="s">
        <v>3090</v>
      </c>
      <c r="K139" s="2" t="s">
        <v>3091</v>
      </c>
      <c r="L139" s="2" t="s">
        <v>3091</v>
      </c>
      <c r="M139" s="2" t="s">
        <v>3090</v>
      </c>
      <c r="N139" s="2" t="s">
        <v>3090</v>
      </c>
      <c r="O139" s="2" t="s">
        <v>3090</v>
      </c>
      <c r="P139" s="2" t="s">
        <v>3091</v>
      </c>
      <c r="Q139" s="2" t="s">
        <v>3090</v>
      </c>
      <c r="R139" s="2" t="s">
        <v>3090</v>
      </c>
      <c r="S139" s="2" t="s">
        <v>3091</v>
      </c>
      <c r="T139" s="2" t="s">
        <v>3091</v>
      </c>
      <c r="U139" s="2" t="s">
        <v>3090</v>
      </c>
      <c r="V139" s="2" t="s">
        <v>3090</v>
      </c>
      <c r="W139" s="4">
        <f t="shared" si="6"/>
        <v>11</v>
      </c>
      <c r="X139" s="4">
        <f t="shared" si="7"/>
        <v>7</v>
      </c>
      <c r="Y139" s="4">
        <f t="shared" si="8"/>
        <v>18</v>
      </c>
    </row>
    <row r="140" spans="1:25" ht="15.75" customHeight="1">
      <c r="A140" s="2" t="s">
        <v>2844</v>
      </c>
      <c r="B140" s="2" t="s">
        <v>2680</v>
      </c>
      <c r="C140" s="3">
        <v>339</v>
      </c>
      <c r="D140" s="2" t="s">
        <v>305</v>
      </c>
      <c r="E140" s="2" t="s">
        <v>3091</v>
      </c>
      <c r="F140" s="2" t="s">
        <v>3091</v>
      </c>
      <c r="G140" s="2" t="s">
        <v>3091</v>
      </c>
      <c r="H140" s="2" t="s">
        <v>3091</v>
      </c>
      <c r="I140" s="2" t="s">
        <v>3091</v>
      </c>
      <c r="J140" s="2" t="s">
        <v>3090</v>
      </c>
      <c r="K140" s="2" t="s">
        <v>3091</v>
      </c>
      <c r="L140" s="2" t="s">
        <v>3091</v>
      </c>
      <c r="M140" s="2" t="s">
        <v>3091</v>
      </c>
      <c r="N140" s="2" t="s">
        <v>3091</v>
      </c>
      <c r="O140" s="2" t="s">
        <v>3090</v>
      </c>
      <c r="P140" s="2" t="s">
        <v>3091</v>
      </c>
      <c r="Q140" s="2" t="s">
        <v>3091</v>
      </c>
      <c r="R140" s="2" t="s">
        <v>3091</v>
      </c>
      <c r="S140" s="2" t="s">
        <v>3091</v>
      </c>
      <c r="T140" s="2" t="s">
        <v>3091</v>
      </c>
      <c r="U140" s="2"/>
      <c r="V140" s="2"/>
      <c r="W140" s="4">
        <f t="shared" si="6"/>
        <v>2</v>
      </c>
      <c r="X140" s="4">
        <f t="shared" si="7"/>
        <v>14</v>
      </c>
      <c r="Y140" s="4">
        <f t="shared" si="8"/>
        <v>16</v>
      </c>
    </row>
    <row r="141" spans="1:25" ht="15.75" customHeight="1">
      <c r="A141" s="2" t="s">
        <v>2845</v>
      </c>
      <c r="B141" s="2" t="s">
        <v>2846</v>
      </c>
      <c r="C141" s="3">
        <v>341</v>
      </c>
      <c r="D141" s="2" t="s">
        <v>476</v>
      </c>
      <c r="E141" s="2" t="s">
        <v>3090</v>
      </c>
      <c r="F141" s="2" t="s">
        <v>3090</v>
      </c>
      <c r="G141" s="2" t="s">
        <v>3090</v>
      </c>
      <c r="H141" s="2" t="s">
        <v>3090</v>
      </c>
      <c r="I141" s="2" t="s">
        <v>3090</v>
      </c>
      <c r="J141" s="2" t="s">
        <v>3090</v>
      </c>
      <c r="K141" s="2" t="s">
        <v>3091</v>
      </c>
      <c r="L141" s="2" t="s">
        <v>3091</v>
      </c>
      <c r="M141" s="2" t="s">
        <v>3090</v>
      </c>
      <c r="N141" s="2" t="s">
        <v>3090</v>
      </c>
      <c r="O141" s="2" t="s">
        <v>3090</v>
      </c>
      <c r="P141" s="2" t="s">
        <v>3091</v>
      </c>
      <c r="Q141" s="2" t="s">
        <v>3090</v>
      </c>
      <c r="R141" s="2" t="s">
        <v>3090</v>
      </c>
      <c r="S141" s="2" t="s">
        <v>3091</v>
      </c>
      <c r="T141" s="2" t="s">
        <v>3091</v>
      </c>
      <c r="U141" s="2" t="s">
        <v>3091</v>
      </c>
      <c r="V141" s="2" t="s">
        <v>3090</v>
      </c>
      <c r="W141" s="4">
        <f t="shared" si="6"/>
        <v>12</v>
      </c>
      <c r="X141" s="4">
        <f t="shared" si="7"/>
        <v>6</v>
      </c>
      <c r="Y141" s="4">
        <f t="shared" si="8"/>
        <v>18</v>
      </c>
    </row>
    <row r="142" spans="1:25" ht="15.75" customHeight="1">
      <c r="A142" s="2" t="s">
        <v>832</v>
      </c>
      <c r="B142" s="2" t="s">
        <v>833</v>
      </c>
      <c r="C142" s="3">
        <v>450</v>
      </c>
      <c r="D142" s="2" t="s">
        <v>431</v>
      </c>
      <c r="E142" s="2" t="s">
        <v>3090</v>
      </c>
      <c r="F142" s="2" t="s">
        <v>3090</v>
      </c>
      <c r="G142" s="2" t="s">
        <v>3090</v>
      </c>
      <c r="H142" s="2"/>
      <c r="I142" s="2"/>
      <c r="J142" s="2" t="s">
        <v>3090</v>
      </c>
      <c r="K142" s="2"/>
      <c r="L142" s="2"/>
      <c r="M142" s="2" t="s">
        <v>3090</v>
      </c>
      <c r="N142" s="2" t="s">
        <v>3090</v>
      </c>
      <c r="O142" s="2"/>
      <c r="P142" s="2"/>
      <c r="Q142" s="2" t="s">
        <v>3090</v>
      </c>
      <c r="R142" s="2"/>
      <c r="S142" s="2"/>
      <c r="T142" s="2"/>
      <c r="U142" s="2"/>
      <c r="V142" s="2"/>
      <c r="W142" s="4">
        <f t="shared" si="6"/>
        <v>7</v>
      </c>
      <c r="X142" s="4">
        <f t="shared" si="7"/>
        <v>0</v>
      </c>
      <c r="Y142" s="4">
        <f t="shared" si="8"/>
        <v>7</v>
      </c>
    </row>
    <row r="143" spans="1:25" ht="15.75" customHeight="1">
      <c r="A143" s="2" t="s">
        <v>2847</v>
      </c>
      <c r="B143" s="2" t="s">
        <v>2682</v>
      </c>
      <c r="C143" s="3">
        <v>665</v>
      </c>
      <c r="D143" s="2" t="s">
        <v>522</v>
      </c>
      <c r="E143" s="2" t="s">
        <v>3090</v>
      </c>
      <c r="F143" s="2" t="s">
        <v>3090</v>
      </c>
      <c r="G143" s="2" t="s">
        <v>3090</v>
      </c>
      <c r="H143" s="2" t="s">
        <v>3090</v>
      </c>
      <c r="I143" s="2" t="s">
        <v>3090</v>
      </c>
      <c r="J143" s="2" t="s">
        <v>3090</v>
      </c>
      <c r="K143" s="2" t="s">
        <v>3091</v>
      </c>
      <c r="L143" s="2" t="s">
        <v>3091</v>
      </c>
      <c r="M143" s="2" t="s">
        <v>3090</v>
      </c>
      <c r="N143" s="2" t="s">
        <v>3090</v>
      </c>
      <c r="O143" s="2" t="s">
        <v>3090</v>
      </c>
      <c r="P143" s="2" t="s">
        <v>3091</v>
      </c>
      <c r="Q143" s="2" t="s">
        <v>3090</v>
      </c>
      <c r="R143" s="2" t="s">
        <v>3090</v>
      </c>
      <c r="S143" s="2" t="s">
        <v>3091</v>
      </c>
      <c r="T143" s="2" t="s">
        <v>3091</v>
      </c>
      <c r="U143" s="2" t="s">
        <v>3090</v>
      </c>
      <c r="V143" s="2" t="s">
        <v>3090</v>
      </c>
      <c r="W143" s="4">
        <f t="shared" si="6"/>
        <v>13</v>
      </c>
      <c r="X143" s="4">
        <f t="shared" si="7"/>
        <v>5</v>
      </c>
      <c r="Y143" s="4">
        <f t="shared" si="8"/>
        <v>18</v>
      </c>
    </row>
    <row r="144" spans="1:25" ht="15.75" customHeight="1">
      <c r="A144" s="2" t="s">
        <v>2848</v>
      </c>
      <c r="B144" s="2" t="s">
        <v>2732</v>
      </c>
      <c r="C144" s="3">
        <v>693</v>
      </c>
      <c r="D144" s="2" t="s">
        <v>727</v>
      </c>
      <c r="E144" s="2" t="s">
        <v>3090</v>
      </c>
      <c r="F144" s="2" t="s">
        <v>3090</v>
      </c>
      <c r="G144" s="2" t="s">
        <v>3091</v>
      </c>
      <c r="H144" s="2" t="s">
        <v>3090</v>
      </c>
      <c r="I144" s="2" t="s">
        <v>3090</v>
      </c>
      <c r="J144" s="2" t="s">
        <v>3090</v>
      </c>
      <c r="K144" s="2" t="s">
        <v>3091</v>
      </c>
      <c r="L144" s="2" t="s">
        <v>3091</v>
      </c>
      <c r="M144" s="2" t="s">
        <v>3091</v>
      </c>
      <c r="N144" s="2" t="s">
        <v>3091</v>
      </c>
      <c r="O144" s="2" t="s">
        <v>3091</v>
      </c>
      <c r="P144" s="2" t="s">
        <v>3091</v>
      </c>
      <c r="Q144" s="2" t="s">
        <v>3091</v>
      </c>
      <c r="R144" s="2" t="s">
        <v>3091</v>
      </c>
      <c r="S144" s="2"/>
      <c r="T144" s="2"/>
      <c r="U144" s="2"/>
      <c r="V144" s="2"/>
      <c r="W144" s="4">
        <f t="shared" si="6"/>
        <v>5</v>
      </c>
      <c r="X144" s="4">
        <f t="shared" si="7"/>
        <v>9</v>
      </c>
      <c r="Y144" s="4">
        <f t="shared" si="8"/>
        <v>14</v>
      </c>
    </row>
    <row r="145" spans="1:25" ht="15.75" customHeight="1">
      <c r="A145" s="2" t="s">
        <v>2849</v>
      </c>
      <c r="B145" s="2" t="s">
        <v>2682</v>
      </c>
      <c r="C145" s="3">
        <v>732</v>
      </c>
      <c r="D145" s="2" t="s">
        <v>593</v>
      </c>
      <c r="E145" s="2" t="s">
        <v>3090</v>
      </c>
      <c r="F145" s="2" t="s">
        <v>3090</v>
      </c>
      <c r="G145" s="2" t="s">
        <v>3090</v>
      </c>
      <c r="H145" s="2" t="s">
        <v>3090</v>
      </c>
      <c r="I145" s="2" t="s">
        <v>3090</v>
      </c>
      <c r="J145" s="2" t="s">
        <v>3090</v>
      </c>
      <c r="K145" s="2" t="s">
        <v>3091</v>
      </c>
      <c r="L145" s="2" t="s">
        <v>3091</v>
      </c>
      <c r="M145" s="2" t="s">
        <v>3090</v>
      </c>
      <c r="N145" s="2" t="s">
        <v>3090</v>
      </c>
      <c r="O145" s="2" t="s">
        <v>3090</v>
      </c>
      <c r="P145" s="2" t="s">
        <v>3091</v>
      </c>
      <c r="Q145" s="2" t="s">
        <v>3090</v>
      </c>
      <c r="R145" s="2" t="s">
        <v>3090</v>
      </c>
      <c r="S145" s="2"/>
      <c r="T145" s="2"/>
      <c r="U145" s="2" t="s">
        <v>3090</v>
      </c>
      <c r="V145" s="2" t="s">
        <v>3090</v>
      </c>
      <c r="W145" s="4">
        <f t="shared" si="6"/>
        <v>13</v>
      </c>
      <c r="X145" s="4">
        <f t="shared" si="7"/>
        <v>3</v>
      </c>
      <c r="Y145" s="4">
        <f t="shared" si="8"/>
        <v>16</v>
      </c>
    </row>
    <row r="146" spans="1:25" ht="15.75" customHeight="1">
      <c r="A146" s="2" t="s">
        <v>2850</v>
      </c>
      <c r="B146" s="2" t="s">
        <v>2668</v>
      </c>
      <c r="C146" s="3">
        <v>731</v>
      </c>
      <c r="D146" s="2" t="s">
        <v>595</v>
      </c>
      <c r="E146" s="2" t="s">
        <v>3090</v>
      </c>
      <c r="F146" s="2" t="s">
        <v>3090</v>
      </c>
      <c r="G146" s="2" t="s">
        <v>3090</v>
      </c>
      <c r="H146" s="2" t="s">
        <v>3090</v>
      </c>
      <c r="I146" s="2" t="s">
        <v>3090</v>
      </c>
      <c r="J146" s="2" t="s">
        <v>3090</v>
      </c>
      <c r="K146" s="2" t="s">
        <v>3091</v>
      </c>
      <c r="L146" s="2" t="s">
        <v>3091</v>
      </c>
      <c r="M146" s="2" t="s">
        <v>3090</v>
      </c>
      <c r="N146" s="2" t="s">
        <v>3090</v>
      </c>
      <c r="O146" s="2" t="s">
        <v>3090</v>
      </c>
      <c r="P146" s="2" t="s">
        <v>3091</v>
      </c>
      <c r="Q146" s="2" t="s">
        <v>3090</v>
      </c>
      <c r="R146" s="2" t="s">
        <v>3090</v>
      </c>
      <c r="S146" s="2" t="s">
        <v>3091</v>
      </c>
      <c r="T146" s="2" t="s">
        <v>3091</v>
      </c>
      <c r="U146" s="2" t="s">
        <v>3090</v>
      </c>
      <c r="V146" s="2" t="s">
        <v>3090</v>
      </c>
      <c r="W146" s="4">
        <f t="shared" si="6"/>
        <v>13</v>
      </c>
      <c r="X146" s="4">
        <f t="shared" si="7"/>
        <v>5</v>
      </c>
      <c r="Y146" s="4">
        <f t="shared" si="8"/>
        <v>18</v>
      </c>
    </row>
    <row r="147" spans="1:25" ht="15.75" customHeight="1">
      <c r="A147" s="2" t="s">
        <v>2851</v>
      </c>
      <c r="B147" s="2" t="s">
        <v>2852</v>
      </c>
      <c r="C147" s="3">
        <v>612</v>
      </c>
      <c r="D147" s="2" t="s">
        <v>70</v>
      </c>
      <c r="E147" s="2" t="s">
        <v>3090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4">
        <f t="shared" si="6"/>
        <v>1</v>
      </c>
      <c r="X147" s="4">
        <f t="shared" si="7"/>
        <v>0</v>
      </c>
      <c r="Y147" s="4">
        <f t="shared" si="8"/>
        <v>1</v>
      </c>
    </row>
    <row r="148" spans="1:25" ht="15.75" customHeight="1">
      <c r="A148" s="2" t="s">
        <v>2853</v>
      </c>
      <c r="B148" s="2" t="s">
        <v>833</v>
      </c>
      <c r="C148" s="3">
        <v>710</v>
      </c>
      <c r="D148" s="2" t="s">
        <v>216</v>
      </c>
      <c r="E148" s="2" t="s">
        <v>3090</v>
      </c>
      <c r="F148" s="2" t="s">
        <v>3090</v>
      </c>
      <c r="G148" s="2" t="s">
        <v>3091</v>
      </c>
      <c r="H148" s="2" t="s">
        <v>3090</v>
      </c>
      <c r="I148" s="2" t="s">
        <v>3090</v>
      </c>
      <c r="J148" s="2" t="s">
        <v>3090</v>
      </c>
      <c r="K148" s="2" t="s">
        <v>3091</v>
      </c>
      <c r="L148" s="2" t="s">
        <v>3091</v>
      </c>
      <c r="M148" s="2" t="s">
        <v>3090</v>
      </c>
      <c r="N148" s="2" t="s">
        <v>3090</v>
      </c>
      <c r="O148" s="2" t="s">
        <v>3091</v>
      </c>
      <c r="P148" s="2" t="s">
        <v>3091</v>
      </c>
      <c r="Q148" s="2" t="s">
        <v>3091</v>
      </c>
      <c r="R148" s="2" t="s">
        <v>3090</v>
      </c>
      <c r="S148" s="2" t="s">
        <v>3091</v>
      </c>
      <c r="T148" s="2" t="s">
        <v>3091</v>
      </c>
      <c r="U148" s="2"/>
      <c r="V148" s="2" t="s">
        <v>3090</v>
      </c>
      <c r="W148" s="4">
        <f t="shared" si="6"/>
        <v>9</v>
      </c>
      <c r="X148" s="4">
        <f t="shared" si="7"/>
        <v>8</v>
      </c>
      <c r="Y148" s="4">
        <f t="shared" si="8"/>
        <v>17</v>
      </c>
    </row>
    <row r="149" spans="1:25" ht="15.75" customHeight="1">
      <c r="A149" s="2" t="s">
        <v>2854</v>
      </c>
      <c r="B149" s="2" t="s">
        <v>2701</v>
      </c>
      <c r="C149" s="3">
        <v>611</v>
      </c>
      <c r="D149" s="2" t="s">
        <v>163</v>
      </c>
      <c r="E149" s="2" t="s">
        <v>3090</v>
      </c>
      <c r="F149" s="2" t="s">
        <v>3090</v>
      </c>
      <c r="G149" s="2" t="s">
        <v>3090</v>
      </c>
      <c r="H149" s="2" t="s">
        <v>3090</v>
      </c>
      <c r="I149" s="2" t="s">
        <v>3090</v>
      </c>
      <c r="J149" s="2" t="s">
        <v>3090</v>
      </c>
      <c r="K149" s="2" t="s">
        <v>3091</v>
      </c>
      <c r="L149" s="2" t="s">
        <v>3091</v>
      </c>
      <c r="M149" s="2" t="s">
        <v>3090</v>
      </c>
      <c r="N149" s="2" t="s">
        <v>3090</v>
      </c>
      <c r="O149" s="2" t="s">
        <v>3090</v>
      </c>
      <c r="P149" s="2" t="s">
        <v>3091</v>
      </c>
      <c r="Q149" s="2" t="s">
        <v>3090</v>
      </c>
      <c r="R149" s="2" t="s">
        <v>3090</v>
      </c>
      <c r="S149" s="2" t="s">
        <v>3091</v>
      </c>
      <c r="T149" s="2" t="s">
        <v>3091</v>
      </c>
      <c r="U149" s="2" t="s">
        <v>3090</v>
      </c>
      <c r="V149" s="2" t="s">
        <v>3090</v>
      </c>
      <c r="W149" s="4">
        <f t="shared" si="6"/>
        <v>13</v>
      </c>
      <c r="X149" s="4">
        <f t="shared" si="7"/>
        <v>5</v>
      </c>
      <c r="Y149" s="4">
        <f t="shared" si="8"/>
        <v>18</v>
      </c>
    </row>
    <row r="150" spans="1:25" ht="15.75" customHeight="1">
      <c r="A150" s="2" t="s">
        <v>2855</v>
      </c>
      <c r="B150" s="2" t="s">
        <v>2755</v>
      </c>
      <c r="C150" s="3">
        <v>286</v>
      </c>
      <c r="D150" s="2" t="s">
        <v>560</v>
      </c>
      <c r="E150" s="2" t="s">
        <v>3091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4">
        <f t="shared" si="6"/>
        <v>0</v>
      </c>
      <c r="X150" s="4">
        <f t="shared" si="7"/>
        <v>1</v>
      </c>
      <c r="Y150" s="4">
        <f t="shared" si="8"/>
        <v>1</v>
      </c>
    </row>
    <row r="151" spans="1:25" ht="15.75" customHeight="1">
      <c r="A151" s="2" t="s">
        <v>2856</v>
      </c>
      <c r="B151" s="2" t="s">
        <v>2693</v>
      </c>
      <c r="C151" s="3">
        <v>505</v>
      </c>
      <c r="D151" s="2" t="s">
        <v>14</v>
      </c>
      <c r="E151" s="2" t="s">
        <v>3091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4">
        <f t="shared" si="6"/>
        <v>0</v>
      </c>
      <c r="X151" s="4">
        <f t="shared" si="7"/>
        <v>1</v>
      </c>
      <c r="Y151" s="4">
        <f t="shared" si="8"/>
        <v>1</v>
      </c>
    </row>
    <row r="152" spans="1:25" ht="15.75" customHeight="1">
      <c r="A152" s="2" t="s">
        <v>2857</v>
      </c>
      <c r="B152" s="2" t="s">
        <v>2858</v>
      </c>
      <c r="C152" s="3">
        <v>633</v>
      </c>
      <c r="D152" s="2" t="s">
        <v>796</v>
      </c>
      <c r="E152" s="2" t="s">
        <v>3090</v>
      </c>
      <c r="F152" s="2" t="s">
        <v>3091</v>
      </c>
      <c r="G152" s="2" t="s">
        <v>3091</v>
      </c>
      <c r="H152" s="2" t="s">
        <v>3091</v>
      </c>
      <c r="I152" s="2" t="s">
        <v>3091</v>
      </c>
      <c r="J152" s="2" t="s">
        <v>3090</v>
      </c>
      <c r="K152" s="2" t="s">
        <v>3091</v>
      </c>
      <c r="L152" s="2" t="s">
        <v>3091</v>
      </c>
      <c r="M152" s="2" t="s">
        <v>3090</v>
      </c>
      <c r="N152" s="2" t="s">
        <v>3090</v>
      </c>
      <c r="O152" s="2" t="s">
        <v>3090</v>
      </c>
      <c r="P152" s="2" t="s">
        <v>3091</v>
      </c>
      <c r="Q152" s="2" t="s">
        <v>3091</v>
      </c>
      <c r="R152" s="2" t="s">
        <v>3091</v>
      </c>
      <c r="S152" s="2"/>
      <c r="T152" s="2" t="s">
        <v>3091</v>
      </c>
      <c r="U152" s="2" t="s">
        <v>3091</v>
      </c>
      <c r="V152" s="2"/>
      <c r="W152" s="4">
        <f t="shared" si="6"/>
        <v>5</v>
      </c>
      <c r="X152" s="4">
        <f t="shared" si="7"/>
        <v>11</v>
      </c>
      <c r="Y152" s="4">
        <f t="shared" si="8"/>
        <v>16</v>
      </c>
    </row>
    <row r="153" spans="1:25" ht="15.75" customHeight="1">
      <c r="A153" s="2" t="s">
        <v>2859</v>
      </c>
      <c r="B153" s="2" t="s">
        <v>2846</v>
      </c>
      <c r="C153" s="3">
        <v>757</v>
      </c>
      <c r="D153" s="2" t="s">
        <v>525</v>
      </c>
      <c r="E153" s="2" t="s">
        <v>3090</v>
      </c>
      <c r="F153" s="2" t="s">
        <v>3090</v>
      </c>
      <c r="G153" s="2" t="s">
        <v>3090</v>
      </c>
      <c r="H153" s="2" t="s">
        <v>3090</v>
      </c>
      <c r="I153" s="2" t="s">
        <v>3090</v>
      </c>
      <c r="J153" s="2" t="s">
        <v>3090</v>
      </c>
      <c r="K153" s="2" t="s">
        <v>3091</v>
      </c>
      <c r="L153" s="2" t="s">
        <v>3091</v>
      </c>
      <c r="M153" s="2" t="s">
        <v>3090</v>
      </c>
      <c r="N153" s="2" t="s">
        <v>3090</v>
      </c>
      <c r="O153" s="2" t="s">
        <v>3090</v>
      </c>
      <c r="P153" s="2" t="s">
        <v>3091</v>
      </c>
      <c r="Q153" s="2" t="s">
        <v>3090</v>
      </c>
      <c r="R153" s="2" t="s">
        <v>3090</v>
      </c>
      <c r="S153" s="2" t="s">
        <v>3091</v>
      </c>
      <c r="T153" s="2"/>
      <c r="U153" s="2" t="s">
        <v>3090</v>
      </c>
      <c r="V153" s="2" t="s">
        <v>3090</v>
      </c>
      <c r="W153" s="4">
        <f t="shared" si="6"/>
        <v>13</v>
      </c>
      <c r="X153" s="4">
        <f t="shared" si="7"/>
        <v>4</v>
      </c>
      <c r="Y153" s="4">
        <f t="shared" si="8"/>
        <v>17</v>
      </c>
    </row>
    <row r="154" spans="1:25" ht="15.75" customHeight="1">
      <c r="A154" s="2" t="s">
        <v>2860</v>
      </c>
      <c r="B154" s="2" t="s">
        <v>2701</v>
      </c>
      <c r="C154" s="3">
        <v>750</v>
      </c>
      <c r="D154" s="2" t="s">
        <v>758</v>
      </c>
      <c r="E154" s="2" t="s">
        <v>3090</v>
      </c>
      <c r="F154" s="2" t="s">
        <v>3091</v>
      </c>
      <c r="G154" s="2" t="s">
        <v>3091</v>
      </c>
      <c r="H154" s="2" t="s">
        <v>3090</v>
      </c>
      <c r="I154" s="2" t="s">
        <v>3090</v>
      </c>
      <c r="J154" s="2" t="s">
        <v>3090</v>
      </c>
      <c r="K154" s="2" t="s">
        <v>3091</v>
      </c>
      <c r="L154" s="2" t="s">
        <v>3091</v>
      </c>
      <c r="M154" s="2" t="s">
        <v>3091</v>
      </c>
      <c r="N154" s="2" t="s">
        <v>3091</v>
      </c>
      <c r="O154" s="2"/>
      <c r="P154" s="2"/>
      <c r="Q154" s="2"/>
      <c r="R154" s="2"/>
      <c r="S154" s="2"/>
      <c r="T154" s="2"/>
      <c r="U154" s="2"/>
      <c r="V154" s="2"/>
      <c r="W154" s="4">
        <f t="shared" si="6"/>
        <v>4</v>
      </c>
      <c r="X154" s="4">
        <f t="shared" si="7"/>
        <v>6</v>
      </c>
      <c r="Y154" s="4">
        <f t="shared" si="8"/>
        <v>10</v>
      </c>
    </row>
    <row r="155" spans="1:25" ht="15.75" customHeight="1">
      <c r="A155" s="2" t="s">
        <v>2861</v>
      </c>
      <c r="B155" s="2" t="s">
        <v>2682</v>
      </c>
      <c r="C155" s="3">
        <v>636</v>
      </c>
      <c r="D155" s="2" t="s">
        <v>433</v>
      </c>
      <c r="E155" s="2" t="s">
        <v>3090</v>
      </c>
      <c r="F155" s="2" t="s">
        <v>3090</v>
      </c>
      <c r="G155" s="2" t="s">
        <v>3090</v>
      </c>
      <c r="H155" s="2" t="s">
        <v>3090</v>
      </c>
      <c r="I155" s="2" t="s">
        <v>3090</v>
      </c>
      <c r="J155" s="2" t="s">
        <v>3090</v>
      </c>
      <c r="K155" s="2" t="s">
        <v>3091</v>
      </c>
      <c r="L155" s="2" t="s">
        <v>3091</v>
      </c>
      <c r="M155" s="2" t="s">
        <v>3090</v>
      </c>
      <c r="N155" s="2" t="s">
        <v>3090</v>
      </c>
      <c r="O155" s="2" t="s">
        <v>3090</v>
      </c>
      <c r="P155" s="2" t="s">
        <v>3091</v>
      </c>
      <c r="Q155" s="2" t="s">
        <v>3090</v>
      </c>
      <c r="R155" s="2" t="s">
        <v>3090</v>
      </c>
      <c r="S155" s="2" t="s">
        <v>3091</v>
      </c>
      <c r="T155" s="2" t="s">
        <v>3091</v>
      </c>
      <c r="U155" s="2" t="s">
        <v>3090</v>
      </c>
      <c r="V155" s="2" t="s">
        <v>3090</v>
      </c>
      <c r="W155" s="4">
        <f t="shared" si="6"/>
        <v>13</v>
      </c>
      <c r="X155" s="4">
        <f t="shared" si="7"/>
        <v>5</v>
      </c>
      <c r="Y155" s="4">
        <f t="shared" si="8"/>
        <v>18</v>
      </c>
    </row>
    <row r="156" spans="1:25" ht="15.75" customHeight="1">
      <c r="A156" s="2" t="s">
        <v>2862</v>
      </c>
      <c r="B156" s="2" t="s">
        <v>2863</v>
      </c>
      <c r="C156" s="3">
        <v>781</v>
      </c>
      <c r="D156" s="2" t="s">
        <v>258</v>
      </c>
      <c r="E156" s="2" t="s">
        <v>3090</v>
      </c>
      <c r="F156" s="2"/>
      <c r="G156" s="2" t="s">
        <v>3091</v>
      </c>
      <c r="H156" s="2"/>
      <c r="I156" s="2" t="s">
        <v>3091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4">
        <f t="shared" si="6"/>
        <v>1</v>
      </c>
      <c r="X156" s="4">
        <f t="shared" si="7"/>
        <v>2</v>
      </c>
      <c r="Y156" s="4">
        <f t="shared" si="8"/>
        <v>3</v>
      </c>
    </row>
    <row r="157" spans="1:25" ht="15.75" customHeight="1">
      <c r="A157" s="2" t="s">
        <v>2864</v>
      </c>
      <c r="B157" s="2" t="s">
        <v>2701</v>
      </c>
      <c r="C157" s="3">
        <v>375</v>
      </c>
      <c r="D157" s="2" t="s">
        <v>563</v>
      </c>
      <c r="E157" s="2" t="s">
        <v>3091</v>
      </c>
      <c r="F157" s="2" t="s">
        <v>3091</v>
      </c>
      <c r="G157" s="2" t="s">
        <v>3091</v>
      </c>
      <c r="H157" s="2" t="s">
        <v>3091</v>
      </c>
      <c r="I157" s="2" t="s">
        <v>3091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4">
        <f t="shared" si="6"/>
        <v>0</v>
      </c>
      <c r="X157" s="4">
        <f t="shared" si="7"/>
        <v>5</v>
      </c>
      <c r="Y157" s="4">
        <f t="shared" si="8"/>
        <v>5</v>
      </c>
    </row>
    <row r="158" spans="1:25" ht="15.75" customHeight="1">
      <c r="A158" s="2" t="s">
        <v>2865</v>
      </c>
      <c r="B158" s="2" t="s">
        <v>2662</v>
      </c>
      <c r="C158" s="3">
        <v>622</v>
      </c>
      <c r="D158" s="2" t="s">
        <v>528</v>
      </c>
      <c r="E158" s="2" t="s">
        <v>3090</v>
      </c>
      <c r="F158" s="2" t="s">
        <v>3091</v>
      </c>
      <c r="G158" s="2" t="s">
        <v>3091</v>
      </c>
      <c r="H158" s="2" t="s">
        <v>3091</v>
      </c>
      <c r="I158" s="2" t="s">
        <v>3091</v>
      </c>
      <c r="J158" s="2" t="s">
        <v>3091</v>
      </c>
      <c r="K158" s="2" t="s">
        <v>3091</v>
      </c>
      <c r="L158" s="2" t="s">
        <v>3091</v>
      </c>
      <c r="M158" s="2" t="s">
        <v>3091</v>
      </c>
      <c r="N158" s="2" t="s">
        <v>3091</v>
      </c>
      <c r="O158" s="2" t="s">
        <v>3090</v>
      </c>
      <c r="P158" s="2"/>
      <c r="Q158" s="2"/>
      <c r="R158" s="2"/>
      <c r="S158" s="2"/>
      <c r="T158" s="2"/>
      <c r="U158" s="2" t="s">
        <v>3090</v>
      </c>
      <c r="V158" s="2"/>
      <c r="W158" s="4">
        <f t="shared" si="6"/>
        <v>3</v>
      </c>
      <c r="X158" s="4">
        <f t="shared" si="7"/>
        <v>9</v>
      </c>
      <c r="Y158" s="4">
        <f t="shared" si="8"/>
        <v>12</v>
      </c>
    </row>
    <row r="159" spans="1:25" ht="15.75" customHeight="1">
      <c r="A159" s="2" t="s">
        <v>2866</v>
      </c>
      <c r="B159" s="2" t="s">
        <v>2732</v>
      </c>
      <c r="C159" s="3">
        <v>459</v>
      </c>
      <c r="D159" s="2" t="s">
        <v>397</v>
      </c>
      <c r="E159" s="2" t="s">
        <v>3090</v>
      </c>
      <c r="F159" s="2" t="s">
        <v>3090</v>
      </c>
      <c r="G159" s="2" t="s">
        <v>3090</v>
      </c>
      <c r="H159" s="2" t="s">
        <v>3090</v>
      </c>
      <c r="I159" s="2" t="s">
        <v>3090</v>
      </c>
      <c r="J159" s="2" t="s">
        <v>3090</v>
      </c>
      <c r="K159" s="2" t="s">
        <v>3091</v>
      </c>
      <c r="L159" s="2"/>
      <c r="M159" s="2" t="s">
        <v>3090</v>
      </c>
      <c r="N159" s="2" t="s">
        <v>3090</v>
      </c>
      <c r="O159" s="2" t="s">
        <v>3090</v>
      </c>
      <c r="P159" s="2"/>
      <c r="Q159" s="2" t="s">
        <v>3090</v>
      </c>
      <c r="R159" s="2" t="s">
        <v>3090</v>
      </c>
      <c r="S159" s="2"/>
      <c r="T159" s="2"/>
      <c r="U159" s="2"/>
      <c r="V159" s="2" t="s">
        <v>3090</v>
      </c>
      <c r="W159" s="4">
        <f t="shared" si="6"/>
        <v>12</v>
      </c>
      <c r="X159" s="4">
        <f t="shared" si="7"/>
        <v>1</v>
      </c>
      <c r="Y159" s="4">
        <f t="shared" si="8"/>
        <v>13</v>
      </c>
    </row>
    <row r="160" spans="1:25" ht="15.75" customHeight="1">
      <c r="A160" s="2" t="s">
        <v>2867</v>
      </c>
      <c r="B160" s="2" t="s">
        <v>2755</v>
      </c>
      <c r="C160" s="3">
        <v>379</v>
      </c>
      <c r="D160" s="2" t="s">
        <v>628</v>
      </c>
      <c r="E160" s="2" t="s">
        <v>3090</v>
      </c>
      <c r="F160" s="2" t="s">
        <v>3090</v>
      </c>
      <c r="G160" s="2" t="s">
        <v>3090</v>
      </c>
      <c r="H160" s="2" t="s">
        <v>3090</v>
      </c>
      <c r="I160" s="2" t="s">
        <v>3090</v>
      </c>
      <c r="J160" s="2" t="s">
        <v>3090</v>
      </c>
      <c r="K160" s="2" t="s">
        <v>3091</v>
      </c>
      <c r="L160" s="2" t="s">
        <v>3091</v>
      </c>
      <c r="M160" s="2" t="s">
        <v>3090</v>
      </c>
      <c r="N160" s="2" t="s">
        <v>3090</v>
      </c>
      <c r="O160" s="2" t="s">
        <v>3090</v>
      </c>
      <c r="P160" s="2" t="s">
        <v>3091</v>
      </c>
      <c r="Q160" s="2" t="s">
        <v>3090</v>
      </c>
      <c r="R160" s="2" t="s">
        <v>3090</v>
      </c>
      <c r="S160" s="2" t="s">
        <v>3091</v>
      </c>
      <c r="T160" s="2" t="s">
        <v>3091</v>
      </c>
      <c r="U160" s="2" t="s">
        <v>3090</v>
      </c>
      <c r="V160" s="2" t="s">
        <v>3090</v>
      </c>
      <c r="W160" s="4">
        <f t="shared" si="6"/>
        <v>13</v>
      </c>
      <c r="X160" s="4">
        <f t="shared" si="7"/>
        <v>5</v>
      </c>
      <c r="Y160" s="4">
        <f t="shared" si="8"/>
        <v>18</v>
      </c>
    </row>
    <row r="161" spans="1:25" ht="15.75" customHeight="1">
      <c r="A161" s="2" t="s">
        <v>2868</v>
      </c>
      <c r="B161" s="2" t="s">
        <v>2695</v>
      </c>
      <c r="C161" s="3">
        <v>624</v>
      </c>
      <c r="D161" s="2" t="s">
        <v>75</v>
      </c>
      <c r="E161" s="2" t="s">
        <v>3090</v>
      </c>
      <c r="F161" s="2" t="s">
        <v>3090</v>
      </c>
      <c r="G161" s="2" t="s">
        <v>3090</v>
      </c>
      <c r="H161" s="2" t="s">
        <v>3090</v>
      </c>
      <c r="I161" s="2" t="s">
        <v>3091</v>
      </c>
      <c r="J161" s="2" t="s">
        <v>3090</v>
      </c>
      <c r="K161" s="2" t="s">
        <v>3091</v>
      </c>
      <c r="L161" s="2" t="s">
        <v>3091</v>
      </c>
      <c r="M161" s="2" t="s">
        <v>3090</v>
      </c>
      <c r="N161" s="2" t="s">
        <v>3090</v>
      </c>
      <c r="O161" s="2" t="s">
        <v>3090</v>
      </c>
      <c r="P161" s="2" t="s">
        <v>3091</v>
      </c>
      <c r="Q161" s="2" t="s">
        <v>3091</v>
      </c>
      <c r="R161" s="2" t="s">
        <v>3091</v>
      </c>
      <c r="S161" s="2" t="s">
        <v>3091</v>
      </c>
      <c r="T161" s="2" t="s">
        <v>3091</v>
      </c>
      <c r="U161" s="2" t="s">
        <v>3090</v>
      </c>
      <c r="V161" s="2" t="s">
        <v>3090</v>
      </c>
      <c r="W161" s="4">
        <f t="shared" si="6"/>
        <v>10</v>
      </c>
      <c r="X161" s="4">
        <f t="shared" si="7"/>
        <v>8</v>
      </c>
      <c r="Y161" s="4">
        <f t="shared" si="8"/>
        <v>18</v>
      </c>
    </row>
    <row r="162" spans="1:25" ht="15.75" customHeight="1">
      <c r="A162" s="2" t="s">
        <v>2869</v>
      </c>
      <c r="B162" s="2" t="s">
        <v>2775</v>
      </c>
      <c r="C162" s="3">
        <v>769</v>
      </c>
      <c r="D162" s="2" t="s">
        <v>478</v>
      </c>
      <c r="E162" s="2" t="s">
        <v>3090</v>
      </c>
      <c r="F162" s="2" t="s">
        <v>3090</v>
      </c>
      <c r="G162" s="2" t="s">
        <v>3090</v>
      </c>
      <c r="H162" s="2" t="s">
        <v>3090</v>
      </c>
      <c r="I162" s="2" t="s">
        <v>3090</v>
      </c>
      <c r="J162" s="2" t="s">
        <v>3090</v>
      </c>
      <c r="K162" s="2"/>
      <c r="L162" s="2"/>
      <c r="M162" s="2" t="s">
        <v>3090</v>
      </c>
      <c r="N162" s="2" t="s">
        <v>3090</v>
      </c>
      <c r="O162" s="2" t="s">
        <v>3090</v>
      </c>
      <c r="P162" s="2" t="s">
        <v>3091</v>
      </c>
      <c r="Q162" s="2" t="s">
        <v>3090</v>
      </c>
      <c r="R162" s="2" t="s">
        <v>3090</v>
      </c>
      <c r="S162" s="2" t="s">
        <v>3091</v>
      </c>
      <c r="T162" s="2" t="s">
        <v>3091</v>
      </c>
      <c r="U162" s="2" t="s">
        <v>3090</v>
      </c>
      <c r="V162" s="2" t="s">
        <v>3090</v>
      </c>
      <c r="W162" s="4">
        <f t="shared" si="6"/>
        <v>13</v>
      </c>
      <c r="X162" s="4">
        <f t="shared" si="7"/>
        <v>3</v>
      </c>
      <c r="Y162" s="4">
        <f t="shared" si="8"/>
        <v>16</v>
      </c>
    </row>
    <row r="163" spans="1:25" ht="15.75" customHeight="1">
      <c r="A163" s="2" t="s">
        <v>2870</v>
      </c>
      <c r="B163" s="2" t="s">
        <v>2682</v>
      </c>
      <c r="C163" s="3">
        <v>601</v>
      </c>
      <c r="D163" s="2" t="s">
        <v>359</v>
      </c>
      <c r="E163" s="2" t="s">
        <v>3090</v>
      </c>
      <c r="F163" s="2" t="s">
        <v>3091</v>
      </c>
      <c r="G163" s="2" t="s">
        <v>3091</v>
      </c>
      <c r="H163" s="2" t="s">
        <v>3091</v>
      </c>
      <c r="I163" s="2" t="s">
        <v>3091</v>
      </c>
      <c r="J163" s="2" t="s">
        <v>3090</v>
      </c>
      <c r="K163" s="2" t="s">
        <v>3091</v>
      </c>
      <c r="L163" s="2" t="s">
        <v>3091</v>
      </c>
      <c r="M163" s="2" t="s">
        <v>3091</v>
      </c>
      <c r="N163" s="2" t="s">
        <v>3091</v>
      </c>
      <c r="O163" s="2" t="s">
        <v>3091</v>
      </c>
      <c r="P163" s="2" t="s">
        <v>3091</v>
      </c>
      <c r="Q163" s="2" t="s">
        <v>3091</v>
      </c>
      <c r="R163" s="2" t="s">
        <v>3091</v>
      </c>
      <c r="S163" s="2" t="s">
        <v>3091</v>
      </c>
      <c r="T163" s="2"/>
      <c r="U163" s="2" t="s">
        <v>3090</v>
      </c>
      <c r="V163" s="2"/>
      <c r="W163" s="4">
        <f t="shared" si="6"/>
        <v>3</v>
      </c>
      <c r="X163" s="4">
        <f t="shared" si="7"/>
        <v>13</v>
      </c>
      <c r="Y163" s="4">
        <f t="shared" si="8"/>
        <v>16</v>
      </c>
    </row>
    <row r="164" spans="1:25" ht="15.75" customHeight="1">
      <c r="A164" s="2" t="s">
        <v>2871</v>
      </c>
      <c r="B164" s="2" t="s">
        <v>2682</v>
      </c>
      <c r="C164" s="3">
        <v>712</v>
      </c>
      <c r="D164" s="2" t="s">
        <v>261</v>
      </c>
      <c r="E164" s="2" t="s">
        <v>3091</v>
      </c>
      <c r="F164" s="2"/>
      <c r="G164" s="2"/>
      <c r="H164" s="2"/>
      <c r="I164" s="2"/>
      <c r="J164" s="2"/>
      <c r="K164" s="2"/>
      <c r="L164" s="2"/>
      <c r="M164" s="2" t="s">
        <v>3091</v>
      </c>
      <c r="N164" s="2"/>
      <c r="O164" s="2"/>
      <c r="P164" s="2"/>
      <c r="Q164" s="2"/>
      <c r="R164" s="2"/>
      <c r="S164" s="2"/>
      <c r="T164" s="2"/>
      <c r="U164" s="2"/>
      <c r="V164" s="2"/>
      <c r="W164" s="4">
        <f t="shared" si="6"/>
        <v>0</v>
      </c>
      <c r="X164" s="4">
        <f t="shared" si="7"/>
        <v>2</v>
      </c>
      <c r="Y164" s="4">
        <f t="shared" si="8"/>
        <v>2</v>
      </c>
    </row>
    <row r="165" spans="1:25" ht="15.75" customHeight="1">
      <c r="A165" s="2" t="s">
        <v>2872</v>
      </c>
      <c r="B165" s="2" t="s">
        <v>2811</v>
      </c>
      <c r="C165" s="3">
        <v>597</v>
      </c>
      <c r="D165" s="2" t="s">
        <v>362</v>
      </c>
      <c r="E165" s="2" t="s">
        <v>3090</v>
      </c>
      <c r="F165" s="2" t="s">
        <v>3090</v>
      </c>
      <c r="G165" s="2" t="s">
        <v>3090</v>
      </c>
      <c r="H165" s="2" t="s">
        <v>3090</v>
      </c>
      <c r="I165" s="2" t="s">
        <v>3090</v>
      </c>
      <c r="J165" s="2" t="s">
        <v>3090</v>
      </c>
      <c r="K165" s="2" t="s">
        <v>3091</v>
      </c>
      <c r="L165" s="2" t="s">
        <v>3091</v>
      </c>
      <c r="M165" s="2" t="s">
        <v>3091</v>
      </c>
      <c r="N165" s="2" t="s">
        <v>3091</v>
      </c>
      <c r="O165" s="2" t="s">
        <v>3090</v>
      </c>
      <c r="P165" s="2" t="s">
        <v>3091</v>
      </c>
      <c r="Q165" s="2" t="s">
        <v>3090</v>
      </c>
      <c r="R165" s="2" t="s">
        <v>3091</v>
      </c>
      <c r="S165" s="2" t="s">
        <v>3091</v>
      </c>
      <c r="T165" s="2" t="s">
        <v>3091</v>
      </c>
      <c r="U165" s="2" t="s">
        <v>3091</v>
      </c>
      <c r="V165" s="2" t="s">
        <v>3091</v>
      </c>
      <c r="W165" s="4">
        <f t="shared" si="6"/>
        <v>8</v>
      </c>
      <c r="X165" s="4">
        <f t="shared" si="7"/>
        <v>10</v>
      </c>
      <c r="Y165" s="4">
        <f t="shared" si="8"/>
        <v>18</v>
      </c>
    </row>
    <row r="166" spans="1:25" ht="15.75" customHeight="1">
      <c r="A166" s="2" t="s">
        <v>2873</v>
      </c>
      <c r="B166" s="2" t="s">
        <v>2874</v>
      </c>
      <c r="C166" s="3">
        <v>618</v>
      </c>
      <c r="D166" s="2" t="s">
        <v>686</v>
      </c>
      <c r="E166" s="2" t="s">
        <v>3091</v>
      </c>
      <c r="F166" s="2" t="s">
        <v>3090</v>
      </c>
      <c r="G166" s="2" t="s">
        <v>3090</v>
      </c>
      <c r="H166" s="2" t="s">
        <v>3090</v>
      </c>
      <c r="I166" s="2" t="s">
        <v>3090</v>
      </c>
      <c r="J166" s="2" t="s">
        <v>3090</v>
      </c>
      <c r="K166" s="2" t="s">
        <v>3091</v>
      </c>
      <c r="L166" s="2" t="s">
        <v>3091</v>
      </c>
      <c r="M166" s="2" t="s">
        <v>3091</v>
      </c>
      <c r="N166" s="2" t="s">
        <v>3090</v>
      </c>
      <c r="O166" s="2" t="s">
        <v>3091</v>
      </c>
      <c r="P166" s="2" t="s">
        <v>3091</v>
      </c>
      <c r="Q166" s="2" t="s">
        <v>3091</v>
      </c>
      <c r="R166" s="2" t="s">
        <v>3091</v>
      </c>
      <c r="S166" s="2" t="s">
        <v>3091</v>
      </c>
      <c r="T166" s="2" t="s">
        <v>3091</v>
      </c>
      <c r="U166" s="2"/>
      <c r="V166" s="2" t="s">
        <v>3090</v>
      </c>
      <c r="W166" s="4">
        <f t="shared" si="6"/>
        <v>7</v>
      </c>
      <c r="X166" s="4">
        <f t="shared" si="7"/>
        <v>10</v>
      </c>
      <c r="Y166" s="4">
        <f t="shared" si="8"/>
        <v>17</v>
      </c>
    </row>
    <row r="167" spans="1:25" ht="15.75" customHeight="1">
      <c r="A167" s="2" t="s">
        <v>2875</v>
      </c>
      <c r="B167" s="2" t="s">
        <v>2876</v>
      </c>
      <c r="C167" s="3">
        <v>779</v>
      </c>
      <c r="D167" s="2" t="s">
        <v>688</v>
      </c>
      <c r="E167" s="2" t="s">
        <v>3091</v>
      </c>
      <c r="F167" s="2" t="s">
        <v>3090</v>
      </c>
      <c r="G167" s="2" t="s">
        <v>3090</v>
      </c>
      <c r="H167" s="2" t="s">
        <v>3090</v>
      </c>
      <c r="I167" s="2" t="s">
        <v>3090</v>
      </c>
      <c r="J167" s="2" t="s">
        <v>3090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4">
        <f t="shared" si="6"/>
        <v>5</v>
      </c>
      <c r="X167" s="4">
        <f t="shared" si="7"/>
        <v>1</v>
      </c>
      <c r="Y167" s="4">
        <f t="shared" si="8"/>
        <v>6</v>
      </c>
    </row>
    <row r="168" spans="1:25" ht="15.75" customHeight="1">
      <c r="A168" s="2" t="s">
        <v>2877</v>
      </c>
      <c r="B168" s="2" t="s">
        <v>2693</v>
      </c>
      <c r="C168" s="3">
        <v>814</v>
      </c>
      <c r="D168" s="2" t="s">
        <v>730</v>
      </c>
      <c r="E168" s="2" t="s">
        <v>3091</v>
      </c>
      <c r="F168" s="2" t="s">
        <v>3091</v>
      </c>
      <c r="G168" s="2" t="s">
        <v>3091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4">
        <f t="shared" si="6"/>
        <v>0</v>
      </c>
      <c r="X168" s="4">
        <f t="shared" si="7"/>
        <v>3</v>
      </c>
      <c r="Y168" s="4">
        <f t="shared" si="8"/>
        <v>3</v>
      </c>
    </row>
    <row r="169" spans="1:25" ht="15.75" customHeight="1">
      <c r="A169" s="2" t="s">
        <v>2878</v>
      </c>
      <c r="B169" s="2" t="s">
        <v>2701</v>
      </c>
      <c r="C169" s="3">
        <v>705</v>
      </c>
      <c r="D169" s="2" t="s">
        <v>264</v>
      </c>
      <c r="E169" s="2" t="s">
        <v>3090</v>
      </c>
      <c r="F169" s="2" t="s">
        <v>3091</v>
      </c>
      <c r="G169" s="2" t="s">
        <v>3091</v>
      </c>
      <c r="H169" s="2" t="s">
        <v>3090</v>
      </c>
      <c r="I169" s="2" t="s">
        <v>3090</v>
      </c>
      <c r="J169" s="2" t="s">
        <v>3090</v>
      </c>
      <c r="K169" s="2" t="s">
        <v>3091</v>
      </c>
      <c r="L169" s="2" t="s">
        <v>3091</v>
      </c>
      <c r="M169" s="2" t="s">
        <v>3090</v>
      </c>
      <c r="N169" s="2" t="s">
        <v>3091</v>
      </c>
      <c r="O169" s="2" t="s">
        <v>3090</v>
      </c>
      <c r="P169" s="2" t="s">
        <v>3091</v>
      </c>
      <c r="Q169" s="2" t="s">
        <v>3091</v>
      </c>
      <c r="R169" s="2" t="s">
        <v>3091</v>
      </c>
      <c r="S169" s="2"/>
      <c r="T169" s="2" t="s">
        <v>3091</v>
      </c>
      <c r="U169" s="2"/>
      <c r="V169" s="2"/>
      <c r="W169" s="4">
        <f t="shared" si="6"/>
        <v>6</v>
      </c>
      <c r="X169" s="4">
        <f t="shared" si="7"/>
        <v>9</v>
      </c>
      <c r="Y169" s="4">
        <f t="shared" si="8"/>
        <v>15</v>
      </c>
    </row>
    <row r="170" spans="1:25" ht="15.75" customHeight="1">
      <c r="A170" s="2" t="s">
        <v>2879</v>
      </c>
      <c r="B170" s="2" t="s">
        <v>2770</v>
      </c>
      <c r="C170" s="3">
        <v>635</v>
      </c>
      <c r="D170" s="2" t="s">
        <v>364</v>
      </c>
      <c r="E170" s="2" t="s">
        <v>3090</v>
      </c>
      <c r="F170" s="2" t="s">
        <v>3090</v>
      </c>
      <c r="G170" s="2" t="s">
        <v>3090</v>
      </c>
      <c r="H170" s="2" t="s">
        <v>3090</v>
      </c>
      <c r="I170" s="2" t="s">
        <v>3090</v>
      </c>
      <c r="J170" s="2" t="s">
        <v>3090</v>
      </c>
      <c r="K170" s="2" t="s">
        <v>3091</v>
      </c>
      <c r="L170" s="2" t="s">
        <v>3091</v>
      </c>
      <c r="M170" s="2" t="s">
        <v>3090</v>
      </c>
      <c r="N170" s="2" t="s">
        <v>3090</v>
      </c>
      <c r="O170" s="2" t="s">
        <v>3090</v>
      </c>
      <c r="P170" s="2" t="s">
        <v>3091</v>
      </c>
      <c r="Q170" s="2" t="s">
        <v>3090</v>
      </c>
      <c r="R170" s="2" t="s">
        <v>3090</v>
      </c>
      <c r="S170" s="2" t="s">
        <v>3091</v>
      </c>
      <c r="T170" s="2" t="s">
        <v>3091</v>
      </c>
      <c r="U170" s="2" t="s">
        <v>3090</v>
      </c>
      <c r="V170" s="2" t="s">
        <v>3090</v>
      </c>
      <c r="W170" s="4">
        <f t="shared" si="6"/>
        <v>13</v>
      </c>
      <c r="X170" s="4">
        <f t="shared" si="7"/>
        <v>5</v>
      </c>
      <c r="Y170" s="4">
        <f t="shared" si="8"/>
        <v>18</v>
      </c>
    </row>
    <row r="171" spans="1:25" ht="15.75" customHeight="1">
      <c r="A171" s="2" t="s">
        <v>851</v>
      </c>
      <c r="B171" s="2" t="s">
        <v>2880</v>
      </c>
      <c r="C171" s="3">
        <v>261</v>
      </c>
      <c r="D171" s="2" t="s">
        <v>234</v>
      </c>
      <c r="E171" s="2" t="s">
        <v>3090</v>
      </c>
      <c r="F171" s="2" t="s">
        <v>3090</v>
      </c>
      <c r="G171" s="2" t="s">
        <v>3090</v>
      </c>
      <c r="H171" s="2" t="s">
        <v>3090</v>
      </c>
      <c r="I171" s="2" t="s">
        <v>3090</v>
      </c>
      <c r="J171" s="2" t="s">
        <v>3090</v>
      </c>
      <c r="K171" s="2" t="s">
        <v>3091</v>
      </c>
      <c r="L171" s="2" t="s">
        <v>3091</v>
      </c>
      <c r="M171" s="2" t="s">
        <v>3090</v>
      </c>
      <c r="N171" s="2" t="s">
        <v>3090</v>
      </c>
      <c r="O171" s="2" t="s">
        <v>3090</v>
      </c>
      <c r="P171" s="2" t="s">
        <v>3091</v>
      </c>
      <c r="Q171" s="2" t="s">
        <v>3090</v>
      </c>
      <c r="R171" s="2" t="s">
        <v>3090</v>
      </c>
      <c r="S171" s="2" t="s">
        <v>3091</v>
      </c>
      <c r="T171" s="2" t="s">
        <v>3091</v>
      </c>
      <c r="U171" s="2" t="s">
        <v>3090</v>
      </c>
      <c r="V171" s="2" t="s">
        <v>3090</v>
      </c>
      <c r="W171" s="4">
        <f t="shared" si="6"/>
        <v>13</v>
      </c>
      <c r="X171" s="4">
        <f t="shared" si="7"/>
        <v>5</v>
      </c>
      <c r="Y171" s="4">
        <f t="shared" si="8"/>
        <v>18</v>
      </c>
    </row>
    <row r="172" spans="1:25" ht="15.75" customHeight="1">
      <c r="A172" s="2" t="s">
        <v>2881</v>
      </c>
      <c r="B172" s="2" t="s">
        <v>2811</v>
      </c>
      <c r="C172" s="3">
        <v>380</v>
      </c>
      <c r="D172" s="2" t="s">
        <v>80</v>
      </c>
      <c r="E172" s="2" t="s">
        <v>3090</v>
      </c>
      <c r="F172" s="2" t="s">
        <v>3090</v>
      </c>
      <c r="G172" s="2" t="s">
        <v>3090</v>
      </c>
      <c r="H172" s="2" t="s">
        <v>3090</v>
      </c>
      <c r="I172" s="2" t="s">
        <v>3090</v>
      </c>
      <c r="J172" s="2" t="s">
        <v>3091</v>
      </c>
      <c r="K172" s="2" t="s">
        <v>3091</v>
      </c>
      <c r="L172" s="2" t="s">
        <v>3091</v>
      </c>
      <c r="M172" s="2" t="s">
        <v>3091</v>
      </c>
      <c r="N172" s="2" t="s">
        <v>3091</v>
      </c>
      <c r="O172" s="2"/>
      <c r="P172" s="2"/>
      <c r="Q172" s="2"/>
      <c r="R172" s="2"/>
      <c r="S172" s="2"/>
      <c r="T172" s="2"/>
      <c r="U172" s="2"/>
      <c r="V172" s="2"/>
      <c r="W172" s="4">
        <f t="shared" si="6"/>
        <v>5</v>
      </c>
      <c r="X172" s="4">
        <f t="shared" si="7"/>
        <v>5</v>
      </c>
      <c r="Y172" s="4">
        <f t="shared" si="8"/>
        <v>10</v>
      </c>
    </row>
    <row r="173" spans="1:25" ht="15.75" customHeight="1">
      <c r="A173" s="2" t="s">
        <v>2882</v>
      </c>
      <c r="B173" s="2" t="s">
        <v>2804</v>
      </c>
      <c r="C173" s="3">
        <v>614</v>
      </c>
      <c r="D173" s="2" t="s">
        <v>366</v>
      </c>
      <c r="E173" s="2" t="s">
        <v>3090</v>
      </c>
      <c r="F173" s="2" t="s">
        <v>3090</v>
      </c>
      <c r="G173" s="2" t="s">
        <v>3090</v>
      </c>
      <c r="H173" s="2" t="s">
        <v>3090</v>
      </c>
      <c r="I173" s="2" t="s">
        <v>3090</v>
      </c>
      <c r="J173" s="2" t="s">
        <v>3090</v>
      </c>
      <c r="K173" s="2" t="s">
        <v>3091</v>
      </c>
      <c r="L173" s="2" t="s">
        <v>3091</v>
      </c>
      <c r="M173" s="2" t="s">
        <v>3090</v>
      </c>
      <c r="N173" s="2" t="s">
        <v>3090</v>
      </c>
      <c r="O173" s="2" t="s">
        <v>3090</v>
      </c>
      <c r="P173" s="2" t="s">
        <v>3091</v>
      </c>
      <c r="Q173" s="2" t="s">
        <v>3090</v>
      </c>
      <c r="R173" s="2" t="s">
        <v>3090</v>
      </c>
      <c r="S173" s="2" t="s">
        <v>3091</v>
      </c>
      <c r="T173" s="2" t="s">
        <v>3091</v>
      </c>
      <c r="U173" s="2" t="s">
        <v>3090</v>
      </c>
      <c r="V173" s="2" t="s">
        <v>3090</v>
      </c>
      <c r="W173" s="4">
        <f t="shared" si="6"/>
        <v>13</v>
      </c>
      <c r="X173" s="4">
        <f t="shared" si="7"/>
        <v>5</v>
      </c>
      <c r="Y173" s="4">
        <f t="shared" si="8"/>
        <v>18</v>
      </c>
    </row>
    <row r="174" spans="1:25" ht="15.75" customHeight="1">
      <c r="A174" s="2" t="s">
        <v>2883</v>
      </c>
      <c r="B174" s="2" t="s">
        <v>2671</v>
      </c>
      <c r="C174" s="3">
        <v>497</v>
      </c>
      <c r="D174" s="2" t="s">
        <v>218</v>
      </c>
      <c r="E174" s="2" t="s">
        <v>3090</v>
      </c>
      <c r="F174" s="2" t="s">
        <v>3090</v>
      </c>
      <c r="G174" s="2" t="s">
        <v>3090</v>
      </c>
      <c r="H174" s="2" t="s">
        <v>3090</v>
      </c>
      <c r="I174" s="2" t="s">
        <v>3090</v>
      </c>
      <c r="J174" s="2" t="s">
        <v>3090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4">
        <f t="shared" si="6"/>
        <v>6</v>
      </c>
      <c r="X174" s="4">
        <f t="shared" si="7"/>
        <v>0</v>
      </c>
      <c r="Y174" s="4">
        <f t="shared" si="8"/>
        <v>6</v>
      </c>
    </row>
    <row r="175" spans="1:25" ht="15.75" customHeight="1">
      <c r="A175" s="2" t="s">
        <v>2884</v>
      </c>
      <c r="B175" s="2" t="s">
        <v>2657</v>
      </c>
      <c r="C175" s="3">
        <v>748</v>
      </c>
      <c r="D175" s="2" t="s">
        <v>480</v>
      </c>
      <c r="E175" s="2" t="s">
        <v>3090</v>
      </c>
      <c r="F175" s="2" t="s">
        <v>3090</v>
      </c>
      <c r="G175" s="2" t="s">
        <v>3090</v>
      </c>
      <c r="H175" s="2" t="s">
        <v>3090</v>
      </c>
      <c r="I175" s="2" t="s">
        <v>3090</v>
      </c>
      <c r="J175" s="2" t="s">
        <v>3090</v>
      </c>
      <c r="K175" s="2"/>
      <c r="L175" s="2"/>
      <c r="M175" s="2" t="s">
        <v>3090</v>
      </c>
      <c r="N175" s="2" t="s">
        <v>3090</v>
      </c>
      <c r="O175" s="2" t="s">
        <v>3090</v>
      </c>
      <c r="P175" s="2" t="s">
        <v>3091</v>
      </c>
      <c r="Q175" s="2" t="s">
        <v>3091</v>
      </c>
      <c r="R175" s="2" t="s">
        <v>3091</v>
      </c>
      <c r="S175" s="2"/>
      <c r="T175" s="2"/>
      <c r="U175" s="2"/>
      <c r="V175" s="2"/>
      <c r="W175" s="4">
        <f t="shared" si="6"/>
        <v>9</v>
      </c>
      <c r="X175" s="4">
        <f t="shared" si="7"/>
        <v>3</v>
      </c>
      <c r="Y175" s="4">
        <f t="shared" si="8"/>
        <v>12</v>
      </c>
    </row>
    <row r="176" spans="1:25" ht="15.75" customHeight="1">
      <c r="A176" s="2" t="s">
        <v>2885</v>
      </c>
      <c r="B176" s="2" t="s">
        <v>2755</v>
      </c>
      <c r="C176" s="3">
        <v>367</v>
      </c>
      <c r="D176" s="2" t="s">
        <v>732</v>
      </c>
      <c r="E176" s="2" t="s">
        <v>3091</v>
      </c>
      <c r="F176" s="2" t="s">
        <v>3091</v>
      </c>
      <c r="G176" s="2" t="s">
        <v>3091</v>
      </c>
      <c r="H176" s="2" t="s">
        <v>3091</v>
      </c>
      <c r="I176" s="2" t="s">
        <v>3091</v>
      </c>
      <c r="J176" s="2" t="s">
        <v>3091</v>
      </c>
      <c r="K176" s="2" t="s">
        <v>3091</v>
      </c>
      <c r="L176" s="2" t="s">
        <v>3091</v>
      </c>
      <c r="M176" s="2" t="s">
        <v>3091</v>
      </c>
      <c r="N176" s="2" t="s">
        <v>3091</v>
      </c>
      <c r="O176" s="2" t="s">
        <v>3091</v>
      </c>
      <c r="P176" s="2" t="s">
        <v>3091</v>
      </c>
      <c r="Q176" s="2" t="s">
        <v>3091</v>
      </c>
      <c r="R176" s="2" t="s">
        <v>3091</v>
      </c>
      <c r="S176" s="2" t="s">
        <v>3091</v>
      </c>
      <c r="T176" s="2"/>
      <c r="U176" s="2"/>
      <c r="V176" s="2"/>
      <c r="W176" s="4">
        <f t="shared" si="6"/>
        <v>0</v>
      </c>
      <c r="X176" s="4">
        <f t="shared" si="7"/>
        <v>15</v>
      </c>
      <c r="Y176" s="4">
        <f t="shared" si="8"/>
        <v>15</v>
      </c>
    </row>
    <row r="177" spans="1:25" ht="15.75" customHeight="1">
      <c r="A177" s="2" t="s">
        <v>2886</v>
      </c>
      <c r="B177" s="2" t="s">
        <v>2781</v>
      </c>
      <c r="C177" s="3">
        <v>333</v>
      </c>
      <c r="D177" s="2" t="s">
        <v>165</v>
      </c>
      <c r="E177" s="2" t="s">
        <v>3090</v>
      </c>
      <c r="F177" s="2" t="s">
        <v>3090</v>
      </c>
      <c r="G177" s="2" t="s">
        <v>3090</v>
      </c>
      <c r="H177" s="2" t="s">
        <v>3090</v>
      </c>
      <c r="I177" s="2" t="s">
        <v>3090</v>
      </c>
      <c r="J177" s="2" t="s">
        <v>3091</v>
      </c>
      <c r="K177" s="2" t="s">
        <v>3091</v>
      </c>
      <c r="L177" s="2" t="s">
        <v>3091</v>
      </c>
      <c r="M177" s="2" t="s">
        <v>3091</v>
      </c>
      <c r="N177" s="2" t="s">
        <v>3091</v>
      </c>
      <c r="O177" s="2" t="s">
        <v>3091</v>
      </c>
      <c r="P177" s="2" t="s">
        <v>3091</v>
      </c>
      <c r="Q177" s="2" t="s">
        <v>3091</v>
      </c>
      <c r="R177" s="2" t="s">
        <v>3090</v>
      </c>
      <c r="S177" s="2" t="s">
        <v>3091</v>
      </c>
      <c r="T177" s="2" t="s">
        <v>3091</v>
      </c>
      <c r="U177" s="2" t="s">
        <v>3090</v>
      </c>
      <c r="V177" s="2" t="s">
        <v>3090</v>
      </c>
      <c r="W177" s="4">
        <f t="shared" si="6"/>
        <v>8</v>
      </c>
      <c r="X177" s="4">
        <f t="shared" si="7"/>
        <v>10</v>
      </c>
      <c r="Y177" s="4">
        <f t="shared" si="8"/>
        <v>18</v>
      </c>
    </row>
    <row r="178" spans="1:25" ht="15.75" customHeight="1">
      <c r="A178" s="2" t="s">
        <v>2887</v>
      </c>
      <c r="B178" s="2" t="s">
        <v>2781</v>
      </c>
      <c r="C178" s="3">
        <v>325</v>
      </c>
      <c r="D178" s="2" t="s">
        <v>630</v>
      </c>
      <c r="E178" s="2" t="s">
        <v>3090</v>
      </c>
      <c r="F178" s="2" t="s">
        <v>3090</v>
      </c>
      <c r="G178" s="2" t="s">
        <v>3090</v>
      </c>
      <c r="H178" s="2" t="s">
        <v>3090</v>
      </c>
      <c r="I178" s="2" t="s">
        <v>3090</v>
      </c>
      <c r="J178" s="2" t="s">
        <v>3090</v>
      </c>
      <c r="K178" s="2"/>
      <c r="L178" s="2"/>
      <c r="M178" s="2" t="s">
        <v>3090</v>
      </c>
      <c r="N178" s="2" t="s">
        <v>3090</v>
      </c>
      <c r="O178" s="2" t="s">
        <v>3090</v>
      </c>
      <c r="P178" s="2"/>
      <c r="Q178" s="2" t="s">
        <v>3090</v>
      </c>
      <c r="R178" s="2" t="s">
        <v>3090</v>
      </c>
      <c r="S178" s="2"/>
      <c r="T178" s="2"/>
      <c r="U178" s="2" t="s">
        <v>3090</v>
      </c>
      <c r="V178" s="2" t="s">
        <v>3090</v>
      </c>
      <c r="W178" s="4">
        <f t="shared" si="6"/>
        <v>13</v>
      </c>
      <c r="X178" s="4">
        <f t="shared" si="7"/>
        <v>0</v>
      </c>
      <c r="Y178" s="4">
        <f t="shared" si="8"/>
        <v>13</v>
      </c>
    </row>
    <row r="179" spans="1:25" ht="15.75" customHeight="1">
      <c r="A179" s="2" t="s">
        <v>2888</v>
      </c>
      <c r="B179" s="2" t="s">
        <v>2730</v>
      </c>
      <c r="C179" s="3">
        <v>728</v>
      </c>
      <c r="D179" s="2" t="s">
        <v>435</v>
      </c>
      <c r="E179" s="2" t="s">
        <v>3090</v>
      </c>
      <c r="F179" s="2" t="s">
        <v>3090</v>
      </c>
      <c r="G179" s="2" t="s">
        <v>3090</v>
      </c>
      <c r="H179" s="2" t="s">
        <v>3090</v>
      </c>
      <c r="I179" s="2" t="s">
        <v>3090</v>
      </c>
      <c r="J179" s="2" t="s">
        <v>3090</v>
      </c>
      <c r="K179" s="2" t="s">
        <v>3091</v>
      </c>
      <c r="L179" s="2" t="s">
        <v>3091</v>
      </c>
      <c r="M179" s="2" t="s">
        <v>3090</v>
      </c>
      <c r="N179" s="2" t="s">
        <v>3090</v>
      </c>
      <c r="O179" s="2" t="s">
        <v>3090</v>
      </c>
      <c r="P179" s="2" t="s">
        <v>3091</v>
      </c>
      <c r="Q179" s="2" t="s">
        <v>3090</v>
      </c>
      <c r="R179" s="2" t="s">
        <v>3090</v>
      </c>
      <c r="S179" s="2"/>
      <c r="T179" s="2" t="s">
        <v>3091</v>
      </c>
      <c r="U179" s="2" t="s">
        <v>3090</v>
      </c>
      <c r="V179" s="2" t="s">
        <v>3091</v>
      </c>
      <c r="W179" s="4">
        <f t="shared" si="6"/>
        <v>12</v>
      </c>
      <c r="X179" s="4">
        <f t="shared" si="7"/>
        <v>5</v>
      </c>
      <c r="Y179" s="4">
        <f t="shared" si="8"/>
        <v>17</v>
      </c>
    </row>
    <row r="180" spans="1:25" ht="15.75" customHeight="1">
      <c r="A180" s="2" t="s">
        <v>2889</v>
      </c>
      <c r="B180" s="2" t="s">
        <v>2710</v>
      </c>
      <c r="C180" s="3">
        <v>709</v>
      </c>
      <c r="D180" s="2" t="s">
        <v>633</v>
      </c>
      <c r="E180" s="2" t="s">
        <v>3090</v>
      </c>
      <c r="F180" s="2" t="s">
        <v>3090</v>
      </c>
      <c r="G180" s="2" t="s">
        <v>3090</v>
      </c>
      <c r="H180" s="2" t="s">
        <v>3090</v>
      </c>
      <c r="I180" s="2" t="s">
        <v>3090</v>
      </c>
      <c r="J180" s="2" t="s">
        <v>3090</v>
      </c>
      <c r="K180" s="2" t="s">
        <v>3091</v>
      </c>
      <c r="L180" s="2" t="s">
        <v>3091</v>
      </c>
      <c r="M180" s="2" t="s">
        <v>3090</v>
      </c>
      <c r="N180" s="2" t="s">
        <v>3090</v>
      </c>
      <c r="O180" s="2" t="s">
        <v>3090</v>
      </c>
      <c r="P180" s="2" t="s">
        <v>3091</v>
      </c>
      <c r="Q180" s="2" t="s">
        <v>3090</v>
      </c>
      <c r="R180" s="2" t="s">
        <v>3090</v>
      </c>
      <c r="S180" s="2" t="s">
        <v>3091</v>
      </c>
      <c r="T180" s="2" t="s">
        <v>3091</v>
      </c>
      <c r="U180" s="2" t="s">
        <v>3090</v>
      </c>
      <c r="V180" s="2" t="s">
        <v>3091</v>
      </c>
      <c r="W180" s="4">
        <f t="shared" si="6"/>
        <v>12</v>
      </c>
      <c r="X180" s="4">
        <f t="shared" si="7"/>
        <v>6</v>
      </c>
      <c r="Y180" s="4">
        <f t="shared" si="8"/>
        <v>18</v>
      </c>
    </row>
    <row r="181" spans="1:25" ht="15.75" customHeight="1">
      <c r="A181" s="2" t="s">
        <v>2890</v>
      </c>
      <c r="B181" s="2" t="s">
        <v>2682</v>
      </c>
      <c r="C181" s="3">
        <v>266</v>
      </c>
      <c r="D181" s="2" t="s">
        <v>635</v>
      </c>
      <c r="E181" s="2" t="s">
        <v>3090</v>
      </c>
      <c r="F181" s="2" t="s">
        <v>3090</v>
      </c>
      <c r="G181" s="2" t="s">
        <v>3090</v>
      </c>
      <c r="H181" s="2" t="s">
        <v>3090</v>
      </c>
      <c r="I181" s="2" t="s">
        <v>3090</v>
      </c>
      <c r="J181" s="2" t="s">
        <v>3090</v>
      </c>
      <c r="K181" s="2" t="s">
        <v>3091</v>
      </c>
      <c r="L181" s="2" t="s">
        <v>3091</v>
      </c>
      <c r="M181" s="2" t="s">
        <v>3090</v>
      </c>
      <c r="N181" s="2" t="s">
        <v>3090</v>
      </c>
      <c r="O181" s="2" t="s">
        <v>3090</v>
      </c>
      <c r="P181" s="2" t="s">
        <v>3091</v>
      </c>
      <c r="Q181" s="2" t="s">
        <v>3090</v>
      </c>
      <c r="R181" s="2" t="s">
        <v>3090</v>
      </c>
      <c r="S181" s="2" t="s">
        <v>3091</v>
      </c>
      <c r="T181" s="2" t="s">
        <v>3091</v>
      </c>
      <c r="U181" s="2" t="s">
        <v>3090</v>
      </c>
      <c r="V181" s="2" t="s">
        <v>3090</v>
      </c>
      <c r="W181" s="4">
        <f t="shared" si="6"/>
        <v>13</v>
      </c>
      <c r="X181" s="4">
        <f t="shared" si="7"/>
        <v>5</v>
      </c>
      <c r="Y181" s="4">
        <f t="shared" si="8"/>
        <v>18</v>
      </c>
    </row>
    <row r="182" spans="1:25" ht="15.75" customHeight="1">
      <c r="A182" s="2" t="s">
        <v>2891</v>
      </c>
      <c r="B182" s="2" t="s">
        <v>2693</v>
      </c>
      <c r="C182" s="3">
        <v>401</v>
      </c>
      <c r="D182" s="2" t="s">
        <v>690</v>
      </c>
      <c r="E182" s="2" t="s">
        <v>3091</v>
      </c>
      <c r="F182" s="2"/>
      <c r="G182" s="2"/>
      <c r="H182" s="2"/>
      <c r="I182" s="2" t="s">
        <v>3090</v>
      </c>
      <c r="J182" s="2" t="s">
        <v>3090</v>
      </c>
      <c r="K182" s="2"/>
      <c r="L182" s="2"/>
      <c r="M182" s="2" t="s">
        <v>3090</v>
      </c>
      <c r="N182" s="2" t="s">
        <v>3090</v>
      </c>
      <c r="O182" s="2" t="s">
        <v>3090</v>
      </c>
      <c r="P182" s="2"/>
      <c r="Q182" s="2"/>
      <c r="R182" s="2"/>
      <c r="S182" s="2"/>
      <c r="T182" s="2" t="s">
        <v>3091</v>
      </c>
      <c r="U182" s="2"/>
      <c r="V182" s="2"/>
      <c r="W182" s="4">
        <f t="shared" si="6"/>
        <v>5</v>
      </c>
      <c r="X182" s="4">
        <f t="shared" si="7"/>
        <v>2</v>
      </c>
      <c r="Y182" s="4">
        <f t="shared" si="8"/>
        <v>7</v>
      </c>
    </row>
    <row r="183" spans="1:25" ht="15.75" customHeight="1">
      <c r="A183" s="2" t="s">
        <v>2891</v>
      </c>
      <c r="B183" s="2" t="s">
        <v>2892</v>
      </c>
      <c r="C183" s="3">
        <v>793</v>
      </c>
      <c r="D183" s="2" t="s">
        <v>799</v>
      </c>
      <c r="E183" s="2" t="s">
        <v>3090</v>
      </c>
      <c r="F183" s="2" t="s">
        <v>3090</v>
      </c>
      <c r="G183" s="2" t="s">
        <v>3090</v>
      </c>
      <c r="H183" s="2" t="s">
        <v>3090</v>
      </c>
      <c r="I183" s="2" t="s">
        <v>3090</v>
      </c>
      <c r="J183" s="2" t="s">
        <v>3090</v>
      </c>
      <c r="K183" s="2" t="s">
        <v>3091</v>
      </c>
      <c r="L183" s="2" t="s">
        <v>3091</v>
      </c>
      <c r="M183" s="2" t="s">
        <v>3091</v>
      </c>
      <c r="N183" s="2" t="s">
        <v>3090</v>
      </c>
      <c r="O183" s="2" t="s">
        <v>3090</v>
      </c>
      <c r="P183" s="2" t="s">
        <v>3091</v>
      </c>
      <c r="Q183" s="2" t="s">
        <v>3090</v>
      </c>
      <c r="R183" s="2" t="s">
        <v>3090</v>
      </c>
      <c r="S183" s="2" t="s">
        <v>3091</v>
      </c>
      <c r="T183" s="2" t="s">
        <v>3091</v>
      </c>
      <c r="U183" s="2" t="s">
        <v>3090</v>
      </c>
      <c r="V183" s="2" t="s">
        <v>3090</v>
      </c>
      <c r="W183" s="4">
        <f t="shared" si="6"/>
        <v>12</v>
      </c>
      <c r="X183" s="4">
        <f t="shared" si="7"/>
        <v>6</v>
      </c>
      <c r="Y183" s="4">
        <f t="shared" si="8"/>
        <v>18</v>
      </c>
    </row>
    <row r="184" spans="1:25" ht="15.75" customHeight="1">
      <c r="A184" s="2" t="s">
        <v>2893</v>
      </c>
      <c r="B184" s="2" t="s">
        <v>2894</v>
      </c>
      <c r="C184" s="3">
        <v>478</v>
      </c>
      <c r="D184" s="2" t="s">
        <v>16</v>
      </c>
      <c r="E184" s="2" t="s">
        <v>3091</v>
      </c>
      <c r="F184" s="2" t="s">
        <v>3091</v>
      </c>
      <c r="G184" s="2" t="s">
        <v>3091</v>
      </c>
      <c r="H184" s="2" t="s">
        <v>3091</v>
      </c>
      <c r="I184" s="2" t="s">
        <v>3091</v>
      </c>
      <c r="J184" s="2" t="s">
        <v>3091</v>
      </c>
      <c r="K184" s="2" t="s">
        <v>3091</v>
      </c>
      <c r="L184" s="2"/>
      <c r="M184" s="2"/>
      <c r="N184" s="2"/>
      <c r="O184" s="2" t="s">
        <v>3091</v>
      </c>
      <c r="P184" s="2"/>
      <c r="Q184" s="2"/>
      <c r="R184" s="2" t="s">
        <v>3090</v>
      </c>
      <c r="S184" s="2"/>
      <c r="T184" s="2"/>
      <c r="U184" s="2"/>
      <c r="V184" s="2"/>
      <c r="W184" s="4">
        <f t="shared" si="6"/>
        <v>1</v>
      </c>
      <c r="X184" s="4">
        <f t="shared" si="7"/>
        <v>8</v>
      </c>
      <c r="Y184" s="4">
        <f t="shared" si="8"/>
        <v>9</v>
      </c>
    </row>
    <row r="185" spans="1:25" ht="15.75" customHeight="1">
      <c r="A185" s="2" t="s">
        <v>2895</v>
      </c>
      <c r="B185" s="2" t="s">
        <v>2896</v>
      </c>
      <c r="C185" s="3">
        <v>701</v>
      </c>
      <c r="D185" s="2" t="s">
        <v>802</v>
      </c>
      <c r="E185" s="2" t="s">
        <v>3090</v>
      </c>
      <c r="F185" s="2" t="s">
        <v>3090</v>
      </c>
      <c r="G185" s="2" t="s">
        <v>3090</v>
      </c>
      <c r="H185" s="2" t="s">
        <v>3090</v>
      </c>
      <c r="I185" s="2" t="s">
        <v>3090</v>
      </c>
      <c r="J185" s="2" t="s">
        <v>3090</v>
      </c>
      <c r="K185" s="2" t="s">
        <v>3091</v>
      </c>
      <c r="L185" s="2" t="s">
        <v>3091</v>
      </c>
      <c r="M185" s="2" t="s">
        <v>3090</v>
      </c>
      <c r="N185" s="2" t="s">
        <v>3090</v>
      </c>
      <c r="O185" s="2" t="s">
        <v>3090</v>
      </c>
      <c r="P185" s="2" t="s">
        <v>3091</v>
      </c>
      <c r="Q185" s="2" t="s">
        <v>3090</v>
      </c>
      <c r="R185" s="2" t="s">
        <v>3090</v>
      </c>
      <c r="S185" s="2" t="s">
        <v>3091</v>
      </c>
      <c r="T185" s="2"/>
      <c r="U185" s="2" t="s">
        <v>3090</v>
      </c>
      <c r="V185" s="2"/>
      <c r="W185" s="4">
        <f t="shared" si="6"/>
        <v>12</v>
      </c>
      <c r="X185" s="4">
        <f t="shared" si="7"/>
        <v>4</v>
      </c>
      <c r="Y185" s="4">
        <f t="shared" si="8"/>
        <v>16</v>
      </c>
    </row>
    <row r="186" spans="1:25" ht="15.75" customHeight="1">
      <c r="A186" s="2" t="s">
        <v>2897</v>
      </c>
      <c r="B186" s="2" t="s">
        <v>2732</v>
      </c>
      <c r="C186" s="3">
        <v>311</v>
      </c>
      <c r="D186" s="2" t="s">
        <v>168</v>
      </c>
      <c r="E186" s="2" t="s">
        <v>3090</v>
      </c>
      <c r="F186" s="2" t="s">
        <v>3091</v>
      </c>
      <c r="G186" s="2" t="s">
        <v>3090</v>
      </c>
      <c r="H186" s="2" t="s">
        <v>3090</v>
      </c>
      <c r="I186" s="2" t="s">
        <v>3090</v>
      </c>
      <c r="J186" s="2" t="s">
        <v>3090</v>
      </c>
      <c r="K186" s="2" t="s">
        <v>3091</v>
      </c>
      <c r="L186" s="2" t="s">
        <v>3091</v>
      </c>
      <c r="M186" s="2" t="s">
        <v>3090</v>
      </c>
      <c r="N186" s="2" t="s">
        <v>3090</v>
      </c>
      <c r="O186" s="2" t="s">
        <v>3091</v>
      </c>
      <c r="P186" s="2" t="s">
        <v>3091</v>
      </c>
      <c r="Q186" s="2" t="s">
        <v>3091</v>
      </c>
      <c r="R186" s="2" t="s">
        <v>3091</v>
      </c>
      <c r="S186" s="2" t="s">
        <v>3091</v>
      </c>
      <c r="T186" s="2"/>
      <c r="U186" s="2"/>
      <c r="V186" s="2"/>
      <c r="W186" s="4">
        <f t="shared" si="6"/>
        <v>7</v>
      </c>
      <c r="X186" s="4">
        <f t="shared" si="7"/>
        <v>8</v>
      </c>
      <c r="Y186" s="4">
        <f t="shared" si="8"/>
        <v>15</v>
      </c>
    </row>
    <row r="187" spans="1:25" ht="15.75" customHeight="1">
      <c r="A187" s="2" t="s">
        <v>2898</v>
      </c>
      <c r="B187" s="2" t="s">
        <v>2682</v>
      </c>
      <c r="C187" s="3">
        <v>702</v>
      </c>
      <c r="D187" s="2" t="s">
        <v>19</v>
      </c>
      <c r="E187" s="2" t="s">
        <v>3091</v>
      </c>
      <c r="F187" s="2" t="s">
        <v>3090</v>
      </c>
      <c r="G187" s="2" t="s">
        <v>3090</v>
      </c>
      <c r="H187" s="2" t="s">
        <v>3090</v>
      </c>
      <c r="I187" s="2"/>
      <c r="J187" s="2"/>
      <c r="K187" s="2"/>
      <c r="L187" s="2"/>
      <c r="M187" s="2"/>
      <c r="N187" s="2" t="s">
        <v>3090</v>
      </c>
      <c r="O187" s="2"/>
      <c r="P187" s="2"/>
      <c r="Q187" s="2"/>
      <c r="R187" s="2"/>
      <c r="S187" s="2"/>
      <c r="T187" s="2"/>
      <c r="U187" s="2"/>
      <c r="V187" s="2"/>
      <c r="W187" s="4">
        <f t="shared" si="6"/>
        <v>4</v>
      </c>
      <c r="X187" s="4">
        <f t="shared" si="7"/>
        <v>1</v>
      </c>
      <c r="Y187" s="4">
        <f t="shared" si="8"/>
        <v>5</v>
      </c>
    </row>
    <row r="188" spans="1:25" ht="15.75" customHeight="1">
      <c r="A188" s="2" t="s">
        <v>2899</v>
      </c>
      <c r="B188" s="2" t="s">
        <v>2900</v>
      </c>
      <c r="C188" s="3">
        <v>664</v>
      </c>
      <c r="D188" s="2" t="s">
        <v>22</v>
      </c>
      <c r="E188" s="2" t="s">
        <v>3090</v>
      </c>
      <c r="F188" s="2" t="s">
        <v>3091</v>
      </c>
      <c r="G188" s="2" t="s">
        <v>3090</v>
      </c>
      <c r="H188" s="2" t="s">
        <v>3091</v>
      </c>
      <c r="I188" s="2" t="s">
        <v>3091</v>
      </c>
      <c r="J188" s="2" t="s">
        <v>3091</v>
      </c>
      <c r="K188" s="2" t="s">
        <v>3091</v>
      </c>
      <c r="L188" s="2" t="s">
        <v>3091</v>
      </c>
      <c r="M188" s="2" t="s">
        <v>3090</v>
      </c>
      <c r="N188" s="2" t="s">
        <v>3090</v>
      </c>
      <c r="O188" s="2" t="s">
        <v>3090</v>
      </c>
      <c r="P188" s="2"/>
      <c r="Q188" s="2"/>
      <c r="R188" s="2"/>
      <c r="S188" s="2"/>
      <c r="T188" s="2"/>
      <c r="U188" s="2"/>
      <c r="V188" s="2"/>
      <c r="W188" s="4">
        <f t="shared" si="6"/>
        <v>5</v>
      </c>
      <c r="X188" s="4">
        <f t="shared" si="7"/>
        <v>6</v>
      </c>
      <c r="Y188" s="4">
        <f t="shared" si="8"/>
        <v>11</v>
      </c>
    </row>
    <row r="189" spans="1:25" ht="15.75" customHeight="1">
      <c r="A189" s="2" t="s">
        <v>2899</v>
      </c>
      <c r="B189" s="2" t="s">
        <v>851</v>
      </c>
      <c r="C189" s="3">
        <v>449</v>
      </c>
      <c r="D189" s="2" t="s">
        <v>24</v>
      </c>
      <c r="E189" s="2" t="s">
        <v>3090</v>
      </c>
      <c r="F189" s="2"/>
      <c r="G189" s="2"/>
      <c r="H189" s="2"/>
      <c r="I189" s="2"/>
      <c r="J189" s="2"/>
      <c r="K189" s="2"/>
      <c r="L189" s="2"/>
      <c r="M189" s="2" t="s">
        <v>3090</v>
      </c>
      <c r="N189" s="2"/>
      <c r="O189" s="2"/>
      <c r="P189" s="2"/>
      <c r="Q189" s="2"/>
      <c r="R189" s="2"/>
      <c r="S189" s="2"/>
      <c r="T189" s="2"/>
      <c r="U189" s="2"/>
      <c r="V189" s="2"/>
      <c r="W189" s="4">
        <f t="shared" si="6"/>
        <v>2</v>
      </c>
      <c r="X189" s="4">
        <f t="shared" si="7"/>
        <v>0</v>
      </c>
      <c r="Y189" s="4">
        <f t="shared" si="8"/>
        <v>2</v>
      </c>
    </row>
    <row r="190" spans="1:25" ht="15.75" customHeight="1">
      <c r="A190" s="2" t="s">
        <v>2901</v>
      </c>
      <c r="B190" s="2" t="s">
        <v>2701</v>
      </c>
      <c r="C190" s="3">
        <v>653</v>
      </c>
      <c r="D190" s="2" t="s">
        <v>597</v>
      </c>
      <c r="E190" s="2" t="s">
        <v>3090</v>
      </c>
      <c r="F190" s="2" t="s">
        <v>3090</v>
      </c>
      <c r="G190" s="2" t="s">
        <v>3090</v>
      </c>
      <c r="H190" s="2" t="s">
        <v>3091</v>
      </c>
      <c r="I190" s="2" t="s">
        <v>3091</v>
      </c>
      <c r="J190" s="2" t="s">
        <v>3090</v>
      </c>
      <c r="K190" s="2" t="s">
        <v>3091</v>
      </c>
      <c r="L190" s="2" t="s">
        <v>3091</v>
      </c>
      <c r="M190" s="2" t="s">
        <v>3090</v>
      </c>
      <c r="N190" s="2" t="s">
        <v>3091</v>
      </c>
      <c r="O190" s="2" t="s">
        <v>3090</v>
      </c>
      <c r="P190" s="2" t="s">
        <v>3091</v>
      </c>
      <c r="Q190" s="2" t="s">
        <v>3090</v>
      </c>
      <c r="R190" s="2" t="s">
        <v>3090</v>
      </c>
      <c r="S190" s="2" t="s">
        <v>3091</v>
      </c>
      <c r="T190" s="2" t="s">
        <v>3091</v>
      </c>
      <c r="U190" s="2" t="s">
        <v>3090</v>
      </c>
      <c r="V190" s="2" t="s">
        <v>3090</v>
      </c>
      <c r="W190" s="4">
        <f t="shared" si="6"/>
        <v>10</v>
      </c>
      <c r="X190" s="4">
        <f t="shared" si="7"/>
        <v>8</v>
      </c>
      <c r="Y190" s="4">
        <f t="shared" si="8"/>
        <v>18</v>
      </c>
    </row>
    <row r="191" spans="1:25" ht="15.75" customHeight="1">
      <c r="A191" s="2" t="s">
        <v>2349</v>
      </c>
      <c r="B191" s="2" t="s">
        <v>2676</v>
      </c>
      <c r="C191" s="3">
        <v>414</v>
      </c>
      <c r="D191" s="2" t="s">
        <v>83</v>
      </c>
      <c r="E191" s="2" t="s">
        <v>3090</v>
      </c>
      <c r="F191" s="2" t="s">
        <v>3090</v>
      </c>
      <c r="G191" s="2" t="s">
        <v>3091</v>
      </c>
      <c r="H191" s="2" t="s">
        <v>3090</v>
      </c>
      <c r="I191" s="2" t="s">
        <v>3090</v>
      </c>
      <c r="J191" s="2" t="s">
        <v>3090</v>
      </c>
      <c r="K191" s="2" t="s">
        <v>3091</v>
      </c>
      <c r="L191" s="2" t="s">
        <v>3091</v>
      </c>
      <c r="M191" s="2" t="s">
        <v>3090</v>
      </c>
      <c r="N191" s="2" t="s">
        <v>3091</v>
      </c>
      <c r="O191" s="2" t="s">
        <v>3091</v>
      </c>
      <c r="P191" s="2" t="s">
        <v>3091</v>
      </c>
      <c r="Q191" s="2" t="s">
        <v>3090</v>
      </c>
      <c r="R191" s="2" t="s">
        <v>3090</v>
      </c>
      <c r="S191" s="2" t="s">
        <v>3091</v>
      </c>
      <c r="T191" s="2"/>
      <c r="U191" s="2" t="s">
        <v>3090</v>
      </c>
      <c r="V191" s="2"/>
      <c r="W191" s="4">
        <f t="shared" si="6"/>
        <v>9</v>
      </c>
      <c r="X191" s="4">
        <f t="shared" si="7"/>
        <v>7</v>
      </c>
      <c r="Y191" s="4">
        <f t="shared" si="8"/>
        <v>16</v>
      </c>
    </row>
    <row r="192" spans="1:25" ht="15.75" customHeight="1">
      <c r="A192" s="2" t="s">
        <v>2902</v>
      </c>
      <c r="B192" s="2" t="s">
        <v>2732</v>
      </c>
      <c r="C192" s="3">
        <v>634</v>
      </c>
      <c r="D192" s="2" t="s">
        <v>267</v>
      </c>
      <c r="E192" s="2" t="s">
        <v>3090</v>
      </c>
      <c r="F192" s="2" t="s">
        <v>3091</v>
      </c>
      <c r="G192" s="2" t="s">
        <v>3091</v>
      </c>
      <c r="H192" s="2" t="s">
        <v>3091</v>
      </c>
      <c r="I192" s="2" t="s">
        <v>3091</v>
      </c>
      <c r="J192" s="2" t="s">
        <v>3090</v>
      </c>
      <c r="K192" s="2" t="s">
        <v>3091</v>
      </c>
      <c r="L192" s="2" t="s">
        <v>3091</v>
      </c>
      <c r="M192" s="2" t="s">
        <v>3090</v>
      </c>
      <c r="N192" s="2" t="s">
        <v>3090</v>
      </c>
      <c r="O192" s="2" t="s">
        <v>3091</v>
      </c>
      <c r="P192" s="2" t="s">
        <v>3091</v>
      </c>
      <c r="Q192" s="2" t="s">
        <v>3091</v>
      </c>
      <c r="R192" s="2" t="s">
        <v>3091</v>
      </c>
      <c r="S192" s="2" t="s">
        <v>3091</v>
      </c>
      <c r="T192" s="2" t="s">
        <v>3091</v>
      </c>
      <c r="U192" s="2"/>
      <c r="V192" s="2"/>
      <c r="W192" s="4">
        <f t="shared" si="6"/>
        <v>4</v>
      </c>
      <c r="X192" s="4">
        <f t="shared" si="7"/>
        <v>12</v>
      </c>
      <c r="Y192" s="4">
        <f t="shared" si="8"/>
        <v>16</v>
      </c>
    </row>
    <row r="193" spans="1:25" ht="15.75" customHeight="1">
      <c r="A193" s="2" t="s">
        <v>2903</v>
      </c>
      <c r="B193" s="2" t="s">
        <v>2813</v>
      </c>
      <c r="C193" s="3">
        <v>304</v>
      </c>
      <c r="D193" s="2" t="s">
        <v>437</v>
      </c>
      <c r="E193" s="2" t="s">
        <v>3090</v>
      </c>
      <c r="F193" s="2" t="s">
        <v>3091</v>
      </c>
      <c r="G193" s="2" t="s">
        <v>3091</v>
      </c>
      <c r="H193" s="2" t="s">
        <v>3090</v>
      </c>
      <c r="I193" s="2" t="s">
        <v>3090</v>
      </c>
      <c r="J193" s="2" t="s">
        <v>3090</v>
      </c>
      <c r="K193" s="2" t="s">
        <v>3091</v>
      </c>
      <c r="L193" s="2" t="s">
        <v>3091</v>
      </c>
      <c r="M193" s="2" t="s">
        <v>3091</v>
      </c>
      <c r="N193" s="2" t="s">
        <v>3091</v>
      </c>
      <c r="O193" s="2" t="s">
        <v>3091</v>
      </c>
      <c r="P193" s="2" t="s">
        <v>3091</v>
      </c>
      <c r="Q193" s="2" t="s">
        <v>3090</v>
      </c>
      <c r="R193" s="2" t="s">
        <v>3090</v>
      </c>
      <c r="S193" s="2"/>
      <c r="T193" s="2"/>
      <c r="U193" s="2" t="s">
        <v>3090</v>
      </c>
      <c r="V193" s="2" t="s">
        <v>3090</v>
      </c>
      <c r="W193" s="4">
        <f t="shared" si="6"/>
        <v>8</v>
      </c>
      <c r="X193" s="4">
        <f t="shared" si="7"/>
        <v>8</v>
      </c>
      <c r="Y193" s="4">
        <f t="shared" si="8"/>
        <v>16</v>
      </c>
    </row>
    <row r="194" spans="1:25" ht="15.75" customHeight="1">
      <c r="A194" s="2" t="s">
        <v>2904</v>
      </c>
      <c r="B194" s="2" t="s">
        <v>2896</v>
      </c>
      <c r="C194" s="3">
        <v>707</v>
      </c>
      <c r="D194" s="2" t="s">
        <v>368</v>
      </c>
      <c r="E194" s="2" t="s">
        <v>3090</v>
      </c>
      <c r="F194" s="2" t="s">
        <v>3090</v>
      </c>
      <c r="G194" s="2" t="s">
        <v>3090</v>
      </c>
      <c r="H194" s="2" t="s">
        <v>3090</v>
      </c>
      <c r="I194" s="2" t="s">
        <v>3090</v>
      </c>
      <c r="J194" s="2" t="s">
        <v>3090</v>
      </c>
      <c r="K194" s="2" t="s">
        <v>3091</v>
      </c>
      <c r="L194" s="2" t="s">
        <v>3091</v>
      </c>
      <c r="M194" s="2" t="s">
        <v>3090</v>
      </c>
      <c r="N194" s="2" t="s">
        <v>3090</v>
      </c>
      <c r="O194" s="2" t="s">
        <v>3090</v>
      </c>
      <c r="P194" s="2" t="s">
        <v>3091</v>
      </c>
      <c r="Q194" s="2" t="s">
        <v>3090</v>
      </c>
      <c r="R194" s="2" t="s">
        <v>3090</v>
      </c>
      <c r="S194" s="2" t="s">
        <v>3091</v>
      </c>
      <c r="T194" s="2" t="s">
        <v>3091</v>
      </c>
      <c r="U194" s="2" t="s">
        <v>3090</v>
      </c>
      <c r="V194" s="2" t="s">
        <v>3090</v>
      </c>
      <c r="W194" s="4">
        <f t="shared" ref="W194:W257" si="9">COUNTIF(E194:V194,"L (1/1)")</f>
        <v>13</v>
      </c>
      <c r="X194" s="4">
        <f t="shared" ref="X194:X257" si="10">COUNTIF(E194:V194,"R (1/1)")</f>
        <v>5</v>
      </c>
      <c r="Y194" s="4">
        <f t="shared" ref="Y194:Y257" si="11">W194+X194</f>
        <v>18</v>
      </c>
    </row>
    <row r="195" spans="1:25" ht="15.75" customHeight="1">
      <c r="A195" s="2" t="s">
        <v>2905</v>
      </c>
      <c r="B195" s="2" t="s">
        <v>2804</v>
      </c>
      <c r="C195" s="3">
        <v>371</v>
      </c>
      <c r="D195" s="2" t="s">
        <v>599</v>
      </c>
      <c r="E195" s="2" t="s">
        <v>3091</v>
      </c>
      <c r="F195" s="2" t="s">
        <v>3091</v>
      </c>
      <c r="G195" s="2" t="s">
        <v>3091</v>
      </c>
      <c r="H195" s="2" t="s">
        <v>3091</v>
      </c>
      <c r="I195" s="2" t="s">
        <v>3091</v>
      </c>
      <c r="J195" s="2" t="s">
        <v>3091</v>
      </c>
      <c r="K195" s="2" t="s">
        <v>3091</v>
      </c>
      <c r="L195" s="2" t="s">
        <v>3091</v>
      </c>
      <c r="M195" s="2" t="s">
        <v>3091</v>
      </c>
      <c r="N195" s="2" t="s">
        <v>3091</v>
      </c>
      <c r="O195" s="2" t="s">
        <v>3091</v>
      </c>
      <c r="P195" s="2" t="s">
        <v>3091</v>
      </c>
      <c r="Q195" s="2" t="s">
        <v>3091</v>
      </c>
      <c r="R195" s="2" t="s">
        <v>3091</v>
      </c>
      <c r="S195" s="2" t="s">
        <v>3091</v>
      </c>
      <c r="T195" s="2"/>
      <c r="U195" s="2" t="s">
        <v>3090</v>
      </c>
      <c r="V195" s="2"/>
      <c r="W195" s="4">
        <f t="shared" si="9"/>
        <v>1</v>
      </c>
      <c r="X195" s="4">
        <f t="shared" si="10"/>
        <v>15</v>
      </c>
      <c r="Y195" s="4">
        <f t="shared" si="11"/>
        <v>16</v>
      </c>
    </row>
    <row r="196" spans="1:25" ht="15.75" customHeight="1">
      <c r="A196" s="2" t="s">
        <v>2906</v>
      </c>
      <c r="B196" s="2" t="s">
        <v>2682</v>
      </c>
      <c r="C196" s="3">
        <v>361</v>
      </c>
      <c r="D196" s="2" t="s">
        <v>220</v>
      </c>
      <c r="E196" s="2" t="s">
        <v>3091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4">
        <f t="shared" si="9"/>
        <v>0</v>
      </c>
      <c r="X196" s="4">
        <f t="shared" si="10"/>
        <v>1</v>
      </c>
      <c r="Y196" s="4">
        <f t="shared" si="11"/>
        <v>1</v>
      </c>
    </row>
    <row r="197" spans="1:25" ht="15.75" customHeight="1">
      <c r="A197" s="2" t="s">
        <v>2907</v>
      </c>
      <c r="B197" s="2" t="s">
        <v>2813</v>
      </c>
      <c r="C197" s="3">
        <v>698</v>
      </c>
      <c r="D197" s="2" t="s">
        <v>439</v>
      </c>
      <c r="E197" s="2" t="s">
        <v>3090</v>
      </c>
      <c r="F197" s="2" t="s">
        <v>3090</v>
      </c>
      <c r="G197" s="2" t="s">
        <v>3090</v>
      </c>
      <c r="H197" s="2" t="s">
        <v>3090</v>
      </c>
      <c r="I197" s="2" t="s">
        <v>3090</v>
      </c>
      <c r="J197" s="2" t="s">
        <v>3090</v>
      </c>
      <c r="K197" s="2" t="s">
        <v>3091</v>
      </c>
      <c r="L197" s="2" t="s">
        <v>3091</v>
      </c>
      <c r="M197" s="2" t="s">
        <v>3091</v>
      </c>
      <c r="N197" s="2" t="s">
        <v>3091</v>
      </c>
      <c r="O197" s="2" t="s">
        <v>3091</v>
      </c>
      <c r="P197" s="2" t="s">
        <v>3091</v>
      </c>
      <c r="Q197" s="2" t="s">
        <v>3091</v>
      </c>
      <c r="R197" s="2" t="s">
        <v>3091</v>
      </c>
      <c r="S197" s="2"/>
      <c r="T197" s="2"/>
      <c r="U197" s="2" t="s">
        <v>3091</v>
      </c>
      <c r="V197" s="2" t="s">
        <v>3090</v>
      </c>
      <c r="W197" s="4">
        <f t="shared" si="9"/>
        <v>7</v>
      </c>
      <c r="X197" s="4">
        <f t="shared" si="10"/>
        <v>9</v>
      </c>
      <c r="Y197" s="4">
        <f t="shared" si="11"/>
        <v>16</v>
      </c>
    </row>
    <row r="198" spans="1:25" ht="15.75" customHeight="1">
      <c r="A198" s="2" t="s">
        <v>2908</v>
      </c>
      <c r="B198" s="2" t="s">
        <v>2682</v>
      </c>
      <c r="C198" s="3">
        <v>620</v>
      </c>
      <c r="D198" s="2" t="s">
        <v>566</v>
      </c>
      <c r="E198" s="2" t="s">
        <v>3091</v>
      </c>
      <c r="F198" s="2" t="s">
        <v>3090</v>
      </c>
      <c r="G198" s="2" t="s">
        <v>3090</v>
      </c>
      <c r="H198" s="2" t="s">
        <v>3090</v>
      </c>
      <c r="I198" s="2" t="s">
        <v>3090</v>
      </c>
      <c r="J198" s="2" t="s">
        <v>3090</v>
      </c>
      <c r="K198" s="2" t="s">
        <v>3091</v>
      </c>
      <c r="L198" s="2" t="s">
        <v>3091</v>
      </c>
      <c r="M198" s="2" t="s">
        <v>3090</v>
      </c>
      <c r="N198" s="2" t="s">
        <v>3090</v>
      </c>
      <c r="O198" s="2" t="s">
        <v>3091</v>
      </c>
      <c r="P198" s="2" t="s">
        <v>3091</v>
      </c>
      <c r="Q198" s="2" t="s">
        <v>3091</v>
      </c>
      <c r="R198" s="2" t="s">
        <v>3091</v>
      </c>
      <c r="S198" s="2" t="s">
        <v>3091</v>
      </c>
      <c r="T198" s="2" t="s">
        <v>3091</v>
      </c>
      <c r="U198" s="2" t="s">
        <v>3091</v>
      </c>
      <c r="V198" s="2" t="s">
        <v>3091</v>
      </c>
      <c r="W198" s="4">
        <f t="shared" si="9"/>
        <v>7</v>
      </c>
      <c r="X198" s="4">
        <f t="shared" si="10"/>
        <v>11</v>
      </c>
      <c r="Y198" s="4">
        <f t="shared" si="11"/>
        <v>18</v>
      </c>
    </row>
    <row r="199" spans="1:25" ht="15.75" customHeight="1">
      <c r="A199" s="2" t="s">
        <v>2909</v>
      </c>
      <c r="B199" s="2" t="s">
        <v>2833</v>
      </c>
      <c r="C199" s="3">
        <v>479</v>
      </c>
      <c r="D199" s="2" t="s">
        <v>531</v>
      </c>
      <c r="E199" s="2" t="s">
        <v>3091</v>
      </c>
      <c r="F199" s="2"/>
      <c r="G199" s="2" t="s">
        <v>3091</v>
      </c>
      <c r="H199" s="2" t="s">
        <v>3090</v>
      </c>
      <c r="I199" s="2" t="s">
        <v>3091</v>
      </c>
      <c r="J199" s="2" t="s">
        <v>3091</v>
      </c>
      <c r="K199" s="2"/>
      <c r="L199" s="2" t="s">
        <v>3091</v>
      </c>
      <c r="M199" s="2" t="s">
        <v>3091</v>
      </c>
      <c r="N199" s="2" t="s">
        <v>3091</v>
      </c>
      <c r="O199" s="2"/>
      <c r="P199" s="2"/>
      <c r="Q199" s="2" t="s">
        <v>3090</v>
      </c>
      <c r="R199" s="2" t="s">
        <v>3091</v>
      </c>
      <c r="S199" s="2"/>
      <c r="T199" s="2"/>
      <c r="U199" s="2"/>
      <c r="V199" s="2"/>
      <c r="W199" s="4">
        <f t="shared" si="9"/>
        <v>2</v>
      </c>
      <c r="X199" s="4">
        <f t="shared" si="10"/>
        <v>8</v>
      </c>
      <c r="Y199" s="4">
        <f t="shared" si="11"/>
        <v>10</v>
      </c>
    </row>
    <row r="200" spans="1:25" ht="15.75" customHeight="1">
      <c r="A200" s="2" t="s">
        <v>2775</v>
      </c>
      <c r="B200" s="2" t="s">
        <v>2910</v>
      </c>
      <c r="C200" s="3">
        <v>630</v>
      </c>
      <c r="D200" s="2" t="s">
        <v>278</v>
      </c>
      <c r="E200" s="2" t="s">
        <v>3090</v>
      </c>
      <c r="F200" s="2" t="s">
        <v>3090</v>
      </c>
      <c r="G200" s="2" t="s">
        <v>3090</v>
      </c>
      <c r="H200" s="2" t="s">
        <v>3090</v>
      </c>
      <c r="I200" s="2" t="s">
        <v>3090</v>
      </c>
      <c r="J200" s="2" t="s">
        <v>3091</v>
      </c>
      <c r="K200" s="2"/>
      <c r="L200" s="2"/>
      <c r="M200" s="2" t="s">
        <v>3090</v>
      </c>
      <c r="N200" s="2" t="s">
        <v>3090</v>
      </c>
      <c r="O200" s="2"/>
      <c r="P200" s="2"/>
      <c r="Q200" s="2"/>
      <c r="R200" s="2"/>
      <c r="S200" s="2"/>
      <c r="T200" s="2"/>
      <c r="U200" s="2" t="s">
        <v>3090</v>
      </c>
      <c r="V200" s="2"/>
      <c r="W200" s="4">
        <f t="shared" si="9"/>
        <v>8</v>
      </c>
      <c r="X200" s="4">
        <f t="shared" si="10"/>
        <v>1</v>
      </c>
      <c r="Y200" s="4">
        <f t="shared" si="11"/>
        <v>9</v>
      </c>
    </row>
    <row r="201" spans="1:25" ht="15.75" customHeight="1">
      <c r="A201" s="2" t="s">
        <v>2911</v>
      </c>
      <c r="B201" s="2" t="s">
        <v>2912</v>
      </c>
      <c r="C201" s="3">
        <v>685</v>
      </c>
      <c r="D201" s="2" t="s">
        <v>601</v>
      </c>
      <c r="E201" s="2" t="s">
        <v>3090</v>
      </c>
      <c r="F201" s="2" t="s">
        <v>3090</v>
      </c>
      <c r="G201" s="2" t="s">
        <v>3090</v>
      </c>
      <c r="H201" s="2" t="s">
        <v>3090</v>
      </c>
      <c r="I201" s="2" t="s">
        <v>3090</v>
      </c>
      <c r="J201" s="2" t="s">
        <v>3090</v>
      </c>
      <c r="K201" s="2" t="s">
        <v>3091</v>
      </c>
      <c r="L201" s="2"/>
      <c r="M201" s="2" t="s">
        <v>3090</v>
      </c>
      <c r="N201" s="2" t="s">
        <v>3090</v>
      </c>
      <c r="O201" s="2" t="s">
        <v>3090</v>
      </c>
      <c r="P201" s="2"/>
      <c r="Q201" s="2" t="s">
        <v>3090</v>
      </c>
      <c r="R201" s="2" t="s">
        <v>3091</v>
      </c>
      <c r="S201" s="2"/>
      <c r="T201" s="2" t="s">
        <v>3091</v>
      </c>
      <c r="U201" s="2" t="s">
        <v>3090</v>
      </c>
      <c r="V201" s="2" t="s">
        <v>3090</v>
      </c>
      <c r="W201" s="4">
        <f t="shared" si="9"/>
        <v>12</v>
      </c>
      <c r="X201" s="4">
        <f t="shared" si="10"/>
        <v>3</v>
      </c>
      <c r="Y201" s="4">
        <f t="shared" si="11"/>
        <v>15</v>
      </c>
    </row>
    <row r="202" spans="1:25" ht="15.75" customHeight="1">
      <c r="A202" s="2" t="s">
        <v>2911</v>
      </c>
      <c r="B202" s="2" t="s">
        <v>2678</v>
      </c>
      <c r="C202" s="3">
        <v>492</v>
      </c>
      <c r="D202" s="2" t="s">
        <v>311</v>
      </c>
      <c r="E202" s="2" t="s">
        <v>3091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4">
        <f t="shared" si="9"/>
        <v>0</v>
      </c>
      <c r="X202" s="4">
        <f t="shared" si="10"/>
        <v>1</v>
      </c>
      <c r="Y202" s="4">
        <f t="shared" si="11"/>
        <v>1</v>
      </c>
    </row>
    <row r="203" spans="1:25" ht="15.75" customHeight="1">
      <c r="A203" s="2" t="s">
        <v>2913</v>
      </c>
      <c r="B203" s="2" t="s">
        <v>2693</v>
      </c>
      <c r="C203" s="3">
        <v>444</v>
      </c>
      <c r="D203" s="2" t="s">
        <v>534</v>
      </c>
      <c r="E203" s="2" t="s">
        <v>3090</v>
      </c>
      <c r="F203" s="2" t="s">
        <v>3091</v>
      </c>
      <c r="G203" s="2" t="s">
        <v>3091</v>
      </c>
      <c r="H203" s="2" t="s">
        <v>3091</v>
      </c>
      <c r="I203" s="2" t="s">
        <v>3091</v>
      </c>
      <c r="J203" s="2" t="s">
        <v>3090</v>
      </c>
      <c r="K203" s="2" t="s">
        <v>3091</v>
      </c>
      <c r="L203" s="2" t="s">
        <v>3091</v>
      </c>
      <c r="M203" s="2" t="s">
        <v>3090</v>
      </c>
      <c r="N203" s="2" t="s">
        <v>3091</v>
      </c>
      <c r="O203" s="2" t="s">
        <v>3091</v>
      </c>
      <c r="P203" s="2" t="s">
        <v>3091</v>
      </c>
      <c r="Q203" s="2" t="s">
        <v>3091</v>
      </c>
      <c r="R203" s="2" t="s">
        <v>3091</v>
      </c>
      <c r="S203" s="2" t="s">
        <v>3091</v>
      </c>
      <c r="T203" s="2"/>
      <c r="U203" s="2"/>
      <c r="V203" s="2"/>
      <c r="W203" s="4">
        <f t="shared" si="9"/>
        <v>3</v>
      </c>
      <c r="X203" s="4">
        <f t="shared" si="10"/>
        <v>12</v>
      </c>
      <c r="Y203" s="4">
        <f t="shared" si="11"/>
        <v>15</v>
      </c>
    </row>
    <row r="204" spans="1:25" ht="15.75" customHeight="1">
      <c r="A204" s="2" t="s">
        <v>2914</v>
      </c>
      <c r="B204" s="2" t="s">
        <v>2669</v>
      </c>
      <c r="C204" s="3">
        <v>662</v>
      </c>
      <c r="D204" s="2" t="s">
        <v>127</v>
      </c>
      <c r="E204" s="2" t="s">
        <v>3090</v>
      </c>
      <c r="F204" s="2" t="s">
        <v>3090</v>
      </c>
      <c r="G204" s="2" t="s">
        <v>3090</v>
      </c>
      <c r="H204" s="2" t="s">
        <v>3090</v>
      </c>
      <c r="I204" s="2" t="s">
        <v>3090</v>
      </c>
      <c r="J204" s="2" t="s">
        <v>3090</v>
      </c>
      <c r="K204" s="2" t="s">
        <v>3091</v>
      </c>
      <c r="L204" s="2" t="s">
        <v>3091</v>
      </c>
      <c r="M204" s="2" t="s">
        <v>3091</v>
      </c>
      <c r="N204" s="2" t="s">
        <v>3091</v>
      </c>
      <c r="O204" s="2" t="s">
        <v>3091</v>
      </c>
      <c r="P204" s="2" t="s">
        <v>3091</v>
      </c>
      <c r="Q204" s="2" t="s">
        <v>3091</v>
      </c>
      <c r="R204" s="2" t="s">
        <v>3091</v>
      </c>
      <c r="S204" s="2" t="s">
        <v>3091</v>
      </c>
      <c r="T204" s="2" t="s">
        <v>3091</v>
      </c>
      <c r="U204" s="2" t="s">
        <v>3090</v>
      </c>
      <c r="V204" s="2"/>
      <c r="W204" s="4">
        <f t="shared" si="9"/>
        <v>7</v>
      </c>
      <c r="X204" s="4">
        <f t="shared" si="10"/>
        <v>10</v>
      </c>
      <c r="Y204" s="4">
        <f t="shared" si="11"/>
        <v>17</v>
      </c>
    </row>
    <row r="205" spans="1:25" ht="15.75" customHeight="1">
      <c r="A205" s="2" t="s">
        <v>2915</v>
      </c>
      <c r="B205" s="2" t="s">
        <v>2710</v>
      </c>
      <c r="C205" s="3">
        <v>697</v>
      </c>
      <c r="D205" s="2" t="s">
        <v>761</v>
      </c>
      <c r="E205" s="2" t="s">
        <v>3090</v>
      </c>
      <c r="F205" s="2" t="s">
        <v>3090</v>
      </c>
      <c r="G205" s="2" t="s">
        <v>3091</v>
      </c>
      <c r="H205" s="2" t="s">
        <v>3090</v>
      </c>
      <c r="I205" s="2" t="s">
        <v>3091</v>
      </c>
      <c r="J205" s="2" t="s">
        <v>3091</v>
      </c>
      <c r="K205" s="2" t="s">
        <v>3091</v>
      </c>
      <c r="L205" s="2" t="s">
        <v>3091</v>
      </c>
      <c r="M205" s="2" t="s">
        <v>3090</v>
      </c>
      <c r="N205" s="2" t="s">
        <v>3090</v>
      </c>
      <c r="O205" s="2" t="s">
        <v>3090</v>
      </c>
      <c r="P205" s="2" t="s">
        <v>3091</v>
      </c>
      <c r="Q205" s="2" t="s">
        <v>3091</v>
      </c>
      <c r="R205" s="2" t="s">
        <v>3091</v>
      </c>
      <c r="S205" s="2" t="s">
        <v>3091</v>
      </c>
      <c r="T205" s="2" t="s">
        <v>3091</v>
      </c>
      <c r="U205" s="2" t="s">
        <v>3091</v>
      </c>
      <c r="V205" s="2" t="s">
        <v>3091</v>
      </c>
      <c r="W205" s="4">
        <f t="shared" si="9"/>
        <v>6</v>
      </c>
      <c r="X205" s="4">
        <f t="shared" si="10"/>
        <v>12</v>
      </c>
      <c r="Y205" s="4">
        <f t="shared" si="11"/>
        <v>18</v>
      </c>
    </row>
    <row r="206" spans="1:25" ht="15.75" customHeight="1">
      <c r="A206" s="2" t="s">
        <v>2916</v>
      </c>
      <c r="B206" s="2" t="s">
        <v>2917</v>
      </c>
      <c r="C206" s="3">
        <v>721</v>
      </c>
      <c r="D206" s="2" t="s">
        <v>692</v>
      </c>
      <c r="E206" s="2" t="s">
        <v>3090</v>
      </c>
      <c r="F206" s="2" t="s">
        <v>3090</v>
      </c>
      <c r="G206" s="2" t="s">
        <v>3090</v>
      </c>
      <c r="H206" s="2" t="s">
        <v>3090</v>
      </c>
      <c r="I206" s="2" t="s">
        <v>3090</v>
      </c>
      <c r="J206" s="2" t="s">
        <v>3090</v>
      </c>
      <c r="K206" s="2"/>
      <c r="L206" s="2"/>
      <c r="M206" s="2" t="s">
        <v>3090</v>
      </c>
      <c r="N206" s="2"/>
      <c r="O206" s="2" t="s">
        <v>3090</v>
      </c>
      <c r="P206" s="2"/>
      <c r="Q206" s="2" t="s">
        <v>3090</v>
      </c>
      <c r="R206" s="2" t="s">
        <v>3090</v>
      </c>
      <c r="S206" s="2"/>
      <c r="T206" s="2"/>
      <c r="U206" s="2" t="s">
        <v>3090</v>
      </c>
      <c r="V206" s="2"/>
      <c r="W206" s="4">
        <f t="shared" si="9"/>
        <v>11</v>
      </c>
      <c r="X206" s="4">
        <f t="shared" si="10"/>
        <v>0</v>
      </c>
      <c r="Y206" s="4">
        <f t="shared" si="11"/>
        <v>11</v>
      </c>
    </row>
    <row r="207" spans="1:25" ht="15.75" customHeight="1">
      <c r="A207" s="2" t="s">
        <v>2918</v>
      </c>
      <c r="B207" s="2" t="s">
        <v>2682</v>
      </c>
      <c r="C207" s="3">
        <v>812</v>
      </c>
      <c r="D207" s="2" t="s">
        <v>314</v>
      </c>
      <c r="E207" s="2" t="s">
        <v>3091</v>
      </c>
      <c r="F207" s="2" t="s">
        <v>3091</v>
      </c>
      <c r="G207" s="2" t="s">
        <v>3091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4">
        <f t="shared" si="9"/>
        <v>0</v>
      </c>
      <c r="X207" s="4">
        <f t="shared" si="10"/>
        <v>3</v>
      </c>
      <c r="Y207" s="4">
        <f t="shared" si="11"/>
        <v>3</v>
      </c>
    </row>
    <row r="208" spans="1:25" ht="15.75" customHeight="1">
      <c r="A208" s="2" t="s">
        <v>2846</v>
      </c>
      <c r="B208" s="2" t="s">
        <v>2919</v>
      </c>
      <c r="C208" s="3">
        <v>711</v>
      </c>
      <c r="D208" s="2" t="s">
        <v>284</v>
      </c>
      <c r="E208" s="2" t="s">
        <v>3090</v>
      </c>
      <c r="F208" s="2" t="s">
        <v>3091</v>
      </c>
      <c r="G208" s="2" t="s">
        <v>3091</v>
      </c>
      <c r="H208" s="2" t="s">
        <v>3090</v>
      </c>
      <c r="I208" s="2" t="s">
        <v>3090</v>
      </c>
      <c r="J208" s="2" t="s">
        <v>3090</v>
      </c>
      <c r="K208" s="2" t="s">
        <v>3091</v>
      </c>
      <c r="L208" s="2" t="s">
        <v>3091</v>
      </c>
      <c r="M208" s="2" t="s">
        <v>3090</v>
      </c>
      <c r="N208" s="2" t="s">
        <v>3090</v>
      </c>
      <c r="O208" s="2" t="s">
        <v>3091</v>
      </c>
      <c r="P208" s="2" t="s">
        <v>3091</v>
      </c>
      <c r="Q208" s="2" t="s">
        <v>3091</v>
      </c>
      <c r="R208" s="2" t="s">
        <v>3090</v>
      </c>
      <c r="S208" s="2" t="s">
        <v>3091</v>
      </c>
      <c r="T208" s="2" t="s">
        <v>3091</v>
      </c>
      <c r="U208" s="2" t="s">
        <v>3090</v>
      </c>
      <c r="V208" s="2" t="s">
        <v>3090</v>
      </c>
      <c r="W208" s="4">
        <f t="shared" si="9"/>
        <v>9</v>
      </c>
      <c r="X208" s="4">
        <f t="shared" si="10"/>
        <v>9</v>
      </c>
      <c r="Y208" s="4">
        <f t="shared" si="11"/>
        <v>18</v>
      </c>
    </row>
    <row r="209" spans="1:25" ht="15.75" customHeight="1">
      <c r="A209" s="2" t="s">
        <v>2920</v>
      </c>
      <c r="B209" s="2" t="s">
        <v>2726</v>
      </c>
      <c r="C209" s="3">
        <v>477</v>
      </c>
      <c r="D209" s="2" t="s">
        <v>26</v>
      </c>
      <c r="E209" s="2" t="s">
        <v>3090</v>
      </c>
      <c r="F209" s="2" t="s">
        <v>3091</v>
      </c>
      <c r="G209" s="2" t="s">
        <v>3091</v>
      </c>
      <c r="H209" s="2" t="s">
        <v>3091</v>
      </c>
      <c r="I209" s="2" t="s">
        <v>3091</v>
      </c>
      <c r="J209" s="2" t="s">
        <v>3091</v>
      </c>
      <c r="K209" s="2" t="s">
        <v>3091</v>
      </c>
      <c r="L209" s="2" t="s">
        <v>3091</v>
      </c>
      <c r="M209" s="2" t="s">
        <v>3091</v>
      </c>
      <c r="N209" s="2" t="s">
        <v>3091</v>
      </c>
      <c r="O209" s="2"/>
      <c r="P209" s="2"/>
      <c r="Q209" s="2"/>
      <c r="R209" s="2"/>
      <c r="S209" s="2"/>
      <c r="T209" s="2"/>
      <c r="U209" s="2"/>
      <c r="V209" s="2"/>
      <c r="W209" s="4">
        <f t="shared" si="9"/>
        <v>1</v>
      </c>
      <c r="X209" s="4">
        <f t="shared" si="10"/>
        <v>9</v>
      </c>
      <c r="Y209" s="4">
        <f t="shared" si="11"/>
        <v>10</v>
      </c>
    </row>
    <row r="210" spans="1:25" ht="15.75" customHeight="1">
      <c r="A210" s="2" t="s">
        <v>2921</v>
      </c>
      <c r="B210" s="2" t="s">
        <v>2775</v>
      </c>
      <c r="C210" s="3">
        <v>631</v>
      </c>
      <c r="D210" s="2" t="s">
        <v>442</v>
      </c>
      <c r="E210" s="2" t="s">
        <v>3090</v>
      </c>
      <c r="F210" s="2" t="s">
        <v>3091</v>
      </c>
      <c r="G210" s="2" t="s">
        <v>3091</v>
      </c>
      <c r="H210" s="2" t="s">
        <v>3090</v>
      </c>
      <c r="I210" s="2" t="s">
        <v>3091</v>
      </c>
      <c r="J210" s="2" t="s">
        <v>3091</v>
      </c>
      <c r="K210" s="2" t="s">
        <v>3091</v>
      </c>
      <c r="L210" s="2" t="s">
        <v>3091</v>
      </c>
      <c r="M210" s="2" t="s">
        <v>3091</v>
      </c>
      <c r="N210" s="2" t="s">
        <v>3091</v>
      </c>
      <c r="O210" s="2" t="s">
        <v>3091</v>
      </c>
      <c r="P210" s="2"/>
      <c r="Q210" s="2"/>
      <c r="R210" s="2"/>
      <c r="S210" s="2"/>
      <c r="T210" s="2"/>
      <c r="U210" s="2"/>
      <c r="V210" s="2"/>
      <c r="W210" s="4">
        <f t="shared" si="9"/>
        <v>2</v>
      </c>
      <c r="X210" s="4">
        <f t="shared" si="10"/>
        <v>9</v>
      </c>
      <c r="Y210" s="4">
        <f t="shared" si="11"/>
        <v>11</v>
      </c>
    </row>
    <row r="211" spans="1:25" ht="15.75" customHeight="1">
      <c r="A211" s="2" t="s">
        <v>2922</v>
      </c>
      <c r="B211" s="2" t="s">
        <v>2761</v>
      </c>
      <c r="C211" s="3">
        <v>617</v>
      </c>
      <c r="D211" s="2" t="s">
        <v>370</v>
      </c>
      <c r="E211" s="2" t="s">
        <v>3090</v>
      </c>
      <c r="F211" s="2" t="s">
        <v>3090</v>
      </c>
      <c r="G211" s="2" t="s">
        <v>3090</v>
      </c>
      <c r="H211" s="2" t="s">
        <v>3090</v>
      </c>
      <c r="I211" s="2" t="s">
        <v>3090</v>
      </c>
      <c r="J211" s="2" t="s">
        <v>3090</v>
      </c>
      <c r="K211" s="2" t="s">
        <v>3091</v>
      </c>
      <c r="L211" s="2" t="s">
        <v>3091</v>
      </c>
      <c r="M211" s="2" t="s">
        <v>3090</v>
      </c>
      <c r="N211" s="2" t="s">
        <v>3090</v>
      </c>
      <c r="O211" s="2" t="s">
        <v>3091</v>
      </c>
      <c r="P211" s="2" t="s">
        <v>3091</v>
      </c>
      <c r="Q211" s="2" t="s">
        <v>3090</v>
      </c>
      <c r="R211" s="2" t="s">
        <v>3091</v>
      </c>
      <c r="S211" s="2"/>
      <c r="T211" s="2"/>
      <c r="U211" s="2" t="s">
        <v>3090</v>
      </c>
      <c r="V211" s="2" t="s">
        <v>3090</v>
      </c>
      <c r="W211" s="4">
        <f t="shared" si="9"/>
        <v>11</v>
      </c>
      <c r="X211" s="4">
        <f t="shared" si="10"/>
        <v>5</v>
      </c>
      <c r="Y211" s="4">
        <f t="shared" si="11"/>
        <v>16</v>
      </c>
    </row>
    <row r="212" spans="1:25" ht="15.75" customHeight="1">
      <c r="A212" s="2" t="s">
        <v>2923</v>
      </c>
      <c r="B212" s="2" t="s">
        <v>2770</v>
      </c>
      <c r="C212" s="3">
        <v>222</v>
      </c>
      <c r="D212" s="2" t="s">
        <v>372</v>
      </c>
      <c r="E212" s="2" t="s">
        <v>3090</v>
      </c>
      <c r="F212" s="2" t="s">
        <v>3090</v>
      </c>
      <c r="G212" s="2" t="s">
        <v>3090</v>
      </c>
      <c r="H212" s="2" t="s">
        <v>3090</v>
      </c>
      <c r="I212" s="2" t="s">
        <v>3090</v>
      </c>
      <c r="J212" s="2" t="s">
        <v>3090</v>
      </c>
      <c r="K212" s="2" t="s">
        <v>3091</v>
      </c>
      <c r="L212" s="2" t="s">
        <v>3091</v>
      </c>
      <c r="M212" s="2" t="s">
        <v>3091</v>
      </c>
      <c r="N212" s="2" t="s">
        <v>3090</v>
      </c>
      <c r="O212" s="2" t="s">
        <v>3090</v>
      </c>
      <c r="P212" s="2" t="s">
        <v>3091</v>
      </c>
      <c r="Q212" s="2" t="s">
        <v>3090</v>
      </c>
      <c r="R212" s="2" t="s">
        <v>3090</v>
      </c>
      <c r="S212" s="2" t="s">
        <v>3091</v>
      </c>
      <c r="T212" s="2" t="s">
        <v>3091</v>
      </c>
      <c r="U212" s="2" t="s">
        <v>3090</v>
      </c>
      <c r="V212" s="2" t="s">
        <v>3090</v>
      </c>
      <c r="W212" s="4">
        <f t="shared" si="9"/>
        <v>12</v>
      </c>
      <c r="X212" s="4">
        <f t="shared" si="10"/>
        <v>6</v>
      </c>
      <c r="Y212" s="4">
        <f t="shared" si="11"/>
        <v>18</v>
      </c>
    </row>
    <row r="213" spans="1:25" ht="15.75" customHeight="1">
      <c r="A213" s="2" t="s">
        <v>2924</v>
      </c>
      <c r="B213" s="2" t="s">
        <v>2757</v>
      </c>
      <c r="C213" s="3">
        <v>443</v>
      </c>
      <c r="D213" s="2" t="s">
        <v>482</v>
      </c>
      <c r="E213" s="2" t="s">
        <v>3091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4">
        <f t="shared" si="9"/>
        <v>0</v>
      </c>
      <c r="X213" s="4">
        <f t="shared" si="10"/>
        <v>1</v>
      </c>
      <c r="Y213" s="4">
        <f t="shared" si="11"/>
        <v>1</v>
      </c>
    </row>
    <row r="214" spans="1:25" ht="15.75" customHeight="1">
      <c r="A214" s="2" t="s">
        <v>2925</v>
      </c>
      <c r="B214" s="2" t="s">
        <v>2678</v>
      </c>
      <c r="C214" s="3">
        <v>639</v>
      </c>
      <c r="D214" s="2" t="s">
        <v>273</v>
      </c>
      <c r="E214" s="2" t="s">
        <v>3090</v>
      </c>
      <c r="F214" s="2" t="s">
        <v>3090</v>
      </c>
      <c r="G214" s="2" t="s">
        <v>3090</v>
      </c>
      <c r="H214" s="2" t="s">
        <v>3090</v>
      </c>
      <c r="I214" s="2" t="s">
        <v>3090</v>
      </c>
      <c r="J214" s="2" t="s">
        <v>3091</v>
      </c>
      <c r="K214" s="2" t="s">
        <v>3091</v>
      </c>
      <c r="L214" s="2" t="s">
        <v>3091</v>
      </c>
      <c r="M214" s="2" t="s">
        <v>3090</v>
      </c>
      <c r="N214" s="2" t="s">
        <v>3090</v>
      </c>
      <c r="O214" s="2" t="s">
        <v>3090</v>
      </c>
      <c r="P214" s="2" t="s">
        <v>3091</v>
      </c>
      <c r="Q214" s="2" t="s">
        <v>3090</v>
      </c>
      <c r="R214" s="2" t="s">
        <v>3090</v>
      </c>
      <c r="S214" s="2"/>
      <c r="T214" s="2" t="s">
        <v>3091</v>
      </c>
      <c r="U214" s="2" t="s">
        <v>3090</v>
      </c>
      <c r="V214" s="2" t="s">
        <v>3091</v>
      </c>
      <c r="W214" s="4">
        <f t="shared" si="9"/>
        <v>11</v>
      </c>
      <c r="X214" s="4">
        <f t="shared" si="10"/>
        <v>6</v>
      </c>
      <c r="Y214" s="4">
        <f t="shared" si="11"/>
        <v>17</v>
      </c>
    </row>
    <row r="215" spans="1:25" ht="15.75" customHeight="1">
      <c r="A215" s="2" t="s">
        <v>2926</v>
      </c>
      <c r="B215" s="2" t="s">
        <v>2813</v>
      </c>
      <c r="C215" s="3">
        <v>718</v>
      </c>
      <c r="D215" s="2" t="s">
        <v>399</v>
      </c>
      <c r="E215" s="2" t="s">
        <v>3091</v>
      </c>
      <c r="F215" s="2"/>
      <c r="G215" s="2"/>
      <c r="H215" s="2"/>
      <c r="I215" s="2"/>
      <c r="J215" s="2"/>
      <c r="K215" s="2" t="s">
        <v>3091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4">
        <f t="shared" si="9"/>
        <v>0</v>
      </c>
      <c r="X215" s="4">
        <f t="shared" si="10"/>
        <v>2</v>
      </c>
      <c r="Y215" s="4">
        <f t="shared" si="11"/>
        <v>2</v>
      </c>
    </row>
    <row r="216" spans="1:25" ht="15.75" customHeight="1">
      <c r="A216" s="2" t="s">
        <v>2927</v>
      </c>
      <c r="B216" s="2" t="s">
        <v>851</v>
      </c>
      <c r="C216" s="3">
        <v>643</v>
      </c>
      <c r="D216" s="2" t="s">
        <v>638</v>
      </c>
      <c r="E216" s="2" t="s">
        <v>3090</v>
      </c>
      <c r="F216" s="2" t="s">
        <v>3091</v>
      </c>
      <c r="G216" s="2" t="s">
        <v>3090</v>
      </c>
      <c r="H216" s="2" t="s">
        <v>3091</v>
      </c>
      <c r="I216" s="2" t="s">
        <v>3091</v>
      </c>
      <c r="J216" s="2" t="s">
        <v>3091</v>
      </c>
      <c r="K216" s="2" t="s">
        <v>3091</v>
      </c>
      <c r="L216" s="2" t="s">
        <v>3091</v>
      </c>
      <c r="M216" s="2" t="s">
        <v>3091</v>
      </c>
      <c r="N216" s="2" t="s">
        <v>3091</v>
      </c>
      <c r="O216" s="2" t="s">
        <v>3091</v>
      </c>
      <c r="P216" s="2"/>
      <c r="Q216" s="2" t="s">
        <v>3091</v>
      </c>
      <c r="R216" s="2"/>
      <c r="S216" s="2" t="s">
        <v>3091</v>
      </c>
      <c r="T216" s="2"/>
      <c r="U216" s="2"/>
      <c r="V216" s="2"/>
      <c r="W216" s="4">
        <f t="shared" si="9"/>
        <v>2</v>
      </c>
      <c r="X216" s="4">
        <f t="shared" si="10"/>
        <v>11</v>
      </c>
      <c r="Y216" s="4">
        <f t="shared" si="11"/>
        <v>13</v>
      </c>
    </row>
    <row r="217" spans="1:25" ht="15.75" customHeight="1">
      <c r="A217" s="2" t="s">
        <v>2928</v>
      </c>
      <c r="B217" s="2" t="s">
        <v>2929</v>
      </c>
      <c r="C217" s="3">
        <v>790</v>
      </c>
      <c r="D217" s="2" t="s">
        <v>764</v>
      </c>
      <c r="E217" s="2" t="s">
        <v>3090</v>
      </c>
      <c r="F217" s="2" t="s">
        <v>3090</v>
      </c>
      <c r="G217" s="2" t="s">
        <v>3091</v>
      </c>
      <c r="H217" s="2" t="s">
        <v>3091</v>
      </c>
      <c r="I217" s="2" t="s">
        <v>3091</v>
      </c>
      <c r="J217" s="2" t="s">
        <v>3091</v>
      </c>
      <c r="K217" s="2" t="s">
        <v>3091</v>
      </c>
      <c r="L217" s="2" t="s">
        <v>3091</v>
      </c>
      <c r="M217" s="2" t="s">
        <v>3090</v>
      </c>
      <c r="N217" s="2" t="s">
        <v>3090</v>
      </c>
      <c r="O217" s="2" t="s">
        <v>3090</v>
      </c>
      <c r="P217" s="2"/>
      <c r="Q217" s="2" t="s">
        <v>3090</v>
      </c>
      <c r="R217" s="2"/>
      <c r="S217" s="2"/>
      <c r="T217" s="2"/>
      <c r="U217" s="2" t="s">
        <v>3090</v>
      </c>
      <c r="V217" s="2"/>
      <c r="W217" s="4">
        <f t="shared" si="9"/>
        <v>7</v>
      </c>
      <c r="X217" s="4">
        <f t="shared" si="10"/>
        <v>6</v>
      </c>
      <c r="Y217" s="4">
        <f t="shared" si="11"/>
        <v>13</v>
      </c>
    </row>
    <row r="218" spans="1:25" ht="15.75" customHeight="1">
      <c r="A218" s="2" t="s">
        <v>2930</v>
      </c>
      <c r="B218" s="2" t="s">
        <v>2931</v>
      </c>
      <c r="C218" s="3">
        <v>244</v>
      </c>
      <c r="D218" s="2" t="s">
        <v>444</v>
      </c>
      <c r="E218" s="2" t="s">
        <v>3090</v>
      </c>
      <c r="F218" s="2" t="s">
        <v>3090</v>
      </c>
      <c r="G218" s="2" t="s">
        <v>3090</v>
      </c>
      <c r="H218" s="2" t="s">
        <v>3090</v>
      </c>
      <c r="I218" s="2" t="s">
        <v>3090</v>
      </c>
      <c r="J218" s="2" t="s">
        <v>3090</v>
      </c>
      <c r="K218" s="2" t="s">
        <v>3091</v>
      </c>
      <c r="L218" s="2" t="s">
        <v>3091</v>
      </c>
      <c r="M218" s="2" t="s">
        <v>3090</v>
      </c>
      <c r="N218" s="2" t="s">
        <v>3090</v>
      </c>
      <c r="O218" s="2" t="s">
        <v>3090</v>
      </c>
      <c r="P218" s="2" t="s">
        <v>3091</v>
      </c>
      <c r="Q218" s="2" t="s">
        <v>3090</v>
      </c>
      <c r="R218" s="2" t="s">
        <v>3090</v>
      </c>
      <c r="S218" s="2" t="s">
        <v>3091</v>
      </c>
      <c r="T218" s="2" t="s">
        <v>3091</v>
      </c>
      <c r="U218" s="2" t="s">
        <v>3090</v>
      </c>
      <c r="V218" s="2" t="s">
        <v>3090</v>
      </c>
      <c r="W218" s="4">
        <f t="shared" si="9"/>
        <v>13</v>
      </c>
      <c r="X218" s="4">
        <f t="shared" si="10"/>
        <v>5</v>
      </c>
      <c r="Y218" s="4">
        <f t="shared" si="11"/>
        <v>18</v>
      </c>
    </row>
    <row r="219" spans="1:25" ht="15.75" customHeight="1">
      <c r="A219" s="2" t="s">
        <v>2932</v>
      </c>
      <c r="B219" s="2" t="s">
        <v>2661</v>
      </c>
      <c r="C219" s="3">
        <v>787</v>
      </c>
      <c r="D219" s="2" t="s">
        <v>28</v>
      </c>
      <c r="E219" s="2" t="s">
        <v>3091</v>
      </c>
      <c r="F219" s="2" t="s">
        <v>3091</v>
      </c>
      <c r="G219" s="2" t="s">
        <v>3091</v>
      </c>
      <c r="H219" s="2" t="s">
        <v>3091</v>
      </c>
      <c r="I219" s="2" t="s">
        <v>3091</v>
      </c>
      <c r="J219" s="2" t="s">
        <v>3090</v>
      </c>
      <c r="K219" s="2" t="s">
        <v>3091</v>
      </c>
      <c r="L219" s="2" t="s">
        <v>3091</v>
      </c>
      <c r="M219" s="2" t="s">
        <v>3091</v>
      </c>
      <c r="N219" s="2" t="s">
        <v>3091</v>
      </c>
      <c r="O219" s="2" t="s">
        <v>3090</v>
      </c>
      <c r="P219" s="2"/>
      <c r="Q219" s="2"/>
      <c r="R219" s="2"/>
      <c r="S219" s="2"/>
      <c r="T219" s="2"/>
      <c r="U219" s="2"/>
      <c r="V219" s="2"/>
      <c r="W219" s="4">
        <f t="shared" si="9"/>
        <v>2</v>
      </c>
      <c r="X219" s="4">
        <f t="shared" si="10"/>
        <v>9</v>
      </c>
      <c r="Y219" s="4">
        <f t="shared" si="11"/>
        <v>11</v>
      </c>
    </row>
    <row r="220" spans="1:25" ht="15.75" customHeight="1">
      <c r="A220" s="2" t="s">
        <v>2933</v>
      </c>
      <c r="B220" s="2" t="s">
        <v>2682</v>
      </c>
      <c r="C220" s="3">
        <v>788</v>
      </c>
      <c r="D220" s="2" t="s">
        <v>401</v>
      </c>
      <c r="E220" s="2" t="s">
        <v>3090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4">
        <f t="shared" si="9"/>
        <v>1</v>
      </c>
      <c r="X220" s="4">
        <f t="shared" si="10"/>
        <v>0</v>
      </c>
      <c r="Y220" s="4">
        <f t="shared" si="11"/>
        <v>1</v>
      </c>
    </row>
    <row r="221" spans="1:25" ht="15.75" customHeight="1">
      <c r="A221" s="2" t="s">
        <v>2934</v>
      </c>
      <c r="B221" s="2" t="s">
        <v>2717</v>
      </c>
      <c r="C221" s="3">
        <v>359</v>
      </c>
      <c r="D221" s="2" t="s">
        <v>403</v>
      </c>
      <c r="E221" s="2" t="s">
        <v>3091</v>
      </c>
      <c r="F221" s="2" t="s">
        <v>3091</v>
      </c>
      <c r="G221" s="2" t="s">
        <v>3091</v>
      </c>
      <c r="H221" s="2" t="s">
        <v>3090</v>
      </c>
      <c r="I221" s="2" t="s">
        <v>3090</v>
      </c>
      <c r="J221" s="2" t="s">
        <v>3091</v>
      </c>
      <c r="K221" s="2" t="s">
        <v>3091</v>
      </c>
      <c r="L221" s="2" t="s">
        <v>3091</v>
      </c>
      <c r="M221" s="2" t="s">
        <v>3090</v>
      </c>
      <c r="N221" s="2" t="s">
        <v>3090</v>
      </c>
      <c r="O221" s="2" t="s">
        <v>3091</v>
      </c>
      <c r="P221" s="2" t="s">
        <v>3091</v>
      </c>
      <c r="Q221" s="2" t="s">
        <v>3090</v>
      </c>
      <c r="R221" s="2" t="s">
        <v>3090</v>
      </c>
      <c r="S221" s="2" t="s">
        <v>3091</v>
      </c>
      <c r="T221" s="2" t="s">
        <v>3091</v>
      </c>
      <c r="U221" s="2"/>
      <c r="V221" s="2" t="s">
        <v>3090</v>
      </c>
      <c r="W221" s="4">
        <f t="shared" si="9"/>
        <v>7</v>
      </c>
      <c r="X221" s="4">
        <f t="shared" si="10"/>
        <v>10</v>
      </c>
      <c r="Y221" s="4">
        <f t="shared" si="11"/>
        <v>17</v>
      </c>
    </row>
    <row r="222" spans="1:25" ht="15.75" customHeight="1">
      <c r="A222" s="2" t="s">
        <v>2935</v>
      </c>
      <c r="B222" s="2" t="s">
        <v>2662</v>
      </c>
      <c r="C222" s="3">
        <v>613</v>
      </c>
      <c r="D222" s="2" t="s">
        <v>405</v>
      </c>
      <c r="E222" s="2" t="s">
        <v>3090</v>
      </c>
      <c r="F222" s="2" t="s">
        <v>3090</v>
      </c>
      <c r="G222" s="2" t="s">
        <v>3090</v>
      </c>
      <c r="H222" s="2" t="s">
        <v>3090</v>
      </c>
      <c r="I222" s="2" t="s">
        <v>3090</v>
      </c>
      <c r="J222" s="2" t="s">
        <v>3090</v>
      </c>
      <c r="K222" s="2" t="s">
        <v>3091</v>
      </c>
      <c r="L222" s="2" t="s">
        <v>3091</v>
      </c>
      <c r="M222" s="2" t="s">
        <v>3090</v>
      </c>
      <c r="N222" s="2" t="s">
        <v>3090</v>
      </c>
      <c r="O222" s="2" t="s">
        <v>3090</v>
      </c>
      <c r="P222" s="2" t="s">
        <v>3091</v>
      </c>
      <c r="Q222" s="2" t="s">
        <v>3090</v>
      </c>
      <c r="R222" s="2" t="s">
        <v>3090</v>
      </c>
      <c r="S222" s="2" t="s">
        <v>3091</v>
      </c>
      <c r="T222" s="2" t="s">
        <v>3091</v>
      </c>
      <c r="U222" s="2"/>
      <c r="V222" s="2"/>
      <c r="W222" s="4">
        <f t="shared" si="9"/>
        <v>11</v>
      </c>
      <c r="X222" s="4">
        <f t="shared" si="10"/>
        <v>5</v>
      </c>
      <c r="Y222" s="4">
        <f t="shared" si="11"/>
        <v>16</v>
      </c>
    </row>
    <row r="223" spans="1:25" ht="15.75" customHeight="1">
      <c r="A223" s="2" t="s">
        <v>2936</v>
      </c>
      <c r="B223" s="2" t="s">
        <v>2662</v>
      </c>
      <c r="C223" s="3">
        <v>647</v>
      </c>
      <c r="D223" s="2" t="s">
        <v>407</v>
      </c>
      <c r="E223" s="2" t="s">
        <v>3090</v>
      </c>
      <c r="F223" s="2" t="s">
        <v>3091</v>
      </c>
      <c r="G223" s="2" t="s">
        <v>3090</v>
      </c>
      <c r="H223" s="2" t="s">
        <v>3090</v>
      </c>
      <c r="I223" s="2" t="s">
        <v>3090</v>
      </c>
      <c r="J223" s="2" t="s">
        <v>3090</v>
      </c>
      <c r="K223" s="2" t="s">
        <v>3091</v>
      </c>
      <c r="L223" s="2" t="s">
        <v>3091</v>
      </c>
      <c r="M223" s="2" t="s">
        <v>3090</v>
      </c>
      <c r="N223" s="2" t="s">
        <v>3090</v>
      </c>
      <c r="O223" s="2" t="s">
        <v>3090</v>
      </c>
      <c r="P223" s="2" t="s">
        <v>3091</v>
      </c>
      <c r="Q223" s="2" t="s">
        <v>3090</v>
      </c>
      <c r="R223" s="2" t="s">
        <v>3090</v>
      </c>
      <c r="S223" s="2"/>
      <c r="T223" s="2"/>
      <c r="U223" s="2" t="s">
        <v>3090</v>
      </c>
      <c r="V223" s="2"/>
      <c r="W223" s="4">
        <f t="shared" si="9"/>
        <v>11</v>
      </c>
      <c r="X223" s="4">
        <f t="shared" si="10"/>
        <v>4</v>
      </c>
      <c r="Y223" s="4">
        <f t="shared" si="11"/>
        <v>15</v>
      </c>
    </row>
    <row r="224" spans="1:25" ht="15.75" customHeight="1">
      <c r="A224" s="2" t="s">
        <v>2937</v>
      </c>
      <c r="B224" s="2" t="s">
        <v>2781</v>
      </c>
      <c r="C224" s="3">
        <v>741</v>
      </c>
      <c r="D224" s="2" t="s">
        <v>409</v>
      </c>
      <c r="E224" s="2" t="s">
        <v>3090</v>
      </c>
      <c r="F224" s="2" t="s">
        <v>3090</v>
      </c>
      <c r="G224" s="2" t="s">
        <v>3090</v>
      </c>
      <c r="H224" s="2" t="s">
        <v>3090</v>
      </c>
      <c r="I224" s="2" t="s">
        <v>3090</v>
      </c>
      <c r="J224" s="2" t="s">
        <v>3090</v>
      </c>
      <c r="K224" s="2" t="s">
        <v>3091</v>
      </c>
      <c r="L224" s="2" t="s">
        <v>3091</v>
      </c>
      <c r="M224" s="2" t="s">
        <v>3091</v>
      </c>
      <c r="N224" s="2" t="s">
        <v>3090</v>
      </c>
      <c r="O224" s="2" t="s">
        <v>3090</v>
      </c>
      <c r="P224" s="2" t="s">
        <v>3091</v>
      </c>
      <c r="Q224" s="2" t="s">
        <v>3091</v>
      </c>
      <c r="R224" s="2" t="s">
        <v>3090</v>
      </c>
      <c r="S224" s="2" t="s">
        <v>3091</v>
      </c>
      <c r="T224" s="2"/>
      <c r="U224" s="2" t="s">
        <v>3090</v>
      </c>
      <c r="V224" s="2"/>
      <c r="W224" s="4">
        <f t="shared" si="9"/>
        <v>10</v>
      </c>
      <c r="X224" s="4">
        <f t="shared" si="10"/>
        <v>6</v>
      </c>
      <c r="Y224" s="4">
        <f t="shared" si="11"/>
        <v>16</v>
      </c>
    </row>
    <row r="225" spans="1:25" ht="15.75" customHeight="1">
      <c r="A225" s="2" t="s">
        <v>2938</v>
      </c>
      <c r="B225" s="2" t="s">
        <v>2939</v>
      </c>
      <c r="C225" s="3">
        <v>327</v>
      </c>
      <c r="D225" s="2" t="s">
        <v>30</v>
      </c>
      <c r="E225" s="2" t="s">
        <v>3090</v>
      </c>
      <c r="F225" s="2" t="s">
        <v>3090</v>
      </c>
      <c r="G225" s="2" t="s">
        <v>3090</v>
      </c>
      <c r="H225" s="2" t="s">
        <v>3090</v>
      </c>
      <c r="I225" s="2" t="s">
        <v>3090</v>
      </c>
      <c r="J225" s="2" t="s">
        <v>3090</v>
      </c>
      <c r="K225" s="2"/>
      <c r="L225" s="2"/>
      <c r="M225" s="2" t="s">
        <v>3090</v>
      </c>
      <c r="N225" s="2" t="s">
        <v>3090</v>
      </c>
      <c r="O225" s="2" t="s">
        <v>3090</v>
      </c>
      <c r="P225" s="2" t="s">
        <v>3091</v>
      </c>
      <c r="Q225" s="2"/>
      <c r="R225" s="2"/>
      <c r="S225" s="2"/>
      <c r="T225" s="2"/>
      <c r="U225" s="2"/>
      <c r="V225" s="2"/>
      <c r="W225" s="4">
        <f t="shared" si="9"/>
        <v>9</v>
      </c>
      <c r="X225" s="4">
        <f t="shared" si="10"/>
        <v>1</v>
      </c>
      <c r="Y225" s="4">
        <f t="shared" si="11"/>
        <v>10</v>
      </c>
    </row>
    <row r="226" spans="1:25" ht="15.75" customHeight="1">
      <c r="A226" s="2" t="s">
        <v>2940</v>
      </c>
      <c r="B226" s="2" t="s">
        <v>2757</v>
      </c>
      <c r="C226" s="3">
        <v>632</v>
      </c>
      <c r="D226" s="2" t="s">
        <v>275</v>
      </c>
      <c r="E226" s="2" t="s">
        <v>3090</v>
      </c>
      <c r="F226" s="2" t="s">
        <v>3090</v>
      </c>
      <c r="G226" s="2" t="s">
        <v>3090</v>
      </c>
      <c r="H226" s="2" t="s">
        <v>3090</v>
      </c>
      <c r="I226" s="2" t="s">
        <v>3090</v>
      </c>
      <c r="J226" s="2" t="s">
        <v>3090</v>
      </c>
      <c r="K226" s="2" t="s">
        <v>3091</v>
      </c>
      <c r="L226" s="2" t="s">
        <v>3091</v>
      </c>
      <c r="M226" s="2" t="s">
        <v>3090</v>
      </c>
      <c r="N226" s="2" t="s">
        <v>3090</v>
      </c>
      <c r="O226" s="2" t="s">
        <v>3090</v>
      </c>
      <c r="P226" s="2" t="s">
        <v>3091</v>
      </c>
      <c r="Q226" s="2" t="s">
        <v>3090</v>
      </c>
      <c r="R226" s="2" t="s">
        <v>3090</v>
      </c>
      <c r="S226" s="2" t="s">
        <v>3091</v>
      </c>
      <c r="T226" s="2" t="s">
        <v>3091</v>
      </c>
      <c r="U226" s="2" t="s">
        <v>3090</v>
      </c>
      <c r="V226" s="2"/>
      <c r="W226" s="4">
        <f t="shared" si="9"/>
        <v>12</v>
      </c>
      <c r="X226" s="4">
        <f t="shared" si="10"/>
        <v>5</v>
      </c>
      <c r="Y226" s="4">
        <f t="shared" si="11"/>
        <v>17</v>
      </c>
    </row>
    <row r="227" spans="1:25" ht="15.75" customHeight="1">
      <c r="A227" s="2" t="s">
        <v>2364</v>
      </c>
      <c r="B227" s="2" t="s">
        <v>2708</v>
      </c>
      <c r="C227" s="3">
        <v>279</v>
      </c>
      <c r="D227" s="2" t="s">
        <v>85</v>
      </c>
      <c r="E227" s="2" t="s">
        <v>3090</v>
      </c>
      <c r="F227" s="2" t="s">
        <v>3090</v>
      </c>
      <c r="G227" s="2" t="s">
        <v>3090</v>
      </c>
      <c r="H227" s="2" t="s">
        <v>3090</v>
      </c>
      <c r="I227" s="2" t="s">
        <v>3090</v>
      </c>
      <c r="J227" s="2" t="s">
        <v>3090</v>
      </c>
      <c r="K227" s="2" t="s">
        <v>3091</v>
      </c>
      <c r="L227" s="2" t="s">
        <v>3091</v>
      </c>
      <c r="M227" s="2" t="s">
        <v>3090</v>
      </c>
      <c r="N227" s="2" t="s">
        <v>3090</v>
      </c>
      <c r="O227" s="2" t="s">
        <v>3090</v>
      </c>
      <c r="P227" s="2" t="s">
        <v>3091</v>
      </c>
      <c r="Q227" s="2" t="s">
        <v>3090</v>
      </c>
      <c r="R227" s="2" t="s">
        <v>3091</v>
      </c>
      <c r="S227" s="2" t="s">
        <v>3091</v>
      </c>
      <c r="T227" s="2" t="s">
        <v>3091</v>
      </c>
      <c r="U227" s="2" t="s">
        <v>3090</v>
      </c>
      <c r="V227" s="2" t="s">
        <v>3090</v>
      </c>
      <c r="W227" s="4">
        <f t="shared" si="9"/>
        <v>12</v>
      </c>
      <c r="X227" s="4">
        <f t="shared" si="10"/>
        <v>6</v>
      </c>
      <c r="Y227" s="4">
        <f t="shared" si="11"/>
        <v>18</v>
      </c>
    </row>
    <row r="228" spans="1:25" ht="15.75" customHeight="1">
      <c r="A228" s="2" t="s">
        <v>2941</v>
      </c>
      <c r="B228" s="2" t="s">
        <v>2942</v>
      </c>
      <c r="C228" s="3">
        <v>422</v>
      </c>
      <c r="D228" s="2" t="s">
        <v>32</v>
      </c>
      <c r="E228" s="2" t="s">
        <v>3090</v>
      </c>
      <c r="F228" s="2" t="s">
        <v>3090</v>
      </c>
      <c r="G228" s="2" t="s">
        <v>3090</v>
      </c>
      <c r="H228" s="2" t="s">
        <v>3090</v>
      </c>
      <c r="I228" s="2" t="s">
        <v>3090</v>
      </c>
      <c r="J228" s="2" t="s">
        <v>3090</v>
      </c>
      <c r="K228" s="2" t="s">
        <v>3091</v>
      </c>
      <c r="L228" s="2" t="s">
        <v>3091</v>
      </c>
      <c r="M228" s="2" t="s">
        <v>3090</v>
      </c>
      <c r="N228" s="2" t="s">
        <v>3090</v>
      </c>
      <c r="O228" s="2" t="s">
        <v>3090</v>
      </c>
      <c r="P228" s="2" t="s">
        <v>3091</v>
      </c>
      <c r="Q228" s="2" t="s">
        <v>3090</v>
      </c>
      <c r="R228" s="2" t="s">
        <v>3090</v>
      </c>
      <c r="S228" s="2" t="s">
        <v>3091</v>
      </c>
      <c r="T228" s="2" t="s">
        <v>3091</v>
      </c>
      <c r="U228" s="2" t="s">
        <v>3090</v>
      </c>
      <c r="V228" s="2" t="s">
        <v>3090</v>
      </c>
      <c r="W228" s="4">
        <f t="shared" si="9"/>
        <v>13</v>
      </c>
      <c r="X228" s="4">
        <f t="shared" si="10"/>
        <v>5</v>
      </c>
      <c r="Y228" s="4">
        <f t="shared" si="11"/>
        <v>18</v>
      </c>
    </row>
    <row r="229" spans="1:25" ht="15.75" customHeight="1">
      <c r="A229" s="2" t="s">
        <v>2943</v>
      </c>
      <c r="B229" s="2" t="s">
        <v>2790</v>
      </c>
      <c r="C229" s="3">
        <v>391</v>
      </c>
      <c r="D229" s="2" t="s">
        <v>88</v>
      </c>
      <c r="E229" s="2" t="s">
        <v>3090</v>
      </c>
      <c r="F229" s="2" t="s">
        <v>3090</v>
      </c>
      <c r="G229" s="2" t="s">
        <v>3090</v>
      </c>
      <c r="H229" s="2" t="s">
        <v>3090</v>
      </c>
      <c r="I229" s="2" t="s">
        <v>3090</v>
      </c>
      <c r="J229" s="2" t="s">
        <v>3090</v>
      </c>
      <c r="K229" s="2" t="s">
        <v>3091</v>
      </c>
      <c r="L229" s="2" t="s">
        <v>3091</v>
      </c>
      <c r="M229" s="2" t="s">
        <v>3090</v>
      </c>
      <c r="N229" s="2" t="s">
        <v>3090</v>
      </c>
      <c r="O229" s="2" t="s">
        <v>3090</v>
      </c>
      <c r="P229" s="2" t="s">
        <v>3091</v>
      </c>
      <c r="Q229" s="2" t="s">
        <v>3090</v>
      </c>
      <c r="R229" s="2" t="s">
        <v>3090</v>
      </c>
      <c r="S229" s="2" t="s">
        <v>3091</v>
      </c>
      <c r="T229" s="2" t="s">
        <v>3091</v>
      </c>
      <c r="U229" s="2" t="s">
        <v>3090</v>
      </c>
      <c r="V229" s="2" t="s">
        <v>3091</v>
      </c>
      <c r="W229" s="4">
        <f t="shared" si="9"/>
        <v>12</v>
      </c>
      <c r="X229" s="4">
        <f t="shared" si="10"/>
        <v>6</v>
      </c>
      <c r="Y229" s="4">
        <f t="shared" si="11"/>
        <v>18</v>
      </c>
    </row>
    <row r="230" spans="1:25" ht="15.75" customHeight="1">
      <c r="A230" s="2" t="s">
        <v>2944</v>
      </c>
      <c r="B230" s="2" t="s">
        <v>2732</v>
      </c>
      <c r="C230" s="3">
        <v>384</v>
      </c>
      <c r="D230" s="2" t="s">
        <v>640</v>
      </c>
      <c r="E230" s="2" t="s">
        <v>3091</v>
      </c>
      <c r="F230" s="2" t="s">
        <v>3090</v>
      </c>
      <c r="G230" s="2" t="s">
        <v>3091</v>
      </c>
      <c r="H230" s="2" t="s">
        <v>3090</v>
      </c>
      <c r="I230" s="2" t="s">
        <v>3090</v>
      </c>
      <c r="J230" s="2" t="s">
        <v>3090</v>
      </c>
      <c r="K230" s="2" t="s">
        <v>3091</v>
      </c>
      <c r="L230" s="2" t="s">
        <v>3091</v>
      </c>
      <c r="M230" s="2" t="s">
        <v>3090</v>
      </c>
      <c r="N230" s="2" t="s">
        <v>3090</v>
      </c>
      <c r="O230" s="2" t="s">
        <v>3090</v>
      </c>
      <c r="P230" s="2" t="s">
        <v>3091</v>
      </c>
      <c r="Q230" s="2" t="s">
        <v>3090</v>
      </c>
      <c r="R230" s="2" t="s">
        <v>3090</v>
      </c>
      <c r="S230" s="2"/>
      <c r="T230" s="2"/>
      <c r="U230" s="2" t="s">
        <v>3090</v>
      </c>
      <c r="V230" s="2"/>
      <c r="W230" s="4">
        <f t="shared" si="9"/>
        <v>10</v>
      </c>
      <c r="X230" s="4">
        <f t="shared" si="10"/>
        <v>5</v>
      </c>
      <c r="Y230" s="4">
        <f t="shared" si="11"/>
        <v>15</v>
      </c>
    </row>
    <row r="231" spans="1:25" ht="15.75" customHeight="1">
      <c r="A231" s="2" t="s">
        <v>2945</v>
      </c>
      <c r="B231" s="2" t="s">
        <v>2662</v>
      </c>
      <c r="C231" s="3">
        <v>696</v>
      </c>
      <c r="D231" s="2" t="s">
        <v>413</v>
      </c>
      <c r="E231" s="2" t="s">
        <v>3090</v>
      </c>
      <c r="F231" s="2" t="s">
        <v>3090</v>
      </c>
      <c r="G231" s="2" t="s">
        <v>3090</v>
      </c>
      <c r="H231" s="2" t="s">
        <v>3090</v>
      </c>
      <c r="I231" s="2" t="s">
        <v>3090</v>
      </c>
      <c r="J231" s="2" t="s">
        <v>3090</v>
      </c>
      <c r="K231" s="2" t="s">
        <v>3091</v>
      </c>
      <c r="L231" s="2" t="s">
        <v>3091</v>
      </c>
      <c r="M231" s="2" t="s">
        <v>3090</v>
      </c>
      <c r="N231" s="2" t="s">
        <v>3090</v>
      </c>
      <c r="O231" s="2" t="s">
        <v>3090</v>
      </c>
      <c r="P231" s="2" t="s">
        <v>3091</v>
      </c>
      <c r="Q231" s="2" t="s">
        <v>3090</v>
      </c>
      <c r="R231" s="2" t="s">
        <v>3090</v>
      </c>
      <c r="S231" s="2" t="s">
        <v>3091</v>
      </c>
      <c r="T231" s="2" t="s">
        <v>3091</v>
      </c>
      <c r="U231" s="2" t="s">
        <v>3090</v>
      </c>
      <c r="V231" s="2" t="s">
        <v>3090</v>
      </c>
      <c r="W231" s="4">
        <f t="shared" si="9"/>
        <v>13</v>
      </c>
      <c r="X231" s="4">
        <f t="shared" si="10"/>
        <v>5</v>
      </c>
      <c r="Y231" s="4">
        <f t="shared" si="11"/>
        <v>18</v>
      </c>
    </row>
    <row r="232" spans="1:25" ht="15.75" customHeight="1">
      <c r="A232" s="2" t="s">
        <v>2946</v>
      </c>
      <c r="B232" s="2" t="s">
        <v>2659</v>
      </c>
      <c r="C232" s="3">
        <v>354</v>
      </c>
      <c r="D232" s="2" t="s">
        <v>804</v>
      </c>
      <c r="E232" s="2" t="s">
        <v>3090</v>
      </c>
      <c r="F232" s="2" t="s">
        <v>3090</v>
      </c>
      <c r="G232" s="2" t="s">
        <v>3090</v>
      </c>
      <c r="H232" s="2" t="s">
        <v>3090</v>
      </c>
      <c r="I232" s="2" t="s">
        <v>3090</v>
      </c>
      <c r="J232" s="2" t="s">
        <v>3090</v>
      </c>
      <c r="K232" s="2" t="s">
        <v>3091</v>
      </c>
      <c r="L232" s="2" t="s">
        <v>3091</v>
      </c>
      <c r="M232" s="2" t="s">
        <v>3090</v>
      </c>
      <c r="N232" s="2" t="s">
        <v>3090</v>
      </c>
      <c r="O232" s="2" t="s">
        <v>3090</v>
      </c>
      <c r="P232" s="2" t="s">
        <v>3091</v>
      </c>
      <c r="Q232" s="2" t="s">
        <v>3090</v>
      </c>
      <c r="R232" s="2" t="s">
        <v>3090</v>
      </c>
      <c r="S232" s="2" t="s">
        <v>3091</v>
      </c>
      <c r="T232" s="2" t="s">
        <v>3091</v>
      </c>
      <c r="U232" s="2" t="s">
        <v>3090</v>
      </c>
      <c r="V232" s="2" t="s">
        <v>3091</v>
      </c>
      <c r="W232" s="4">
        <f t="shared" si="9"/>
        <v>12</v>
      </c>
      <c r="X232" s="4">
        <f t="shared" si="10"/>
        <v>6</v>
      </c>
      <c r="Y232" s="4">
        <f t="shared" si="11"/>
        <v>18</v>
      </c>
    </row>
    <row r="233" spans="1:25" ht="15.75" customHeight="1">
      <c r="A233" s="2" t="s">
        <v>2947</v>
      </c>
      <c r="B233" s="2" t="s">
        <v>2948</v>
      </c>
      <c r="C233" s="3">
        <v>619</v>
      </c>
      <c r="D233" s="2" t="s">
        <v>91</v>
      </c>
      <c r="E233" s="2" t="s">
        <v>3090</v>
      </c>
      <c r="F233" s="2" t="s">
        <v>3090</v>
      </c>
      <c r="G233" s="2" t="s">
        <v>3090</v>
      </c>
      <c r="H233" s="2" t="s">
        <v>3090</v>
      </c>
      <c r="I233" s="2" t="s">
        <v>3090</v>
      </c>
      <c r="J233" s="2" t="s">
        <v>3091</v>
      </c>
      <c r="K233" s="2" t="s">
        <v>3091</v>
      </c>
      <c r="L233" s="2" t="s">
        <v>3091</v>
      </c>
      <c r="M233" s="2"/>
      <c r="N233" s="2"/>
      <c r="O233" s="2" t="s">
        <v>3090</v>
      </c>
      <c r="P233" s="2"/>
      <c r="Q233" s="2"/>
      <c r="R233" s="2"/>
      <c r="S233" s="2"/>
      <c r="T233" s="2"/>
      <c r="U233" s="2"/>
      <c r="V233" s="2"/>
      <c r="W233" s="4">
        <f t="shared" si="9"/>
        <v>6</v>
      </c>
      <c r="X233" s="4">
        <f t="shared" si="10"/>
        <v>3</v>
      </c>
      <c r="Y233" s="4">
        <f t="shared" si="11"/>
        <v>9</v>
      </c>
    </row>
    <row r="234" spans="1:25" ht="15.75" customHeight="1">
      <c r="A234" s="2" t="s">
        <v>2949</v>
      </c>
      <c r="B234" s="2" t="s">
        <v>2929</v>
      </c>
      <c r="C234" s="3">
        <v>688</v>
      </c>
      <c r="D234" s="2" t="s">
        <v>317</v>
      </c>
      <c r="E234" s="2" t="s">
        <v>3090</v>
      </c>
      <c r="F234" s="2" t="s">
        <v>3090</v>
      </c>
      <c r="G234" s="2" t="s">
        <v>3090</v>
      </c>
      <c r="H234" s="2" t="s">
        <v>3090</v>
      </c>
      <c r="I234" s="2" t="s">
        <v>3090</v>
      </c>
      <c r="J234" s="2" t="s">
        <v>3090</v>
      </c>
      <c r="K234" s="2" t="s">
        <v>3091</v>
      </c>
      <c r="L234" s="2" t="s">
        <v>3091</v>
      </c>
      <c r="M234" s="2" t="s">
        <v>3090</v>
      </c>
      <c r="N234" s="2" t="s">
        <v>3090</v>
      </c>
      <c r="O234" s="2"/>
      <c r="P234" s="2"/>
      <c r="Q234" s="2" t="s">
        <v>3091</v>
      </c>
      <c r="R234" s="2"/>
      <c r="S234" s="2"/>
      <c r="T234" s="2"/>
      <c r="U234" s="2" t="s">
        <v>3090</v>
      </c>
      <c r="V234" s="2"/>
      <c r="W234" s="4">
        <f t="shared" si="9"/>
        <v>9</v>
      </c>
      <c r="X234" s="4">
        <f t="shared" si="10"/>
        <v>3</v>
      </c>
      <c r="Y234" s="4">
        <f t="shared" si="11"/>
        <v>12</v>
      </c>
    </row>
    <row r="235" spans="1:25" ht="15.75" customHeight="1">
      <c r="A235" s="2" t="s">
        <v>2950</v>
      </c>
      <c r="B235" s="2" t="s">
        <v>2951</v>
      </c>
      <c r="C235" s="3">
        <v>667</v>
      </c>
      <c r="D235" s="2" t="s">
        <v>484</v>
      </c>
      <c r="E235" s="2" t="s">
        <v>3090</v>
      </c>
      <c r="F235" s="2" t="s">
        <v>3090</v>
      </c>
      <c r="G235" s="2" t="s">
        <v>3090</v>
      </c>
      <c r="H235" s="2" t="s">
        <v>3090</v>
      </c>
      <c r="I235" s="2" t="s">
        <v>3090</v>
      </c>
      <c r="J235" s="2" t="s">
        <v>3090</v>
      </c>
      <c r="K235" s="2" t="s">
        <v>3091</v>
      </c>
      <c r="L235" s="2" t="s">
        <v>3091</v>
      </c>
      <c r="M235" s="2" t="s">
        <v>3090</v>
      </c>
      <c r="N235" s="2" t="s">
        <v>3090</v>
      </c>
      <c r="O235" s="2" t="s">
        <v>3091</v>
      </c>
      <c r="P235" s="2" t="s">
        <v>3091</v>
      </c>
      <c r="Q235" s="2" t="s">
        <v>3090</v>
      </c>
      <c r="R235" s="2" t="s">
        <v>3090</v>
      </c>
      <c r="S235" s="2" t="s">
        <v>3091</v>
      </c>
      <c r="T235" s="2" t="s">
        <v>3091</v>
      </c>
      <c r="U235" s="2" t="s">
        <v>3090</v>
      </c>
      <c r="V235" s="2" t="s">
        <v>3090</v>
      </c>
      <c r="W235" s="4">
        <f t="shared" si="9"/>
        <v>12</v>
      </c>
      <c r="X235" s="4">
        <f t="shared" si="10"/>
        <v>6</v>
      </c>
      <c r="Y235" s="4">
        <f t="shared" si="11"/>
        <v>18</v>
      </c>
    </row>
    <row r="236" spans="1:25" ht="15.75" customHeight="1">
      <c r="A236" s="2" t="s">
        <v>2952</v>
      </c>
      <c r="B236" s="2" t="s">
        <v>2953</v>
      </c>
      <c r="C236" s="3">
        <v>591</v>
      </c>
      <c r="D236" s="2" t="s">
        <v>767</v>
      </c>
      <c r="E236" s="2" t="s">
        <v>3090</v>
      </c>
      <c r="F236" s="2" t="s">
        <v>3090</v>
      </c>
      <c r="G236" s="2" t="s">
        <v>3090</v>
      </c>
      <c r="H236" s="2" t="s">
        <v>3090</v>
      </c>
      <c r="I236" s="2" t="s">
        <v>3090</v>
      </c>
      <c r="J236" s="2" t="s">
        <v>3090</v>
      </c>
      <c r="K236" s="2" t="s">
        <v>3091</v>
      </c>
      <c r="L236" s="2" t="s">
        <v>3091</v>
      </c>
      <c r="M236" s="2" t="s">
        <v>3090</v>
      </c>
      <c r="N236" s="2" t="s">
        <v>3090</v>
      </c>
      <c r="O236" s="2" t="s">
        <v>3090</v>
      </c>
      <c r="P236" s="2" t="s">
        <v>3091</v>
      </c>
      <c r="Q236" s="2" t="s">
        <v>3090</v>
      </c>
      <c r="R236" s="2" t="s">
        <v>3090</v>
      </c>
      <c r="S236" s="2" t="s">
        <v>3091</v>
      </c>
      <c r="T236" s="2" t="s">
        <v>3091</v>
      </c>
      <c r="U236" s="2" t="s">
        <v>3090</v>
      </c>
      <c r="V236" s="2"/>
      <c r="W236" s="4">
        <f t="shared" si="9"/>
        <v>12</v>
      </c>
      <c r="X236" s="4">
        <f t="shared" si="10"/>
        <v>5</v>
      </c>
      <c r="Y236" s="4">
        <f t="shared" si="11"/>
        <v>17</v>
      </c>
    </row>
    <row r="237" spans="1:25" ht="15.75" customHeight="1">
      <c r="A237" s="2" t="s">
        <v>2954</v>
      </c>
      <c r="B237" s="2" t="s">
        <v>2781</v>
      </c>
      <c r="C237" s="3">
        <v>234</v>
      </c>
      <c r="D237" s="2" t="s">
        <v>642</v>
      </c>
      <c r="E237" s="2" t="s">
        <v>3090</v>
      </c>
      <c r="F237" s="2" t="s">
        <v>3090</v>
      </c>
      <c r="G237" s="2" t="s">
        <v>3090</v>
      </c>
      <c r="H237" s="2" t="s">
        <v>3090</v>
      </c>
      <c r="I237" s="2" t="s">
        <v>3090</v>
      </c>
      <c r="J237" s="2" t="s">
        <v>3090</v>
      </c>
      <c r="K237" s="2"/>
      <c r="L237" s="2"/>
      <c r="M237" s="2" t="s">
        <v>3090</v>
      </c>
      <c r="N237" s="2" t="s">
        <v>3090</v>
      </c>
      <c r="O237" s="2" t="s">
        <v>3090</v>
      </c>
      <c r="P237" s="2"/>
      <c r="Q237" s="2" t="s">
        <v>3090</v>
      </c>
      <c r="R237" s="2" t="s">
        <v>3090</v>
      </c>
      <c r="S237" s="2"/>
      <c r="T237" s="2"/>
      <c r="U237" s="2" t="s">
        <v>3090</v>
      </c>
      <c r="V237" s="2" t="s">
        <v>3090</v>
      </c>
      <c r="W237" s="4">
        <f t="shared" si="9"/>
        <v>13</v>
      </c>
      <c r="X237" s="4">
        <f t="shared" si="10"/>
        <v>0</v>
      </c>
      <c r="Y237" s="4">
        <f t="shared" si="11"/>
        <v>13</v>
      </c>
    </row>
    <row r="238" spans="1:25" ht="15.75" customHeight="1">
      <c r="A238" s="2" t="s">
        <v>2955</v>
      </c>
      <c r="B238" s="2" t="s">
        <v>2813</v>
      </c>
      <c r="C238" s="3">
        <v>819</v>
      </c>
      <c r="D238" s="2" t="s">
        <v>1047</v>
      </c>
      <c r="E238" s="2" t="s">
        <v>3091</v>
      </c>
      <c r="F238" s="2" t="s">
        <v>3091</v>
      </c>
      <c r="G238" s="2" t="s">
        <v>3091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4">
        <f t="shared" si="9"/>
        <v>0</v>
      </c>
      <c r="X238" s="4">
        <f t="shared" si="10"/>
        <v>3</v>
      </c>
      <c r="Y238" s="4">
        <f t="shared" si="11"/>
        <v>3</v>
      </c>
    </row>
    <row r="239" spans="1:25" ht="15.75" customHeight="1">
      <c r="A239" s="2" t="s">
        <v>2956</v>
      </c>
      <c r="B239" s="2" t="s">
        <v>2746</v>
      </c>
      <c r="C239" s="3">
        <v>482</v>
      </c>
      <c r="D239" s="2" t="s">
        <v>320</v>
      </c>
      <c r="E239" s="2" t="s">
        <v>3090</v>
      </c>
      <c r="F239" s="2" t="s">
        <v>3091</v>
      </c>
      <c r="G239" s="2" t="s">
        <v>3091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4">
        <f t="shared" si="9"/>
        <v>1</v>
      </c>
      <c r="X239" s="4">
        <f t="shared" si="10"/>
        <v>2</v>
      </c>
      <c r="Y239" s="4">
        <f t="shared" si="11"/>
        <v>3</v>
      </c>
    </row>
    <row r="240" spans="1:25" ht="15.75" customHeight="1">
      <c r="A240" s="2" t="s">
        <v>2957</v>
      </c>
      <c r="B240" s="2" t="s">
        <v>2693</v>
      </c>
      <c r="C240" s="3">
        <v>722</v>
      </c>
      <c r="D240" s="2" t="s">
        <v>130</v>
      </c>
      <c r="E240" s="2" t="s">
        <v>3090</v>
      </c>
      <c r="F240" s="2" t="s">
        <v>3090</v>
      </c>
      <c r="G240" s="2" t="s">
        <v>3090</v>
      </c>
      <c r="H240" s="2" t="s">
        <v>3090</v>
      </c>
      <c r="I240" s="2" t="s">
        <v>3090</v>
      </c>
      <c r="J240" s="2" t="s">
        <v>3090</v>
      </c>
      <c r="K240" s="2"/>
      <c r="L240" s="2"/>
      <c r="M240" s="2" t="s">
        <v>3090</v>
      </c>
      <c r="N240" s="2" t="s">
        <v>3090</v>
      </c>
      <c r="O240" s="2" t="s">
        <v>3090</v>
      </c>
      <c r="P240" s="2"/>
      <c r="Q240" s="2"/>
      <c r="R240" s="2"/>
      <c r="S240" s="2"/>
      <c r="T240" s="2"/>
      <c r="U240" s="2"/>
      <c r="V240" s="2"/>
      <c r="W240" s="4">
        <f t="shared" si="9"/>
        <v>9</v>
      </c>
      <c r="X240" s="4">
        <f t="shared" si="10"/>
        <v>0</v>
      </c>
      <c r="Y240" s="4">
        <f t="shared" si="11"/>
        <v>9</v>
      </c>
    </row>
    <row r="241" spans="1:25" ht="15.75" customHeight="1">
      <c r="A241" s="2" t="s">
        <v>2958</v>
      </c>
      <c r="B241" s="2" t="s">
        <v>2732</v>
      </c>
      <c r="C241" s="3">
        <v>672</v>
      </c>
      <c r="D241" s="2" t="s">
        <v>696</v>
      </c>
      <c r="E241" s="2" t="s">
        <v>3090</v>
      </c>
      <c r="F241" s="2" t="s">
        <v>3091</v>
      </c>
      <c r="G241" s="2" t="s">
        <v>3091</v>
      </c>
      <c r="H241" s="2" t="s">
        <v>3090</v>
      </c>
      <c r="I241" s="2" t="s">
        <v>3090</v>
      </c>
      <c r="J241" s="2" t="s">
        <v>3090</v>
      </c>
      <c r="K241" s="2" t="s">
        <v>3091</v>
      </c>
      <c r="L241" s="2" t="s">
        <v>3091</v>
      </c>
      <c r="M241" s="2" t="s">
        <v>3090</v>
      </c>
      <c r="N241" s="2" t="s">
        <v>3090</v>
      </c>
      <c r="O241" s="2" t="s">
        <v>3090</v>
      </c>
      <c r="P241" s="2"/>
      <c r="Q241" s="2" t="s">
        <v>3090</v>
      </c>
      <c r="R241" s="2" t="s">
        <v>3090</v>
      </c>
      <c r="S241" s="2"/>
      <c r="T241" s="2"/>
      <c r="U241" s="2"/>
      <c r="V241" s="2"/>
      <c r="W241" s="4">
        <f t="shared" si="9"/>
        <v>9</v>
      </c>
      <c r="X241" s="4">
        <f t="shared" si="10"/>
        <v>4</v>
      </c>
      <c r="Y241" s="4">
        <f t="shared" si="11"/>
        <v>13</v>
      </c>
    </row>
    <row r="242" spans="1:25" ht="15.75" customHeight="1">
      <c r="A242" s="2" t="s">
        <v>2959</v>
      </c>
      <c r="B242" s="2" t="s">
        <v>2960</v>
      </c>
      <c r="C242" s="3">
        <v>651</v>
      </c>
      <c r="D242" s="2" t="s">
        <v>323</v>
      </c>
      <c r="E242" s="2" t="s">
        <v>3091</v>
      </c>
      <c r="F242" s="2" t="s">
        <v>3090</v>
      </c>
      <c r="G242" s="2" t="s">
        <v>3090</v>
      </c>
      <c r="H242" s="2" t="s">
        <v>3091</v>
      </c>
      <c r="I242" s="2" t="s">
        <v>3091</v>
      </c>
      <c r="J242" s="2" t="s">
        <v>3091</v>
      </c>
      <c r="K242" s="2" t="s">
        <v>3091</v>
      </c>
      <c r="L242" s="2" t="s">
        <v>3091</v>
      </c>
      <c r="M242" s="2" t="s">
        <v>3091</v>
      </c>
      <c r="N242" s="2" t="s">
        <v>3091</v>
      </c>
      <c r="O242" s="2" t="s">
        <v>3091</v>
      </c>
      <c r="P242" s="2" t="s">
        <v>3091</v>
      </c>
      <c r="Q242" s="2" t="s">
        <v>3090</v>
      </c>
      <c r="R242" s="2" t="s">
        <v>3091</v>
      </c>
      <c r="S242" s="2" t="s">
        <v>3091</v>
      </c>
      <c r="T242" s="2" t="s">
        <v>3091</v>
      </c>
      <c r="U242" s="2" t="s">
        <v>3091</v>
      </c>
      <c r="V242" s="2" t="s">
        <v>3091</v>
      </c>
      <c r="W242" s="4">
        <f t="shared" si="9"/>
        <v>3</v>
      </c>
      <c r="X242" s="4">
        <f t="shared" si="10"/>
        <v>15</v>
      </c>
      <c r="Y242" s="4">
        <f t="shared" si="11"/>
        <v>18</v>
      </c>
    </row>
    <row r="243" spans="1:25" ht="15.75" customHeight="1">
      <c r="A243" s="2" t="s">
        <v>2961</v>
      </c>
      <c r="B243" s="2" t="s">
        <v>2846</v>
      </c>
      <c r="C243" s="3">
        <v>610</v>
      </c>
      <c r="D243" s="2" t="s">
        <v>698</v>
      </c>
      <c r="E243" s="2" t="s">
        <v>3090</v>
      </c>
      <c r="F243" s="2" t="s">
        <v>3090</v>
      </c>
      <c r="G243" s="2" t="s">
        <v>3090</v>
      </c>
      <c r="H243" s="2" t="s">
        <v>3090</v>
      </c>
      <c r="I243" s="2" t="s">
        <v>3090</v>
      </c>
      <c r="J243" s="2" t="s">
        <v>3090</v>
      </c>
      <c r="K243" s="2" t="s">
        <v>3091</v>
      </c>
      <c r="L243" s="2" t="s">
        <v>3091</v>
      </c>
      <c r="M243" s="2" t="s">
        <v>3090</v>
      </c>
      <c r="N243" s="2" t="s">
        <v>3090</v>
      </c>
      <c r="O243" s="2" t="s">
        <v>3090</v>
      </c>
      <c r="P243" s="2" t="s">
        <v>3091</v>
      </c>
      <c r="Q243" s="2" t="s">
        <v>3090</v>
      </c>
      <c r="R243" s="2" t="s">
        <v>3090</v>
      </c>
      <c r="S243" s="2" t="s">
        <v>3091</v>
      </c>
      <c r="T243" s="2" t="s">
        <v>3091</v>
      </c>
      <c r="U243" s="2" t="s">
        <v>3090</v>
      </c>
      <c r="V243" s="2" t="s">
        <v>3090</v>
      </c>
      <c r="W243" s="4">
        <f t="shared" si="9"/>
        <v>13</v>
      </c>
      <c r="X243" s="4">
        <f t="shared" si="10"/>
        <v>5</v>
      </c>
      <c r="Y243" s="4">
        <f t="shared" si="11"/>
        <v>18</v>
      </c>
    </row>
    <row r="244" spans="1:25" ht="15.75" customHeight="1">
      <c r="A244" s="2" t="s">
        <v>2962</v>
      </c>
      <c r="B244" s="2" t="s">
        <v>2682</v>
      </c>
      <c r="C244" s="3">
        <v>674</v>
      </c>
      <c r="D244" s="2" t="s">
        <v>222</v>
      </c>
      <c r="E244" s="2" t="s">
        <v>3090</v>
      </c>
      <c r="F244" s="2" t="s">
        <v>3090</v>
      </c>
      <c r="G244" s="2" t="s">
        <v>3090</v>
      </c>
      <c r="H244" s="2" t="s">
        <v>3090</v>
      </c>
      <c r="I244" s="2" t="s">
        <v>3090</v>
      </c>
      <c r="J244" s="2" t="s">
        <v>3090</v>
      </c>
      <c r="K244" s="2" t="s">
        <v>3091</v>
      </c>
      <c r="L244" s="2" t="s">
        <v>3091</v>
      </c>
      <c r="M244" s="2" t="s">
        <v>3090</v>
      </c>
      <c r="N244" s="2" t="s">
        <v>3090</v>
      </c>
      <c r="O244" s="2" t="s">
        <v>3091</v>
      </c>
      <c r="P244" s="2" t="s">
        <v>3091</v>
      </c>
      <c r="Q244" s="2" t="s">
        <v>3090</v>
      </c>
      <c r="R244" s="2" t="s">
        <v>3090</v>
      </c>
      <c r="S244" s="2" t="s">
        <v>3091</v>
      </c>
      <c r="T244" s="2"/>
      <c r="U244" s="2" t="s">
        <v>3090</v>
      </c>
      <c r="V244" s="2" t="s">
        <v>3090</v>
      </c>
      <c r="W244" s="4">
        <f t="shared" si="9"/>
        <v>12</v>
      </c>
      <c r="X244" s="4">
        <f t="shared" si="10"/>
        <v>5</v>
      </c>
      <c r="Y244" s="4">
        <f t="shared" si="11"/>
        <v>17</v>
      </c>
    </row>
    <row r="245" spans="1:25" ht="15.75" customHeight="1">
      <c r="A245" s="2" t="s">
        <v>2963</v>
      </c>
      <c r="B245" s="2" t="s">
        <v>2781</v>
      </c>
      <c r="C245" s="3">
        <v>755</v>
      </c>
      <c r="D245" s="2" t="s">
        <v>486</v>
      </c>
      <c r="E245" s="2" t="s">
        <v>3090</v>
      </c>
      <c r="F245" s="2" t="s">
        <v>3090</v>
      </c>
      <c r="G245" s="2" t="s">
        <v>3090</v>
      </c>
      <c r="H245" s="2" t="s">
        <v>3090</v>
      </c>
      <c r="I245" s="2" t="s">
        <v>3090</v>
      </c>
      <c r="J245" s="2" t="s">
        <v>3091</v>
      </c>
      <c r="K245" s="2" t="s">
        <v>3091</v>
      </c>
      <c r="L245" s="2" t="s">
        <v>3091</v>
      </c>
      <c r="M245" s="2" t="s">
        <v>3090</v>
      </c>
      <c r="N245" s="2" t="s">
        <v>3090</v>
      </c>
      <c r="O245" s="2" t="s">
        <v>3090</v>
      </c>
      <c r="P245" s="2" t="s">
        <v>3091</v>
      </c>
      <c r="Q245" s="2" t="s">
        <v>3091</v>
      </c>
      <c r="R245" s="2" t="s">
        <v>3091</v>
      </c>
      <c r="S245" s="2" t="s">
        <v>3091</v>
      </c>
      <c r="T245" s="2" t="s">
        <v>3091</v>
      </c>
      <c r="U245" s="2" t="s">
        <v>3090</v>
      </c>
      <c r="V245" s="2" t="s">
        <v>3090</v>
      </c>
      <c r="W245" s="4">
        <f t="shared" si="9"/>
        <v>10</v>
      </c>
      <c r="X245" s="4">
        <f t="shared" si="10"/>
        <v>8</v>
      </c>
      <c r="Y245" s="4">
        <f t="shared" si="11"/>
        <v>18</v>
      </c>
    </row>
    <row r="246" spans="1:25" ht="15.75" customHeight="1">
      <c r="A246" s="2" t="s">
        <v>2964</v>
      </c>
      <c r="B246" s="2" t="s">
        <v>2761</v>
      </c>
      <c r="C246" s="3">
        <v>644</v>
      </c>
      <c r="D246" s="2" t="s">
        <v>807</v>
      </c>
      <c r="E246" s="2" t="s">
        <v>3090</v>
      </c>
      <c r="F246" s="2" t="s">
        <v>3090</v>
      </c>
      <c r="G246" s="2" t="s">
        <v>3090</v>
      </c>
      <c r="H246" s="2" t="s">
        <v>3090</v>
      </c>
      <c r="I246" s="2" t="s">
        <v>3090</v>
      </c>
      <c r="J246" s="2" t="s">
        <v>3090</v>
      </c>
      <c r="K246" s="2"/>
      <c r="L246" s="2"/>
      <c r="M246" s="2" t="s">
        <v>3090</v>
      </c>
      <c r="N246" s="2" t="s">
        <v>3090</v>
      </c>
      <c r="O246" s="2" t="s">
        <v>3090</v>
      </c>
      <c r="P246" s="2"/>
      <c r="Q246" s="2" t="s">
        <v>3090</v>
      </c>
      <c r="R246" s="2" t="s">
        <v>3090</v>
      </c>
      <c r="S246" s="2"/>
      <c r="T246" s="2" t="s">
        <v>3091</v>
      </c>
      <c r="U246" s="2" t="s">
        <v>3090</v>
      </c>
      <c r="V246" s="2" t="s">
        <v>3090</v>
      </c>
      <c r="W246" s="4">
        <f t="shared" si="9"/>
        <v>13</v>
      </c>
      <c r="X246" s="4">
        <f t="shared" si="10"/>
        <v>1</v>
      </c>
      <c r="Y246" s="4">
        <f t="shared" si="11"/>
        <v>14</v>
      </c>
    </row>
    <row r="247" spans="1:25" ht="15.75" customHeight="1">
      <c r="A247" s="2" t="s">
        <v>2965</v>
      </c>
      <c r="B247" s="2" t="s">
        <v>2662</v>
      </c>
      <c r="C247" s="3">
        <v>600</v>
      </c>
      <c r="D247" s="2" t="s">
        <v>224</v>
      </c>
      <c r="E247" s="2"/>
      <c r="F247" s="2" t="s">
        <v>3090</v>
      </c>
      <c r="G247" s="2" t="s">
        <v>3090</v>
      </c>
      <c r="H247" s="2" t="s">
        <v>3090</v>
      </c>
      <c r="I247" s="2" t="s">
        <v>3090</v>
      </c>
      <c r="J247" s="2" t="s">
        <v>3090</v>
      </c>
      <c r="K247" s="2" t="s">
        <v>3091</v>
      </c>
      <c r="L247" s="2" t="s">
        <v>3091</v>
      </c>
      <c r="M247" s="2" t="s">
        <v>3090</v>
      </c>
      <c r="N247" s="2" t="s">
        <v>3090</v>
      </c>
      <c r="O247" s="2" t="s">
        <v>3090</v>
      </c>
      <c r="P247" s="2" t="s">
        <v>3091</v>
      </c>
      <c r="Q247" s="2" t="s">
        <v>3090</v>
      </c>
      <c r="R247" s="2" t="s">
        <v>3090</v>
      </c>
      <c r="S247" s="2" t="s">
        <v>3091</v>
      </c>
      <c r="T247" s="2" t="s">
        <v>3091</v>
      </c>
      <c r="U247" s="2" t="s">
        <v>3090</v>
      </c>
      <c r="V247" s="2" t="s">
        <v>3090</v>
      </c>
      <c r="W247" s="4">
        <f t="shared" si="9"/>
        <v>12</v>
      </c>
      <c r="X247" s="4">
        <f t="shared" si="10"/>
        <v>5</v>
      </c>
      <c r="Y247" s="4">
        <f t="shared" si="11"/>
        <v>17</v>
      </c>
    </row>
    <row r="248" spans="1:25" ht="15.75" customHeight="1">
      <c r="A248" s="2" t="s">
        <v>2966</v>
      </c>
      <c r="B248" s="2" t="s">
        <v>2746</v>
      </c>
      <c r="C248" s="3">
        <v>749</v>
      </c>
      <c r="D248" s="2" t="s">
        <v>94</v>
      </c>
      <c r="E248" s="2" t="s">
        <v>3090</v>
      </c>
      <c r="F248" s="2" t="s">
        <v>3090</v>
      </c>
      <c r="G248" s="2" t="s">
        <v>3090</v>
      </c>
      <c r="H248" s="2" t="s">
        <v>3090</v>
      </c>
      <c r="I248" s="2" t="s">
        <v>3090</v>
      </c>
      <c r="J248" s="2" t="s">
        <v>3090</v>
      </c>
      <c r="K248" s="2"/>
      <c r="L248" s="2"/>
      <c r="M248" s="2" t="s">
        <v>3090</v>
      </c>
      <c r="N248" s="2" t="s">
        <v>3090</v>
      </c>
      <c r="O248" s="2" t="s">
        <v>3090</v>
      </c>
      <c r="P248" s="2"/>
      <c r="Q248" s="2"/>
      <c r="R248" s="2"/>
      <c r="S248" s="2"/>
      <c r="T248" s="2"/>
      <c r="U248" s="2" t="s">
        <v>3090</v>
      </c>
      <c r="V248" s="2" t="s">
        <v>3090</v>
      </c>
      <c r="W248" s="4">
        <f t="shared" si="9"/>
        <v>11</v>
      </c>
      <c r="X248" s="4">
        <f t="shared" si="10"/>
        <v>0</v>
      </c>
      <c r="Y248" s="4">
        <f t="shared" si="11"/>
        <v>11</v>
      </c>
    </row>
    <row r="249" spans="1:25" ht="15.75" customHeight="1">
      <c r="A249" s="2" t="s">
        <v>2967</v>
      </c>
      <c r="B249" s="2" t="s">
        <v>2682</v>
      </c>
      <c r="C249" s="3">
        <v>404</v>
      </c>
      <c r="D249" s="2" t="s">
        <v>809</v>
      </c>
      <c r="E249" s="2" t="s">
        <v>3090</v>
      </c>
      <c r="F249" s="2" t="s">
        <v>3090</v>
      </c>
      <c r="G249" s="2"/>
      <c r="H249" s="2" t="s">
        <v>3090</v>
      </c>
      <c r="I249" s="2"/>
      <c r="J249" s="2" t="s">
        <v>3090</v>
      </c>
      <c r="K249" s="2" t="s">
        <v>3091</v>
      </c>
      <c r="L249" s="2" t="s">
        <v>3091</v>
      </c>
      <c r="M249" s="2" t="s">
        <v>3091</v>
      </c>
      <c r="N249" s="2" t="s">
        <v>3090</v>
      </c>
      <c r="O249" s="2" t="s">
        <v>3091</v>
      </c>
      <c r="P249" s="2"/>
      <c r="Q249" s="2"/>
      <c r="R249" s="2" t="s">
        <v>3090</v>
      </c>
      <c r="S249" s="2"/>
      <c r="T249" s="2"/>
      <c r="U249" s="2" t="s">
        <v>3090</v>
      </c>
      <c r="V249" s="2"/>
      <c r="W249" s="4">
        <f t="shared" si="9"/>
        <v>7</v>
      </c>
      <c r="X249" s="4">
        <f t="shared" si="10"/>
        <v>4</v>
      </c>
      <c r="Y249" s="4">
        <f t="shared" si="11"/>
        <v>11</v>
      </c>
    </row>
    <row r="250" spans="1:25" ht="15.75" customHeight="1">
      <c r="A250" s="2" t="s">
        <v>2968</v>
      </c>
      <c r="B250" s="2" t="s">
        <v>2969</v>
      </c>
      <c r="C250" s="3">
        <v>706</v>
      </c>
      <c r="D250" s="2" t="s">
        <v>568</v>
      </c>
      <c r="E250" s="2" t="s">
        <v>3090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4">
        <f t="shared" si="9"/>
        <v>1</v>
      </c>
      <c r="X250" s="4">
        <f t="shared" si="10"/>
        <v>0</v>
      </c>
      <c r="Y250" s="4">
        <f t="shared" si="11"/>
        <v>1</v>
      </c>
    </row>
    <row r="251" spans="1:25" ht="15.75" customHeight="1">
      <c r="A251" s="2" t="s">
        <v>2970</v>
      </c>
      <c r="B251" s="2" t="s">
        <v>2671</v>
      </c>
      <c r="C251" s="3">
        <v>813</v>
      </c>
      <c r="D251" s="2" t="s">
        <v>38</v>
      </c>
      <c r="E251" s="2" t="s">
        <v>3091</v>
      </c>
      <c r="F251" s="2" t="s">
        <v>3091</v>
      </c>
      <c r="G251" s="2" t="s">
        <v>3091</v>
      </c>
      <c r="H251" s="2" t="s">
        <v>3091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4">
        <f t="shared" si="9"/>
        <v>0</v>
      </c>
      <c r="X251" s="4">
        <f t="shared" si="10"/>
        <v>4</v>
      </c>
      <c r="Y251" s="4">
        <f t="shared" si="11"/>
        <v>4</v>
      </c>
    </row>
    <row r="252" spans="1:25" ht="15.75" customHeight="1">
      <c r="A252" s="2" t="s">
        <v>2971</v>
      </c>
      <c r="B252" s="2" t="s">
        <v>2828</v>
      </c>
      <c r="C252" s="3">
        <v>716</v>
      </c>
      <c r="D252" s="2" t="s">
        <v>644</v>
      </c>
      <c r="E252" s="2" t="s">
        <v>3090</v>
      </c>
      <c r="F252" s="2" t="s">
        <v>3090</v>
      </c>
      <c r="G252" s="2" t="s">
        <v>3090</v>
      </c>
      <c r="H252" s="2" t="s">
        <v>3090</v>
      </c>
      <c r="I252" s="2" t="s">
        <v>3091</v>
      </c>
      <c r="J252" s="2" t="s">
        <v>3090</v>
      </c>
      <c r="K252" s="2" t="s">
        <v>3091</v>
      </c>
      <c r="L252" s="2" t="s">
        <v>3091</v>
      </c>
      <c r="M252" s="2" t="s">
        <v>3091</v>
      </c>
      <c r="N252" s="2" t="s">
        <v>3091</v>
      </c>
      <c r="O252" s="2" t="s">
        <v>3091</v>
      </c>
      <c r="P252" s="2"/>
      <c r="Q252" s="2"/>
      <c r="R252" s="2"/>
      <c r="S252" s="2"/>
      <c r="T252" s="2"/>
      <c r="U252" s="2"/>
      <c r="V252" s="2"/>
      <c r="W252" s="4">
        <f t="shared" si="9"/>
        <v>5</v>
      </c>
      <c r="X252" s="4">
        <f t="shared" si="10"/>
        <v>6</v>
      </c>
      <c r="Y252" s="4">
        <f t="shared" si="11"/>
        <v>11</v>
      </c>
    </row>
    <row r="253" spans="1:25" ht="15.75" customHeight="1">
      <c r="A253" s="2" t="s">
        <v>2701</v>
      </c>
      <c r="B253" s="2" t="s">
        <v>2972</v>
      </c>
      <c r="C253" s="3">
        <v>676</v>
      </c>
      <c r="D253" s="2" t="s">
        <v>308</v>
      </c>
      <c r="E253" s="2" t="s">
        <v>3090</v>
      </c>
      <c r="F253" s="2" t="s">
        <v>3090</v>
      </c>
      <c r="G253" s="2" t="s">
        <v>3090</v>
      </c>
      <c r="H253" s="2" t="s">
        <v>3090</v>
      </c>
      <c r="I253" s="2" t="s">
        <v>3090</v>
      </c>
      <c r="J253" s="2" t="s">
        <v>3090</v>
      </c>
      <c r="K253" s="2" t="s">
        <v>3091</v>
      </c>
      <c r="L253" s="2" t="s">
        <v>3091</v>
      </c>
      <c r="M253" s="2" t="s">
        <v>3090</v>
      </c>
      <c r="N253" s="2" t="s">
        <v>3090</v>
      </c>
      <c r="O253" s="2" t="s">
        <v>3091</v>
      </c>
      <c r="P253" s="2" t="s">
        <v>3091</v>
      </c>
      <c r="Q253" s="2" t="s">
        <v>3091</v>
      </c>
      <c r="R253" s="2" t="s">
        <v>3091</v>
      </c>
      <c r="S253" s="2" t="s">
        <v>3091</v>
      </c>
      <c r="T253" s="2"/>
      <c r="U253" s="2"/>
      <c r="V253" s="2"/>
      <c r="W253" s="4">
        <f t="shared" si="9"/>
        <v>8</v>
      </c>
      <c r="X253" s="4">
        <f t="shared" si="10"/>
        <v>7</v>
      </c>
      <c r="Y253" s="4">
        <f t="shared" si="11"/>
        <v>15</v>
      </c>
    </row>
    <row r="254" spans="1:25" ht="15.75" customHeight="1">
      <c r="A254" s="2" t="s">
        <v>2973</v>
      </c>
      <c r="B254" s="2" t="s">
        <v>2974</v>
      </c>
      <c r="C254" s="3">
        <v>744</v>
      </c>
      <c r="D254" s="2" t="s">
        <v>226</v>
      </c>
      <c r="E254" s="2" t="s">
        <v>3091</v>
      </c>
      <c r="F254" s="2" t="s">
        <v>3091</v>
      </c>
      <c r="G254" s="2" t="s">
        <v>3091</v>
      </c>
      <c r="H254" s="2" t="s">
        <v>3091</v>
      </c>
      <c r="I254" s="2"/>
      <c r="J254" s="2" t="s">
        <v>3091</v>
      </c>
      <c r="K254" s="2" t="s">
        <v>3091</v>
      </c>
      <c r="L254" s="2" t="s">
        <v>3091</v>
      </c>
      <c r="M254" s="2" t="s">
        <v>3091</v>
      </c>
      <c r="N254" s="2" t="s">
        <v>3090</v>
      </c>
      <c r="O254" s="2"/>
      <c r="P254" s="2"/>
      <c r="Q254" s="2"/>
      <c r="R254" s="2"/>
      <c r="S254" s="2"/>
      <c r="T254" s="2"/>
      <c r="U254" s="2"/>
      <c r="V254" s="2"/>
      <c r="W254" s="4">
        <f t="shared" si="9"/>
        <v>1</v>
      </c>
      <c r="X254" s="4">
        <f t="shared" si="10"/>
        <v>8</v>
      </c>
      <c r="Y254" s="4">
        <f t="shared" si="11"/>
        <v>9</v>
      </c>
    </row>
    <row r="255" spans="1:25" ht="15.75" customHeight="1">
      <c r="A255" s="2" t="s">
        <v>2975</v>
      </c>
      <c r="B255" s="2" t="s">
        <v>2668</v>
      </c>
      <c r="C255" s="3">
        <v>592</v>
      </c>
      <c r="D255" s="2" t="s">
        <v>415</v>
      </c>
      <c r="E255" s="2" t="s">
        <v>3090</v>
      </c>
      <c r="F255" s="2" t="s">
        <v>3090</v>
      </c>
      <c r="G255" s="2" t="s">
        <v>3090</v>
      </c>
      <c r="H255" s="2" t="s">
        <v>3090</v>
      </c>
      <c r="I255" s="2" t="s">
        <v>3090</v>
      </c>
      <c r="J255" s="2" t="s">
        <v>3090</v>
      </c>
      <c r="K255" s="2" t="s">
        <v>3091</v>
      </c>
      <c r="L255" s="2" t="s">
        <v>3091</v>
      </c>
      <c r="M255" s="2" t="s">
        <v>3090</v>
      </c>
      <c r="N255" s="2" t="s">
        <v>3090</v>
      </c>
      <c r="O255" s="2" t="s">
        <v>3090</v>
      </c>
      <c r="P255" s="2" t="s">
        <v>3091</v>
      </c>
      <c r="Q255" s="2" t="s">
        <v>3090</v>
      </c>
      <c r="R255" s="2" t="s">
        <v>3090</v>
      </c>
      <c r="S255" s="2" t="s">
        <v>3091</v>
      </c>
      <c r="T255" s="2" t="s">
        <v>3091</v>
      </c>
      <c r="U255" s="2" t="s">
        <v>3090</v>
      </c>
      <c r="V255" s="2" t="s">
        <v>3090</v>
      </c>
      <c r="W255" s="4">
        <f t="shared" si="9"/>
        <v>13</v>
      </c>
      <c r="X255" s="4">
        <f t="shared" si="10"/>
        <v>5</v>
      </c>
      <c r="Y255" s="4">
        <f t="shared" si="11"/>
        <v>18</v>
      </c>
    </row>
    <row r="256" spans="1:25" ht="15.75" customHeight="1">
      <c r="A256" s="2" t="s">
        <v>2976</v>
      </c>
      <c r="B256" s="2" t="s">
        <v>2701</v>
      </c>
      <c r="C256" s="3">
        <v>283</v>
      </c>
      <c r="D256" s="2" t="s">
        <v>40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4">
        <f t="shared" si="9"/>
        <v>0</v>
      </c>
      <c r="X256" s="4">
        <f t="shared" si="10"/>
        <v>0</v>
      </c>
      <c r="Y256" s="4">
        <f t="shared" si="11"/>
        <v>0</v>
      </c>
    </row>
    <row r="257" spans="1:25" ht="15.75" customHeight="1">
      <c r="A257" s="2" t="s">
        <v>2977</v>
      </c>
      <c r="B257" s="2" t="s">
        <v>2811</v>
      </c>
      <c r="C257" s="3">
        <v>677</v>
      </c>
      <c r="D257" s="2" t="s">
        <v>228</v>
      </c>
      <c r="E257" s="2" t="s">
        <v>3090</v>
      </c>
      <c r="F257" s="2" t="s">
        <v>3091</v>
      </c>
      <c r="G257" s="2" t="s">
        <v>3090</v>
      </c>
      <c r="H257" s="2" t="s">
        <v>3090</v>
      </c>
      <c r="I257" s="2" t="s">
        <v>3090</v>
      </c>
      <c r="J257" s="2" t="s">
        <v>3090</v>
      </c>
      <c r="K257" s="2" t="s">
        <v>3091</v>
      </c>
      <c r="L257" s="2" t="s">
        <v>3091</v>
      </c>
      <c r="M257" s="2" t="s">
        <v>3090</v>
      </c>
      <c r="N257" s="2" t="s">
        <v>3090</v>
      </c>
      <c r="O257" s="2" t="s">
        <v>3091</v>
      </c>
      <c r="P257" s="2"/>
      <c r="Q257" s="2"/>
      <c r="R257" s="2" t="s">
        <v>3090</v>
      </c>
      <c r="S257" s="2" t="s">
        <v>3091</v>
      </c>
      <c r="T257" s="2" t="s">
        <v>3091</v>
      </c>
      <c r="U257" s="2"/>
      <c r="V257" s="2" t="s">
        <v>3090</v>
      </c>
      <c r="W257" s="4">
        <f t="shared" si="9"/>
        <v>9</v>
      </c>
      <c r="X257" s="4">
        <f t="shared" si="10"/>
        <v>6</v>
      </c>
      <c r="Y257" s="4">
        <f t="shared" si="11"/>
        <v>15</v>
      </c>
    </row>
    <row r="258" spans="1:25" ht="15.75" customHeight="1">
      <c r="A258" s="2" t="s">
        <v>2978</v>
      </c>
      <c r="B258" s="2" t="s">
        <v>2701</v>
      </c>
      <c r="C258" s="3">
        <v>393</v>
      </c>
      <c r="D258" s="2" t="s">
        <v>417</v>
      </c>
      <c r="E258" s="2"/>
      <c r="F258" s="2" t="s">
        <v>3091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4">
        <f t="shared" ref="W258:W321" si="12">COUNTIF(E258:V258,"L (1/1)")</f>
        <v>0</v>
      </c>
      <c r="X258" s="4">
        <f t="shared" ref="X258:X321" si="13">COUNTIF(E258:V258,"R (1/1)")</f>
        <v>1</v>
      </c>
      <c r="Y258" s="4">
        <f t="shared" ref="Y258:Y321" si="14">W258+X258</f>
        <v>1</v>
      </c>
    </row>
    <row r="259" spans="1:25" ht="15.75" customHeight="1">
      <c r="A259" s="2" t="s">
        <v>2979</v>
      </c>
      <c r="B259" s="2" t="s">
        <v>2732</v>
      </c>
      <c r="C259" s="3">
        <v>427</v>
      </c>
      <c r="D259" s="2" t="s">
        <v>489</v>
      </c>
      <c r="E259" s="2" t="s">
        <v>3090</v>
      </c>
      <c r="F259" s="2" t="s">
        <v>3090</v>
      </c>
      <c r="G259" s="2" t="s">
        <v>3090</v>
      </c>
      <c r="H259" s="2" t="s">
        <v>3090</v>
      </c>
      <c r="I259" s="2" t="s">
        <v>3090</v>
      </c>
      <c r="J259" s="2" t="s">
        <v>3090</v>
      </c>
      <c r="K259" s="2"/>
      <c r="L259" s="2"/>
      <c r="M259" s="2" t="s">
        <v>3090</v>
      </c>
      <c r="N259" s="2" t="s">
        <v>3090</v>
      </c>
      <c r="O259" s="2" t="s">
        <v>3090</v>
      </c>
      <c r="P259" s="2"/>
      <c r="Q259" s="2" t="s">
        <v>3090</v>
      </c>
      <c r="R259" s="2" t="s">
        <v>3090</v>
      </c>
      <c r="S259" s="2"/>
      <c r="T259" s="2"/>
      <c r="U259" s="2" t="s">
        <v>3090</v>
      </c>
      <c r="V259" s="2"/>
      <c r="W259" s="4">
        <f t="shared" si="12"/>
        <v>12</v>
      </c>
      <c r="X259" s="4">
        <f t="shared" si="13"/>
        <v>0</v>
      </c>
      <c r="Y259" s="4">
        <f t="shared" si="14"/>
        <v>12</v>
      </c>
    </row>
    <row r="260" spans="1:25" ht="15.75" customHeight="1">
      <c r="A260" s="2" t="s">
        <v>2980</v>
      </c>
      <c r="B260" s="2" t="s">
        <v>2811</v>
      </c>
      <c r="C260" s="3">
        <v>763</v>
      </c>
      <c r="D260" s="2" t="s">
        <v>170</v>
      </c>
      <c r="E260" s="2" t="s">
        <v>3090</v>
      </c>
      <c r="F260" s="2" t="s">
        <v>3090</v>
      </c>
      <c r="G260" s="2" t="s">
        <v>3090</v>
      </c>
      <c r="H260" s="2" t="s">
        <v>3090</v>
      </c>
      <c r="I260" s="2" t="s">
        <v>3090</v>
      </c>
      <c r="J260" s="2" t="s">
        <v>3090</v>
      </c>
      <c r="K260" s="2" t="s">
        <v>3091</v>
      </c>
      <c r="L260" s="2" t="s">
        <v>3091</v>
      </c>
      <c r="M260" s="2" t="s">
        <v>3090</v>
      </c>
      <c r="N260" s="2" t="s">
        <v>3090</v>
      </c>
      <c r="O260" s="2" t="s">
        <v>3090</v>
      </c>
      <c r="P260" s="2" t="s">
        <v>3091</v>
      </c>
      <c r="Q260" s="2" t="s">
        <v>3090</v>
      </c>
      <c r="R260" s="2" t="s">
        <v>3090</v>
      </c>
      <c r="S260" s="2" t="s">
        <v>3091</v>
      </c>
      <c r="T260" s="2" t="s">
        <v>3091</v>
      </c>
      <c r="U260" s="2" t="s">
        <v>3090</v>
      </c>
      <c r="V260" s="2" t="s">
        <v>3090</v>
      </c>
      <c r="W260" s="4">
        <f t="shared" si="12"/>
        <v>13</v>
      </c>
      <c r="X260" s="4">
        <f t="shared" si="13"/>
        <v>5</v>
      </c>
      <c r="Y260" s="4">
        <f t="shared" si="14"/>
        <v>18</v>
      </c>
    </row>
    <row r="261" spans="1:25" ht="15.75" customHeight="1">
      <c r="A261" s="2" t="s">
        <v>2981</v>
      </c>
      <c r="B261" s="2" t="s">
        <v>2732</v>
      </c>
      <c r="C261" s="3">
        <v>682</v>
      </c>
      <c r="D261" s="2" t="s">
        <v>133</v>
      </c>
      <c r="E261" s="2" t="s">
        <v>3090</v>
      </c>
      <c r="F261" s="2" t="s">
        <v>3090</v>
      </c>
      <c r="G261" s="2" t="s">
        <v>3090</v>
      </c>
      <c r="H261" s="2" t="s">
        <v>3090</v>
      </c>
      <c r="I261" s="2" t="s">
        <v>3090</v>
      </c>
      <c r="J261" s="2" t="s">
        <v>3090</v>
      </c>
      <c r="K261" s="2" t="s">
        <v>3091</v>
      </c>
      <c r="L261" s="2"/>
      <c r="M261" s="2" t="s">
        <v>3090</v>
      </c>
      <c r="N261" s="2" t="s">
        <v>3091</v>
      </c>
      <c r="O261" s="2" t="s">
        <v>3090</v>
      </c>
      <c r="P261" s="2"/>
      <c r="Q261" s="2" t="s">
        <v>3090</v>
      </c>
      <c r="R261" s="2" t="s">
        <v>3090</v>
      </c>
      <c r="S261" s="2"/>
      <c r="T261" s="2"/>
      <c r="U261" s="2" t="s">
        <v>3091</v>
      </c>
      <c r="V261" s="2"/>
      <c r="W261" s="4">
        <f t="shared" si="12"/>
        <v>10</v>
      </c>
      <c r="X261" s="4">
        <f t="shared" si="13"/>
        <v>3</v>
      </c>
      <c r="Y261" s="4">
        <f t="shared" si="14"/>
        <v>13</v>
      </c>
    </row>
    <row r="262" spans="1:25" ht="15.75" customHeight="1">
      <c r="A262" s="2" t="s">
        <v>2982</v>
      </c>
      <c r="B262" s="2" t="s">
        <v>2678</v>
      </c>
      <c r="C262" s="3">
        <v>687</v>
      </c>
      <c r="D262" s="2" t="s">
        <v>173</v>
      </c>
      <c r="E262" s="2" t="s">
        <v>3090</v>
      </c>
      <c r="F262" s="2" t="s">
        <v>3090</v>
      </c>
      <c r="G262" s="2" t="s">
        <v>3090</v>
      </c>
      <c r="H262" s="2" t="s">
        <v>3090</v>
      </c>
      <c r="I262" s="2" t="s">
        <v>3090</v>
      </c>
      <c r="J262" s="2" t="s">
        <v>3090</v>
      </c>
      <c r="K262" s="2"/>
      <c r="L262" s="2" t="s">
        <v>3091</v>
      </c>
      <c r="M262" s="2" t="s">
        <v>3090</v>
      </c>
      <c r="N262" s="2" t="s">
        <v>3090</v>
      </c>
      <c r="O262" s="2" t="s">
        <v>3090</v>
      </c>
      <c r="P262" s="2" t="s">
        <v>3091</v>
      </c>
      <c r="Q262" s="2" t="s">
        <v>3090</v>
      </c>
      <c r="R262" s="2" t="s">
        <v>3090</v>
      </c>
      <c r="S262" s="2"/>
      <c r="T262" s="2"/>
      <c r="U262" s="2" t="s">
        <v>3090</v>
      </c>
      <c r="V262" s="2" t="s">
        <v>3090</v>
      </c>
      <c r="W262" s="4">
        <f t="shared" si="12"/>
        <v>13</v>
      </c>
      <c r="X262" s="4">
        <f t="shared" si="13"/>
        <v>2</v>
      </c>
      <c r="Y262" s="4">
        <f t="shared" si="14"/>
        <v>15</v>
      </c>
    </row>
    <row r="263" spans="1:25" ht="15.75" customHeight="1">
      <c r="A263" s="2" t="s">
        <v>2983</v>
      </c>
      <c r="B263" s="2" t="s">
        <v>2682</v>
      </c>
      <c r="C263" s="3">
        <v>811</v>
      </c>
      <c r="D263" s="2" t="s">
        <v>491</v>
      </c>
      <c r="E263" s="2" t="s">
        <v>3091</v>
      </c>
      <c r="F263" s="2" t="s">
        <v>3091</v>
      </c>
      <c r="G263" s="2" t="s">
        <v>3091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4">
        <f t="shared" si="12"/>
        <v>0</v>
      </c>
      <c r="X263" s="4">
        <f t="shared" si="13"/>
        <v>3</v>
      </c>
      <c r="Y263" s="4">
        <f t="shared" si="14"/>
        <v>3</v>
      </c>
    </row>
    <row r="264" spans="1:25" ht="15.75" customHeight="1">
      <c r="A264" s="2" t="s">
        <v>2984</v>
      </c>
      <c r="B264" s="2" t="s">
        <v>2657</v>
      </c>
      <c r="C264" s="3">
        <v>626</v>
      </c>
      <c r="D264" s="2" t="s">
        <v>647</v>
      </c>
      <c r="E264" s="2" t="s">
        <v>3090</v>
      </c>
      <c r="F264" s="2" t="s">
        <v>3090</v>
      </c>
      <c r="G264" s="2" t="s">
        <v>3090</v>
      </c>
      <c r="H264" s="2" t="s">
        <v>3090</v>
      </c>
      <c r="I264" s="2" t="s">
        <v>3090</v>
      </c>
      <c r="J264" s="2" t="s">
        <v>3090</v>
      </c>
      <c r="K264" s="2" t="s">
        <v>3091</v>
      </c>
      <c r="L264" s="2" t="s">
        <v>3091</v>
      </c>
      <c r="M264" s="2" t="s">
        <v>3090</v>
      </c>
      <c r="N264" s="2" t="s">
        <v>3090</v>
      </c>
      <c r="O264" s="2" t="s">
        <v>3090</v>
      </c>
      <c r="P264" s="2" t="s">
        <v>3091</v>
      </c>
      <c r="Q264" s="2" t="s">
        <v>3090</v>
      </c>
      <c r="R264" s="2" t="s">
        <v>3090</v>
      </c>
      <c r="S264" s="2" t="s">
        <v>3091</v>
      </c>
      <c r="T264" s="2" t="s">
        <v>3091</v>
      </c>
      <c r="U264" s="2" t="s">
        <v>3090</v>
      </c>
      <c r="V264" s="2" t="s">
        <v>3091</v>
      </c>
      <c r="W264" s="4">
        <f t="shared" si="12"/>
        <v>12</v>
      </c>
      <c r="X264" s="4">
        <f t="shared" si="13"/>
        <v>6</v>
      </c>
      <c r="Y264" s="4">
        <f t="shared" si="14"/>
        <v>18</v>
      </c>
    </row>
    <row r="265" spans="1:25" ht="15.75" customHeight="1">
      <c r="A265" s="2" t="s">
        <v>2984</v>
      </c>
      <c r="B265" s="2" t="s">
        <v>2699</v>
      </c>
      <c r="C265" s="3">
        <v>356</v>
      </c>
      <c r="D265" s="2" t="s">
        <v>603</v>
      </c>
      <c r="E265" s="2" t="s">
        <v>3090</v>
      </c>
      <c r="F265" s="2" t="s">
        <v>3090</v>
      </c>
      <c r="G265" s="2" t="s">
        <v>3090</v>
      </c>
      <c r="H265" s="2" t="s">
        <v>3090</v>
      </c>
      <c r="I265" s="2" t="s">
        <v>3090</v>
      </c>
      <c r="J265" s="2" t="s">
        <v>3090</v>
      </c>
      <c r="K265" s="2"/>
      <c r="L265" s="2"/>
      <c r="M265" s="2" t="s">
        <v>3090</v>
      </c>
      <c r="N265" s="2" t="s">
        <v>3090</v>
      </c>
      <c r="O265" s="2" t="s">
        <v>3090</v>
      </c>
      <c r="P265" s="2"/>
      <c r="Q265" s="2" t="s">
        <v>3090</v>
      </c>
      <c r="R265" s="2" t="s">
        <v>3090</v>
      </c>
      <c r="S265" s="2"/>
      <c r="T265" s="2"/>
      <c r="U265" s="2" t="s">
        <v>3090</v>
      </c>
      <c r="V265" s="2" t="s">
        <v>3090</v>
      </c>
      <c r="W265" s="4">
        <f t="shared" si="12"/>
        <v>13</v>
      </c>
      <c r="X265" s="4">
        <f t="shared" si="13"/>
        <v>0</v>
      </c>
      <c r="Y265" s="4">
        <f t="shared" si="14"/>
        <v>13</v>
      </c>
    </row>
    <row r="266" spans="1:25" ht="15.75" customHeight="1">
      <c r="A266" s="2" t="s">
        <v>2985</v>
      </c>
      <c r="B266" s="2" t="s">
        <v>2986</v>
      </c>
      <c r="C266" s="3">
        <v>432</v>
      </c>
      <c r="D266" s="2" t="s">
        <v>326</v>
      </c>
      <c r="E266" s="2" t="s">
        <v>3090</v>
      </c>
      <c r="F266" s="2" t="s">
        <v>3091</v>
      </c>
      <c r="G266" s="2" t="s">
        <v>3091</v>
      </c>
      <c r="H266" s="2" t="s">
        <v>3091</v>
      </c>
      <c r="I266" s="2" t="s">
        <v>3091</v>
      </c>
      <c r="J266" s="2" t="s">
        <v>3091</v>
      </c>
      <c r="K266" s="2" t="s">
        <v>3091</v>
      </c>
      <c r="L266" s="2" t="s">
        <v>3091</v>
      </c>
      <c r="M266" s="2" t="s">
        <v>3091</v>
      </c>
      <c r="N266" s="2" t="s">
        <v>3091</v>
      </c>
      <c r="O266" s="2" t="s">
        <v>3090</v>
      </c>
      <c r="P266" s="2"/>
      <c r="Q266" s="2"/>
      <c r="R266" s="2"/>
      <c r="S266" s="2"/>
      <c r="T266" s="2"/>
      <c r="U266" s="2"/>
      <c r="V266" s="2"/>
      <c r="W266" s="4">
        <f t="shared" si="12"/>
        <v>2</v>
      </c>
      <c r="X266" s="4">
        <f t="shared" si="13"/>
        <v>9</v>
      </c>
      <c r="Y266" s="4">
        <f t="shared" si="14"/>
        <v>11</v>
      </c>
    </row>
    <row r="267" spans="1:25" ht="15.75" customHeight="1">
      <c r="A267" s="2" t="s">
        <v>2987</v>
      </c>
      <c r="B267" s="2" t="s">
        <v>2671</v>
      </c>
      <c r="C267" s="3">
        <v>773</v>
      </c>
      <c r="D267" s="2" t="s">
        <v>43</v>
      </c>
      <c r="E267" s="2" t="s">
        <v>3090</v>
      </c>
      <c r="F267" s="2"/>
      <c r="G267" s="2" t="s">
        <v>3090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4">
        <f t="shared" si="12"/>
        <v>2</v>
      </c>
      <c r="X267" s="4">
        <f t="shared" si="13"/>
        <v>0</v>
      </c>
      <c r="Y267" s="4">
        <f t="shared" si="14"/>
        <v>2</v>
      </c>
    </row>
    <row r="268" spans="1:25" ht="15.75" customHeight="1">
      <c r="A268" s="2" t="s">
        <v>2988</v>
      </c>
      <c r="B268" s="2" t="s">
        <v>2726</v>
      </c>
      <c r="C268" s="3">
        <v>699</v>
      </c>
      <c r="D268" s="2" t="s">
        <v>136</v>
      </c>
      <c r="E268" s="2" t="s">
        <v>3090</v>
      </c>
      <c r="F268" s="2" t="s">
        <v>3091</v>
      </c>
      <c r="G268" s="2" t="s">
        <v>3091</v>
      </c>
      <c r="H268" s="2" t="s">
        <v>3090</v>
      </c>
      <c r="I268" s="2" t="s">
        <v>3090</v>
      </c>
      <c r="J268" s="2" t="s">
        <v>3090</v>
      </c>
      <c r="K268" s="2" t="s">
        <v>3091</v>
      </c>
      <c r="L268" s="2" t="s">
        <v>3091</v>
      </c>
      <c r="M268" s="2" t="s">
        <v>3091</v>
      </c>
      <c r="N268" s="2" t="s">
        <v>3090</v>
      </c>
      <c r="O268" s="2" t="s">
        <v>3090</v>
      </c>
      <c r="P268" s="2" t="s">
        <v>3091</v>
      </c>
      <c r="Q268" s="2" t="s">
        <v>3091</v>
      </c>
      <c r="R268" s="2" t="s">
        <v>3091</v>
      </c>
      <c r="S268" s="2"/>
      <c r="T268" s="2"/>
      <c r="U268" s="2"/>
      <c r="V268" s="2" t="s">
        <v>3090</v>
      </c>
      <c r="W268" s="4">
        <f t="shared" si="12"/>
        <v>7</v>
      </c>
      <c r="X268" s="4">
        <f t="shared" si="13"/>
        <v>8</v>
      </c>
      <c r="Y268" s="4">
        <f t="shared" si="14"/>
        <v>15</v>
      </c>
    </row>
    <row r="269" spans="1:25" ht="15.75" customHeight="1">
      <c r="A269" s="2" t="s">
        <v>2989</v>
      </c>
      <c r="B269" s="2" t="s">
        <v>2726</v>
      </c>
      <c r="C269" s="3">
        <v>783</v>
      </c>
      <c r="D269" s="2" t="s">
        <v>329</v>
      </c>
      <c r="E269" s="2" t="s">
        <v>3091</v>
      </c>
      <c r="F269" s="2" t="s">
        <v>3091</v>
      </c>
      <c r="G269" s="2" t="s">
        <v>3091</v>
      </c>
      <c r="H269" s="2" t="s">
        <v>3091</v>
      </c>
      <c r="I269" s="2" t="s">
        <v>3091</v>
      </c>
      <c r="J269" s="2" t="s">
        <v>3091</v>
      </c>
      <c r="K269" s="2" t="s">
        <v>3091</v>
      </c>
      <c r="L269" s="2" t="s">
        <v>3091</v>
      </c>
      <c r="M269" s="2" t="s">
        <v>3091</v>
      </c>
      <c r="N269" s="2" t="s">
        <v>3091</v>
      </c>
      <c r="O269" s="2" t="s">
        <v>3091</v>
      </c>
      <c r="P269" s="2" t="s">
        <v>3091</v>
      </c>
      <c r="Q269" s="2" t="s">
        <v>3091</v>
      </c>
      <c r="R269" s="2" t="s">
        <v>3091</v>
      </c>
      <c r="S269" s="2"/>
      <c r="T269" s="2"/>
      <c r="U269" s="2"/>
      <c r="V269" s="2"/>
      <c r="W269" s="4">
        <f t="shared" si="12"/>
        <v>0</v>
      </c>
      <c r="X269" s="4">
        <f t="shared" si="13"/>
        <v>14</v>
      </c>
      <c r="Y269" s="4">
        <f t="shared" si="14"/>
        <v>14</v>
      </c>
    </row>
    <row r="270" spans="1:25" ht="15.75" customHeight="1">
      <c r="A270" s="2" t="s">
        <v>2990</v>
      </c>
      <c r="B270" s="2" t="s">
        <v>2790</v>
      </c>
      <c r="C270" s="3">
        <v>673</v>
      </c>
      <c r="D270" s="2" t="s">
        <v>231</v>
      </c>
      <c r="E270" s="2" t="s">
        <v>3090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4">
        <f t="shared" si="12"/>
        <v>1</v>
      </c>
      <c r="X270" s="4">
        <f t="shared" si="13"/>
        <v>0</v>
      </c>
      <c r="Y270" s="4">
        <f t="shared" si="14"/>
        <v>1</v>
      </c>
    </row>
    <row r="271" spans="1:25" ht="15.75" customHeight="1">
      <c r="A271" s="2" t="s">
        <v>2991</v>
      </c>
      <c r="B271" s="2" t="s">
        <v>2992</v>
      </c>
      <c r="C271" s="3">
        <v>734</v>
      </c>
      <c r="D271" s="2" t="s">
        <v>701</v>
      </c>
      <c r="E271" s="2" t="s">
        <v>3090</v>
      </c>
      <c r="F271" s="2" t="s">
        <v>3090</v>
      </c>
      <c r="G271" s="2" t="s">
        <v>3090</v>
      </c>
      <c r="H271" s="2" t="s">
        <v>3090</v>
      </c>
      <c r="I271" s="2"/>
      <c r="J271" s="2" t="s">
        <v>3090</v>
      </c>
      <c r="K271" s="2"/>
      <c r="L271" s="2"/>
      <c r="M271" s="2" t="s">
        <v>3090</v>
      </c>
      <c r="N271" s="2" t="s">
        <v>3090</v>
      </c>
      <c r="O271" s="2" t="s">
        <v>3090</v>
      </c>
      <c r="P271" s="2"/>
      <c r="Q271" s="2" t="s">
        <v>3090</v>
      </c>
      <c r="R271" s="2" t="s">
        <v>3090</v>
      </c>
      <c r="S271" s="2"/>
      <c r="T271" s="2"/>
      <c r="U271" s="2" t="s">
        <v>3090</v>
      </c>
      <c r="V271" s="2" t="s">
        <v>3090</v>
      </c>
      <c r="W271" s="4">
        <f t="shared" si="12"/>
        <v>12</v>
      </c>
      <c r="X271" s="4">
        <f t="shared" si="13"/>
        <v>0</v>
      </c>
      <c r="Y271" s="4">
        <f t="shared" si="14"/>
        <v>12</v>
      </c>
    </row>
    <row r="272" spans="1:25" ht="15.75" customHeight="1">
      <c r="A272" s="2" t="s">
        <v>2993</v>
      </c>
      <c r="B272" s="2" t="s">
        <v>2994</v>
      </c>
      <c r="C272" s="3">
        <v>650</v>
      </c>
      <c r="D272" s="2" t="s">
        <v>419</v>
      </c>
      <c r="E272" s="2" t="s">
        <v>3090</v>
      </c>
      <c r="F272" s="2" t="s">
        <v>3090</v>
      </c>
      <c r="G272" s="2" t="s">
        <v>3090</v>
      </c>
      <c r="H272" s="2" t="s">
        <v>3090</v>
      </c>
      <c r="I272" s="2" t="s">
        <v>3090</v>
      </c>
      <c r="J272" s="2" t="s">
        <v>3090</v>
      </c>
      <c r="K272" s="2"/>
      <c r="L272" s="2"/>
      <c r="M272" s="2" t="s">
        <v>3090</v>
      </c>
      <c r="N272" s="2"/>
      <c r="O272" s="2" t="s">
        <v>3090</v>
      </c>
      <c r="P272" s="2"/>
      <c r="Q272" s="2" t="s">
        <v>3090</v>
      </c>
      <c r="R272" s="2" t="s">
        <v>3090</v>
      </c>
      <c r="S272" s="2"/>
      <c r="T272" s="2"/>
      <c r="U272" s="2" t="s">
        <v>3090</v>
      </c>
      <c r="V272" s="2"/>
      <c r="W272" s="4">
        <f t="shared" si="12"/>
        <v>11</v>
      </c>
      <c r="X272" s="4">
        <f t="shared" si="13"/>
        <v>0</v>
      </c>
      <c r="Y272" s="4">
        <f t="shared" si="14"/>
        <v>11</v>
      </c>
    </row>
    <row r="273" spans="1:25" ht="15.75" customHeight="1">
      <c r="A273" s="2" t="s">
        <v>2995</v>
      </c>
      <c r="B273" s="2" t="s">
        <v>2996</v>
      </c>
      <c r="C273" s="3">
        <v>780</v>
      </c>
      <c r="D273" s="2" t="s">
        <v>769</v>
      </c>
      <c r="E273" s="2" t="s">
        <v>3090</v>
      </c>
      <c r="F273" s="2" t="s">
        <v>3090</v>
      </c>
      <c r="G273" s="2" t="s">
        <v>3090</v>
      </c>
      <c r="H273" s="2" t="s">
        <v>3090</v>
      </c>
      <c r="I273" s="2" t="s">
        <v>3090</v>
      </c>
      <c r="J273" s="2" t="s">
        <v>3090</v>
      </c>
      <c r="K273" s="2" t="s">
        <v>3091</v>
      </c>
      <c r="L273" s="2" t="s">
        <v>3091</v>
      </c>
      <c r="M273" s="2" t="s">
        <v>3090</v>
      </c>
      <c r="N273" s="2" t="s">
        <v>3090</v>
      </c>
      <c r="O273" s="2" t="s">
        <v>3090</v>
      </c>
      <c r="P273" s="2" t="s">
        <v>3091</v>
      </c>
      <c r="Q273" s="2" t="s">
        <v>3091</v>
      </c>
      <c r="R273" s="2" t="s">
        <v>3091</v>
      </c>
      <c r="S273" s="2" t="s">
        <v>3091</v>
      </c>
      <c r="T273" s="2" t="s">
        <v>3091</v>
      </c>
      <c r="U273" s="2" t="s">
        <v>3090</v>
      </c>
      <c r="V273" s="2" t="s">
        <v>3090</v>
      </c>
      <c r="W273" s="4">
        <f t="shared" si="12"/>
        <v>11</v>
      </c>
      <c r="X273" s="4">
        <f t="shared" si="13"/>
        <v>7</v>
      </c>
      <c r="Y273" s="4">
        <f t="shared" si="14"/>
        <v>18</v>
      </c>
    </row>
    <row r="274" spans="1:25" ht="15.75" customHeight="1">
      <c r="A274" s="2" t="s">
        <v>2997</v>
      </c>
      <c r="B274" s="2" t="s">
        <v>2693</v>
      </c>
      <c r="C274" s="3">
        <v>362</v>
      </c>
      <c r="D274" s="2" t="s">
        <v>375</v>
      </c>
      <c r="E274" s="2" t="s">
        <v>3090</v>
      </c>
      <c r="F274" s="2" t="s">
        <v>3090</v>
      </c>
      <c r="G274" s="2" t="s">
        <v>3090</v>
      </c>
      <c r="H274" s="2" t="s">
        <v>3090</v>
      </c>
      <c r="I274" s="2" t="s">
        <v>3090</v>
      </c>
      <c r="J274" s="2" t="s">
        <v>3090</v>
      </c>
      <c r="K274" s="2" t="s">
        <v>3091</v>
      </c>
      <c r="L274" s="2" t="s">
        <v>3091</v>
      </c>
      <c r="M274" s="2" t="s">
        <v>3091</v>
      </c>
      <c r="N274" s="2" t="s">
        <v>3090</v>
      </c>
      <c r="O274" s="2" t="s">
        <v>3090</v>
      </c>
      <c r="P274" s="2" t="s">
        <v>3091</v>
      </c>
      <c r="Q274" s="2" t="s">
        <v>3090</v>
      </c>
      <c r="R274" s="2" t="s">
        <v>3090</v>
      </c>
      <c r="S274" s="2" t="s">
        <v>3091</v>
      </c>
      <c r="T274" s="2" t="s">
        <v>3091</v>
      </c>
      <c r="U274" s="2"/>
      <c r="V274" s="2" t="s">
        <v>3090</v>
      </c>
      <c r="W274" s="4">
        <f t="shared" si="12"/>
        <v>11</v>
      </c>
      <c r="X274" s="4">
        <f t="shared" si="13"/>
        <v>6</v>
      </c>
      <c r="Y274" s="4">
        <f t="shared" si="14"/>
        <v>17</v>
      </c>
    </row>
    <row r="275" spans="1:25" ht="15.75" customHeight="1">
      <c r="A275" s="2" t="s">
        <v>2998</v>
      </c>
      <c r="B275" s="2" t="s">
        <v>2999</v>
      </c>
      <c r="C275" s="3">
        <v>598</v>
      </c>
      <c r="D275" s="2" t="s">
        <v>377</v>
      </c>
      <c r="E275" s="2" t="s">
        <v>3090</v>
      </c>
      <c r="F275" s="2" t="s">
        <v>3090</v>
      </c>
      <c r="G275" s="2" t="s">
        <v>3090</v>
      </c>
      <c r="H275" s="2" t="s">
        <v>3090</v>
      </c>
      <c r="I275" s="2" t="s">
        <v>3090</v>
      </c>
      <c r="J275" s="2" t="s">
        <v>3090</v>
      </c>
      <c r="K275" s="2" t="s">
        <v>3091</v>
      </c>
      <c r="L275" s="2" t="s">
        <v>3091</v>
      </c>
      <c r="M275" s="2" t="s">
        <v>3090</v>
      </c>
      <c r="N275" s="2" t="s">
        <v>3090</v>
      </c>
      <c r="O275" s="2" t="s">
        <v>3090</v>
      </c>
      <c r="P275" s="2" t="s">
        <v>3091</v>
      </c>
      <c r="Q275" s="2" t="s">
        <v>3090</v>
      </c>
      <c r="R275" s="2" t="s">
        <v>3091</v>
      </c>
      <c r="S275" s="2" t="s">
        <v>3091</v>
      </c>
      <c r="T275" s="2" t="s">
        <v>3091</v>
      </c>
      <c r="U275" s="2" t="s">
        <v>3090</v>
      </c>
      <c r="V275" s="2" t="s">
        <v>3090</v>
      </c>
      <c r="W275" s="4">
        <f t="shared" si="12"/>
        <v>12</v>
      </c>
      <c r="X275" s="4">
        <f t="shared" si="13"/>
        <v>6</v>
      </c>
      <c r="Y275" s="4">
        <f t="shared" si="14"/>
        <v>18</v>
      </c>
    </row>
    <row r="276" spans="1:25" ht="15.75" customHeight="1">
      <c r="A276" s="2" t="s">
        <v>3000</v>
      </c>
      <c r="B276" s="2" t="s">
        <v>2746</v>
      </c>
      <c r="C276" s="3">
        <v>603</v>
      </c>
      <c r="D276" s="2" t="s">
        <v>379</v>
      </c>
      <c r="E276" s="2" t="s">
        <v>3090</v>
      </c>
      <c r="F276" s="2" t="s">
        <v>3090</v>
      </c>
      <c r="G276" s="2" t="s">
        <v>3090</v>
      </c>
      <c r="H276" s="2" t="s">
        <v>3090</v>
      </c>
      <c r="I276" s="2" t="s">
        <v>3090</v>
      </c>
      <c r="J276" s="2" t="s">
        <v>3090</v>
      </c>
      <c r="K276" s="2" t="s">
        <v>3091</v>
      </c>
      <c r="L276" s="2" t="s">
        <v>3091</v>
      </c>
      <c r="M276" s="2" t="s">
        <v>3090</v>
      </c>
      <c r="N276" s="2" t="s">
        <v>3090</v>
      </c>
      <c r="O276" s="2" t="s">
        <v>3090</v>
      </c>
      <c r="P276" s="2"/>
      <c r="Q276" s="2" t="s">
        <v>3090</v>
      </c>
      <c r="R276" s="2" t="s">
        <v>3090</v>
      </c>
      <c r="S276" s="2"/>
      <c r="T276" s="2" t="s">
        <v>3091</v>
      </c>
      <c r="U276" s="2" t="s">
        <v>3090</v>
      </c>
      <c r="V276" s="2" t="s">
        <v>3090</v>
      </c>
      <c r="W276" s="4">
        <f t="shared" si="12"/>
        <v>13</v>
      </c>
      <c r="X276" s="4">
        <f t="shared" si="13"/>
        <v>3</v>
      </c>
      <c r="Y276" s="4">
        <f t="shared" si="14"/>
        <v>16</v>
      </c>
    </row>
    <row r="277" spans="1:25" ht="15.75" customHeight="1">
      <c r="A277" s="2" t="s">
        <v>3001</v>
      </c>
      <c r="B277" s="2" t="s">
        <v>2929</v>
      </c>
      <c r="C277" s="3">
        <v>288</v>
      </c>
      <c r="D277" s="2" t="s">
        <v>493</v>
      </c>
      <c r="E277" s="2" t="s">
        <v>3091</v>
      </c>
      <c r="F277" s="2" t="s">
        <v>3090</v>
      </c>
      <c r="G277" s="2" t="s">
        <v>3090</v>
      </c>
      <c r="H277" s="2" t="s">
        <v>3090</v>
      </c>
      <c r="I277" s="2" t="s">
        <v>3090</v>
      </c>
      <c r="J277" s="2" t="s">
        <v>3090</v>
      </c>
      <c r="K277" s="2" t="s">
        <v>3091</v>
      </c>
      <c r="L277" s="2" t="s">
        <v>3091</v>
      </c>
      <c r="M277" s="2" t="s">
        <v>3090</v>
      </c>
      <c r="N277" s="2" t="s">
        <v>3090</v>
      </c>
      <c r="O277" s="2" t="s">
        <v>3091</v>
      </c>
      <c r="P277" s="2" t="s">
        <v>3091</v>
      </c>
      <c r="Q277" s="2" t="s">
        <v>3090</v>
      </c>
      <c r="R277" s="2" t="s">
        <v>3090</v>
      </c>
      <c r="S277" s="2"/>
      <c r="T277" s="2"/>
      <c r="U277" s="2" t="s">
        <v>3090</v>
      </c>
      <c r="V277" s="2" t="s">
        <v>3090</v>
      </c>
      <c r="W277" s="4">
        <f t="shared" si="12"/>
        <v>11</v>
      </c>
      <c r="X277" s="4">
        <f t="shared" si="13"/>
        <v>5</v>
      </c>
      <c r="Y277" s="4">
        <f t="shared" si="14"/>
        <v>16</v>
      </c>
    </row>
    <row r="278" spans="1:25" ht="15.75" customHeight="1">
      <c r="A278" s="2" t="s">
        <v>3002</v>
      </c>
      <c r="B278" s="2" t="s">
        <v>3003</v>
      </c>
      <c r="C278" s="3">
        <v>588</v>
      </c>
      <c r="D278" s="2" t="s">
        <v>96</v>
      </c>
      <c r="E278" s="2" t="s">
        <v>3090</v>
      </c>
      <c r="F278" s="2" t="s">
        <v>3090</v>
      </c>
      <c r="G278" s="2" t="s">
        <v>3090</v>
      </c>
      <c r="H278" s="2" t="s">
        <v>3090</v>
      </c>
      <c r="I278" s="2" t="s">
        <v>3090</v>
      </c>
      <c r="J278" s="2" t="s">
        <v>3090</v>
      </c>
      <c r="K278" s="2" t="s">
        <v>3091</v>
      </c>
      <c r="L278" s="2" t="s">
        <v>3091</v>
      </c>
      <c r="M278" s="2" t="s">
        <v>3091</v>
      </c>
      <c r="N278" s="2" t="s">
        <v>3091</v>
      </c>
      <c r="O278" s="2" t="s">
        <v>3091</v>
      </c>
      <c r="P278" s="2" t="s">
        <v>3091</v>
      </c>
      <c r="Q278" s="2" t="s">
        <v>3091</v>
      </c>
      <c r="R278" s="2" t="s">
        <v>3091</v>
      </c>
      <c r="S278" s="2" t="s">
        <v>3091</v>
      </c>
      <c r="T278" s="2"/>
      <c r="U278" s="2"/>
      <c r="V278" s="2"/>
      <c r="W278" s="4">
        <f t="shared" si="12"/>
        <v>6</v>
      </c>
      <c r="X278" s="4">
        <f t="shared" si="13"/>
        <v>9</v>
      </c>
      <c r="Y278" s="4">
        <f t="shared" si="14"/>
        <v>15</v>
      </c>
    </row>
    <row r="279" spans="1:25" ht="15.75" customHeight="1">
      <c r="A279" s="2" t="s">
        <v>3004</v>
      </c>
      <c r="B279" s="2" t="s">
        <v>2779</v>
      </c>
      <c r="C279" s="3">
        <v>724</v>
      </c>
      <c r="D279" s="2" t="s">
        <v>537</v>
      </c>
      <c r="E279" s="2" t="s">
        <v>3090</v>
      </c>
      <c r="F279" s="2" t="s">
        <v>3090</v>
      </c>
      <c r="G279" s="2" t="s">
        <v>3091</v>
      </c>
      <c r="H279" s="2" t="s">
        <v>3091</v>
      </c>
      <c r="I279" s="2" t="s">
        <v>3091</v>
      </c>
      <c r="J279" s="2" t="s">
        <v>3091</v>
      </c>
      <c r="K279" s="2" t="s">
        <v>3091</v>
      </c>
      <c r="L279" s="2" t="s">
        <v>3091</v>
      </c>
      <c r="M279" s="2" t="s">
        <v>3091</v>
      </c>
      <c r="N279" s="2" t="s">
        <v>3091</v>
      </c>
      <c r="O279" s="2" t="s">
        <v>3091</v>
      </c>
      <c r="P279" s="2" t="s">
        <v>3091</v>
      </c>
      <c r="Q279" s="2" t="s">
        <v>3091</v>
      </c>
      <c r="R279" s="2" t="s">
        <v>3091</v>
      </c>
      <c r="S279" s="2" t="s">
        <v>3091</v>
      </c>
      <c r="T279" s="2"/>
      <c r="U279" s="2" t="s">
        <v>3090</v>
      </c>
      <c r="V279" s="2"/>
      <c r="W279" s="4">
        <f t="shared" si="12"/>
        <v>3</v>
      </c>
      <c r="X279" s="4">
        <f t="shared" si="13"/>
        <v>13</v>
      </c>
      <c r="Y279" s="4">
        <f t="shared" si="14"/>
        <v>16</v>
      </c>
    </row>
    <row r="280" spans="1:25" ht="15.75" customHeight="1">
      <c r="A280" s="2" t="s">
        <v>3005</v>
      </c>
      <c r="B280" s="2" t="s">
        <v>2671</v>
      </c>
      <c r="C280" s="3">
        <v>253</v>
      </c>
      <c r="D280" s="2" t="s">
        <v>605</v>
      </c>
      <c r="E280" s="2" t="s">
        <v>3091</v>
      </c>
      <c r="F280" s="2" t="s">
        <v>3091</v>
      </c>
      <c r="G280" s="2" t="s">
        <v>3091</v>
      </c>
      <c r="H280" s="2"/>
      <c r="I280" s="2"/>
      <c r="J280" s="2"/>
      <c r="K280" s="2"/>
      <c r="L280" s="2"/>
      <c r="M280" s="2" t="s">
        <v>3090</v>
      </c>
      <c r="N280" s="2"/>
      <c r="O280" s="2"/>
      <c r="P280" s="2"/>
      <c r="Q280" s="2"/>
      <c r="R280" s="2"/>
      <c r="S280" s="2"/>
      <c r="T280" s="2"/>
      <c r="U280" s="2"/>
      <c r="V280" s="2"/>
      <c r="W280" s="4">
        <f t="shared" si="12"/>
        <v>1</v>
      </c>
      <c r="X280" s="4">
        <f t="shared" si="13"/>
        <v>3</v>
      </c>
      <c r="Y280" s="4">
        <f t="shared" si="14"/>
        <v>4</v>
      </c>
    </row>
    <row r="281" spans="1:25" ht="15.75" customHeight="1">
      <c r="A281" s="2" t="s">
        <v>3005</v>
      </c>
      <c r="B281" s="2" t="s">
        <v>2732</v>
      </c>
      <c r="C281" s="3">
        <v>291</v>
      </c>
      <c r="D281" s="2" t="s">
        <v>332</v>
      </c>
      <c r="E281" s="2" t="s">
        <v>3090</v>
      </c>
      <c r="F281" s="2" t="s">
        <v>3090</v>
      </c>
      <c r="G281" s="2" t="s">
        <v>3090</v>
      </c>
      <c r="H281" s="2" t="s">
        <v>3090</v>
      </c>
      <c r="I281" s="2" t="s">
        <v>3090</v>
      </c>
      <c r="J281" s="2" t="s">
        <v>3090</v>
      </c>
      <c r="K281" s="2" t="s">
        <v>3091</v>
      </c>
      <c r="L281" s="2" t="s">
        <v>3091</v>
      </c>
      <c r="M281" s="2" t="s">
        <v>3090</v>
      </c>
      <c r="N281" s="2" t="s">
        <v>3090</v>
      </c>
      <c r="O281" s="2" t="s">
        <v>3090</v>
      </c>
      <c r="P281" s="2"/>
      <c r="Q281" s="2"/>
      <c r="R281" s="2" t="s">
        <v>3090</v>
      </c>
      <c r="S281" s="2"/>
      <c r="T281" s="2"/>
      <c r="U281" s="2" t="s">
        <v>3090</v>
      </c>
      <c r="V281" s="2"/>
      <c r="W281" s="4">
        <f t="shared" si="12"/>
        <v>11</v>
      </c>
      <c r="X281" s="4">
        <f t="shared" si="13"/>
        <v>2</v>
      </c>
      <c r="Y281" s="4">
        <f t="shared" si="14"/>
        <v>13</v>
      </c>
    </row>
    <row r="282" spans="1:25" ht="15.75" customHeight="1">
      <c r="A282" s="2" t="s">
        <v>2811</v>
      </c>
      <c r="B282" s="2" t="s">
        <v>3006</v>
      </c>
      <c r="C282" s="3">
        <v>679</v>
      </c>
      <c r="D282" s="2" t="s">
        <v>411</v>
      </c>
      <c r="E282" s="2" t="s">
        <v>3090</v>
      </c>
      <c r="F282" s="2" t="s">
        <v>3090</v>
      </c>
      <c r="G282" s="2" t="s">
        <v>3090</v>
      </c>
      <c r="H282" s="2" t="s">
        <v>3090</v>
      </c>
      <c r="I282" s="2" t="s">
        <v>3090</v>
      </c>
      <c r="J282" s="2" t="s">
        <v>3090</v>
      </c>
      <c r="K282" s="2" t="s">
        <v>3091</v>
      </c>
      <c r="L282" s="2" t="s">
        <v>3091</v>
      </c>
      <c r="M282" s="2" t="s">
        <v>3090</v>
      </c>
      <c r="N282" s="2" t="s">
        <v>3090</v>
      </c>
      <c r="O282" s="2" t="s">
        <v>3090</v>
      </c>
      <c r="P282" s="2" t="s">
        <v>3091</v>
      </c>
      <c r="Q282" s="2" t="s">
        <v>3090</v>
      </c>
      <c r="R282" s="2" t="s">
        <v>3090</v>
      </c>
      <c r="S282" s="2" t="s">
        <v>3091</v>
      </c>
      <c r="T282" s="2" t="s">
        <v>3091</v>
      </c>
      <c r="U282" s="2" t="s">
        <v>3090</v>
      </c>
      <c r="V282" s="2" t="s">
        <v>3090</v>
      </c>
      <c r="W282" s="4">
        <f t="shared" si="12"/>
        <v>13</v>
      </c>
      <c r="X282" s="4">
        <f t="shared" si="13"/>
        <v>5</v>
      </c>
      <c r="Y282" s="4">
        <f t="shared" si="14"/>
        <v>18</v>
      </c>
    </row>
    <row r="283" spans="1:25" ht="15.75" customHeight="1">
      <c r="A283" s="2" t="s">
        <v>2942</v>
      </c>
      <c r="B283" s="2" t="s">
        <v>3007</v>
      </c>
      <c r="C283" s="3">
        <v>395</v>
      </c>
      <c r="D283" s="2" t="s">
        <v>446</v>
      </c>
      <c r="E283" s="2" t="s">
        <v>3091</v>
      </c>
      <c r="F283" s="2" t="s">
        <v>3091</v>
      </c>
      <c r="G283" s="2" t="s">
        <v>3091</v>
      </c>
      <c r="H283" s="2" t="s">
        <v>3091</v>
      </c>
      <c r="I283" s="2" t="s">
        <v>3091</v>
      </c>
      <c r="J283" s="2" t="s">
        <v>3091</v>
      </c>
      <c r="K283" s="2" t="s">
        <v>3091</v>
      </c>
      <c r="L283" s="2" t="s">
        <v>3091</v>
      </c>
      <c r="M283" s="2" t="s">
        <v>3091</v>
      </c>
      <c r="N283" s="2" t="s">
        <v>3091</v>
      </c>
      <c r="O283" s="2" t="s">
        <v>3091</v>
      </c>
      <c r="P283" s="2" t="s">
        <v>3091</v>
      </c>
      <c r="Q283" s="2" t="s">
        <v>3091</v>
      </c>
      <c r="R283" s="2" t="s">
        <v>3091</v>
      </c>
      <c r="S283" s="2" t="s">
        <v>3091</v>
      </c>
      <c r="T283" s="2" t="s">
        <v>3091</v>
      </c>
      <c r="U283" s="2" t="s">
        <v>3090</v>
      </c>
      <c r="V283" s="2" t="s">
        <v>3090</v>
      </c>
      <c r="W283" s="4">
        <f t="shared" si="12"/>
        <v>2</v>
      </c>
      <c r="X283" s="4">
        <f t="shared" si="13"/>
        <v>16</v>
      </c>
      <c r="Y283" s="4">
        <f t="shared" si="14"/>
        <v>18</v>
      </c>
    </row>
    <row r="284" spans="1:25" ht="15.75" customHeight="1">
      <c r="A284" s="2" t="s">
        <v>3008</v>
      </c>
      <c r="B284" s="2" t="s">
        <v>2726</v>
      </c>
      <c r="C284" s="3">
        <v>646</v>
      </c>
      <c r="D284" s="2" t="s">
        <v>570</v>
      </c>
      <c r="E284" s="2" t="s">
        <v>3090</v>
      </c>
      <c r="F284" s="2" t="s">
        <v>3090</v>
      </c>
      <c r="G284" s="2" t="s">
        <v>3090</v>
      </c>
      <c r="H284" s="2" t="s">
        <v>3090</v>
      </c>
      <c r="I284" s="2" t="s">
        <v>3090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 t="s">
        <v>3090</v>
      </c>
      <c r="V284" s="2" t="s">
        <v>3090</v>
      </c>
      <c r="W284" s="4">
        <f t="shared" si="12"/>
        <v>7</v>
      </c>
      <c r="X284" s="4">
        <f t="shared" si="13"/>
        <v>0</v>
      </c>
      <c r="Y284" s="4">
        <f t="shared" si="14"/>
        <v>7</v>
      </c>
    </row>
    <row r="285" spans="1:25" ht="15.75" customHeight="1">
      <c r="A285" s="2" t="s">
        <v>3009</v>
      </c>
      <c r="B285" s="2" t="s">
        <v>2863</v>
      </c>
      <c r="C285" s="3">
        <v>642</v>
      </c>
      <c r="D285" s="2" t="s">
        <v>572</v>
      </c>
      <c r="E285" s="2" t="s">
        <v>3090</v>
      </c>
      <c r="F285" s="2" t="s">
        <v>3090</v>
      </c>
      <c r="G285" s="2" t="s">
        <v>3090</v>
      </c>
      <c r="H285" s="2" t="s">
        <v>3090</v>
      </c>
      <c r="I285" s="2" t="s">
        <v>3090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">
        <v>3090</v>
      </c>
      <c r="V285" s="2" t="s">
        <v>3090</v>
      </c>
      <c r="W285" s="4">
        <f t="shared" si="12"/>
        <v>7</v>
      </c>
      <c r="X285" s="4">
        <f t="shared" si="13"/>
        <v>0</v>
      </c>
      <c r="Y285" s="4">
        <f t="shared" si="14"/>
        <v>7</v>
      </c>
    </row>
    <row r="286" spans="1:25" ht="15.75" customHeight="1">
      <c r="A286" s="2" t="s">
        <v>3010</v>
      </c>
      <c r="B286" s="2" t="s">
        <v>2701</v>
      </c>
      <c r="C286" s="3">
        <v>762</v>
      </c>
      <c r="D286" s="2" t="s">
        <v>448</v>
      </c>
      <c r="E286" s="2" t="s">
        <v>3090</v>
      </c>
      <c r="F286" s="2" t="s">
        <v>3091</v>
      </c>
      <c r="G286" s="2" t="s">
        <v>3091</v>
      </c>
      <c r="H286" s="2" t="s">
        <v>3091</v>
      </c>
      <c r="I286" s="2" t="s">
        <v>3091</v>
      </c>
      <c r="J286" s="2" t="s">
        <v>3091</v>
      </c>
      <c r="K286" s="2" t="s">
        <v>3091</v>
      </c>
      <c r="L286" s="2" t="s">
        <v>3091</v>
      </c>
      <c r="M286" s="2" t="s">
        <v>3091</v>
      </c>
      <c r="N286" s="2" t="s">
        <v>3091</v>
      </c>
      <c r="O286" s="2"/>
      <c r="P286" s="2"/>
      <c r="Q286" s="2" t="s">
        <v>3091</v>
      </c>
      <c r="R286" s="2"/>
      <c r="S286" s="2"/>
      <c r="T286" s="2"/>
      <c r="U286" s="2" t="s">
        <v>3090</v>
      </c>
      <c r="V286" s="2"/>
      <c r="W286" s="4">
        <f t="shared" si="12"/>
        <v>2</v>
      </c>
      <c r="X286" s="4">
        <f t="shared" si="13"/>
        <v>10</v>
      </c>
      <c r="Y286" s="4">
        <f t="shared" si="14"/>
        <v>12</v>
      </c>
    </row>
    <row r="287" spans="1:25" ht="15.75" customHeight="1">
      <c r="A287" s="2" t="s">
        <v>3011</v>
      </c>
      <c r="B287" s="2" t="s">
        <v>2770</v>
      </c>
      <c r="C287" s="3">
        <v>661</v>
      </c>
      <c r="D287" s="2" t="s">
        <v>236</v>
      </c>
      <c r="E287" s="2" t="s">
        <v>3090</v>
      </c>
      <c r="F287" s="2" t="s">
        <v>3090</v>
      </c>
      <c r="G287" s="2" t="s">
        <v>3090</v>
      </c>
      <c r="H287" s="2" t="s">
        <v>3090</v>
      </c>
      <c r="I287" s="2" t="s">
        <v>3090</v>
      </c>
      <c r="J287" s="2" t="s">
        <v>3090</v>
      </c>
      <c r="K287" s="2" t="s">
        <v>3091</v>
      </c>
      <c r="L287" s="2" t="s">
        <v>3091</v>
      </c>
      <c r="M287" s="2" t="s">
        <v>3090</v>
      </c>
      <c r="N287" s="2" t="s">
        <v>3090</v>
      </c>
      <c r="O287" s="2" t="s">
        <v>3090</v>
      </c>
      <c r="P287" s="2" t="s">
        <v>3091</v>
      </c>
      <c r="Q287" s="2" t="s">
        <v>3090</v>
      </c>
      <c r="R287" s="2" t="s">
        <v>3090</v>
      </c>
      <c r="S287" s="2" t="s">
        <v>3091</v>
      </c>
      <c r="T287" s="2" t="s">
        <v>3091</v>
      </c>
      <c r="U287" s="2" t="s">
        <v>3090</v>
      </c>
      <c r="V287" s="2" t="s">
        <v>3090</v>
      </c>
      <c r="W287" s="4">
        <f t="shared" si="12"/>
        <v>13</v>
      </c>
      <c r="X287" s="4">
        <f t="shared" si="13"/>
        <v>5</v>
      </c>
      <c r="Y287" s="4">
        <f t="shared" si="14"/>
        <v>18</v>
      </c>
    </row>
    <row r="288" spans="1:25" ht="15.75" customHeight="1">
      <c r="A288" s="2" t="s">
        <v>2367</v>
      </c>
      <c r="B288" s="2" t="s">
        <v>2682</v>
      </c>
      <c r="C288" s="3">
        <v>376</v>
      </c>
      <c r="D288" s="2" t="s">
        <v>99</v>
      </c>
      <c r="E288" s="2" t="s">
        <v>3090</v>
      </c>
      <c r="F288" s="2" t="s">
        <v>3090</v>
      </c>
      <c r="G288" s="2" t="s">
        <v>3090</v>
      </c>
      <c r="H288" s="2" t="s">
        <v>3090</v>
      </c>
      <c r="I288" s="2" t="s">
        <v>3090</v>
      </c>
      <c r="J288" s="2" t="s">
        <v>3090</v>
      </c>
      <c r="K288" s="2" t="s">
        <v>3091</v>
      </c>
      <c r="L288" s="2" t="s">
        <v>3091</v>
      </c>
      <c r="M288" s="2" t="s">
        <v>3090</v>
      </c>
      <c r="N288" s="2" t="s">
        <v>3090</v>
      </c>
      <c r="O288" s="2" t="s">
        <v>3090</v>
      </c>
      <c r="P288" s="2" t="s">
        <v>3091</v>
      </c>
      <c r="Q288" s="2" t="s">
        <v>3090</v>
      </c>
      <c r="R288" s="2" t="s">
        <v>3090</v>
      </c>
      <c r="S288" s="2" t="s">
        <v>3091</v>
      </c>
      <c r="T288" s="2" t="s">
        <v>3091</v>
      </c>
      <c r="U288" s="2" t="s">
        <v>3090</v>
      </c>
      <c r="V288" s="2" t="s">
        <v>3090</v>
      </c>
      <c r="W288" s="4">
        <f t="shared" si="12"/>
        <v>13</v>
      </c>
      <c r="X288" s="4">
        <f t="shared" si="13"/>
        <v>5</v>
      </c>
      <c r="Y288" s="4">
        <f t="shared" si="14"/>
        <v>18</v>
      </c>
    </row>
    <row r="289" spans="1:25" ht="15.75" customHeight="1">
      <c r="A289" s="2" t="s">
        <v>3012</v>
      </c>
      <c r="B289" s="2" t="s">
        <v>2682</v>
      </c>
      <c r="C289" s="3">
        <v>595</v>
      </c>
      <c r="D289" s="2" t="s">
        <v>139</v>
      </c>
      <c r="E289" s="2" t="s">
        <v>3090</v>
      </c>
      <c r="F289" s="2" t="s">
        <v>3091</v>
      </c>
      <c r="G289" s="2" t="s">
        <v>3090</v>
      </c>
      <c r="H289" s="2" t="s">
        <v>3091</v>
      </c>
      <c r="I289" s="2" t="s">
        <v>3090</v>
      </c>
      <c r="J289" s="2" t="s">
        <v>3090</v>
      </c>
      <c r="K289" s="2" t="s">
        <v>3091</v>
      </c>
      <c r="L289" s="2" t="s">
        <v>3091</v>
      </c>
      <c r="M289" s="2" t="s">
        <v>3091</v>
      </c>
      <c r="N289" s="2" t="s">
        <v>3090</v>
      </c>
      <c r="O289" s="2" t="s">
        <v>3091</v>
      </c>
      <c r="P289" s="2"/>
      <c r="Q289" s="2" t="s">
        <v>3091</v>
      </c>
      <c r="R289" s="2" t="s">
        <v>3090</v>
      </c>
      <c r="S289" s="2"/>
      <c r="T289" s="2"/>
      <c r="U289" s="2"/>
      <c r="V289" s="2" t="s">
        <v>3090</v>
      </c>
      <c r="W289" s="4">
        <f t="shared" si="12"/>
        <v>7</v>
      </c>
      <c r="X289" s="4">
        <f t="shared" si="13"/>
        <v>7</v>
      </c>
      <c r="Y289" s="4">
        <f t="shared" si="14"/>
        <v>14</v>
      </c>
    </row>
    <row r="290" spans="1:25" ht="15.75" customHeight="1">
      <c r="A290" s="2" t="s">
        <v>3013</v>
      </c>
      <c r="B290" s="2" t="s">
        <v>2833</v>
      </c>
      <c r="C290" s="3">
        <v>655</v>
      </c>
      <c r="D290" s="2" t="s">
        <v>649</v>
      </c>
      <c r="E290" s="2" t="s">
        <v>3090</v>
      </c>
      <c r="F290" s="2" t="s">
        <v>3090</v>
      </c>
      <c r="G290" s="2" t="s">
        <v>3090</v>
      </c>
      <c r="H290" s="2" t="s">
        <v>3090</v>
      </c>
      <c r="I290" s="2" t="s">
        <v>3090</v>
      </c>
      <c r="J290" s="2" t="s">
        <v>3090</v>
      </c>
      <c r="K290" s="2" t="s">
        <v>3091</v>
      </c>
      <c r="L290" s="2" t="s">
        <v>3091</v>
      </c>
      <c r="M290" s="2" t="s">
        <v>3090</v>
      </c>
      <c r="N290" s="2" t="s">
        <v>3090</v>
      </c>
      <c r="O290" s="2" t="s">
        <v>3090</v>
      </c>
      <c r="P290" s="2" t="s">
        <v>3091</v>
      </c>
      <c r="Q290" s="2" t="s">
        <v>3090</v>
      </c>
      <c r="R290" s="2" t="s">
        <v>3090</v>
      </c>
      <c r="S290" s="2"/>
      <c r="T290" s="2"/>
      <c r="U290" s="2"/>
      <c r="V290" s="2"/>
      <c r="W290" s="4">
        <f t="shared" si="12"/>
        <v>11</v>
      </c>
      <c r="X290" s="4">
        <f t="shared" si="13"/>
        <v>3</v>
      </c>
      <c r="Y290" s="4">
        <f t="shared" si="14"/>
        <v>14</v>
      </c>
    </row>
    <row r="291" spans="1:25" ht="15.75" customHeight="1">
      <c r="A291" s="2" t="s">
        <v>3014</v>
      </c>
      <c r="B291" s="2" t="s">
        <v>2668</v>
      </c>
      <c r="C291" s="3">
        <v>609</v>
      </c>
      <c r="D291" s="2" t="s">
        <v>381</v>
      </c>
      <c r="E291" s="2" t="s">
        <v>3090</v>
      </c>
      <c r="F291" s="2" t="s">
        <v>3090</v>
      </c>
      <c r="G291" s="2" t="s">
        <v>3090</v>
      </c>
      <c r="H291" s="2" t="s">
        <v>3090</v>
      </c>
      <c r="I291" s="2" t="s">
        <v>3090</v>
      </c>
      <c r="J291" s="2" t="s">
        <v>3090</v>
      </c>
      <c r="K291" s="2" t="s">
        <v>3091</v>
      </c>
      <c r="L291" s="2"/>
      <c r="M291" s="2" t="s">
        <v>3090</v>
      </c>
      <c r="N291" s="2" t="s">
        <v>3090</v>
      </c>
      <c r="O291" s="2" t="s">
        <v>3090</v>
      </c>
      <c r="P291" s="2"/>
      <c r="Q291" s="2" t="s">
        <v>3090</v>
      </c>
      <c r="R291" s="2" t="s">
        <v>3090</v>
      </c>
      <c r="S291" s="2"/>
      <c r="T291" s="2"/>
      <c r="U291" s="2" t="s">
        <v>3090</v>
      </c>
      <c r="V291" s="2" t="s">
        <v>3090</v>
      </c>
      <c r="W291" s="4">
        <f t="shared" si="12"/>
        <v>13</v>
      </c>
      <c r="X291" s="4">
        <f t="shared" si="13"/>
        <v>1</v>
      </c>
      <c r="Y291" s="4">
        <f t="shared" si="14"/>
        <v>14</v>
      </c>
    </row>
    <row r="292" spans="1:25" ht="15.75" customHeight="1">
      <c r="A292" s="2" t="s">
        <v>3015</v>
      </c>
      <c r="B292" s="2" t="s">
        <v>2761</v>
      </c>
      <c r="C292" s="3">
        <v>628</v>
      </c>
      <c r="D292" s="2" t="s">
        <v>704</v>
      </c>
      <c r="E292" s="2" t="s">
        <v>3090</v>
      </c>
      <c r="F292" s="2" t="s">
        <v>3091</v>
      </c>
      <c r="G292" s="2" t="s">
        <v>3091</v>
      </c>
      <c r="H292" s="2" t="s">
        <v>3091</v>
      </c>
      <c r="I292" s="2" t="s">
        <v>3091</v>
      </c>
      <c r="J292" s="2" t="s">
        <v>3091</v>
      </c>
      <c r="K292" s="2"/>
      <c r="L292" s="2"/>
      <c r="M292" s="2" t="s">
        <v>3091</v>
      </c>
      <c r="N292" s="2"/>
      <c r="O292" s="2"/>
      <c r="P292" s="2" t="s">
        <v>3091</v>
      </c>
      <c r="Q292" s="2" t="s">
        <v>3091</v>
      </c>
      <c r="R292" s="2"/>
      <c r="S292" s="2"/>
      <c r="T292" s="2"/>
      <c r="U292" s="2"/>
      <c r="V292" s="2"/>
      <c r="W292" s="4">
        <f t="shared" si="12"/>
        <v>1</v>
      </c>
      <c r="X292" s="4">
        <f t="shared" si="13"/>
        <v>8</v>
      </c>
      <c r="Y292" s="4">
        <f t="shared" si="14"/>
        <v>9</v>
      </c>
    </row>
    <row r="293" spans="1:25" ht="15.75" customHeight="1">
      <c r="A293" s="2" t="s">
        <v>3016</v>
      </c>
      <c r="B293" s="2" t="s">
        <v>2657</v>
      </c>
      <c r="C293" s="3">
        <v>715</v>
      </c>
      <c r="D293" s="2" t="s">
        <v>574</v>
      </c>
      <c r="E293" s="2" t="s">
        <v>3090</v>
      </c>
      <c r="F293" s="2" t="s">
        <v>3090</v>
      </c>
      <c r="G293" s="2" t="s">
        <v>3090</v>
      </c>
      <c r="H293" s="2" t="s">
        <v>3090</v>
      </c>
      <c r="I293" s="2" t="s">
        <v>3090</v>
      </c>
      <c r="J293" s="2" t="s">
        <v>3090</v>
      </c>
      <c r="K293" s="2" t="s">
        <v>3091</v>
      </c>
      <c r="L293" s="2" t="s">
        <v>3091</v>
      </c>
      <c r="M293" s="2" t="s">
        <v>3091</v>
      </c>
      <c r="N293" s="2" t="s">
        <v>3090</v>
      </c>
      <c r="O293" s="2" t="s">
        <v>3091</v>
      </c>
      <c r="P293" s="2" t="s">
        <v>3091</v>
      </c>
      <c r="Q293" s="2" t="s">
        <v>3091</v>
      </c>
      <c r="R293" s="2" t="s">
        <v>3091</v>
      </c>
      <c r="S293" s="2"/>
      <c r="T293" s="2"/>
      <c r="U293" s="2"/>
      <c r="V293" s="2"/>
      <c r="W293" s="4">
        <f t="shared" si="12"/>
        <v>7</v>
      </c>
      <c r="X293" s="4">
        <f t="shared" si="13"/>
        <v>7</v>
      </c>
      <c r="Y293" s="4">
        <f t="shared" si="14"/>
        <v>14</v>
      </c>
    </row>
    <row r="294" spans="1:25" ht="15.75" customHeight="1">
      <c r="A294" s="2" t="s">
        <v>3017</v>
      </c>
      <c r="B294" s="2" t="s">
        <v>2811</v>
      </c>
      <c r="C294" s="3">
        <v>408</v>
      </c>
      <c r="D294" s="2" t="s">
        <v>540</v>
      </c>
      <c r="E294" s="2" t="s">
        <v>3090</v>
      </c>
      <c r="F294" s="2" t="s">
        <v>3091</v>
      </c>
      <c r="G294" s="2" t="s">
        <v>3091</v>
      </c>
      <c r="H294" s="2" t="s">
        <v>3091</v>
      </c>
      <c r="I294" s="2" t="s">
        <v>3091</v>
      </c>
      <c r="J294" s="2" t="s">
        <v>3090</v>
      </c>
      <c r="K294" s="2" t="s">
        <v>3091</v>
      </c>
      <c r="L294" s="2" t="s">
        <v>3091</v>
      </c>
      <c r="M294" s="2" t="s">
        <v>3090</v>
      </c>
      <c r="N294" s="2" t="s">
        <v>3090</v>
      </c>
      <c r="O294" s="2" t="s">
        <v>3090</v>
      </c>
      <c r="P294" s="2" t="s">
        <v>3091</v>
      </c>
      <c r="Q294" s="2" t="s">
        <v>3090</v>
      </c>
      <c r="R294" s="2" t="s">
        <v>3090</v>
      </c>
      <c r="S294" s="2" t="s">
        <v>3091</v>
      </c>
      <c r="T294" s="2" t="s">
        <v>3091</v>
      </c>
      <c r="U294" s="2" t="s">
        <v>3090</v>
      </c>
      <c r="V294" s="2" t="s">
        <v>3090</v>
      </c>
      <c r="W294" s="4">
        <f t="shared" si="12"/>
        <v>9</v>
      </c>
      <c r="X294" s="4">
        <f t="shared" si="13"/>
        <v>9</v>
      </c>
      <c r="Y294" s="4">
        <f t="shared" si="14"/>
        <v>18</v>
      </c>
    </row>
    <row r="295" spans="1:25" ht="15.75" customHeight="1">
      <c r="A295" s="2" t="s">
        <v>3018</v>
      </c>
      <c r="B295" s="2" t="s">
        <v>2770</v>
      </c>
      <c r="C295" s="3">
        <v>658</v>
      </c>
      <c r="D295" s="2" t="s">
        <v>774</v>
      </c>
      <c r="E295" s="2" t="s">
        <v>3090</v>
      </c>
      <c r="F295" s="2" t="s">
        <v>3090</v>
      </c>
      <c r="G295" s="2" t="s">
        <v>3090</v>
      </c>
      <c r="H295" s="2" t="s">
        <v>3090</v>
      </c>
      <c r="I295" s="2" t="s">
        <v>3090</v>
      </c>
      <c r="J295" s="2" t="s">
        <v>3090</v>
      </c>
      <c r="K295" s="2" t="s">
        <v>3091</v>
      </c>
      <c r="L295" s="2" t="s">
        <v>3091</v>
      </c>
      <c r="M295" s="2" t="s">
        <v>3090</v>
      </c>
      <c r="N295" s="2" t="s">
        <v>3090</v>
      </c>
      <c r="O295" s="2" t="s">
        <v>3091</v>
      </c>
      <c r="P295" s="2" t="s">
        <v>3091</v>
      </c>
      <c r="Q295" s="2" t="s">
        <v>3091</v>
      </c>
      <c r="R295" s="2" t="s">
        <v>3091</v>
      </c>
      <c r="S295" s="2"/>
      <c r="T295" s="2"/>
      <c r="U295" s="2"/>
      <c r="V295" s="2"/>
      <c r="W295" s="4">
        <f t="shared" si="12"/>
        <v>8</v>
      </c>
      <c r="X295" s="4">
        <f t="shared" si="13"/>
        <v>6</v>
      </c>
      <c r="Y295" s="4">
        <f t="shared" si="14"/>
        <v>14</v>
      </c>
    </row>
    <row r="296" spans="1:25" ht="15.75" customHeight="1">
      <c r="A296" s="2" t="s">
        <v>3019</v>
      </c>
      <c r="B296" s="2" t="s">
        <v>2746</v>
      </c>
      <c r="C296" s="3">
        <v>623</v>
      </c>
      <c r="D296" s="2" t="s">
        <v>238</v>
      </c>
      <c r="E296" s="2" t="s">
        <v>3090</v>
      </c>
      <c r="F296" s="2" t="s">
        <v>3090</v>
      </c>
      <c r="G296" s="2" t="s">
        <v>3090</v>
      </c>
      <c r="H296" s="2" t="s">
        <v>3090</v>
      </c>
      <c r="I296" s="2" t="s">
        <v>3090</v>
      </c>
      <c r="J296" s="2" t="s">
        <v>3090</v>
      </c>
      <c r="K296" s="2" t="s">
        <v>3091</v>
      </c>
      <c r="L296" s="2" t="s">
        <v>3091</v>
      </c>
      <c r="M296" s="2" t="s">
        <v>3090</v>
      </c>
      <c r="N296" s="2" t="s">
        <v>3090</v>
      </c>
      <c r="O296" s="2" t="s">
        <v>3090</v>
      </c>
      <c r="P296" s="2" t="s">
        <v>3091</v>
      </c>
      <c r="Q296" s="2" t="s">
        <v>3090</v>
      </c>
      <c r="R296" s="2" t="s">
        <v>3090</v>
      </c>
      <c r="S296" s="2" t="s">
        <v>3091</v>
      </c>
      <c r="T296" s="2" t="s">
        <v>3091</v>
      </c>
      <c r="U296" s="2" t="s">
        <v>3090</v>
      </c>
      <c r="V296" s="2" t="s">
        <v>3090</v>
      </c>
      <c r="W296" s="4">
        <f t="shared" si="12"/>
        <v>13</v>
      </c>
      <c r="X296" s="4">
        <f t="shared" si="13"/>
        <v>5</v>
      </c>
      <c r="Y296" s="4">
        <f t="shared" si="14"/>
        <v>18</v>
      </c>
    </row>
    <row r="297" spans="1:25" ht="15.75" customHeight="1">
      <c r="A297" s="2" t="s">
        <v>3020</v>
      </c>
      <c r="B297" s="2" t="s">
        <v>2671</v>
      </c>
      <c r="C297" s="3">
        <v>767</v>
      </c>
      <c r="D297" s="2" t="s">
        <v>734</v>
      </c>
      <c r="E297" s="2" t="s">
        <v>3090</v>
      </c>
      <c r="F297" s="2" t="s">
        <v>3091</v>
      </c>
      <c r="G297" s="2" t="s">
        <v>3091</v>
      </c>
      <c r="H297" s="2" t="s">
        <v>3091</v>
      </c>
      <c r="I297" s="2" t="s">
        <v>3091</v>
      </c>
      <c r="J297" s="2" t="s">
        <v>3091</v>
      </c>
      <c r="K297" s="2" t="s">
        <v>3091</v>
      </c>
      <c r="L297" s="2" t="s">
        <v>3091</v>
      </c>
      <c r="M297" s="2" t="s">
        <v>3091</v>
      </c>
      <c r="N297" s="2" t="s">
        <v>3091</v>
      </c>
      <c r="O297" s="2" t="s">
        <v>3091</v>
      </c>
      <c r="P297" s="2" t="s">
        <v>3091</v>
      </c>
      <c r="Q297" s="2" t="s">
        <v>3091</v>
      </c>
      <c r="R297" s="2" t="s">
        <v>3091</v>
      </c>
      <c r="S297" s="2" t="s">
        <v>3091</v>
      </c>
      <c r="T297" s="2"/>
      <c r="U297" s="2"/>
      <c r="V297" s="2"/>
      <c r="W297" s="4">
        <f t="shared" si="12"/>
        <v>1</v>
      </c>
      <c r="X297" s="4">
        <f t="shared" si="13"/>
        <v>14</v>
      </c>
      <c r="Y297" s="4">
        <f t="shared" si="14"/>
        <v>15</v>
      </c>
    </row>
    <row r="298" spans="1:25" ht="15.75" customHeight="1">
      <c r="A298" s="2" t="s">
        <v>3021</v>
      </c>
      <c r="B298" s="2" t="s">
        <v>2942</v>
      </c>
      <c r="C298" s="3">
        <v>683</v>
      </c>
      <c r="D298" s="2" t="s">
        <v>736</v>
      </c>
      <c r="E298" s="2" t="s">
        <v>3091</v>
      </c>
      <c r="F298" s="2" t="s">
        <v>3091</v>
      </c>
      <c r="G298" s="2" t="s">
        <v>3091</v>
      </c>
      <c r="H298" s="2" t="s">
        <v>3090</v>
      </c>
      <c r="I298" s="2" t="s">
        <v>3090</v>
      </c>
      <c r="J298" s="2" t="s">
        <v>3091</v>
      </c>
      <c r="K298" s="2" t="s">
        <v>3091</v>
      </c>
      <c r="L298" s="2" t="s">
        <v>3091</v>
      </c>
      <c r="M298" s="2" t="s">
        <v>3091</v>
      </c>
      <c r="N298" s="2" t="s">
        <v>3091</v>
      </c>
      <c r="O298" s="2" t="s">
        <v>3091</v>
      </c>
      <c r="P298" s="2" t="s">
        <v>3091</v>
      </c>
      <c r="Q298" s="2" t="s">
        <v>3091</v>
      </c>
      <c r="R298" s="2" t="s">
        <v>3091</v>
      </c>
      <c r="S298" s="2" t="s">
        <v>3091</v>
      </c>
      <c r="T298" s="2"/>
      <c r="U298" s="2"/>
      <c r="V298" s="2"/>
      <c r="W298" s="4">
        <f t="shared" si="12"/>
        <v>2</v>
      </c>
      <c r="X298" s="4">
        <f t="shared" si="13"/>
        <v>13</v>
      </c>
      <c r="Y298" s="4">
        <f t="shared" si="14"/>
        <v>15</v>
      </c>
    </row>
    <row r="299" spans="1:25" ht="15.75" customHeight="1">
      <c r="A299" s="2" t="s">
        <v>3022</v>
      </c>
      <c r="B299" s="2" t="s">
        <v>2770</v>
      </c>
      <c r="C299" s="3">
        <v>289</v>
      </c>
      <c r="D299" s="2" t="s">
        <v>651</v>
      </c>
      <c r="E299" s="2" t="s">
        <v>3090</v>
      </c>
      <c r="F299" s="2" t="s">
        <v>3090</v>
      </c>
      <c r="G299" s="2" t="s">
        <v>3090</v>
      </c>
      <c r="H299" s="2" t="s">
        <v>3090</v>
      </c>
      <c r="I299" s="2" t="s">
        <v>3090</v>
      </c>
      <c r="J299" s="2" t="s">
        <v>3090</v>
      </c>
      <c r="K299" s="2"/>
      <c r="L299" s="2"/>
      <c r="M299" s="2" t="s">
        <v>3090</v>
      </c>
      <c r="N299" s="2" t="s">
        <v>3090</v>
      </c>
      <c r="O299" s="2"/>
      <c r="P299" s="2"/>
      <c r="Q299" s="2" t="s">
        <v>3090</v>
      </c>
      <c r="R299" s="2" t="s">
        <v>3090</v>
      </c>
      <c r="S299" s="2"/>
      <c r="T299" s="2"/>
      <c r="U299" s="2"/>
      <c r="V299" s="2" t="s">
        <v>3090</v>
      </c>
      <c r="W299" s="4">
        <f t="shared" si="12"/>
        <v>11</v>
      </c>
      <c r="X299" s="4">
        <f t="shared" si="13"/>
        <v>0</v>
      </c>
      <c r="Y299" s="4">
        <f t="shared" si="14"/>
        <v>11</v>
      </c>
    </row>
    <row r="300" spans="1:25" ht="15.75" customHeight="1">
      <c r="A300" s="2" t="s">
        <v>3023</v>
      </c>
      <c r="B300" s="2" t="s">
        <v>3024</v>
      </c>
      <c r="C300" s="3">
        <v>276</v>
      </c>
      <c r="D300" s="2" t="s">
        <v>45</v>
      </c>
      <c r="E300" s="2" t="s">
        <v>3090</v>
      </c>
      <c r="F300" s="2" t="s">
        <v>3090</v>
      </c>
      <c r="G300" s="2" t="s">
        <v>3090</v>
      </c>
      <c r="H300" s="2" t="s">
        <v>3091</v>
      </c>
      <c r="I300" s="2" t="s">
        <v>3091</v>
      </c>
      <c r="J300" s="2" t="s">
        <v>3090</v>
      </c>
      <c r="K300" s="2"/>
      <c r="L300" s="2"/>
      <c r="M300" s="2" t="s">
        <v>3090</v>
      </c>
      <c r="N300" s="2" t="s">
        <v>3090</v>
      </c>
      <c r="O300" s="2" t="s">
        <v>3090</v>
      </c>
      <c r="P300" s="2"/>
      <c r="Q300" s="2" t="s">
        <v>3090</v>
      </c>
      <c r="R300" s="2" t="s">
        <v>3090</v>
      </c>
      <c r="S300" s="2"/>
      <c r="T300" s="2"/>
      <c r="U300" s="2"/>
      <c r="V300" s="2"/>
      <c r="W300" s="4">
        <f t="shared" si="12"/>
        <v>9</v>
      </c>
      <c r="X300" s="4">
        <f t="shared" si="13"/>
        <v>2</v>
      </c>
      <c r="Y300" s="4">
        <f t="shared" si="14"/>
        <v>11</v>
      </c>
    </row>
    <row r="301" spans="1:25" ht="15.75" customHeight="1">
      <c r="A301" s="2" t="s">
        <v>3025</v>
      </c>
      <c r="B301" s="2" t="s">
        <v>2657</v>
      </c>
      <c r="C301" s="3">
        <v>340</v>
      </c>
      <c r="D301" s="2" t="s">
        <v>421</v>
      </c>
      <c r="E301" s="2" t="s">
        <v>3090</v>
      </c>
      <c r="F301" s="2" t="s">
        <v>3091</v>
      </c>
      <c r="G301" s="2" t="s">
        <v>3091</v>
      </c>
      <c r="H301" s="2" t="s">
        <v>3090</v>
      </c>
      <c r="I301" s="2" t="s">
        <v>3090</v>
      </c>
      <c r="J301" s="2" t="s">
        <v>3090</v>
      </c>
      <c r="K301" s="2" t="s">
        <v>3091</v>
      </c>
      <c r="L301" s="2" t="s">
        <v>3091</v>
      </c>
      <c r="M301" s="2" t="s">
        <v>3091</v>
      </c>
      <c r="N301" s="2" t="s">
        <v>3091</v>
      </c>
      <c r="O301" s="2" t="s">
        <v>3090</v>
      </c>
      <c r="P301" s="2"/>
      <c r="Q301" s="2"/>
      <c r="R301" s="2"/>
      <c r="S301" s="2"/>
      <c r="T301" s="2"/>
      <c r="U301" s="2"/>
      <c r="V301" s="2"/>
      <c r="W301" s="4">
        <f t="shared" si="12"/>
        <v>5</v>
      </c>
      <c r="X301" s="4">
        <f t="shared" si="13"/>
        <v>6</v>
      </c>
      <c r="Y301" s="4">
        <f t="shared" si="14"/>
        <v>11</v>
      </c>
    </row>
    <row r="302" spans="1:25" ht="15.75" customHeight="1">
      <c r="A302" s="2" t="s">
        <v>3026</v>
      </c>
      <c r="B302" s="2" t="s">
        <v>3027</v>
      </c>
      <c r="C302" s="3">
        <v>746</v>
      </c>
      <c r="D302" s="2" t="s">
        <v>738</v>
      </c>
      <c r="E302" s="2" t="s">
        <v>3090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4">
        <f t="shared" si="12"/>
        <v>1</v>
      </c>
      <c r="X302" s="4">
        <f t="shared" si="13"/>
        <v>0</v>
      </c>
      <c r="Y302" s="4">
        <f t="shared" si="14"/>
        <v>1</v>
      </c>
    </row>
    <row r="303" spans="1:25" ht="15.75" customHeight="1">
      <c r="A303" s="2" t="s">
        <v>3028</v>
      </c>
      <c r="B303" s="2" t="s">
        <v>3029</v>
      </c>
      <c r="C303" s="3">
        <v>751</v>
      </c>
      <c r="D303" s="2" t="s">
        <v>740</v>
      </c>
      <c r="E303" s="2" t="s">
        <v>3091</v>
      </c>
      <c r="F303" s="2" t="s">
        <v>3091</v>
      </c>
      <c r="G303" s="2" t="s">
        <v>3091</v>
      </c>
      <c r="H303" s="2" t="s">
        <v>3091</v>
      </c>
      <c r="I303" s="2" t="s">
        <v>3091</v>
      </c>
      <c r="J303" s="2" t="s">
        <v>3091</v>
      </c>
      <c r="K303" s="2"/>
      <c r="L303" s="2" t="s">
        <v>3091</v>
      </c>
      <c r="M303" s="2" t="s">
        <v>3091</v>
      </c>
      <c r="N303" s="2" t="s">
        <v>3091</v>
      </c>
      <c r="O303" s="2"/>
      <c r="P303" s="2"/>
      <c r="Q303" s="2"/>
      <c r="R303" s="2"/>
      <c r="S303" s="2"/>
      <c r="T303" s="2"/>
      <c r="U303" s="2"/>
      <c r="V303" s="2"/>
      <c r="W303" s="4">
        <f t="shared" si="12"/>
        <v>0</v>
      </c>
      <c r="X303" s="4">
        <f t="shared" si="13"/>
        <v>9</v>
      </c>
      <c r="Y303" s="4">
        <f t="shared" si="14"/>
        <v>9</v>
      </c>
    </row>
    <row r="304" spans="1:25" ht="15.75" customHeight="1">
      <c r="A304" s="2" t="s">
        <v>3030</v>
      </c>
      <c r="B304" s="2" t="s">
        <v>2732</v>
      </c>
      <c r="C304" s="3">
        <v>392</v>
      </c>
      <c r="D304" s="2" t="s">
        <v>576</v>
      </c>
      <c r="E304" s="2" t="s">
        <v>3090</v>
      </c>
      <c r="F304" s="2" t="s">
        <v>3090</v>
      </c>
      <c r="G304" s="2" t="s">
        <v>3090</v>
      </c>
      <c r="H304" s="2" t="s">
        <v>3090</v>
      </c>
      <c r="I304" s="2" t="s">
        <v>3090</v>
      </c>
      <c r="J304" s="2" t="s">
        <v>3090</v>
      </c>
      <c r="K304" s="2" t="s">
        <v>3091</v>
      </c>
      <c r="L304" s="2" t="s">
        <v>3091</v>
      </c>
      <c r="M304" s="2" t="s">
        <v>3090</v>
      </c>
      <c r="N304" s="2" t="s">
        <v>3090</v>
      </c>
      <c r="O304" s="2" t="s">
        <v>3090</v>
      </c>
      <c r="P304" s="2" t="s">
        <v>3091</v>
      </c>
      <c r="Q304" s="2" t="s">
        <v>3091</v>
      </c>
      <c r="R304" s="2" t="s">
        <v>3091</v>
      </c>
      <c r="S304" s="2" t="s">
        <v>3091</v>
      </c>
      <c r="T304" s="2"/>
      <c r="U304" s="2"/>
      <c r="V304" s="2"/>
      <c r="W304" s="4">
        <f t="shared" si="12"/>
        <v>9</v>
      </c>
      <c r="X304" s="4">
        <f t="shared" si="13"/>
        <v>6</v>
      </c>
      <c r="Y304" s="4">
        <f t="shared" si="14"/>
        <v>15</v>
      </c>
    </row>
    <row r="305" spans="1:25" ht="15.75" customHeight="1">
      <c r="A305" s="2" t="s">
        <v>3031</v>
      </c>
      <c r="B305" s="2" t="s">
        <v>851</v>
      </c>
      <c r="C305" s="3">
        <v>772</v>
      </c>
      <c r="D305" s="2" t="s">
        <v>451</v>
      </c>
      <c r="E305" s="2" t="s">
        <v>3090</v>
      </c>
      <c r="F305" s="2" t="s">
        <v>3090</v>
      </c>
      <c r="G305" s="2" t="s">
        <v>3090</v>
      </c>
      <c r="H305" s="2" t="s">
        <v>3091</v>
      </c>
      <c r="I305" s="2" t="s">
        <v>3091</v>
      </c>
      <c r="J305" s="2" t="s">
        <v>3090</v>
      </c>
      <c r="K305" s="2" t="s">
        <v>3091</v>
      </c>
      <c r="L305" s="2" t="s">
        <v>3091</v>
      </c>
      <c r="M305" s="2" t="s">
        <v>3090</v>
      </c>
      <c r="N305" s="2" t="s">
        <v>3090</v>
      </c>
      <c r="O305" s="2" t="s">
        <v>3090</v>
      </c>
      <c r="P305" s="2" t="s">
        <v>3091</v>
      </c>
      <c r="Q305" s="2" t="s">
        <v>3090</v>
      </c>
      <c r="R305" s="2" t="s">
        <v>3090</v>
      </c>
      <c r="S305" s="2" t="s">
        <v>3091</v>
      </c>
      <c r="T305" s="2"/>
      <c r="U305" s="2" t="s">
        <v>3090</v>
      </c>
      <c r="V305" s="2"/>
      <c r="W305" s="4">
        <f t="shared" si="12"/>
        <v>10</v>
      </c>
      <c r="X305" s="4">
        <f t="shared" si="13"/>
        <v>6</v>
      </c>
      <c r="Y305" s="4">
        <f t="shared" si="14"/>
        <v>16</v>
      </c>
    </row>
    <row r="306" spans="1:25" ht="15.75" customHeight="1">
      <c r="A306" s="2" t="s">
        <v>3032</v>
      </c>
      <c r="B306" s="2" t="s">
        <v>2715</v>
      </c>
      <c r="C306" s="3">
        <v>754</v>
      </c>
      <c r="D306" s="2" t="s">
        <v>176</v>
      </c>
      <c r="E306" s="2" t="s">
        <v>3090</v>
      </c>
      <c r="F306" s="2" t="s">
        <v>3091</v>
      </c>
      <c r="G306" s="2" t="s">
        <v>3091</v>
      </c>
      <c r="H306" s="2" t="s">
        <v>3091</v>
      </c>
      <c r="I306" s="2" t="s">
        <v>3091</v>
      </c>
      <c r="J306" s="2" t="s">
        <v>3091</v>
      </c>
      <c r="K306" s="2" t="s">
        <v>3091</v>
      </c>
      <c r="L306" s="2" t="s">
        <v>3091</v>
      </c>
      <c r="M306" s="2" t="s">
        <v>3091</v>
      </c>
      <c r="N306" s="2" t="s">
        <v>3091</v>
      </c>
      <c r="O306" s="2" t="s">
        <v>3091</v>
      </c>
      <c r="P306" s="2"/>
      <c r="Q306" s="2"/>
      <c r="R306" s="2"/>
      <c r="S306" s="2"/>
      <c r="T306" s="2"/>
      <c r="U306" s="2"/>
      <c r="V306" s="2"/>
      <c r="W306" s="4">
        <f t="shared" si="12"/>
        <v>1</v>
      </c>
      <c r="X306" s="4">
        <f t="shared" si="13"/>
        <v>10</v>
      </c>
      <c r="Y306" s="4">
        <f t="shared" si="14"/>
        <v>11</v>
      </c>
    </row>
    <row r="307" spans="1:25" ht="15.75" customHeight="1">
      <c r="A307" s="2" t="s">
        <v>3033</v>
      </c>
      <c r="B307" s="2" t="s">
        <v>2674</v>
      </c>
      <c r="C307" s="3">
        <v>737</v>
      </c>
      <c r="D307" s="2" t="s">
        <v>179</v>
      </c>
      <c r="E307" s="2" t="s">
        <v>3090</v>
      </c>
      <c r="F307" s="2" t="s">
        <v>3090</v>
      </c>
      <c r="G307" s="2" t="s">
        <v>3091</v>
      </c>
      <c r="H307" s="2" t="s">
        <v>3090</v>
      </c>
      <c r="I307" s="2" t="s">
        <v>3090</v>
      </c>
      <c r="J307" s="2" t="s">
        <v>3090</v>
      </c>
      <c r="K307" s="2" t="s">
        <v>3091</v>
      </c>
      <c r="L307" s="2" t="s">
        <v>3091</v>
      </c>
      <c r="M307" s="2" t="s">
        <v>3090</v>
      </c>
      <c r="N307" s="2" t="s">
        <v>3090</v>
      </c>
      <c r="O307" s="2" t="s">
        <v>3091</v>
      </c>
      <c r="P307" s="2" t="s">
        <v>3091</v>
      </c>
      <c r="Q307" s="2" t="s">
        <v>3091</v>
      </c>
      <c r="R307" s="2" t="s">
        <v>3091</v>
      </c>
      <c r="S307" s="2" t="s">
        <v>3091</v>
      </c>
      <c r="T307" s="2" t="s">
        <v>3091</v>
      </c>
      <c r="U307" s="2"/>
      <c r="V307" s="2"/>
      <c r="W307" s="4">
        <f t="shared" si="12"/>
        <v>7</v>
      </c>
      <c r="X307" s="4">
        <f t="shared" si="13"/>
        <v>9</v>
      </c>
      <c r="Y307" s="4">
        <f t="shared" si="14"/>
        <v>16</v>
      </c>
    </row>
    <row r="308" spans="1:25" ht="15.75" customHeight="1">
      <c r="A308" s="2" t="s">
        <v>3034</v>
      </c>
      <c r="B308" s="2" t="s">
        <v>2775</v>
      </c>
      <c r="C308" s="3">
        <v>589</v>
      </c>
      <c r="D308" s="2" t="s">
        <v>454</v>
      </c>
      <c r="E308" s="2" t="s">
        <v>3091</v>
      </c>
      <c r="F308" s="2" t="s">
        <v>3091</v>
      </c>
      <c r="G308" s="2" t="s">
        <v>3091</v>
      </c>
      <c r="H308" s="2" t="s">
        <v>3091</v>
      </c>
      <c r="I308" s="2" t="s">
        <v>3091</v>
      </c>
      <c r="J308" s="2" t="s">
        <v>3091</v>
      </c>
      <c r="K308" s="2" t="s">
        <v>3091</v>
      </c>
      <c r="L308" s="2" t="s">
        <v>3091</v>
      </c>
      <c r="M308" s="2" t="s">
        <v>3091</v>
      </c>
      <c r="N308" s="2" t="s">
        <v>3091</v>
      </c>
      <c r="O308" s="2" t="s">
        <v>3091</v>
      </c>
      <c r="P308" s="2"/>
      <c r="Q308" s="2"/>
      <c r="R308" s="2"/>
      <c r="S308" s="2" t="s">
        <v>3091</v>
      </c>
      <c r="T308" s="2"/>
      <c r="U308" s="2"/>
      <c r="V308" s="2"/>
      <c r="W308" s="4">
        <f t="shared" si="12"/>
        <v>0</v>
      </c>
      <c r="X308" s="4">
        <f t="shared" si="13"/>
        <v>12</v>
      </c>
      <c r="Y308" s="4">
        <f t="shared" si="14"/>
        <v>12</v>
      </c>
    </row>
    <row r="309" spans="1:25" ht="15.75" customHeight="1">
      <c r="A309" s="2" t="s">
        <v>3035</v>
      </c>
      <c r="B309" s="2" t="s">
        <v>2659</v>
      </c>
      <c r="C309" s="3">
        <v>262</v>
      </c>
      <c r="D309" s="2" t="s">
        <v>181</v>
      </c>
      <c r="E309" s="2" t="s">
        <v>3090</v>
      </c>
      <c r="F309" s="2" t="s">
        <v>3090</v>
      </c>
      <c r="G309" s="2" t="s">
        <v>3090</v>
      </c>
      <c r="H309" s="2" t="s">
        <v>3090</v>
      </c>
      <c r="I309" s="2" t="s">
        <v>3090</v>
      </c>
      <c r="J309" s="2" t="s">
        <v>3090</v>
      </c>
      <c r="K309" s="2" t="s">
        <v>3091</v>
      </c>
      <c r="L309" s="2" t="s">
        <v>3091</v>
      </c>
      <c r="M309" s="2" t="s">
        <v>3090</v>
      </c>
      <c r="N309" s="2" t="s">
        <v>3090</v>
      </c>
      <c r="O309" s="2" t="s">
        <v>3091</v>
      </c>
      <c r="P309" s="2" t="s">
        <v>3091</v>
      </c>
      <c r="Q309" s="2" t="s">
        <v>3090</v>
      </c>
      <c r="R309" s="2" t="s">
        <v>3090</v>
      </c>
      <c r="S309" s="2" t="s">
        <v>3091</v>
      </c>
      <c r="T309" s="2" t="s">
        <v>3091</v>
      </c>
      <c r="U309" s="2" t="s">
        <v>3091</v>
      </c>
      <c r="V309" s="2" t="s">
        <v>3091</v>
      </c>
      <c r="W309" s="4">
        <f t="shared" si="12"/>
        <v>10</v>
      </c>
      <c r="X309" s="4">
        <f t="shared" si="13"/>
        <v>8</v>
      </c>
      <c r="Y309" s="4">
        <f t="shared" si="14"/>
        <v>18</v>
      </c>
    </row>
    <row r="310" spans="1:25" ht="15.75" customHeight="1">
      <c r="A310" s="2" t="s">
        <v>3036</v>
      </c>
      <c r="B310" s="2" t="s">
        <v>2808</v>
      </c>
      <c r="C310" s="3">
        <v>771</v>
      </c>
      <c r="D310" s="2" t="s">
        <v>338</v>
      </c>
      <c r="E310" s="2" t="s">
        <v>3090</v>
      </c>
      <c r="F310" s="2" t="s">
        <v>3090</v>
      </c>
      <c r="G310" s="2" t="s">
        <v>3090</v>
      </c>
      <c r="H310" s="2" t="s">
        <v>3090</v>
      </c>
      <c r="I310" s="2" t="s">
        <v>3090</v>
      </c>
      <c r="J310" s="2" t="s">
        <v>3090</v>
      </c>
      <c r="K310" s="2" t="s">
        <v>3091</v>
      </c>
      <c r="L310" s="2" t="s">
        <v>3091</v>
      </c>
      <c r="M310" s="2" t="s">
        <v>3091</v>
      </c>
      <c r="N310" s="2" t="s">
        <v>3091</v>
      </c>
      <c r="O310" s="2"/>
      <c r="P310" s="2" t="s">
        <v>3091</v>
      </c>
      <c r="Q310" s="2" t="s">
        <v>3091</v>
      </c>
      <c r="R310" s="2" t="s">
        <v>3091</v>
      </c>
      <c r="S310" s="2"/>
      <c r="T310" s="2"/>
      <c r="U310" s="2"/>
      <c r="V310" s="2"/>
      <c r="W310" s="4">
        <f t="shared" si="12"/>
        <v>6</v>
      </c>
      <c r="X310" s="4">
        <f t="shared" si="13"/>
        <v>7</v>
      </c>
      <c r="Y310" s="4">
        <f t="shared" si="14"/>
        <v>13</v>
      </c>
    </row>
    <row r="311" spans="1:25" ht="15.75" customHeight="1">
      <c r="A311" s="2" t="s">
        <v>3037</v>
      </c>
      <c r="B311" s="2" t="s">
        <v>2755</v>
      </c>
      <c r="C311" s="3">
        <v>760</v>
      </c>
      <c r="D311" s="2" t="s">
        <v>184</v>
      </c>
      <c r="E311" s="2" t="s">
        <v>3090</v>
      </c>
      <c r="F311" s="2" t="s">
        <v>3090</v>
      </c>
      <c r="G311" s="2"/>
      <c r="H311" s="2" t="s">
        <v>3090</v>
      </c>
      <c r="I311" s="2" t="s">
        <v>3090</v>
      </c>
      <c r="J311" s="2" t="s">
        <v>3090</v>
      </c>
      <c r="K311" s="2"/>
      <c r="L311" s="2"/>
      <c r="M311" s="2" t="s">
        <v>3090</v>
      </c>
      <c r="N311" s="2" t="s">
        <v>3090</v>
      </c>
      <c r="O311" s="2"/>
      <c r="P311" s="2"/>
      <c r="Q311" s="2"/>
      <c r="R311" s="2"/>
      <c r="S311" s="2"/>
      <c r="T311" s="2"/>
      <c r="U311" s="2"/>
      <c r="V311" s="2"/>
      <c r="W311" s="4">
        <f t="shared" si="12"/>
        <v>7</v>
      </c>
      <c r="X311" s="4">
        <f t="shared" si="13"/>
        <v>0</v>
      </c>
      <c r="Y311" s="4">
        <f t="shared" si="14"/>
        <v>7</v>
      </c>
    </row>
    <row r="312" spans="1:25" ht="15.75" customHeight="1">
      <c r="A312" s="2" t="s">
        <v>3038</v>
      </c>
      <c r="B312" s="2" t="s">
        <v>2833</v>
      </c>
      <c r="C312" s="3">
        <v>221</v>
      </c>
      <c r="D312" s="2" t="s">
        <v>241</v>
      </c>
      <c r="E312" s="2" t="s">
        <v>3090</v>
      </c>
      <c r="F312" s="2" t="s">
        <v>3091</v>
      </c>
      <c r="G312" s="2" t="s">
        <v>3091</v>
      </c>
      <c r="H312" s="2" t="s">
        <v>3091</v>
      </c>
      <c r="I312" s="2" t="s">
        <v>3091</v>
      </c>
      <c r="J312" s="2" t="s">
        <v>3091</v>
      </c>
      <c r="K312" s="2"/>
      <c r="L312" s="2"/>
      <c r="M312" s="2"/>
      <c r="N312" s="2"/>
      <c r="O312" s="2"/>
      <c r="P312" s="2" t="s">
        <v>3091</v>
      </c>
      <c r="Q312" s="2" t="s">
        <v>3091</v>
      </c>
      <c r="R312" s="2" t="s">
        <v>3091</v>
      </c>
      <c r="S312" s="2" t="s">
        <v>3091</v>
      </c>
      <c r="T312" s="2" t="s">
        <v>3091</v>
      </c>
      <c r="U312" s="2"/>
      <c r="V312" s="2"/>
      <c r="W312" s="4">
        <f t="shared" si="12"/>
        <v>1</v>
      </c>
      <c r="X312" s="4">
        <f t="shared" si="13"/>
        <v>10</v>
      </c>
      <c r="Y312" s="4">
        <f t="shared" si="14"/>
        <v>11</v>
      </c>
    </row>
    <row r="313" spans="1:25" ht="15.75" customHeight="1">
      <c r="A313" s="2" t="s">
        <v>3039</v>
      </c>
      <c r="B313" s="2" t="s">
        <v>3040</v>
      </c>
      <c r="C313" s="3">
        <v>233</v>
      </c>
      <c r="D313" s="2" t="s">
        <v>653</v>
      </c>
      <c r="E313" s="2" t="s">
        <v>3090</v>
      </c>
      <c r="F313" s="2" t="s">
        <v>3090</v>
      </c>
      <c r="G313" s="2" t="s">
        <v>3091</v>
      </c>
      <c r="H313" s="2" t="s">
        <v>3091</v>
      </c>
      <c r="I313" s="2" t="s">
        <v>3091</v>
      </c>
      <c r="J313" s="2" t="s">
        <v>3091</v>
      </c>
      <c r="K313" s="2" t="s">
        <v>3091</v>
      </c>
      <c r="L313" s="2" t="s">
        <v>3091</v>
      </c>
      <c r="M313" s="2" t="s">
        <v>3091</v>
      </c>
      <c r="N313" s="2" t="s">
        <v>3091</v>
      </c>
      <c r="O313" s="2" t="s">
        <v>3090</v>
      </c>
      <c r="P313" s="2" t="s">
        <v>3091</v>
      </c>
      <c r="Q313" s="2" t="s">
        <v>3090</v>
      </c>
      <c r="R313" s="2" t="s">
        <v>3090</v>
      </c>
      <c r="S313" s="2"/>
      <c r="T313" s="2"/>
      <c r="U313" s="2"/>
      <c r="V313" s="2"/>
      <c r="W313" s="4">
        <f t="shared" si="12"/>
        <v>5</v>
      </c>
      <c r="X313" s="4">
        <f t="shared" si="13"/>
        <v>9</v>
      </c>
      <c r="Y313" s="4">
        <f t="shared" si="14"/>
        <v>14</v>
      </c>
    </row>
    <row r="314" spans="1:25" ht="15.75" customHeight="1">
      <c r="A314" s="2" t="s">
        <v>3041</v>
      </c>
      <c r="B314" s="2" t="s">
        <v>2770</v>
      </c>
      <c r="C314" s="3">
        <v>320</v>
      </c>
      <c r="D314" s="2" t="s">
        <v>423</v>
      </c>
      <c r="E314" s="2" t="s">
        <v>3090</v>
      </c>
      <c r="F314" s="2" t="s">
        <v>3091</v>
      </c>
      <c r="G314" s="2" t="s">
        <v>3091</v>
      </c>
      <c r="H314" s="2" t="s">
        <v>3090</v>
      </c>
      <c r="I314" s="2" t="s">
        <v>3090</v>
      </c>
      <c r="J314" s="2" t="s">
        <v>3091</v>
      </c>
      <c r="K314" s="2" t="s">
        <v>3091</v>
      </c>
      <c r="L314" s="2" t="s">
        <v>3091</v>
      </c>
      <c r="M314" s="2" t="s">
        <v>3090</v>
      </c>
      <c r="N314" s="2" t="s">
        <v>3090</v>
      </c>
      <c r="O314" s="2" t="s">
        <v>3091</v>
      </c>
      <c r="P314" s="2" t="s">
        <v>3091</v>
      </c>
      <c r="Q314" s="2" t="s">
        <v>3091</v>
      </c>
      <c r="R314" s="2" t="s">
        <v>3090</v>
      </c>
      <c r="S314" s="2"/>
      <c r="T314" s="2"/>
      <c r="U314" s="2" t="s">
        <v>3090</v>
      </c>
      <c r="V314" s="2"/>
      <c r="W314" s="4">
        <f t="shared" si="12"/>
        <v>7</v>
      </c>
      <c r="X314" s="4">
        <f t="shared" si="13"/>
        <v>8</v>
      </c>
      <c r="Y314" s="4">
        <f t="shared" si="14"/>
        <v>15</v>
      </c>
    </row>
    <row r="315" spans="1:25" ht="15.75" customHeight="1">
      <c r="A315" s="2" t="s">
        <v>3042</v>
      </c>
      <c r="B315" s="2" t="s">
        <v>3043</v>
      </c>
      <c r="C315" s="3">
        <v>669</v>
      </c>
      <c r="D315" s="2" t="s">
        <v>707</v>
      </c>
      <c r="E315" s="2" t="s">
        <v>3090</v>
      </c>
      <c r="F315" s="2" t="s">
        <v>3090</v>
      </c>
      <c r="G315" s="2" t="s">
        <v>3090</v>
      </c>
      <c r="H315" s="2" t="s">
        <v>3090</v>
      </c>
      <c r="I315" s="2" t="s">
        <v>3090</v>
      </c>
      <c r="J315" s="2" t="s">
        <v>3090</v>
      </c>
      <c r="K315" s="2" t="s">
        <v>3091</v>
      </c>
      <c r="L315" s="2" t="s">
        <v>3091</v>
      </c>
      <c r="M315" s="2" t="s">
        <v>3090</v>
      </c>
      <c r="N315" s="2" t="s">
        <v>3090</v>
      </c>
      <c r="O315" s="2" t="s">
        <v>3090</v>
      </c>
      <c r="P315" s="2" t="s">
        <v>3091</v>
      </c>
      <c r="Q315" s="2" t="s">
        <v>3090</v>
      </c>
      <c r="R315" s="2" t="s">
        <v>3090</v>
      </c>
      <c r="S315" s="2" t="s">
        <v>3091</v>
      </c>
      <c r="T315" s="2"/>
      <c r="U315" s="2"/>
      <c r="V315" s="2"/>
      <c r="W315" s="4">
        <f t="shared" si="12"/>
        <v>11</v>
      </c>
      <c r="X315" s="4">
        <f t="shared" si="13"/>
        <v>4</v>
      </c>
      <c r="Y315" s="4">
        <f t="shared" si="14"/>
        <v>15</v>
      </c>
    </row>
    <row r="316" spans="1:25" ht="15.75" customHeight="1">
      <c r="A316" s="2" t="s">
        <v>3044</v>
      </c>
      <c r="B316" s="2" t="s">
        <v>2659</v>
      </c>
      <c r="C316" s="3">
        <v>602</v>
      </c>
      <c r="D316" s="2" t="s">
        <v>497</v>
      </c>
      <c r="E316" s="2" t="s">
        <v>3090</v>
      </c>
      <c r="F316" s="2" t="s">
        <v>3090</v>
      </c>
      <c r="G316" s="2" t="s">
        <v>3090</v>
      </c>
      <c r="H316" s="2" t="s">
        <v>3090</v>
      </c>
      <c r="I316" s="2" t="s">
        <v>3090</v>
      </c>
      <c r="J316" s="2" t="s">
        <v>3090</v>
      </c>
      <c r="K316" s="2" t="s">
        <v>3091</v>
      </c>
      <c r="L316" s="2" t="s">
        <v>3091</v>
      </c>
      <c r="M316" s="2" t="s">
        <v>3090</v>
      </c>
      <c r="N316" s="2" t="s">
        <v>3090</v>
      </c>
      <c r="O316" s="2" t="s">
        <v>3090</v>
      </c>
      <c r="P316" s="2" t="s">
        <v>3091</v>
      </c>
      <c r="Q316" s="2" t="s">
        <v>3090</v>
      </c>
      <c r="R316" s="2" t="s">
        <v>3090</v>
      </c>
      <c r="S316" s="2"/>
      <c r="T316" s="2"/>
      <c r="U316" s="2" t="s">
        <v>3090</v>
      </c>
      <c r="V316" s="2" t="s">
        <v>3090</v>
      </c>
      <c r="W316" s="4">
        <f t="shared" si="12"/>
        <v>13</v>
      </c>
      <c r="X316" s="4">
        <f t="shared" si="13"/>
        <v>3</v>
      </c>
      <c r="Y316" s="4">
        <f t="shared" si="14"/>
        <v>16</v>
      </c>
    </row>
    <row r="317" spans="1:25" ht="15.75" customHeight="1">
      <c r="A317" s="2" t="s">
        <v>3045</v>
      </c>
      <c r="B317" s="2" t="s">
        <v>2896</v>
      </c>
      <c r="C317" s="3">
        <v>675</v>
      </c>
      <c r="D317" s="2" t="s">
        <v>656</v>
      </c>
      <c r="E317" s="2" t="s">
        <v>3090</v>
      </c>
      <c r="F317" s="2" t="s">
        <v>3090</v>
      </c>
      <c r="G317" s="2" t="s">
        <v>3090</v>
      </c>
      <c r="H317" s="2" t="s">
        <v>3090</v>
      </c>
      <c r="I317" s="2" t="s">
        <v>3090</v>
      </c>
      <c r="J317" s="2" t="s">
        <v>3090</v>
      </c>
      <c r="K317" s="2" t="s">
        <v>3091</v>
      </c>
      <c r="L317" s="2" t="s">
        <v>3091</v>
      </c>
      <c r="M317" s="2" t="s">
        <v>3090</v>
      </c>
      <c r="N317" s="2" t="s">
        <v>3090</v>
      </c>
      <c r="O317" s="2" t="s">
        <v>3090</v>
      </c>
      <c r="P317" s="2" t="s">
        <v>3091</v>
      </c>
      <c r="Q317" s="2" t="s">
        <v>3090</v>
      </c>
      <c r="R317" s="2" t="s">
        <v>3090</v>
      </c>
      <c r="S317" s="2" t="s">
        <v>3091</v>
      </c>
      <c r="T317" s="2" t="s">
        <v>3091</v>
      </c>
      <c r="U317" s="2" t="s">
        <v>3090</v>
      </c>
      <c r="V317" s="2" t="s">
        <v>3090</v>
      </c>
      <c r="W317" s="4">
        <f t="shared" si="12"/>
        <v>13</v>
      </c>
      <c r="X317" s="4">
        <f t="shared" si="13"/>
        <v>5</v>
      </c>
      <c r="Y317" s="4">
        <f t="shared" si="14"/>
        <v>18</v>
      </c>
    </row>
    <row r="318" spans="1:25" ht="15.75" customHeight="1">
      <c r="A318" s="2" t="s">
        <v>3046</v>
      </c>
      <c r="B318" s="2" t="s">
        <v>2687</v>
      </c>
      <c r="C318" s="3">
        <v>248</v>
      </c>
      <c r="D318" s="2" t="s">
        <v>186</v>
      </c>
      <c r="E318" s="2" t="s">
        <v>3090</v>
      </c>
      <c r="F318" s="2" t="s">
        <v>3090</v>
      </c>
      <c r="G318" s="2" t="s">
        <v>3090</v>
      </c>
      <c r="H318" s="2" t="s">
        <v>3090</v>
      </c>
      <c r="I318" s="2" t="s">
        <v>3090</v>
      </c>
      <c r="J318" s="2" t="s">
        <v>3090</v>
      </c>
      <c r="K318" s="2" t="s">
        <v>3091</v>
      </c>
      <c r="L318" s="2" t="s">
        <v>3091</v>
      </c>
      <c r="M318" s="2" t="s">
        <v>3090</v>
      </c>
      <c r="N318" s="2" t="s">
        <v>3090</v>
      </c>
      <c r="O318" s="2" t="s">
        <v>3090</v>
      </c>
      <c r="P318" s="2" t="s">
        <v>3091</v>
      </c>
      <c r="Q318" s="2" t="s">
        <v>3091</v>
      </c>
      <c r="R318" s="2" t="s">
        <v>3091</v>
      </c>
      <c r="S318" s="2" t="s">
        <v>3091</v>
      </c>
      <c r="T318" s="2" t="s">
        <v>3091</v>
      </c>
      <c r="U318" s="2" t="s">
        <v>3090</v>
      </c>
      <c r="V318" s="2" t="s">
        <v>3090</v>
      </c>
      <c r="W318" s="4">
        <f t="shared" si="12"/>
        <v>11</v>
      </c>
      <c r="X318" s="4">
        <f t="shared" si="13"/>
        <v>7</v>
      </c>
      <c r="Y318" s="4">
        <f t="shared" si="14"/>
        <v>18</v>
      </c>
    </row>
    <row r="319" spans="1:25" ht="15.75" customHeight="1">
      <c r="A319" s="2" t="s">
        <v>3047</v>
      </c>
      <c r="B319" s="2" t="s">
        <v>2671</v>
      </c>
      <c r="C319" s="3">
        <v>637</v>
      </c>
      <c r="D319" s="2" t="s">
        <v>341</v>
      </c>
      <c r="E319" s="2" t="s">
        <v>3090</v>
      </c>
      <c r="F319" s="2" t="s">
        <v>3091</v>
      </c>
      <c r="G319" s="2" t="s">
        <v>3091</v>
      </c>
      <c r="H319" s="2" t="s">
        <v>3091</v>
      </c>
      <c r="I319" s="2" t="s">
        <v>3091</v>
      </c>
      <c r="J319" s="2" t="s">
        <v>3091</v>
      </c>
      <c r="K319" s="2" t="s">
        <v>3091</v>
      </c>
      <c r="L319" s="2" t="s">
        <v>3091</v>
      </c>
      <c r="M319" s="2" t="s">
        <v>3091</v>
      </c>
      <c r="N319" s="2" t="s">
        <v>3091</v>
      </c>
      <c r="O319" s="2" t="s">
        <v>3091</v>
      </c>
      <c r="P319" s="2" t="s">
        <v>3091</v>
      </c>
      <c r="Q319" s="2" t="s">
        <v>3091</v>
      </c>
      <c r="R319" s="2" t="s">
        <v>3091</v>
      </c>
      <c r="S319" s="2" t="s">
        <v>3091</v>
      </c>
      <c r="T319" s="2"/>
      <c r="U319" s="2" t="s">
        <v>3090</v>
      </c>
      <c r="V319" s="2"/>
      <c r="W319" s="4">
        <f t="shared" si="12"/>
        <v>2</v>
      </c>
      <c r="X319" s="4">
        <f t="shared" si="13"/>
        <v>14</v>
      </c>
      <c r="Y319" s="4">
        <f t="shared" si="14"/>
        <v>16</v>
      </c>
    </row>
    <row r="320" spans="1:25" ht="15.75" customHeight="1">
      <c r="A320" s="2" t="s">
        <v>3048</v>
      </c>
      <c r="B320" s="2" t="s">
        <v>2775</v>
      </c>
      <c r="C320" s="3">
        <v>692</v>
      </c>
      <c r="D320" s="2" t="s">
        <v>281</v>
      </c>
      <c r="E320" s="2" t="s">
        <v>3090</v>
      </c>
      <c r="F320" s="2" t="s">
        <v>3091</v>
      </c>
      <c r="G320" s="2" t="s">
        <v>3091</v>
      </c>
      <c r="H320" s="2" t="s">
        <v>3090</v>
      </c>
      <c r="I320" s="2" t="s">
        <v>3090</v>
      </c>
      <c r="J320" s="2" t="s">
        <v>3090</v>
      </c>
      <c r="K320" s="2" t="s">
        <v>3091</v>
      </c>
      <c r="L320" s="2" t="s">
        <v>3091</v>
      </c>
      <c r="M320" s="2" t="s">
        <v>3090</v>
      </c>
      <c r="N320" s="2" t="s">
        <v>3090</v>
      </c>
      <c r="O320" s="2" t="s">
        <v>3090</v>
      </c>
      <c r="P320" s="2"/>
      <c r="Q320" s="2" t="s">
        <v>3090</v>
      </c>
      <c r="R320" s="2" t="s">
        <v>3090</v>
      </c>
      <c r="S320" s="2"/>
      <c r="T320" s="2"/>
      <c r="U320" s="2" t="s">
        <v>3090</v>
      </c>
      <c r="V320" s="2" t="s">
        <v>3090</v>
      </c>
      <c r="W320" s="4">
        <f t="shared" si="12"/>
        <v>11</v>
      </c>
      <c r="X320" s="4">
        <f t="shared" si="13"/>
        <v>4</v>
      </c>
      <c r="Y320" s="4">
        <f t="shared" si="14"/>
        <v>15</v>
      </c>
    </row>
    <row r="321" spans="1:25" ht="15.75" customHeight="1">
      <c r="A321" s="2" t="s">
        <v>3049</v>
      </c>
      <c r="B321" s="2" t="s">
        <v>2682</v>
      </c>
      <c r="C321" s="3">
        <v>281</v>
      </c>
      <c r="D321" s="2" t="s">
        <v>47</v>
      </c>
      <c r="E321" s="2" t="s">
        <v>3090</v>
      </c>
      <c r="F321" s="2" t="s">
        <v>3091</v>
      </c>
      <c r="G321" s="2" t="s">
        <v>3090</v>
      </c>
      <c r="H321" s="2" t="s">
        <v>3090</v>
      </c>
      <c r="I321" s="2" t="s">
        <v>3091</v>
      </c>
      <c r="J321" s="2" t="s">
        <v>3090</v>
      </c>
      <c r="K321" s="2" t="s">
        <v>3091</v>
      </c>
      <c r="L321" s="2" t="s">
        <v>3091</v>
      </c>
      <c r="M321" s="2" t="s">
        <v>3090</v>
      </c>
      <c r="N321" s="2" t="s">
        <v>3090</v>
      </c>
      <c r="O321" s="2" t="s">
        <v>3090</v>
      </c>
      <c r="P321" s="2" t="s">
        <v>3091</v>
      </c>
      <c r="Q321" s="2" t="s">
        <v>3090</v>
      </c>
      <c r="R321" s="2" t="s">
        <v>3090</v>
      </c>
      <c r="S321" s="2" t="s">
        <v>3091</v>
      </c>
      <c r="T321" s="2" t="s">
        <v>3091</v>
      </c>
      <c r="U321" s="2"/>
      <c r="V321" s="2" t="s">
        <v>3090</v>
      </c>
      <c r="W321" s="4">
        <f t="shared" si="12"/>
        <v>10</v>
      </c>
      <c r="X321" s="4">
        <f t="shared" si="13"/>
        <v>7</v>
      </c>
      <c r="Y321" s="4">
        <f t="shared" si="14"/>
        <v>17</v>
      </c>
    </row>
    <row r="322" spans="1:25" ht="15.75" customHeight="1">
      <c r="A322" s="2" t="s">
        <v>3050</v>
      </c>
      <c r="B322" s="2" t="s">
        <v>2693</v>
      </c>
      <c r="C322" s="3">
        <v>418</v>
      </c>
      <c r="D322" s="2" t="s">
        <v>607</v>
      </c>
      <c r="E322" s="2" t="s">
        <v>3090</v>
      </c>
      <c r="F322" s="2" t="s">
        <v>3090</v>
      </c>
      <c r="G322" s="2" t="s">
        <v>3090</v>
      </c>
      <c r="H322" s="2" t="s">
        <v>3090</v>
      </c>
      <c r="I322" s="2" t="s">
        <v>3090</v>
      </c>
      <c r="J322" s="2" t="s">
        <v>3090</v>
      </c>
      <c r="K322" s="2" t="s">
        <v>3091</v>
      </c>
      <c r="L322" s="2" t="s">
        <v>3091</v>
      </c>
      <c r="M322" s="2" t="s">
        <v>3090</v>
      </c>
      <c r="N322" s="2" t="s">
        <v>3090</v>
      </c>
      <c r="O322" s="2" t="s">
        <v>3090</v>
      </c>
      <c r="P322" s="2" t="s">
        <v>3091</v>
      </c>
      <c r="Q322" s="2" t="s">
        <v>3090</v>
      </c>
      <c r="R322" s="2" t="s">
        <v>3090</v>
      </c>
      <c r="S322" s="2" t="s">
        <v>3091</v>
      </c>
      <c r="T322" s="2" t="s">
        <v>3091</v>
      </c>
      <c r="U322" s="2" t="s">
        <v>3090</v>
      </c>
      <c r="V322" s="2" t="s">
        <v>3090</v>
      </c>
      <c r="W322" s="4">
        <f t="shared" ref="W322:W333" si="15">COUNTIF(E322:V322,"L (1/1)")</f>
        <v>13</v>
      </c>
      <c r="X322" s="4">
        <f t="shared" ref="X322:X333" si="16">COUNTIF(E322:V322,"R (1/1)")</f>
        <v>5</v>
      </c>
      <c r="Y322" s="4">
        <f t="shared" ref="Y322:Y333" si="17">W322+X322</f>
        <v>18</v>
      </c>
    </row>
    <row r="323" spans="1:25" ht="15.75" customHeight="1">
      <c r="A323" s="2" t="s">
        <v>3051</v>
      </c>
      <c r="B323" s="2" t="s">
        <v>2722</v>
      </c>
      <c r="C323" s="3">
        <v>766</v>
      </c>
      <c r="D323" s="2" t="s">
        <v>142</v>
      </c>
      <c r="E323" s="2" t="s">
        <v>3090</v>
      </c>
      <c r="F323" s="2" t="s">
        <v>3090</v>
      </c>
      <c r="G323" s="2" t="s">
        <v>3090</v>
      </c>
      <c r="H323" s="2" t="s">
        <v>3090</v>
      </c>
      <c r="I323" s="2" t="s">
        <v>3090</v>
      </c>
      <c r="J323" s="2" t="s">
        <v>3090</v>
      </c>
      <c r="K323" s="2"/>
      <c r="L323" s="2"/>
      <c r="M323" s="2" t="s">
        <v>3090</v>
      </c>
      <c r="N323" s="2" t="s">
        <v>3090</v>
      </c>
      <c r="O323" s="2" t="s">
        <v>3090</v>
      </c>
      <c r="P323" s="2"/>
      <c r="Q323" s="2" t="s">
        <v>3090</v>
      </c>
      <c r="R323" s="2" t="s">
        <v>3090</v>
      </c>
      <c r="S323" s="2"/>
      <c r="T323" s="2"/>
      <c r="U323" s="2"/>
      <c r="V323" s="2"/>
      <c r="W323" s="4">
        <f t="shared" si="15"/>
        <v>11</v>
      </c>
      <c r="X323" s="4">
        <f t="shared" si="16"/>
        <v>0</v>
      </c>
      <c r="Y323" s="4">
        <f t="shared" si="17"/>
        <v>11</v>
      </c>
    </row>
    <row r="324" spans="1:25" ht="15.75" customHeight="1">
      <c r="A324" s="2" t="s">
        <v>3052</v>
      </c>
      <c r="B324" s="2" t="s">
        <v>3053</v>
      </c>
      <c r="C324" s="3">
        <v>818</v>
      </c>
      <c r="D324" s="2" t="s">
        <v>344</v>
      </c>
      <c r="E324" s="2" t="s">
        <v>3091</v>
      </c>
      <c r="F324" s="2" t="s">
        <v>3091</v>
      </c>
      <c r="G324" s="2" t="s">
        <v>3091</v>
      </c>
      <c r="H324" s="2" t="s">
        <v>3091</v>
      </c>
      <c r="I324" s="2" t="s">
        <v>3091</v>
      </c>
      <c r="J324" s="2" t="s">
        <v>3091</v>
      </c>
      <c r="K324" s="2" t="s">
        <v>3091</v>
      </c>
      <c r="L324" s="2" t="s">
        <v>3091</v>
      </c>
      <c r="M324" s="2" t="s">
        <v>3090</v>
      </c>
      <c r="N324" s="2" t="s">
        <v>3090</v>
      </c>
      <c r="O324" s="2" t="s">
        <v>3090</v>
      </c>
      <c r="P324" s="2" t="s">
        <v>3091</v>
      </c>
      <c r="Q324" s="2" t="s">
        <v>3090</v>
      </c>
      <c r="R324" s="2" t="s">
        <v>3090</v>
      </c>
      <c r="S324" s="2" t="s">
        <v>3091</v>
      </c>
      <c r="T324" s="2" t="s">
        <v>3091</v>
      </c>
      <c r="U324" s="2" t="s">
        <v>3090</v>
      </c>
      <c r="V324" s="2" t="s">
        <v>3090</v>
      </c>
      <c r="W324" s="4">
        <f t="shared" si="15"/>
        <v>7</v>
      </c>
      <c r="X324" s="4">
        <f t="shared" si="16"/>
        <v>11</v>
      </c>
      <c r="Y324" s="4">
        <f t="shared" si="17"/>
        <v>18</v>
      </c>
    </row>
    <row r="325" spans="1:25" ht="15.75" customHeight="1">
      <c r="A325" s="2" t="s">
        <v>3054</v>
      </c>
      <c r="B325" s="2" t="s">
        <v>2722</v>
      </c>
      <c r="C325" s="3">
        <v>629</v>
      </c>
      <c r="D325" s="2" t="s">
        <v>50</v>
      </c>
      <c r="E325" s="2" t="s">
        <v>3090</v>
      </c>
      <c r="F325" s="2" t="s">
        <v>3091</v>
      </c>
      <c r="G325" s="2" t="s">
        <v>3091</v>
      </c>
      <c r="H325" s="2" t="s">
        <v>3091</v>
      </c>
      <c r="I325" s="2" t="s">
        <v>3091</v>
      </c>
      <c r="J325" s="2" t="s">
        <v>3090</v>
      </c>
      <c r="K325" s="2" t="s">
        <v>3091</v>
      </c>
      <c r="L325" s="2" t="s">
        <v>3091</v>
      </c>
      <c r="M325" s="2" t="s">
        <v>3090</v>
      </c>
      <c r="N325" s="2" t="s">
        <v>3090</v>
      </c>
      <c r="O325" s="2" t="s">
        <v>3091</v>
      </c>
      <c r="P325" s="2" t="s">
        <v>3091</v>
      </c>
      <c r="Q325" s="2" t="s">
        <v>3091</v>
      </c>
      <c r="R325" s="2" t="s">
        <v>3091</v>
      </c>
      <c r="S325" s="2" t="s">
        <v>3091</v>
      </c>
      <c r="T325" s="2" t="s">
        <v>3091</v>
      </c>
      <c r="U325" s="2" t="s">
        <v>3090</v>
      </c>
      <c r="V325" s="2"/>
      <c r="W325" s="4">
        <f t="shared" si="15"/>
        <v>5</v>
      </c>
      <c r="X325" s="4">
        <f t="shared" si="16"/>
        <v>12</v>
      </c>
      <c r="Y325" s="4">
        <f t="shared" si="17"/>
        <v>17</v>
      </c>
    </row>
    <row r="326" spans="1:25" ht="15.75" customHeight="1">
      <c r="A326" s="2" t="s">
        <v>3055</v>
      </c>
      <c r="B326" s="2" t="s">
        <v>2682</v>
      </c>
      <c r="C326" s="3">
        <v>739</v>
      </c>
      <c r="D326" s="2" t="s">
        <v>189</v>
      </c>
      <c r="E326" s="2" t="s">
        <v>3090</v>
      </c>
      <c r="F326" s="2" t="s">
        <v>3091</v>
      </c>
      <c r="G326" s="2" t="s">
        <v>3091</v>
      </c>
      <c r="H326" s="2" t="s">
        <v>3090</v>
      </c>
      <c r="I326" s="2" t="s">
        <v>3090</v>
      </c>
      <c r="J326" s="2" t="s">
        <v>3090</v>
      </c>
      <c r="K326" s="2" t="s">
        <v>3091</v>
      </c>
      <c r="L326" s="2" t="s">
        <v>3091</v>
      </c>
      <c r="M326" s="2" t="s">
        <v>3090</v>
      </c>
      <c r="N326" s="2" t="s">
        <v>3090</v>
      </c>
      <c r="O326" s="2" t="s">
        <v>3090</v>
      </c>
      <c r="P326" s="2"/>
      <c r="Q326" s="2" t="s">
        <v>3090</v>
      </c>
      <c r="R326" s="2" t="s">
        <v>3090</v>
      </c>
      <c r="S326" s="2"/>
      <c r="T326" s="2"/>
      <c r="U326" s="2" t="s">
        <v>3090</v>
      </c>
      <c r="V326" s="2"/>
      <c r="W326" s="4">
        <f t="shared" si="15"/>
        <v>10</v>
      </c>
      <c r="X326" s="4">
        <f t="shared" si="16"/>
        <v>4</v>
      </c>
      <c r="Y326" s="4">
        <f t="shared" si="17"/>
        <v>14</v>
      </c>
    </row>
    <row r="327" spans="1:25" ht="15.75" customHeight="1">
      <c r="A327" s="2" t="s">
        <v>3056</v>
      </c>
      <c r="B327" s="2" t="s">
        <v>3057</v>
      </c>
      <c r="C327" s="3">
        <v>815</v>
      </c>
      <c r="D327" s="2" t="s">
        <v>812</v>
      </c>
      <c r="E327" s="2" t="s">
        <v>3091</v>
      </c>
      <c r="F327" s="2" t="s">
        <v>3090</v>
      </c>
      <c r="G327" s="2" t="s">
        <v>3090</v>
      </c>
      <c r="H327" s="2" t="s">
        <v>3090</v>
      </c>
      <c r="I327" s="2" t="s">
        <v>3090</v>
      </c>
      <c r="J327" s="2" t="s">
        <v>3090</v>
      </c>
      <c r="K327" s="2" t="s">
        <v>3091</v>
      </c>
      <c r="L327" s="2"/>
      <c r="M327" s="2" t="s">
        <v>3090</v>
      </c>
      <c r="N327" s="2" t="s">
        <v>3090</v>
      </c>
      <c r="O327" s="2" t="s">
        <v>3090</v>
      </c>
      <c r="P327" s="2"/>
      <c r="Q327" s="2" t="s">
        <v>3090</v>
      </c>
      <c r="R327" s="2" t="s">
        <v>3091</v>
      </c>
      <c r="S327" s="2"/>
      <c r="T327" s="2"/>
      <c r="U327" s="2" t="s">
        <v>3090</v>
      </c>
      <c r="V327" s="2" t="s">
        <v>3090</v>
      </c>
      <c r="W327" s="4">
        <f t="shared" si="15"/>
        <v>11</v>
      </c>
      <c r="X327" s="4">
        <f t="shared" si="16"/>
        <v>3</v>
      </c>
      <c r="Y327" s="4">
        <f t="shared" si="17"/>
        <v>14</v>
      </c>
    </row>
    <row r="328" spans="1:25" ht="15.75" customHeight="1">
      <c r="A328" s="2" t="s">
        <v>3058</v>
      </c>
      <c r="B328" s="2" t="s">
        <v>2761</v>
      </c>
      <c r="C328" s="3">
        <v>455</v>
      </c>
      <c r="D328" s="2" t="s">
        <v>192</v>
      </c>
      <c r="E328" s="2" t="s">
        <v>3090</v>
      </c>
      <c r="F328" s="2" t="s">
        <v>3090</v>
      </c>
      <c r="G328" s="2" t="s">
        <v>3090</v>
      </c>
      <c r="H328" s="2" t="s">
        <v>3090</v>
      </c>
      <c r="I328" s="2" t="s">
        <v>3090</v>
      </c>
      <c r="J328" s="2" t="s">
        <v>3090</v>
      </c>
      <c r="K328" s="2" t="s">
        <v>3091</v>
      </c>
      <c r="L328" s="2" t="s">
        <v>3091</v>
      </c>
      <c r="M328" s="2" t="s">
        <v>3090</v>
      </c>
      <c r="N328" s="2" t="s">
        <v>3090</v>
      </c>
      <c r="O328" s="2" t="s">
        <v>3090</v>
      </c>
      <c r="P328" s="2" t="s">
        <v>3091</v>
      </c>
      <c r="Q328" s="2" t="s">
        <v>3090</v>
      </c>
      <c r="R328" s="2" t="s">
        <v>3090</v>
      </c>
      <c r="S328" s="2" t="s">
        <v>3091</v>
      </c>
      <c r="T328" s="2" t="s">
        <v>3091</v>
      </c>
      <c r="U328" s="2" t="s">
        <v>3090</v>
      </c>
      <c r="V328" s="2" t="s">
        <v>3090</v>
      </c>
      <c r="W328" s="4">
        <f t="shared" si="15"/>
        <v>13</v>
      </c>
      <c r="X328" s="4">
        <f t="shared" si="16"/>
        <v>5</v>
      </c>
      <c r="Y328" s="4">
        <f t="shared" si="17"/>
        <v>18</v>
      </c>
    </row>
    <row r="329" spans="1:25" ht="15.75" customHeight="1">
      <c r="A329" s="2" t="s">
        <v>3059</v>
      </c>
      <c r="B329" s="2" t="s">
        <v>3060</v>
      </c>
      <c r="C329" s="3">
        <v>660</v>
      </c>
      <c r="D329" s="2" t="s">
        <v>742</v>
      </c>
      <c r="E329" s="2" t="s">
        <v>3090</v>
      </c>
      <c r="F329" s="2" t="s">
        <v>3091</v>
      </c>
      <c r="G329" s="2" t="s">
        <v>3091</v>
      </c>
      <c r="H329" s="2"/>
      <c r="I329" s="2" t="s">
        <v>3091</v>
      </c>
      <c r="J329" s="2" t="s">
        <v>3091</v>
      </c>
      <c r="K329" s="2" t="s">
        <v>3091</v>
      </c>
      <c r="L329" s="2"/>
      <c r="M329" s="2" t="s">
        <v>3091</v>
      </c>
      <c r="N329" s="2"/>
      <c r="O329" s="2"/>
      <c r="P329" s="2"/>
      <c r="Q329" s="2"/>
      <c r="R329" s="2" t="s">
        <v>3090</v>
      </c>
      <c r="S329" s="2"/>
      <c r="T329" s="2" t="s">
        <v>3091</v>
      </c>
      <c r="U329" s="2"/>
      <c r="V329" s="2"/>
      <c r="W329" s="4">
        <f t="shared" si="15"/>
        <v>2</v>
      </c>
      <c r="X329" s="4">
        <f t="shared" si="16"/>
        <v>7</v>
      </c>
      <c r="Y329" s="4">
        <f t="shared" si="17"/>
        <v>9</v>
      </c>
    </row>
    <row r="330" spans="1:25" ht="15.75" customHeight="1">
      <c r="A330" s="2" t="s">
        <v>3061</v>
      </c>
      <c r="B330" s="2" t="s">
        <v>2770</v>
      </c>
      <c r="C330" s="3">
        <v>608</v>
      </c>
      <c r="D330" s="2" t="s">
        <v>457</v>
      </c>
      <c r="E330" s="2" t="s">
        <v>3090</v>
      </c>
      <c r="F330" s="2" t="s">
        <v>3090</v>
      </c>
      <c r="G330" s="2" t="s">
        <v>3090</v>
      </c>
      <c r="H330" s="2" t="s">
        <v>3090</v>
      </c>
      <c r="I330" s="2" t="s">
        <v>3090</v>
      </c>
      <c r="J330" s="2" t="s">
        <v>3090</v>
      </c>
      <c r="K330" s="2" t="s">
        <v>3091</v>
      </c>
      <c r="L330" s="2" t="s">
        <v>3091</v>
      </c>
      <c r="M330" s="2" t="s">
        <v>3090</v>
      </c>
      <c r="N330" s="2" t="s">
        <v>3090</v>
      </c>
      <c r="O330" s="2" t="s">
        <v>3090</v>
      </c>
      <c r="P330" s="2" t="s">
        <v>3091</v>
      </c>
      <c r="Q330" s="2" t="s">
        <v>3090</v>
      </c>
      <c r="R330" s="2" t="s">
        <v>3090</v>
      </c>
      <c r="S330" s="2" t="s">
        <v>3091</v>
      </c>
      <c r="T330" s="2" t="s">
        <v>3091</v>
      </c>
      <c r="U330" s="2" t="s">
        <v>3090</v>
      </c>
      <c r="V330" s="2" t="s">
        <v>3090</v>
      </c>
      <c r="W330" s="4">
        <f t="shared" si="15"/>
        <v>13</v>
      </c>
      <c r="X330" s="4">
        <f t="shared" si="16"/>
        <v>5</v>
      </c>
      <c r="Y330" s="4">
        <f t="shared" si="17"/>
        <v>18</v>
      </c>
    </row>
    <row r="331" spans="1:25" ht="15.75" customHeight="1">
      <c r="A331" s="2" t="s">
        <v>3062</v>
      </c>
      <c r="B331" s="2" t="s">
        <v>2761</v>
      </c>
      <c r="C331" s="3">
        <v>278</v>
      </c>
      <c r="D331" s="2" t="s">
        <v>347</v>
      </c>
      <c r="E331" s="2" t="s">
        <v>3090</v>
      </c>
      <c r="F331" s="2" t="s">
        <v>3091</v>
      </c>
      <c r="G331" s="2" t="s">
        <v>3091</v>
      </c>
      <c r="H331" s="2" t="s">
        <v>3091</v>
      </c>
      <c r="I331" s="2" t="s">
        <v>3091</v>
      </c>
      <c r="J331" s="2" t="s">
        <v>3090</v>
      </c>
      <c r="K331" s="2" t="s">
        <v>3091</v>
      </c>
      <c r="L331" s="2" t="s">
        <v>3091</v>
      </c>
      <c r="M331" s="2" t="s">
        <v>3091</v>
      </c>
      <c r="N331" s="2" t="s">
        <v>3091</v>
      </c>
      <c r="O331" s="2" t="s">
        <v>3090</v>
      </c>
      <c r="P331" s="2" t="s">
        <v>3091</v>
      </c>
      <c r="Q331" s="2" t="s">
        <v>3091</v>
      </c>
      <c r="R331" s="2" t="s">
        <v>3090</v>
      </c>
      <c r="S331" s="2" t="s">
        <v>3091</v>
      </c>
      <c r="T331" s="2"/>
      <c r="U331" s="2"/>
      <c r="V331" s="2"/>
      <c r="W331" s="4">
        <f t="shared" si="15"/>
        <v>4</v>
      </c>
      <c r="X331" s="4">
        <f t="shared" si="16"/>
        <v>11</v>
      </c>
      <c r="Y331" s="4">
        <f t="shared" si="17"/>
        <v>15</v>
      </c>
    </row>
    <row r="332" spans="1:25" ht="15.75" customHeight="1">
      <c r="A332" s="2" t="s">
        <v>844</v>
      </c>
      <c r="B332" s="2" t="s">
        <v>2804</v>
      </c>
      <c r="C332" s="3">
        <v>729</v>
      </c>
      <c r="D332" s="2" t="s">
        <v>195</v>
      </c>
      <c r="E332" s="2" t="s">
        <v>3090</v>
      </c>
      <c r="F332" s="2"/>
      <c r="G332" s="2" t="s">
        <v>3090</v>
      </c>
      <c r="H332" s="2" t="s">
        <v>3090</v>
      </c>
      <c r="I332" s="2" t="s">
        <v>3090</v>
      </c>
      <c r="J332" s="2" t="s">
        <v>3090</v>
      </c>
      <c r="K332" s="2"/>
      <c r="L332" s="2"/>
      <c r="M332" s="2" t="s">
        <v>3090</v>
      </c>
      <c r="N332" s="2" t="s">
        <v>3090</v>
      </c>
      <c r="O332" s="2" t="s">
        <v>3090</v>
      </c>
      <c r="P332" s="2"/>
      <c r="Q332" s="2"/>
      <c r="R332" s="2"/>
      <c r="S332" s="2"/>
      <c r="T332" s="2"/>
      <c r="U332" s="2" t="s">
        <v>3090</v>
      </c>
      <c r="V332" s="2" t="s">
        <v>3090</v>
      </c>
      <c r="W332" s="4">
        <f t="shared" si="15"/>
        <v>10</v>
      </c>
      <c r="X332" s="4">
        <f t="shared" si="16"/>
        <v>0</v>
      </c>
      <c r="Y332" s="4">
        <f t="shared" si="17"/>
        <v>10</v>
      </c>
    </row>
    <row r="333" spans="1:25" ht="15.75" customHeight="1">
      <c r="A333" s="2" t="s">
        <v>3063</v>
      </c>
      <c r="B333" s="2" t="s">
        <v>2942</v>
      </c>
      <c r="C333" s="3">
        <v>399</v>
      </c>
      <c r="D333" s="2" t="s">
        <v>499</v>
      </c>
      <c r="E333" s="2"/>
      <c r="F333" s="2" t="s">
        <v>3090</v>
      </c>
      <c r="G333" s="2" t="s">
        <v>3090</v>
      </c>
      <c r="H333" s="2" t="s">
        <v>3090</v>
      </c>
      <c r="I333" s="2" t="s">
        <v>3090</v>
      </c>
      <c r="J333" s="2" t="s">
        <v>3090</v>
      </c>
      <c r="K333" s="2" t="s">
        <v>3091</v>
      </c>
      <c r="L333" s="2" t="s">
        <v>3091</v>
      </c>
      <c r="M333" s="2"/>
      <c r="N333" s="2" t="s">
        <v>3091</v>
      </c>
      <c r="O333" s="2" t="s">
        <v>3090</v>
      </c>
      <c r="P333" s="2" t="s">
        <v>3091</v>
      </c>
      <c r="Q333" s="2" t="s">
        <v>3091</v>
      </c>
      <c r="R333" s="2" t="s">
        <v>3091</v>
      </c>
      <c r="S333" s="2" t="s">
        <v>3091</v>
      </c>
      <c r="T333" s="2"/>
      <c r="U333" s="2"/>
      <c r="V333" s="2"/>
      <c r="W333" s="4">
        <f t="shared" si="15"/>
        <v>6</v>
      </c>
      <c r="X333" s="4">
        <f t="shared" si="16"/>
        <v>7</v>
      </c>
      <c r="Y333" s="4">
        <f t="shared" si="17"/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Лист27</vt:lpstr>
      <vt:lpstr>Отказы и замены</vt:lpstr>
      <vt:lpstr>Журнал_conflict1319477655</vt:lpstr>
      <vt:lpstr>Moodle_данные</vt:lpstr>
      <vt:lpstr>Входной тест</vt:lpstr>
      <vt:lpstr>_Moodle_лог</vt:lpstr>
      <vt:lpstr>Связь со спикерами</vt:lpstr>
      <vt:lpstr>Кураторы</vt:lpstr>
      <vt:lpstr>Аудитории очная часть</vt:lpstr>
      <vt:lpstr>Преподаватели</vt:lpstr>
      <vt:lpstr>ОС4</vt:lpstr>
      <vt:lpstr>Кроссвалидация</vt:lpstr>
      <vt:lpstr>Посещаемость</vt:lpstr>
      <vt:lpstr>Импорт посещаемость</vt:lpstr>
      <vt:lpstr>Посещаемость_1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Волчек Дмитрий Геннадьевич</cp:lastModifiedBy>
  <dcterms:created xsi:type="dcterms:W3CDTF">2026-07-27T02:17:00Z</dcterms:created>
  <dcterms:modified xsi:type="dcterms:W3CDTF">2026-07-27T08:02:41Z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315B8FE899E949A99B36F419EB2982BC_12</vt:lpwstr>
  </property>
  <property fmtid="{D5CDD505-2E9C-101B-9397-08002B2CF9AE}" pid="3" name="KSOProductBuildVer">
    <vt:lpwstr>1049-12.1.0.27458</vt:lpwstr>
  </property>
  <property fmtid="{D5CDD505-2E9C-101B-9397-08002B2CF9AE}" pid="4" name="CalculationRule">
    <vt:i4>0</vt:i4>
  </property>
</Properties>
</file>